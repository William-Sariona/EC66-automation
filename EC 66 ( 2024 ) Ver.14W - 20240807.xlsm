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illiam\Desktop\"/>
    </mc:Choice>
  </mc:AlternateContent>
  <xr:revisionPtr revIDLastSave="0" documentId="13_ncr:1_{EB873C67-DB58-4B24-82A9-2FEC94D8A3B2}" xr6:coauthVersionLast="47" xr6:coauthVersionMax="47" xr10:uidLastSave="{00000000-0000-0000-0000-000000000000}"/>
  <bookViews>
    <workbookView xWindow="-108" yWindow="-108" windowWidth="23256" windowHeight="13176" tabRatio="826" activeTab="2" xr2:uid="{00000000-000D-0000-FFFF-FFFF00000000}"/>
  </bookViews>
  <sheets>
    <sheet name="Train Movement Log (page.2)" sheetId="4" r:id="rId1"/>
    <sheet name="Add-on Train Movement Log" sheetId="12" r:id="rId2"/>
    <sheet name="Train Movement Log (page.1)" sheetId="9" r:id="rId3"/>
    <sheet name="Train Movement Record" sheetId="10" r:id="rId4"/>
    <sheet name="Train Movement Log" sheetId="2" state="hidden" r:id="rId5"/>
    <sheet name="East" sheetId="15" r:id="rId6"/>
    <sheet name="West" sheetId="16" r:id="rId7"/>
    <sheet name="Route" sheetId="1" r:id="rId8"/>
    <sheet name="Radio Call Sign" sheetId="3" r:id="rId9"/>
    <sheet name="choice" sheetId="5" r:id="rId10"/>
    <sheet name="overhead line area" sheetId="13" state="hidden" r:id="rId11"/>
  </sheets>
  <definedNames>
    <definedName name="_xlnm._FilterDatabase" localSheetId="9" hidden="1">choice!$B$2:$C$226</definedName>
    <definedName name="_xlnm._FilterDatabase" localSheetId="7" hidden="1">Route!$A$1:$C$523</definedName>
    <definedName name="Depot___KBD" localSheetId="2">'Train Movement Log (page.1)'!$C$5:$S$7</definedName>
    <definedName name="Depot___KBD" localSheetId="0">'Train Movement Log (page.2)'!$C$5:$S$7</definedName>
    <definedName name="Depot___KBD">'Train Movement Log'!$C$5:$R$7</definedName>
    <definedName name="Item" localSheetId="2">'Train Movement Log (page.1)'!$C$6:$S$6</definedName>
    <definedName name="Item" localSheetId="0">'Train Movement Log (page.2)'!$C$6:$S$6</definedName>
    <definedName name="Item">'Train Movement Log'!$C$6:$R$6</definedName>
    <definedName name="_xlnm.Print_Area" localSheetId="1">'Add-on Train Movement Log'!$A$1:$S$23</definedName>
    <definedName name="_xlnm.Print_Area" localSheetId="4">'Train Movement Log'!$A$1:$R$22</definedName>
    <definedName name="_xlnm.Print_Area" localSheetId="2">'Train Movement Log (page.1)'!$A$1:$S$23</definedName>
    <definedName name="_xlnm.Print_Area" localSheetId="0">'Train Movement Log (page.2)'!$A$1:$S$23</definedName>
    <definedName name="_xlnm.Print_Area" localSheetId="3">'Train Movement Record'!$A$1:$Q$41,'Train Movement Record'!$A$43:$O$101</definedName>
    <definedName name="_xlnm.Print_Titles" localSheetId="4">'Train Movement Log'!$4:$7</definedName>
    <definedName name="Train_Movement_Log" localSheetId="2">'Train Movement Log (page.1)'!$C$5:$S$5</definedName>
    <definedName name="Train_Movement_Log" localSheetId="0">'Train Movement Log (page.2)'!$C$5:$S$5</definedName>
    <definedName name="Train_Movement_Log">'Train Movement Log'!$C$5:$R$5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0" i="12" l="1"/>
  <c r="M19" i="12"/>
  <c r="M18" i="12"/>
  <c r="M17" i="12"/>
  <c r="M16" i="12"/>
  <c r="M15" i="12"/>
  <c r="M14" i="12"/>
  <c r="M13" i="12"/>
  <c r="M12" i="12"/>
  <c r="M11" i="12"/>
  <c r="I12" i="12"/>
  <c r="I13" i="12"/>
  <c r="D419" i="5"/>
  <c r="E419" i="5"/>
  <c r="D420" i="5"/>
  <c r="E420" i="5"/>
  <c r="D421" i="5"/>
  <c r="E421" i="5"/>
  <c r="D422" i="5"/>
  <c r="E422" i="5"/>
  <c r="AM474" i="1"/>
  <c r="AM475" i="1"/>
  <c r="AM476" i="1"/>
  <c r="AM477" i="1"/>
  <c r="IO8" i="9"/>
  <c r="IN8" i="9"/>
  <c r="IM8" i="9"/>
  <c r="IL8" i="9"/>
  <c r="IE20" i="12"/>
  <c r="IE19" i="12"/>
  <c r="IE18" i="12"/>
  <c r="IE17" i="12"/>
  <c r="IE16" i="12"/>
  <c r="IE15" i="12"/>
  <c r="IE14" i="12"/>
  <c r="IE13" i="12"/>
  <c r="IE12" i="12"/>
  <c r="IE11" i="12"/>
  <c r="IE10" i="12"/>
  <c r="IE9" i="12"/>
  <c r="IG8" i="12"/>
  <c r="IF8" i="12"/>
  <c r="IE8" i="12"/>
  <c r="IE20" i="4"/>
  <c r="IE19" i="4"/>
  <c r="IE18" i="4"/>
  <c r="IE17" i="4"/>
  <c r="IE16" i="4"/>
  <c r="IE15" i="4"/>
  <c r="IE14" i="4"/>
  <c r="IE13" i="4"/>
  <c r="IE12" i="4"/>
  <c r="IE11" i="4"/>
  <c r="IE10" i="4"/>
  <c r="IE9" i="4"/>
  <c r="IG8" i="4"/>
  <c r="IF8" i="4"/>
  <c r="IE8" i="4"/>
  <c r="IC20" i="12"/>
  <c r="IC19" i="12"/>
  <c r="IC18" i="12"/>
  <c r="IC17" i="12"/>
  <c r="IC16" i="12"/>
  <c r="IC15" i="12"/>
  <c r="IC14" i="12"/>
  <c r="IC13" i="12"/>
  <c r="IC12" i="12"/>
  <c r="IC11" i="12"/>
  <c r="IC10" i="12"/>
  <c r="IC9" i="12"/>
  <c r="IC19" i="4"/>
  <c r="IC20" i="4" s="1"/>
  <c r="IC7" i="12" s="1"/>
  <c r="IC16" i="4"/>
  <c r="IC17" i="4" s="1"/>
  <c r="IC18" i="4" s="1"/>
  <c r="IC12" i="9"/>
  <c r="IC13" i="9" s="1"/>
  <c r="IC14" i="9" s="1"/>
  <c r="IC15" i="9"/>
  <c r="IC16" i="9"/>
  <c r="IC17" i="9"/>
  <c r="IC18" i="9" s="1"/>
  <c r="IC19" i="9" s="1"/>
  <c r="IC20" i="9"/>
  <c r="IC7" i="4" s="1"/>
  <c r="IG8" i="9"/>
  <c r="IF8" i="9"/>
  <c r="IE9" i="9"/>
  <c r="IE10" i="9"/>
  <c r="IE11" i="9"/>
  <c r="IE12" i="9"/>
  <c r="IE13" i="9"/>
  <c r="IE14" i="9"/>
  <c r="IE15" i="9"/>
  <c r="IE16" i="9"/>
  <c r="IE17" i="9"/>
  <c r="IE18" i="9"/>
  <c r="IE19" i="9"/>
  <c r="IE20" i="9"/>
  <c r="IE8" i="9"/>
  <c r="IC8" i="12" l="1"/>
  <c r="IC8" i="4"/>
  <c r="IC9" i="4" s="1"/>
  <c r="IC10" i="4" s="1"/>
  <c r="IC11" i="4" s="1"/>
  <c r="IC12" i="4" s="1"/>
  <c r="IC13" i="4" s="1"/>
  <c r="IC14" i="4" s="1"/>
  <c r="IC15" i="4" s="1"/>
  <c r="IC8" i="9"/>
  <c r="IC9" i="9" s="1"/>
  <c r="IC10" i="9" s="1"/>
  <c r="IC11" i="9" s="1"/>
  <c r="HY21" i="9"/>
  <c r="HX21" i="9"/>
  <c r="HW21" i="9"/>
  <c r="HV21" i="9"/>
  <c r="HY21" i="4"/>
  <c r="HX21" i="4"/>
  <c r="HW21" i="4"/>
  <c r="HV21" i="4"/>
  <c r="HY12" i="12"/>
  <c r="HY13" i="12"/>
  <c r="HY21" i="12"/>
  <c r="HX12" i="12"/>
  <c r="HX13" i="12"/>
  <c r="HX21" i="12"/>
  <c r="HW12" i="12"/>
  <c r="HW13" i="12"/>
  <c r="HW21" i="12"/>
  <c r="HV12" i="12"/>
  <c r="HV13" i="12"/>
  <c r="HV21" i="12"/>
  <c r="IB21" i="12"/>
  <c r="IB21" i="4"/>
  <c r="C17" i="10"/>
  <c r="D416" i="5"/>
  <c r="E416" i="5"/>
  <c r="D417" i="5"/>
  <c r="E417" i="5"/>
  <c r="D418" i="5"/>
  <c r="E418" i="5"/>
  <c r="D415" i="5"/>
  <c r="E415" i="5"/>
  <c r="AM470" i="1"/>
  <c r="AM471" i="1"/>
  <c r="AM472" i="1"/>
  <c r="AM473" i="1"/>
  <c r="AM469" i="1"/>
  <c r="AM468" i="1"/>
  <c r="AM465" i="1"/>
  <c r="AM466" i="1"/>
  <c r="AM467" i="1"/>
  <c r="AM464" i="1"/>
  <c r="E413" i="5"/>
  <c r="E414" i="5"/>
  <c r="D411" i="5"/>
  <c r="D412" i="5"/>
  <c r="D413" i="5"/>
  <c r="D414" i="5"/>
  <c r="E412" i="5"/>
  <c r="E411" i="5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3" i="13"/>
  <c r="B33" i="10"/>
  <c r="K33" i="10" s="1"/>
  <c r="C10" i="10"/>
  <c r="G8" i="10"/>
  <c r="G10" i="10"/>
  <c r="AM52" i="1"/>
  <c r="AM82" i="1"/>
  <c r="AM83" i="1"/>
  <c r="AM84" i="1"/>
  <c r="AM85" i="1"/>
  <c r="AM86" i="1"/>
  <c r="AM87" i="1"/>
  <c r="AM88" i="1"/>
  <c r="AM89" i="1"/>
  <c r="AM115" i="1"/>
  <c r="AM144" i="1"/>
  <c r="AM145" i="1"/>
  <c r="AM146" i="1"/>
  <c r="AM147" i="1"/>
  <c r="AM148" i="1"/>
  <c r="AM149" i="1"/>
  <c r="AM150" i="1"/>
  <c r="AM158" i="1"/>
  <c r="AM155" i="1"/>
  <c r="AM156" i="1"/>
  <c r="AM157" i="1"/>
  <c r="AM159" i="1"/>
  <c r="AM160" i="1"/>
  <c r="AM161" i="1"/>
  <c r="AM162" i="1"/>
  <c r="AM193" i="1"/>
  <c r="AM194" i="1"/>
  <c r="AM195" i="1"/>
  <c r="AM196" i="1"/>
  <c r="AM197" i="1"/>
  <c r="AM198" i="1"/>
  <c r="AM199" i="1"/>
  <c r="AM423" i="1"/>
  <c r="AM424" i="1"/>
  <c r="AM428" i="1"/>
  <c r="AM429" i="1"/>
  <c r="AM430" i="1"/>
  <c r="AM53" i="1"/>
  <c r="B9" i="10"/>
  <c r="K9" i="10" s="1"/>
  <c r="B10" i="10"/>
  <c r="K10" i="10" s="1"/>
  <c r="B11" i="10"/>
  <c r="K11" i="10" s="1"/>
  <c r="B12" i="10"/>
  <c r="K12" i="10" s="1"/>
  <c r="B13" i="10"/>
  <c r="K13" i="10" s="1"/>
  <c r="B14" i="10"/>
  <c r="K14" i="10" s="1"/>
  <c r="B15" i="10"/>
  <c r="K15" i="10" s="1"/>
  <c r="B16" i="10"/>
  <c r="K16" i="10" s="1"/>
  <c r="B17" i="10"/>
  <c r="K17" i="10" s="1"/>
  <c r="B18" i="10"/>
  <c r="K18" i="10" s="1"/>
  <c r="B19" i="10"/>
  <c r="K19" i="10" s="1"/>
  <c r="E9" i="10"/>
  <c r="E10" i="10"/>
  <c r="E11" i="10"/>
  <c r="E12" i="10"/>
  <c r="E13" i="10"/>
  <c r="E14" i="10"/>
  <c r="E15" i="10"/>
  <c r="E16" i="10"/>
  <c r="E17" i="10"/>
  <c r="E18" i="10"/>
  <c r="E19" i="10"/>
  <c r="E20" i="10"/>
  <c r="C22" i="10"/>
  <c r="B21" i="10" s="1"/>
  <c r="K21" i="10" s="1"/>
  <c r="C23" i="10"/>
  <c r="B22" i="10" s="1"/>
  <c r="K22" i="10" s="1"/>
  <c r="C24" i="10"/>
  <c r="B23" i="10" s="1"/>
  <c r="K23" i="10" s="1"/>
  <c r="C25" i="10"/>
  <c r="B24" i="10" s="1"/>
  <c r="K24" i="10" s="1"/>
  <c r="C26" i="10"/>
  <c r="B25" i="10" s="1"/>
  <c r="K25" i="10" s="1"/>
  <c r="C27" i="10"/>
  <c r="B26" i="10" s="1"/>
  <c r="K26" i="10" s="1"/>
  <c r="C28" i="10"/>
  <c r="B27" i="10" s="1"/>
  <c r="K27" i="10" s="1"/>
  <c r="C29" i="10"/>
  <c r="B28" i="10" s="1"/>
  <c r="K28" i="10" s="1"/>
  <c r="C30" i="10"/>
  <c r="B29" i="10" s="1"/>
  <c r="K29" i="10" s="1"/>
  <c r="C31" i="10"/>
  <c r="B30" i="10" s="1"/>
  <c r="K30" i="10" s="1"/>
  <c r="C32" i="10"/>
  <c r="B31" i="10" s="1"/>
  <c r="K31" i="10" s="1"/>
  <c r="C33" i="10"/>
  <c r="B32" i="10" s="1"/>
  <c r="K32" i="10" s="1"/>
  <c r="C21" i="10"/>
  <c r="B20" i="10" s="1"/>
  <c r="K20" i="10" s="1"/>
  <c r="C9" i="10"/>
  <c r="C11" i="10"/>
  <c r="C12" i="10"/>
  <c r="C13" i="10"/>
  <c r="C14" i="10"/>
  <c r="C15" i="10"/>
  <c r="C16" i="10"/>
  <c r="C18" i="10"/>
  <c r="C19" i="10"/>
  <c r="C20" i="10"/>
  <c r="C8" i="10"/>
  <c r="AB17" i="9"/>
  <c r="H17" i="10"/>
  <c r="G8" i="9"/>
  <c r="B8" i="10"/>
  <c r="K8" i="10" s="1"/>
  <c r="AR17" i="9"/>
  <c r="CK17" i="9"/>
  <c r="ED17" i="9"/>
  <c r="EE17" i="9"/>
  <c r="EF17" i="9"/>
  <c r="EG17" i="9"/>
  <c r="EH17" i="9"/>
  <c r="EI17" i="9"/>
  <c r="EJ17" i="9"/>
  <c r="EK17" i="9"/>
  <c r="EL17" i="9"/>
  <c r="EM17" i="9"/>
  <c r="EN17" i="9"/>
  <c r="EO17" i="9"/>
  <c r="EP17" i="9"/>
  <c r="EQ17" i="9"/>
  <c r="ER17" i="9"/>
  <c r="ES17" i="9"/>
  <c r="ET17" i="9"/>
  <c r="EU17" i="9"/>
  <c r="EV17" i="9"/>
  <c r="EW17" i="9"/>
  <c r="EX17" i="9"/>
  <c r="EY17" i="9"/>
  <c r="EZ17" i="9"/>
  <c r="FA17" i="9"/>
  <c r="FB17" i="9"/>
  <c r="FC17" i="9"/>
  <c r="FD17" i="9"/>
  <c r="FE17" i="9"/>
  <c r="FF17" i="9"/>
  <c r="FG17" i="9"/>
  <c r="FH17" i="9"/>
  <c r="FI17" i="9"/>
  <c r="FJ17" i="9"/>
  <c r="FK17" i="9"/>
  <c r="FL17" i="9"/>
  <c r="FM17" i="9"/>
  <c r="FN17" i="9"/>
  <c r="FO17" i="9"/>
  <c r="FP17" i="9"/>
  <c r="FQ17" i="9"/>
  <c r="FR17" i="9"/>
  <c r="FS17" i="9"/>
  <c r="FT17" i="9"/>
  <c r="FU17" i="9"/>
  <c r="FV17" i="9"/>
  <c r="FW17" i="9"/>
  <c r="FX17" i="9"/>
  <c r="FY17" i="9"/>
  <c r="FZ17" i="9"/>
  <c r="GA17" i="9"/>
  <c r="GB17" i="9"/>
  <c r="GC17" i="9"/>
  <c r="GD17" i="9"/>
  <c r="GE17" i="9"/>
  <c r="GF17" i="9"/>
  <c r="GG17" i="9"/>
  <c r="GH17" i="9"/>
  <c r="GI17" i="9"/>
  <c r="GJ17" i="9"/>
  <c r="GK17" i="9"/>
  <c r="GL17" i="9"/>
  <c r="GM17" i="9"/>
  <c r="GN17" i="9"/>
  <c r="GO17" i="9"/>
  <c r="GP17" i="9"/>
  <c r="GQ17" i="9"/>
  <c r="GR17" i="9"/>
  <c r="GS17" i="9"/>
  <c r="GT17" i="9"/>
  <c r="GU17" i="9"/>
  <c r="GV17" i="9"/>
  <c r="GW17" i="9"/>
  <c r="GX17" i="9"/>
  <c r="GY17" i="9"/>
  <c r="GZ17" i="9"/>
  <c r="HA17" i="9"/>
  <c r="HB17" i="9"/>
  <c r="HC17" i="9"/>
  <c r="HD17" i="9"/>
  <c r="HE17" i="9"/>
  <c r="HF17" i="9"/>
  <c r="HG17" i="9"/>
  <c r="HH17" i="9"/>
  <c r="HI17" i="9"/>
  <c r="HJ17" i="9"/>
  <c r="HK17" i="9"/>
  <c r="HL17" i="9"/>
  <c r="HM17" i="9"/>
  <c r="HN17" i="9"/>
  <c r="HO17" i="9"/>
  <c r="G11" i="9"/>
  <c r="K38" i="10"/>
  <c r="K39" i="10"/>
  <c r="K40" i="10"/>
  <c r="K41" i="10"/>
  <c r="B38" i="10"/>
  <c r="C38" i="10"/>
  <c r="B39" i="10"/>
  <c r="C39" i="10"/>
  <c r="B40" i="10"/>
  <c r="C40" i="10"/>
  <c r="B41" i="10"/>
  <c r="C41" i="10"/>
  <c r="E8" i="10"/>
  <c r="G9" i="10"/>
  <c r="G11" i="10"/>
  <c r="G12" i="10"/>
  <c r="G13" i="10"/>
  <c r="G14" i="10"/>
  <c r="G15" i="10"/>
  <c r="G16" i="10"/>
  <c r="G17" i="10"/>
  <c r="G18" i="10"/>
  <c r="G19" i="10"/>
  <c r="G20" i="10"/>
  <c r="E21" i="10"/>
  <c r="G21" i="10"/>
  <c r="E22" i="10"/>
  <c r="G22" i="10"/>
  <c r="E23" i="10"/>
  <c r="G23" i="10"/>
  <c r="E24" i="10"/>
  <c r="G24" i="10"/>
  <c r="E25" i="10"/>
  <c r="G25" i="10"/>
  <c r="E26" i="10"/>
  <c r="G26" i="10"/>
  <c r="E27" i="10"/>
  <c r="G27" i="10"/>
  <c r="E28" i="10"/>
  <c r="G28" i="10"/>
  <c r="E29" i="10"/>
  <c r="G29" i="10"/>
  <c r="E30" i="10"/>
  <c r="G30" i="10"/>
  <c r="E31" i="10"/>
  <c r="G31" i="10"/>
  <c r="E32" i="10"/>
  <c r="G32" i="10"/>
  <c r="E33" i="10"/>
  <c r="G33" i="10"/>
  <c r="B3" i="10"/>
  <c r="H19" i="10"/>
  <c r="H18" i="10"/>
  <c r="H16" i="10"/>
  <c r="H15" i="10"/>
  <c r="H14" i="10"/>
  <c r="H13" i="10"/>
  <c r="H12" i="10"/>
  <c r="HV16" i="9" l="1"/>
  <c r="HV19" i="9"/>
  <c r="HW19" i="9"/>
  <c r="HY19" i="9"/>
  <c r="HW13" i="9"/>
  <c r="HW16" i="9"/>
  <c r="HX13" i="9"/>
  <c r="HX16" i="9"/>
  <c r="HX19" i="9"/>
  <c r="HV14" i="9"/>
  <c r="HV17" i="9"/>
  <c r="HW14" i="9"/>
  <c r="HW17" i="9"/>
  <c r="HX14" i="9"/>
  <c r="HX17" i="9"/>
  <c r="HY14" i="9"/>
  <c r="HY17" i="9"/>
  <c r="HY16" i="9"/>
  <c r="HV12" i="9"/>
  <c r="HV15" i="9"/>
  <c r="HV18" i="9"/>
  <c r="HW12" i="9"/>
  <c r="HW15" i="9"/>
  <c r="HW18" i="9"/>
  <c r="HY13" i="9"/>
  <c r="HX12" i="9"/>
  <c r="HX15" i="9"/>
  <c r="HX18" i="9"/>
  <c r="HV13" i="9"/>
  <c r="HY12" i="9"/>
  <c r="HY15" i="9"/>
  <c r="HY18" i="9"/>
  <c r="AA17" i="9"/>
  <c r="G9" i="9"/>
  <c r="F9" i="10" s="1"/>
  <c r="E8" i="9" l="1"/>
  <c r="E15" i="9" l="1"/>
  <c r="C4" i="4" l="1"/>
  <c r="A39" i="10" l="1"/>
  <c r="E39" i="10"/>
  <c r="A40" i="10"/>
  <c r="E40" i="10"/>
  <c r="A41" i="10"/>
  <c r="E41" i="10"/>
  <c r="A38" i="10"/>
  <c r="HO20" i="12" l="1"/>
  <c r="HN20" i="12"/>
  <c r="HM20" i="12"/>
  <c r="HL20" i="12"/>
  <c r="HK20" i="12"/>
  <c r="HJ20" i="12"/>
  <c r="HI20" i="12"/>
  <c r="HH20" i="12"/>
  <c r="HG20" i="12"/>
  <c r="HF20" i="12"/>
  <c r="HE20" i="12"/>
  <c r="HD20" i="12"/>
  <c r="HC20" i="12"/>
  <c r="HB20" i="12"/>
  <c r="HA20" i="12"/>
  <c r="GZ20" i="12"/>
  <c r="GY20" i="12"/>
  <c r="GX20" i="12"/>
  <c r="GW20" i="12"/>
  <c r="GV20" i="12"/>
  <c r="GU20" i="12"/>
  <c r="GT20" i="12"/>
  <c r="GS20" i="12"/>
  <c r="GR20" i="12"/>
  <c r="GQ20" i="12"/>
  <c r="GP20" i="12"/>
  <c r="GO20" i="12"/>
  <c r="GN20" i="12"/>
  <c r="GM20" i="12"/>
  <c r="GL20" i="12"/>
  <c r="GK20" i="12"/>
  <c r="GJ20" i="12"/>
  <c r="GI20" i="12"/>
  <c r="GH20" i="12"/>
  <c r="GG20" i="12"/>
  <c r="GF20" i="12"/>
  <c r="GE20" i="12"/>
  <c r="GD20" i="12"/>
  <c r="GC20" i="12"/>
  <c r="GB20" i="12"/>
  <c r="GA20" i="12"/>
  <c r="FZ20" i="12"/>
  <c r="FY20" i="12"/>
  <c r="FX20" i="12"/>
  <c r="FW20" i="12"/>
  <c r="FV20" i="12"/>
  <c r="FU20" i="12"/>
  <c r="FT20" i="12"/>
  <c r="FS20" i="12"/>
  <c r="FR20" i="12"/>
  <c r="FQ20" i="12"/>
  <c r="FP20" i="12"/>
  <c r="FO20" i="12"/>
  <c r="FN20" i="12"/>
  <c r="FM20" i="12"/>
  <c r="FL20" i="12"/>
  <c r="FK20" i="12"/>
  <c r="FJ20" i="12"/>
  <c r="FI20" i="12"/>
  <c r="FH20" i="12"/>
  <c r="FG20" i="12"/>
  <c r="FF20" i="12"/>
  <c r="FE20" i="12"/>
  <c r="FD20" i="12"/>
  <c r="FC20" i="12"/>
  <c r="FB20" i="12"/>
  <c r="FA20" i="12"/>
  <c r="EZ20" i="12"/>
  <c r="EY20" i="12"/>
  <c r="EX20" i="12"/>
  <c r="EW20" i="12"/>
  <c r="EV20" i="12"/>
  <c r="EU20" i="12"/>
  <c r="ET20" i="12"/>
  <c r="ES20" i="12"/>
  <c r="ER20" i="12"/>
  <c r="EQ20" i="12"/>
  <c r="EP20" i="12"/>
  <c r="EO20" i="12"/>
  <c r="EN20" i="12"/>
  <c r="EM20" i="12"/>
  <c r="EL20" i="12"/>
  <c r="EK20" i="12"/>
  <c r="EJ20" i="12"/>
  <c r="EI20" i="12"/>
  <c r="EH20" i="12"/>
  <c r="EG20" i="12"/>
  <c r="EF20" i="12"/>
  <c r="EE20" i="12"/>
  <c r="ED20" i="12"/>
  <c r="EC20" i="12"/>
  <c r="EB20" i="12"/>
  <c r="EA20" i="12"/>
  <c r="DZ20" i="12"/>
  <c r="DY20" i="12"/>
  <c r="DX20" i="12"/>
  <c r="DW20" i="12"/>
  <c r="DV20" i="12"/>
  <c r="DU20" i="12"/>
  <c r="DT20" i="12"/>
  <c r="DS20" i="12"/>
  <c r="DR20" i="12"/>
  <c r="DQ20" i="12"/>
  <c r="DP20" i="12"/>
  <c r="DO20" i="12"/>
  <c r="DN20" i="12"/>
  <c r="DM20" i="12"/>
  <c r="DL20" i="12"/>
  <c r="DK20" i="12"/>
  <c r="DJ20" i="12"/>
  <c r="DI20" i="12"/>
  <c r="DH20" i="12"/>
  <c r="DG20" i="12"/>
  <c r="DF20" i="12"/>
  <c r="DE20" i="12"/>
  <c r="DD20" i="12"/>
  <c r="DC20" i="12"/>
  <c r="DB20" i="12"/>
  <c r="DA20" i="12"/>
  <c r="CZ20" i="12"/>
  <c r="CY20" i="12"/>
  <c r="CX20" i="12"/>
  <c r="CW20" i="12"/>
  <c r="CV20" i="12"/>
  <c r="CU20" i="12"/>
  <c r="CT20" i="12"/>
  <c r="CS20" i="12"/>
  <c r="CR20" i="12"/>
  <c r="CQ20" i="12"/>
  <c r="CP20" i="12"/>
  <c r="CO20" i="12"/>
  <c r="CN20" i="12"/>
  <c r="CM20" i="12"/>
  <c r="CL20" i="12"/>
  <c r="CK20" i="12"/>
  <c r="CJ20" i="12"/>
  <c r="CI20" i="12"/>
  <c r="CH20" i="12"/>
  <c r="CG20" i="12"/>
  <c r="CF20" i="12"/>
  <c r="CE20" i="12"/>
  <c r="CD20" i="12"/>
  <c r="CC20" i="12"/>
  <c r="CB20" i="12"/>
  <c r="CA20" i="12"/>
  <c r="BZ20" i="12"/>
  <c r="BY20" i="12"/>
  <c r="BX20" i="12"/>
  <c r="BW20" i="12"/>
  <c r="BV20" i="12"/>
  <c r="BU20" i="12"/>
  <c r="BT20" i="12"/>
  <c r="BS20" i="12"/>
  <c r="BR20" i="12"/>
  <c r="BQ20" i="12"/>
  <c r="BP20" i="12"/>
  <c r="BO20" i="12"/>
  <c r="BN20" i="12"/>
  <c r="BM20" i="12"/>
  <c r="BL20" i="12"/>
  <c r="BK20" i="12"/>
  <c r="BJ20" i="12"/>
  <c r="BI20" i="12"/>
  <c r="BH20" i="12"/>
  <c r="BG20" i="12"/>
  <c r="BF20" i="12"/>
  <c r="BE20" i="12"/>
  <c r="BD20" i="12"/>
  <c r="BC20" i="12"/>
  <c r="BB20" i="12"/>
  <c r="BA20" i="12"/>
  <c r="AZ20" i="12"/>
  <c r="AY20" i="12"/>
  <c r="AX20" i="12"/>
  <c r="AW20" i="12"/>
  <c r="AV20" i="12"/>
  <c r="AU20" i="12"/>
  <c r="AT20" i="12"/>
  <c r="AS20" i="12"/>
  <c r="AR20" i="12"/>
  <c r="AD20" i="12"/>
  <c r="AC20" i="12"/>
  <c r="AB20" i="12"/>
  <c r="AA20" i="12"/>
  <c r="I20" i="12"/>
  <c r="G20" i="12"/>
  <c r="E20" i="12"/>
  <c r="HO19" i="12"/>
  <c r="HN19" i="12"/>
  <c r="HM19" i="12"/>
  <c r="HL19" i="12"/>
  <c r="HK19" i="12"/>
  <c r="HJ19" i="12"/>
  <c r="HI19" i="12"/>
  <c r="HH19" i="12"/>
  <c r="HG19" i="12"/>
  <c r="HF19" i="12"/>
  <c r="HE19" i="12"/>
  <c r="HD19" i="12"/>
  <c r="HC19" i="12"/>
  <c r="HB19" i="12"/>
  <c r="HA19" i="12"/>
  <c r="GZ19" i="12"/>
  <c r="GY19" i="12"/>
  <c r="GX19" i="12"/>
  <c r="GW19" i="12"/>
  <c r="GV19" i="12"/>
  <c r="GU19" i="12"/>
  <c r="GT19" i="12"/>
  <c r="GS19" i="12"/>
  <c r="GR19" i="12"/>
  <c r="GQ19" i="12"/>
  <c r="GP19" i="12"/>
  <c r="GO19" i="12"/>
  <c r="GN19" i="12"/>
  <c r="GM19" i="12"/>
  <c r="GL19" i="12"/>
  <c r="GK19" i="12"/>
  <c r="GJ19" i="12"/>
  <c r="GI19" i="12"/>
  <c r="GH19" i="12"/>
  <c r="GG19" i="12"/>
  <c r="GF19" i="12"/>
  <c r="GE19" i="12"/>
  <c r="GD19" i="12"/>
  <c r="GC19" i="12"/>
  <c r="GB19" i="12"/>
  <c r="GA19" i="12"/>
  <c r="FZ19" i="12"/>
  <c r="FY19" i="12"/>
  <c r="FX19" i="12"/>
  <c r="FW19" i="12"/>
  <c r="FV19" i="12"/>
  <c r="FU19" i="12"/>
  <c r="FT19" i="12"/>
  <c r="FS19" i="12"/>
  <c r="FR19" i="12"/>
  <c r="FQ19" i="12"/>
  <c r="FP19" i="12"/>
  <c r="FO19" i="12"/>
  <c r="FN19" i="12"/>
  <c r="FM19" i="12"/>
  <c r="FL19" i="12"/>
  <c r="FK19" i="12"/>
  <c r="FJ19" i="12"/>
  <c r="FI19" i="12"/>
  <c r="FH19" i="12"/>
  <c r="FG19" i="12"/>
  <c r="FF19" i="12"/>
  <c r="FE19" i="12"/>
  <c r="FD19" i="12"/>
  <c r="FC19" i="12"/>
  <c r="FB19" i="12"/>
  <c r="FA19" i="12"/>
  <c r="EZ19" i="12"/>
  <c r="EY19" i="12"/>
  <c r="EX19" i="12"/>
  <c r="EW19" i="12"/>
  <c r="EV19" i="12"/>
  <c r="EU19" i="12"/>
  <c r="ET19" i="12"/>
  <c r="ES19" i="12"/>
  <c r="ER19" i="12"/>
  <c r="EQ19" i="12"/>
  <c r="EP19" i="12"/>
  <c r="EO19" i="12"/>
  <c r="EN19" i="12"/>
  <c r="EM19" i="12"/>
  <c r="EL19" i="12"/>
  <c r="EK19" i="12"/>
  <c r="EJ19" i="12"/>
  <c r="EI19" i="12"/>
  <c r="EH19" i="12"/>
  <c r="EG19" i="12"/>
  <c r="EF19" i="12"/>
  <c r="EE19" i="12"/>
  <c r="ED19" i="12"/>
  <c r="EC19" i="12"/>
  <c r="EB19" i="12"/>
  <c r="EA19" i="12"/>
  <c r="DZ19" i="12"/>
  <c r="DY19" i="12"/>
  <c r="DX19" i="12"/>
  <c r="DW19" i="12"/>
  <c r="DV19" i="12"/>
  <c r="DU19" i="12"/>
  <c r="DT19" i="12"/>
  <c r="DS19" i="12"/>
  <c r="DR19" i="12"/>
  <c r="DQ19" i="12"/>
  <c r="DP19" i="12"/>
  <c r="DO19" i="12"/>
  <c r="DN19" i="12"/>
  <c r="DM19" i="12"/>
  <c r="DL19" i="12"/>
  <c r="DK19" i="12"/>
  <c r="DJ19" i="12"/>
  <c r="DI19" i="12"/>
  <c r="DH19" i="12"/>
  <c r="DG19" i="12"/>
  <c r="DF19" i="12"/>
  <c r="DE19" i="12"/>
  <c r="DD19" i="12"/>
  <c r="DC19" i="12"/>
  <c r="DB19" i="12"/>
  <c r="DA19" i="12"/>
  <c r="CZ19" i="12"/>
  <c r="CY19" i="12"/>
  <c r="CX19" i="12"/>
  <c r="CW19" i="12"/>
  <c r="CV19" i="12"/>
  <c r="CU19" i="12"/>
  <c r="CT19" i="12"/>
  <c r="CS19" i="12"/>
  <c r="CR19" i="12"/>
  <c r="CQ19" i="12"/>
  <c r="CP19" i="12"/>
  <c r="CO19" i="12"/>
  <c r="CN19" i="12"/>
  <c r="CM19" i="12"/>
  <c r="CL19" i="12"/>
  <c r="CK19" i="12"/>
  <c r="CJ19" i="12"/>
  <c r="CI19" i="12"/>
  <c r="CH19" i="12"/>
  <c r="CG19" i="12"/>
  <c r="CF19" i="12"/>
  <c r="CE19" i="12"/>
  <c r="CD19" i="12"/>
  <c r="CC19" i="12"/>
  <c r="CB19" i="12"/>
  <c r="CA19" i="12"/>
  <c r="BZ19" i="12"/>
  <c r="BY19" i="12"/>
  <c r="BX19" i="12"/>
  <c r="BW19" i="12"/>
  <c r="BV19" i="12"/>
  <c r="BU19" i="12"/>
  <c r="BT19" i="12"/>
  <c r="BS19" i="12"/>
  <c r="BR19" i="12"/>
  <c r="BQ19" i="12"/>
  <c r="BP19" i="12"/>
  <c r="BO19" i="12"/>
  <c r="BN19" i="12"/>
  <c r="BM19" i="12"/>
  <c r="BL19" i="12"/>
  <c r="BK19" i="12"/>
  <c r="BJ19" i="12"/>
  <c r="BI19" i="12"/>
  <c r="BH19" i="12"/>
  <c r="BG19" i="12"/>
  <c r="BF19" i="12"/>
  <c r="BE19" i="12"/>
  <c r="BD19" i="12"/>
  <c r="BC19" i="12"/>
  <c r="BB19" i="12"/>
  <c r="BA19" i="12"/>
  <c r="AZ19" i="12"/>
  <c r="AY19" i="12"/>
  <c r="AX19" i="12"/>
  <c r="AW19" i="12"/>
  <c r="AV19" i="12"/>
  <c r="AU19" i="12"/>
  <c r="AT19" i="12"/>
  <c r="AS19" i="12"/>
  <c r="AR19" i="12"/>
  <c r="AD19" i="12"/>
  <c r="AC19" i="12"/>
  <c r="AB19" i="12"/>
  <c r="AA19" i="12"/>
  <c r="I19" i="12"/>
  <c r="G19" i="12"/>
  <c r="E19" i="12"/>
  <c r="HO18" i="12"/>
  <c r="HN18" i="12"/>
  <c r="HM18" i="12"/>
  <c r="HL18" i="12"/>
  <c r="HK18" i="12"/>
  <c r="HJ18" i="12"/>
  <c r="HI18" i="12"/>
  <c r="HH18" i="12"/>
  <c r="HG18" i="12"/>
  <c r="HF18" i="12"/>
  <c r="HE18" i="12"/>
  <c r="HD18" i="12"/>
  <c r="HC18" i="12"/>
  <c r="HB18" i="12"/>
  <c r="HA18" i="12"/>
  <c r="GZ18" i="12"/>
  <c r="GY18" i="12"/>
  <c r="GX18" i="12"/>
  <c r="GW18" i="12"/>
  <c r="GV18" i="12"/>
  <c r="GU18" i="12"/>
  <c r="GT18" i="12"/>
  <c r="GS18" i="12"/>
  <c r="GR18" i="12"/>
  <c r="GQ18" i="12"/>
  <c r="GP18" i="12"/>
  <c r="GO18" i="12"/>
  <c r="GN18" i="12"/>
  <c r="GM18" i="12"/>
  <c r="GL18" i="12"/>
  <c r="GK18" i="12"/>
  <c r="GJ18" i="12"/>
  <c r="GI18" i="12"/>
  <c r="GH18" i="12"/>
  <c r="GG18" i="12"/>
  <c r="GF18" i="12"/>
  <c r="GE18" i="12"/>
  <c r="GD18" i="12"/>
  <c r="GC18" i="12"/>
  <c r="GB18" i="12"/>
  <c r="GA18" i="12"/>
  <c r="FZ18" i="12"/>
  <c r="FY18" i="12"/>
  <c r="FX18" i="12"/>
  <c r="FW18" i="12"/>
  <c r="FV18" i="12"/>
  <c r="FU18" i="12"/>
  <c r="FT18" i="12"/>
  <c r="FS18" i="12"/>
  <c r="FR18" i="12"/>
  <c r="FQ18" i="12"/>
  <c r="FP18" i="12"/>
  <c r="FO18" i="12"/>
  <c r="FN18" i="12"/>
  <c r="FM18" i="12"/>
  <c r="FL18" i="12"/>
  <c r="FK18" i="12"/>
  <c r="FJ18" i="12"/>
  <c r="FI18" i="12"/>
  <c r="FH18" i="12"/>
  <c r="FG18" i="12"/>
  <c r="FF18" i="12"/>
  <c r="FE18" i="12"/>
  <c r="FD18" i="12"/>
  <c r="FC18" i="12"/>
  <c r="FB18" i="12"/>
  <c r="FA18" i="12"/>
  <c r="EZ18" i="12"/>
  <c r="EY18" i="12"/>
  <c r="EX18" i="12"/>
  <c r="EW18" i="12"/>
  <c r="EV18" i="12"/>
  <c r="EU18" i="12"/>
  <c r="ET18" i="12"/>
  <c r="ES18" i="12"/>
  <c r="ER18" i="12"/>
  <c r="EQ18" i="12"/>
  <c r="EP18" i="12"/>
  <c r="EO18" i="12"/>
  <c r="EN18" i="12"/>
  <c r="EM18" i="12"/>
  <c r="EL18" i="12"/>
  <c r="EK18" i="12"/>
  <c r="EJ18" i="12"/>
  <c r="EI18" i="12"/>
  <c r="EH18" i="12"/>
  <c r="EG18" i="12"/>
  <c r="EF18" i="12"/>
  <c r="EE18" i="12"/>
  <c r="ED18" i="12"/>
  <c r="EC18" i="12"/>
  <c r="EB18" i="12"/>
  <c r="EA18" i="12"/>
  <c r="DZ18" i="12"/>
  <c r="DY18" i="12"/>
  <c r="DX18" i="12"/>
  <c r="DW18" i="12"/>
  <c r="DV18" i="12"/>
  <c r="DU18" i="12"/>
  <c r="DT18" i="12"/>
  <c r="DS18" i="12"/>
  <c r="DR18" i="12"/>
  <c r="DQ18" i="12"/>
  <c r="DP18" i="12"/>
  <c r="DO18" i="12"/>
  <c r="DN18" i="12"/>
  <c r="DM18" i="12"/>
  <c r="DL18" i="12"/>
  <c r="DK18" i="12"/>
  <c r="DJ18" i="12"/>
  <c r="DI18" i="12"/>
  <c r="DH18" i="12"/>
  <c r="DG18" i="12"/>
  <c r="DF18" i="12"/>
  <c r="DE18" i="12"/>
  <c r="DD18" i="12"/>
  <c r="DC18" i="12"/>
  <c r="DB18" i="12"/>
  <c r="DA18" i="12"/>
  <c r="CZ18" i="12"/>
  <c r="CY18" i="12"/>
  <c r="CX18" i="12"/>
  <c r="CW18" i="12"/>
  <c r="CV18" i="12"/>
  <c r="CU18" i="12"/>
  <c r="CT18" i="12"/>
  <c r="CS18" i="12"/>
  <c r="CR18" i="12"/>
  <c r="CQ18" i="12"/>
  <c r="CP18" i="12"/>
  <c r="CO18" i="12"/>
  <c r="CN18" i="12"/>
  <c r="CM18" i="12"/>
  <c r="CL18" i="12"/>
  <c r="CK18" i="12"/>
  <c r="CJ18" i="12"/>
  <c r="CI18" i="12"/>
  <c r="CH18" i="12"/>
  <c r="CG18" i="12"/>
  <c r="CF18" i="12"/>
  <c r="CE18" i="12"/>
  <c r="CD18" i="12"/>
  <c r="CC18" i="12"/>
  <c r="CB18" i="12"/>
  <c r="CA18" i="12"/>
  <c r="BZ18" i="12"/>
  <c r="BY18" i="12"/>
  <c r="BX18" i="12"/>
  <c r="BW18" i="12"/>
  <c r="BV18" i="12"/>
  <c r="BU18" i="12"/>
  <c r="BT18" i="12"/>
  <c r="BS18" i="12"/>
  <c r="BR18" i="12"/>
  <c r="BQ18" i="12"/>
  <c r="BP18" i="12"/>
  <c r="BO18" i="12"/>
  <c r="BN18" i="12"/>
  <c r="BM18" i="12"/>
  <c r="BL18" i="12"/>
  <c r="BK18" i="12"/>
  <c r="BJ18" i="12"/>
  <c r="BI18" i="12"/>
  <c r="BH18" i="12"/>
  <c r="BG18" i="12"/>
  <c r="BF18" i="12"/>
  <c r="BE18" i="12"/>
  <c r="BD18" i="12"/>
  <c r="BC18" i="12"/>
  <c r="BB18" i="12"/>
  <c r="BA18" i="12"/>
  <c r="AZ18" i="12"/>
  <c r="AY18" i="12"/>
  <c r="AX18" i="12"/>
  <c r="AW18" i="12"/>
  <c r="AV18" i="12"/>
  <c r="AU18" i="12"/>
  <c r="AT18" i="12"/>
  <c r="AS18" i="12"/>
  <c r="AR18" i="12"/>
  <c r="AD18" i="12"/>
  <c r="AC18" i="12"/>
  <c r="AB18" i="12"/>
  <c r="AA18" i="12"/>
  <c r="I18" i="12"/>
  <c r="G18" i="12"/>
  <c r="E18" i="12"/>
  <c r="HO17" i="12"/>
  <c r="HN17" i="12"/>
  <c r="HM17" i="12"/>
  <c r="HL17" i="12"/>
  <c r="HK17" i="12"/>
  <c r="HJ17" i="12"/>
  <c r="HI17" i="12"/>
  <c r="HH17" i="12"/>
  <c r="HG17" i="12"/>
  <c r="HF17" i="12"/>
  <c r="HE17" i="12"/>
  <c r="HD17" i="12"/>
  <c r="HC17" i="12"/>
  <c r="HB17" i="12"/>
  <c r="HA17" i="12"/>
  <c r="GZ17" i="12"/>
  <c r="GY17" i="12"/>
  <c r="GX17" i="12"/>
  <c r="GW17" i="12"/>
  <c r="GV17" i="12"/>
  <c r="GU17" i="12"/>
  <c r="GT17" i="12"/>
  <c r="GS17" i="12"/>
  <c r="GR17" i="12"/>
  <c r="GQ17" i="12"/>
  <c r="GP17" i="12"/>
  <c r="GO17" i="12"/>
  <c r="GN17" i="12"/>
  <c r="GM17" i="12"/>
  <c r="GL17" i="12"/>
  <c r="GK17" i="12"/>
  <c r="GJ17" i="12"/>
  <c r="GI17" i="12"/>
  <c r="GH17" i="12"/>
  <c r="GG17" i="12"/>
  <c r="GF17" i="12"/>
  <c r="GE17" i="12"/>
  <c r="GD17" i="12"/>
  <c r="GC17" i="12"/>
  <c r="GB17" i="12"/>
  <c r="GA17" i="12"/>
  <c r="FZ17" i="12"/>
  <c r="FY17" i="12"/>
  <c r="FX17" i="12"/>
  <c r="FW17" i="12"/>
  <c r="FV17" i="12"/>
  <c r="FU17" i="12"/>
  <c r="FT17" i="12"/>
  <c r="FS17" i="12"/>
  <c r="FR17" i="12"/>
  <c r="FQ17" i="12"/>
  <c r="FP17" i="12"/>
  <c r="FO17" i="12"/>
  <c r="FN17" i="12"/>
  <c r="FM17" i="12"/>
  <c r="FL17" i="12"/>
  <c r="FK17" i="12"/>
  <c r="FJ17" i="12"/>
  <c r="FI17" i="12"/>
  <c r="FH17" i="12"/>
  <c r="FG17" i="12"/>
  <c r="FF17" i="12"/>
  <c r="FE17" i="12"/>
  <c r="FD17" i="12"/>
  <c r="FC17" i="12"/>
  <c r="FB17" i="12"/>
  <c r="FA17" i="12"/>
  <c r="EZ17" i="12"/>
  <c r="EY17" i="12"/>
  <c r="EX17" i="12"/>
  <c r="EW17" i="12"/>
  <c r="EV17" i="12"/>
  <c r="EU17" i="12"/>
  <c r="ET17" i="12"/>
  <c r="ES17" i="12"/>
  <c r="ER17" i="12"/>
  <c r="EQ17" i="12"/>
  <c r="EP17" i="12"/>
  <c r="EO17" i="12"/>
  <c r="EN17" i="12"/>
  <c r="EM17" i="12"/>
  <c r="EL17" i="12"/>
  <c r="EK17" i="12"/>
  <c r="EJ17" i="12"/>
  <c r="EI17" i="12"/>
  <c r="EH17" i="12"/>
  <c r="EG17" i="12"/>
  <c r="EF17" i="12"/>
  <c r="EE17" i="12"/>
  <c r="ED17" i="12"/>
  <c r="EC17" i="12"/>
  <c r="EB17" i="12"/>
  <c r="EA17" i="12"/>
  <c r="DZ17" i="12"/>
  <c r="DY17" i="12"/>
  <c r="DX17" i="12"/>
  <c r="DW17" i="12"/>
  <c r="DV17" i="12"/>
  <c r="DU17" i="12"/>
  <c r="DT17" i="12"/>
  <c r="DS17" i="12"/>
  <c r="DR17" i="12"/>
  <c r="DQ17" i="12"/>
  <c r="DP17" i="12"/>
  <c r="DO17" i="12"/>
  <c r="DN17" i="12"/>
  <c r="DM17" i="12"/>
  <c r="DL17" i="12"/>
  <c r="DK17" i="12"/>
  <c r="DJ17" i="12"/>
  <c r="DI17" i="12"/>
  <c r="DH17" i="12"/>
  <c r="DG17" i="12"/>
  <c r="DF17" i="12"/>
  <c r="DE17" i="12"/>
  <c r="DD17" i="12"/>
  <c r="DC17" i="12"/>
  <c r="DB17" i="12"/>
  <c r="DA17" i="12"/>
  <c r="CZ17" i="12"/>
  <c r="CY17" i="12"/>
  <c r="CX17" i="12"/>
  <c r="CW17" i="12"/>
  <c r="CV17" i="12"/>
  <c r="CU17" i="12"/>
  <c r="CT17" i="12"/>
  <c r="CS17" i="12"/>
  <c r="CR17" i="12"/>
  <c r="CQ17" i="12"/>
  <c r="CP17" i="12"/>
  <c r="CO17" i="12"/>
  <c r="CN17" i="12"/>
  <c r="CM17" i="12"/>
  <c r="CL17" i="12"/>
  <c r="CK17" i="12"/>
  <c r="CJ17" i="12"/>
  <c r="CI17" i="12"/>
  <c r="CH17" i="12"/>
  <c r="CG17" i="12"/>
  <c r="CF17" i="12"/>
  <c r="CE17" i="12"/>
  <c r="CD17" i="12"/>
  <c r="CC17" i="12"/>
  <c r="CB17" i="12"/>
  <c r="CA17" i="12"/>
  <c r="BZ17" i="12"/>
  <c r="BY17" i="12"/>
  <c r="BX17" i="12"/>
  <c r="BW17" i="12"/>
  <c r="BV17" i="12"/>
  <c r="BU17" i="12"/>
  <c r="BT17" i="12"/>
  <c r="BS17" i="12"/>
  <c r="BR17" i="12"/>
  <c r="BQ17" i="12"/>
  <c r="BP17" i="12"/>
  <c r="BO17" i="12"/>
  <c r="BN17" i="12"/>
  <c r="BM17" i="12"/>
  <c r="BL17" i="12"/>
  <c r="BK17" i="12"/>
  <c r="BJ17" i="12"/>
  <c r="BI17" i="12"/>
  <c r="BH17" i="12"/>
  <c r="BG17" i="12"/>
  <c r="BF17" i="12"/>
  <c r="BE17" i="12"/>
  <c r="BD17" i="12"/>
  <c r="BC17" i="12"/>
  <c r="BB17" i="12"/>
  <c r="BA17" i="12"/>
  <c r="AZ17" i="12"/>
  <c r="AY17" i="12"/>
  <c r="AX17" i="12"/>
  <c r="AW17" i="12"/>
  <c r="AV17" i="12"/>
  <c r="AU17" i="12"/>
  <c r="AT17" i="12"/>
  <c r="AS17" i="12"/>
  <c r="AR17" i="12"/>
  <c r="AD17" i="12"/>
  <c r="AC17" i="12"/>
  <c r="AB17" i="12"/>
  <c r="AA17" i="12"/>
  <c r="I17" i="12"/>
  <c r="G17" i="12"/>
  <c r="E17" i="12"/>
  <c r="HO16" i="12"/>
  <c r="HN16" i="12"/>
  <c r="HM16" i="12"/>
  <c r="HL16" i="12"/>
  <c r="HK16" i="12"/>
  <c r="HJ16" i="12"/>
  <c r="HI16" i="12"/>
  <c r="HH16" i="12"/>
  <c r="HG16" i="12"/>
  <c r="HF16" i="12"/>
  <c r="HE16" i="12"/>
  <c r="HD16" i="12"/>
  <c r="HC16" i="12"/>
  <c r="HB16" i="12"/>
  <c r="HA16" i="12"/>
  <c r="GZ16" i="12"/>
  <c r="GY16" i="12"/>
  <c r="GX16" i="12"/>
  <c r="GW16" i="12"/>
  <c r="GV16" i="12"/>
  <c r="GU16" i="12"/>
  <c r="GT16" i="12"/>
  <c r="GS16" i="12"/>
  <c r="GR16" i="12"/>
  <c r="GQ16" i="12"/>
  <c r="GP16" i="12"/>
  <c r="GO16" i="12"/>
  <c r="GN16" i="12"/>
  <c r="GM16" i="12"/>
  <c r="GL16" i="12"/>
  <c r="GK16" i="12"/>
  <c r="GJ16" i="12"/>
  <c r="GI16" i="12"/>
  <c r="GH16" i="12"/>
  <c r="GG16" i="12"/>
  <c r="GF16" i="12"/>
  <c r="GE16" i="12"/>
  <c r="GD16" i="12"/>
  <c r="GC16" i="12"/>
  <c r="GB16" i="12"/>
  <c r="GA16" i="12"/>
  <c r="FZ16" i="12"/>
  <c r="FY16" i="12"/>
  <c r="FX16" i="12"/>
  <c r="FW16" i="12"/>
  <c r="FV16" i="12"/>
  <c r="FU16" i="12"/>
  <c r="FT16" i="12"/>
  <c r="FS16" i="12"/>
  <c r="FR16" i="12"/>
  <c r="FQ16" i="12"/>
  <c r="FP16" i="12"/>
  <c r="FO16" i="12"/>
  <c r="FN16" i="12"/>
  <c r="FM16" i="12"/>
  <c r="FL16" i="12"/>
  <c r="FK16" i="12"/>
  <c r="FJ16" i="12"/>
  <c r="FI16" i="12"/>
  <c r="FH16" i="12"/>
  <c r="FG16" i="12"/>
  <c r="FF16" i="12"/>
  <c r="FE16" i="12"/>
  <c r="FD16" i="12"/>
  <c r="FC16" i="12"/>
  <c r="FB16" i="12"/>
  <c r="FA16" i="12"/>
  <c r="EZ16" i="12"/>
  <c r="EY16" i="12"/>
  <c r="EX16" i="12"/>
  <c r="EW16" i="12"/>
  <c r="EV16" i="12"/>
  <c r="EU16" i="12"/>
  <c r="ET16" i="12"/>
  <c r="ES16" i="12"/>
  <c r="ER16" i="12"/>
  <c r="EQ16" i="12"/>
  <c r="EP16" i="12"/>
  <c r="EO16" i="12"/>
  <c r="EN16" i="12"/>
  <c r="EM16" i="12"/>
  <c r="EL16" i="12"/>
  <c r="EK16" i="12"/>
  <c r="EJ16" i="12"/>
  <c r="EI16" i="12"/>
  <c r="EH16" i="12"/>
  <c r="EG16" i="12"/>
  <c r="EF16" i="12"/>
  <c r="EE16" i="12"/>
  <c r="ED16" i="12"/>
  <c r="EC16" i="12"/>
  <c r="EB16" i="12"/>
  <c r="EA16" i="12"/>
  <c r="DZ16" i="12"/>
  <c r="DY16" i="12"/>
  <c r="DX16" i="12"/>
  <c r="DW16" i="12"/>
  <c r="DV16" i="12"/>
  <c r="DU16" i="12"/>
  <c r="DT16" i="12"/>
  <c r="DS16" i="12"/>
  <c r="DR16" i="12"/>
  <c r="DQ16" i="12"/>
  <c r="DP16" i="12"/>
  <c r="DO16" i="12"/>
  <c r="DN16" i="12"/>
  <c r="DM16" i="12"/>
  <c r="DL16" i="12"/>
  <c r="DK16" i="12"/>
  <c r="DJ16" i="12"/>
  <c r="DI16" i="12"/>
  <c r="DH16" i="12"/>
  <c r="DG16" i="12"/>
  <c r="DF16" i="12"/>
  <c r="DE16" i="12"/>
  <c r="DD16" i="12"/>
  <c r="DC16" i="12"/>
  <c r="DB16" i="12"/>
  <c r="DA16" i="12"/>
  <c r="CZ16" i="12"/>
  <c r="CY16" i="12"/>
  <c r="CX16" i="12"/>
  <c r="CW16" i="12"/>
  <c r="CV16" i="12"/>
  <c r="CU16" i="12"/>
  <c r="CT16" i="12"/>
  <c r="CS16" i="12"/>
  <c r="CR16" i="12"/>
  <c r="CQ16" i="12"/>
  <c r="CP16" i="12"/>
  <c r="CO16" i="12"/>
  <c r="CN16" i="12"/>
  <c r="CM16" i="12"/>
  <c r="CL16" i="12"/>
  <c r="CK16" i="12"/>
  <c r="CJ16" i="12"/>
  <c r="CI16" i="12"/>
  <c r="CH16" i="12"/>
  <c r="CG16" i="12"/>
  <c r="CF16" i="12"/>
  <c r="CE16" i="12"/>
  <c r="CD16" i="12"/>
  <c r="CC16" i="12"/>
  <c r="CB16" i="12"/>
  <c r="CA16" i="12"/>
  <c r="BZ16" i="12"/>
  <c r="BY16" i="12"/>
  <c r="BX16" i="12"/>
  <c r="BW16" i="12"/>
  <c r="BV16" i="12"/>
  <c r="BU16" i="12"/>
  <c r="BT16" i="12"/>
  <c r="BS16" i="12"/>
  <c r="BR16" i="12"/>
  <c r="BQ16" i="12"/>
  <c r="BP16" i="12"/>
  <c r="BO16" i="12"/>
  <c r="BN16" i="12"/>
  <c r="BM16" i="12"/>
  <c r="BL16" i="12"/>
  <c r="BK16" i="12"/>
  <c r="BJ16" i="12"/>
  <c r="BI16" i="12"/>
  <c r="BH16" i="12"/>
  <c r="BG16" i="12"/>
  <c r="BF16" i="12"/>
  <c r="BE16" i="12"/>
  <c r="BD16" i="12"/>
  <c r="BC16" i="12"/>
  <c r="BB16" i="12"/>
  <c r="BA16" i="12"/>
  <c r="AZ16" i="12"/>
  <c r="AY16" i="12"/>
  <c r="AX16" i="12"/>
  <c r="AW16" i="12"/>
  <c r="AV16" i="12"/>
  <c r="AU16" i="12"/>
  <c r="AT16" i="12"/>
  <c r="AS16" i="12"/>
  <c r="AR16" i="12"/>
  <c r="AD16" i="12"/>
  <c r="AC16" i="12"/>
  <c r="AB16" i="12"/>
  <c r="AA16" i="12"/>
  <c r="I16" i="12"/>
  <c r="G16" i="12"/>
  <c r="E16" i="12"/>
  <c r="HO15" i="12"/>
  <c r="HN15" i="12"/>
  <c r="HM15" i="12"/>
  <c r="HL15" i="12"/>
  <c r="HK15" i="12"/>
  <c r="HJ15" i="12"/>
  <c r="HI15" i="12"/>
  <c r="HH15" i="12"/>
  <c r="HG15" i="12"/>
  <c r="HF15" i="12"/>
  <c r="HE15" i="12"/>
  <c r="HD15" i="12"/>
  <c r="HC15" i="12"/>
  <c r="HB15" i="12"/>
  <c r="HA15" i="12"/>
  <c r="GZ15" i="12"/>
  <c r="GY15" i="12"/>
  <c r="GX15" i="12"/>
  <c r="GW15" i="12"/>
  <c r="GV15" i="12"/>
  <c r="GU15" i="12"/>
  <c r="GT15" i="12"/>
  <c r="GS15" i="12"/>
  <c r="GR15" i="12"/>
  <c r="GQ15" i="12"/>
  <c r="GP15" i="12"/>
  <c r="GO15" i="12"/>
  <c r="GN15" i="12"/>
  <c r="GM15" i="12"/>
  <c r="GL15" i="12"/>
  <c r="GK15" i="12"/>
  <c r="GJ15" i="12"/>
  <c r="GI15" i="12"/>
  <c r="GH15" i="12"/>
  <c r="GG15" i="12"/>
  <c r="GF15" i="12"/>
  <c r="GE15" i="12"/>
  <c r="GD15" i="12"/>
  <c r="GC15" i="12"/>
  <c r="GB15" i="12"/>
  <c r="GA15" i="12"/>
  <c r="FZ15" i="12"/>
  <c r="FY15" i="12"/>
  <c r="FX15" i="12"/>
  <c r="FW15" i="12"/>
  <c r="FV15" i="12"/>
  <c r="FU15" i="12"/>
  <c r="FT15" i="12"/>
  <c r="FS15" i="12"/>
  <c r="FR15" i="12"/>
  <c r="FQ15" i="12"/>
  <c r="FP15" i="12"/>
  <c r="FO15" i="12"/>
  <c r="FN15" i="12"/>
  <c r="FM15" i="12"/>
  <c r="FL15" i="12"/>
  <c r="FK15" i="12"/>
  <c r="FJ15" i="12"/>
  <c r="FI15" i="12"/>
  <c r="FH15" i="12"/>
  <c r="FG15" i="12"/>
  <c r="FF15" i="12"/>
  <c r="FE15" i="12"/>
  <c r="FD15" i="12"/>
  <c r="FC15" i="12"/>
  <c r="FB15" i="12"/>
  <c r="FA15" i="12"/>
  <c r="EZ15" i="12"/>
  <c r="EY15" i="12"/>
  <c r="EX15" i="12"/>
  <c r="EW15" i="12"/>
  <c r="EV15" i="12"/>
  <c r="EU15" i="12"/>
  <c r="ET15" i="12"/>
  <c r="ES15" i="12"/>
  <c r="ER15" i="12"/>
  <c r="EQ15" i="12"/>
  <c r="EP15" i="12"/>
  <c r="EO15" i="12"/>
  <c r="EN15" i="12"/>
  <c r="EM15" i="12"/>
  <c r="EL15" i="12"/>
  <c r="EK15" i="12"/>
  <c r="EJ15" i="12"/>
  <c r="EI15" i="12"/>
  <c r="EH15" i="12"/>
  <c r="EG15" i="12"/>
  <c r="EF15" i="12"/>
  <c r="EE15" i="12"/>
  <c r="ED15" i="12"/>
  <c r="EC15" i="12"/>
  <c r="EB15" i="12"/>
  <c r="EA15" i="12"/>
  <c r="DZ15" i="12"/>
  <c r="DY15" i="12"/>
  <c r="DX15" i="12"/>
  <c r="DW15" i="12"/>
  <c r="DV15" i="12"/>
  <c r="DU15" i="12"/>
  <c r="DT15" i="12"/>
  <c r="DS15" i="12"/>
  <c r="DR15" i="12"/>
  <c r="DQ15" i="12"/>
  <c r="DP15" i="12"/>
  <c r="DO15" i="12"/>
  <c r="DN15" i="12"/>
  <c r="DM15" i="12"/>
  <c r="DL15" i="12"/>
  <c r="DK15" i="12"/>
  <c r="DJ15" i="12"/>
  <c r="DI15" i="12"/>
  <c r="DH15" i="12"/>
  <c r="DG15" i="12"/>
  <c r="DF15" i="12"/>
  <c r="DE15" i="12"/>
  <c r="DD15" i="12"/>
  <c r="DC15" i="12"/>
  <c r="DB15" i="12"/>
  <c r="DA15" i="12"/>
  <c r="CZ15" i="12"/>
  <c r="CY15" i="12"/>
  <c r="CX15" i="12"/>
  <c r="CW15" i="12"/>
  <c r="CV15" i="12"/>
  <c r="CU15" i="12"/>
  <c r="CT15" i="12"/>
  <c r="CS15" i="12"/>
  <c r="CR15" i="12"/>
  <c r="CQ15" i="12"/>
  <c r="CP15" i="12"/>
  <c r="CO15" i="12"/>
  <c r="CN15" i="12"/>
  <c r="CM15" i="12"/>
  <c r="CL15" i="12"/>
  <c r="CK15" i="12"/>
  <c r="CJ15" i="12"/>
  <c r="CI15" i="12"/>
  <c r="CH15" i="12"/>
  <c r="CG15" i="12"/>
  <c r="CF15" i="12"/>
  <c r="CE15" i="12"/>
  <c r="CD15" i="12"/>
  <c r="CC15" i="12"/>
  <c r="CB15" i="12"/>
  <c r="CA15" i="12"/>
  <c r="BZ15" i="12"/>
  <c r="BY15" i="12"/>
  <c r="BX15" i="12"/>
  <c r="BW15" i="12"/>
  <c r="BV15" i="12"/>
  <c r="BU15" i="12"/>
  <c r="BT15" i="12"/>
  <c r="BS15" i="12"/>
  <c r="BR15" i="12"/>
  <c r="BQ15" i="12"/>
  <c r="BP15" i="12"/>
  <c r="BO15" i="12"/>
  <c r="BN15" i="12"/>
  <c r="BM15" i="12"/>
  <c r="BL15" i="12"/>
  <c r="BK15" i="12"/>
  <c r="BJ15" i="12"/>
  <c r="BI15" i="12"/>
  <c r="BH15" i="12"/>
  <c r="BG15" i="12"/>
  <c r="BF15" i="12"/>
  <c r="BE15" i="12"/>
  <c r="BD15" i="12"/>
  <c r="BC15" i="12"/>
  <c r="BB15" i="12"/>
  <c r="BA15" i="12"/>
  <c r="AZ15" i="12"/>
  <c r="AY15" i="12"/>
  <c r="AX15" i="12"/>
  <c r="AW15" i="12"/>
  <c r="AV15" i="12"/>
  <c r="AU15" i="12"/>
  <c r="AT15" i="12"/>
  <c r="AS15" i="12"/>
  <c r="AR15" i="12"/>
  <c r="AD15" i="12"/>
  <c r="AC15" i="12"/>
  <c r="AB15" i="12"/>
  <c r="AA15" i="12"/>
  <c r="I15" i="12"/>
  <c r="G15" i="12"/>
  <c r="E15" i="12"/>
  <c r="HO14" i="12"/>
  <c r="HN14" i="12"/>
  <c r="HM14" i="12"/>
  <c r="HL14" i="12"/>
  <c r="HK14" i="12"/>
  <c r="HJ14" i="12"/>
  <c r="HI14" i="12"/>
  <c r="HH14" i="12"/>
  <c r="HG14" i="12"/>
  <c r="HF14" i="12"/>
  <c r="HE14" i="12"/>
  <c r="HD14" i="12"/>
  <c r="HC14" i="12"/>
  <c r="HB14" i="12"/>
  <c r="HA14" i="12"/>
  <c r="GZ14" i="12"/>
  <c r="GY14" i="12"/>
  <c r="GX14" i="12"/>
  <c r="GW14" i="12"/>
  <c r="GV14" i="12"/>
  <c r="GU14" i="12"/>
  <c r="GT14" i="12"/>
  <c r="GS14" i="12"/>
  <c r="GR14" i="12"/>
  <c r="GQ14" i="12"/>
  <c r="GP14" i="12"/>
  <c r="GO14" i="12"/>
  <c r="GN14" i="12"/>
  <c r="GM14" i="12"/>
  <c r="GL14" i="12"/>
  <c r="GK14" i="12"/>
  <c r="GJ14" i="12"/>
  <c r="GI14" i="12"/>
  <c r="GH14" i="12"/>
  <c r="GG14" i="12"/>
  <c r="GF14" i="12"/>
  <c r="GE14" i="12"/>
  <c r="GD14" i="12"/>
  <c r="GC14" i="12"/>
  <c r="GB14" i="12"/>
  <c r="GA14" i="12"/>
  <c r="FZ14" i="12"/>
  <c r="FY14" i="12"/>
  <c r="FX14" i="12"/>
  <c r="FW14" i="12"/>
  <c r="FV14" i="12"/>
  <c r="FU14" i="12"/>
  <c r="FT14" i="12"/>
  <c r="FS14" i="12"/>
  <c r="FR14" i="12"/>
  <c r="FQ14" i="12"/>
  <c r="FP14" i="12"/>
  <c r="FO14" i="12"/>
  <c r="FN14" i="12"/>
  <c r="FM14" i="12"/>
  <c r="FL14" i="12"/>
  <c r="FK14" i="12"/>
  <c r="FJ14" i="12"/>
  <c r="FI14" i="12"/>
  <c r="FH14" i="12"/>
  <c r="FG14" i="12"/>
  <c r="FF14" i="12"/>
  <c r="FE14" i="12"/>
  <c r="FD14" i="12"/>
  <c r="FC14" i="12"/>
  <c r="FB14" i="12"/>
  <c r="FA14" i="12"/>
  <c r="EZ14" i="12"/>
  <c r="EY14" i="12"/>
  <c r="EX14" i="12"/>
  <c r="EW14" i="12"/>
  <c r="EV14" i="12"/>
  <c r="EU14" i="12"/>
  <c r="ET14" i="12"/>
  <c r="ES14" i="12"/>
  <c r="ER14" i="12"/>
  <c r="EQ14" i="12"/>
  <c r="EP14" i="12"/>
  <c r="EO14" i="12"/>
  <c r="EN14" i="12"/>
  <c r="EM14" i="12"/>
  <c r="EL14" i="12"/>
  <c r="EK14" i="12"/>
  <c r="EJ14" i="12"/>
  <c r="EI14" i="12"/>
  <c r="EH14" i="12"/>
  <c r="EG14" i="12"/>
  <c r="EF14" i="12"/>
  <c r="EE14" i="12"/>
  <c r="ED14" i="12"/>
  <c r="EC14" i="12"/>
  <c r="EB14" i="12"/>
  <c r="EA14" i="12"/>
  <c r="DZ14" i="12"/>
  <c r="DY14" i="12"/>
  <c r="DX14" i="12"/>
  <c r="DW14" i="12"/>
  <c r="DV14" i="12"/>
  <c r="DU14" i="12"/>
  <c r="DT14" i="12"/>
  <c r="DS14" i="12"/>
  <c r="DR14" i="12"/>
  <c r="DQ14" i="12"/>
  <c r="DP14" i="12"/>
  <c r="DO14" i="12"/>
  <c r="DN14" i="12"/>
  <c r="DM14" i="12"/>
  <c r="DL14" i="12"/>
  <c r="DK14" i="12"/>
  <c r="DJ14" i="12"/>
  <c r="DI14" i="12"/>
  <c r="DH14" i="12"/>
  <c r="DG14" i="12"/>
  <c r="DF14" i="12"/>
  <c r="DE14" i="12"/>
  <c r="DD14" i="12"/>
  <c r="DC14" i="12"/>
  <c r="DB14" i="12"/>
  <c r="DA14" i="12"/>
  <c r="CZ14" i="12"/>
  <c r="CY14" i="12"/>
  <c r="CX14" i="12"/>
  <c r="CW14" i="12"/>
  <c r="CV14" i="12"/>
  <c r="CU14" i="12"/>
  <c r="CT14" i="12"/>
  <c r="CS14" i="12"/>
  <c r="CR14" i="12"/>
  <c r="CQ14" i="12"/>
  <c r="CP14" i="12"/>
  <c r="CO14" i="12"/>
  <c r="CN14" i="12"/>
  <c r="CM14" i="12"/>
  <c r="CL14" i="12"/>
  <c r="CK14" i="12"/>
  <c r="CJ14" i="12"/>
  <c r="CI14" i="12"/>
  <c r="CH14" i="12"/>
  <c r="CG14" i="12"/>
  <c r="CF14" i="12"/>
  <c r="CE14" i="12"/>
  <c r="CD14" i="12"/>
  <c r="CC14" i="12"/>
  <c r="CB14" i="12"/>
  <c r="CA14" i="12"/>
  <c r="BZ14" i="12"/>
  <c r="BY14" i="12"/>
  <c r="BX14" i="12"/>
  <c r="BW14" i="12"/>
  <c r="BV14" i="12"/>
  <c r="BU14" i="12"/>
  <c r="BT14" i="12"/>
  <c r="BS14" i="12"/>
  <c r="BR14" i="12"/>
  <c r="BQ14" i="12"/>
  <c r="BP14" i="12"/>
  <c r="BO14" i="12"/>
  <c r="BN14" i="12"/>
  <c r="BM14" i="12"/>
  <c r="BL14" i="12"/>
  <c r="BK14" i="12"/>
  <c r="BJ14" i="12"/>
  <c r="BI14" i="12"/>
  <c r="BH14" i="12"/>
  <c r="BG14" i="12"/>
  <c r="BF14" i="12"/>
  <c r="BE14" i="12"/>
  <c r="BD14" i="12"/>
  <c r="BC14" i="12"/>
  <c r="BB14" i="12"/>
  <c r="BA14" i="12"/>
  <c r="AZ14" i="12"/>
  <c r="AY14" i="12"/>
  <c r="AX14" i="12"/>
  <c r="AW14" i="12"/>
  <c r="AV14" i="12"/>
  <c r="AU14" i="12"/>
  <c r="AT14" i="12"/>
  <c r="AS14" i="12"/>
  <c r="AR14" i="12"/>
  <c r="AD14" i="12"/>
  <c r="AC14" i="12"/>
  <c r="AB14" i="12"/>
  <c r="AA14" i="12"/>
  <c r="I14" i="12"/>
  <c r="G14" i="12"/>
  <c r="E14" i="12"/>
  <c r="HO13" i="12"/>
  <c r="HN13" i="12"/>
  <c r="HM13" i="12"/>
  <c r="HL13" i="12"/>
  <c r="HK13" i="12"/>
  <c r="HJ13" i="12"/>
  <c r="HI13" i="12"/>
  <c r="HH13" i="12"/>
  <c r="HG13" i="12"/>
  <c r="HF13" i="12"/>
  <c r="HE13" i="12"/>
  <c r="HD13" i="12"/>
  <c r="HC13" i="12"/>
  <c r="HB13" i="12"/>
  <c r="HA13" i="12"/>
  <c r="GZ13" i="12"/>
  <c r="GY13" i="12"/>
  <c r="GX13" i="12"/>
  <c r="GW13" i="12"/>
  <c r="GV13" i="12"/>
  <c r="GU13" i="12"/>
  <c r="GT13" i="12"/>
  <c r="GS13" i="12"/>
  <c r="GR13" i="12"/>
  <c r="GQ13" i="12"/>
  <c r="GP13" i="12"/>
  <c r="GO13" i="12"/>
  <c r="GN13" i="12"/>
  <c r="GM13" i="12"/>
  <c r="GL13" i="12"/>
  <c r="GK13" i="12"/>
  <c r="GJ13" i="12"/>
  <c r="GI13" i="12"/>
  <c r="GH13" i="12"/>
  <c r="GG13" i="12"/>
  <c r="GF13" i="12"/>
  <c r="GE13" i="12"/>
  <c r="GD13" i="12"/>
  <c r="GC13" i="12"/>
  <c r="GB13" i="12"/>
  <c r="GA13" i="12"/>
  <c r="FZ13" i="12"/>
  <c r="FY13" i="12"/>
  <c r="FX13" i="12"/>
  <c r="FW13" i="12"/>
  <c r="FV13" i="12"/>
  <c r="FU13" i="12"/>
  <c r="FT13" i="12"/>
  <c r="FS13" i="12"/>
  <c r="FR13" i="12"/>
  <c r="FQ13" i="12"/>
  <c r="FP13" i="12"/>
  <c r="FO13" i="12"/>
  <c r="FN13" i="12"/>
  <c r="FM13" i="12"/>
  <c r="FL13" i="12"/>
  <c r="FK13" i="12"/>
  <c r="FJ13" i="12"/>
  <c r="FI13" i="12"/>
  <c r="FH13" i="12"/>
  <c r="FG13" i="12"/>
  <c r="FF13" i="12"/>
  <c r="FE13" i="12"/>
  <c r="FD13" i="12"/>
  <c r="FC13" i="12"/>
  <c r="FB13" i="12"/>
  <c r="FA13" i="12"/>
  <c r="EZ13" i="12"/>
  <c r="EY13" i="12"/>
  <c r="EX13" i="12"/>
  <c r="EW13" i="12"/>
  <c r="EV13" i="12"/>
  <c r="EU13" i="12"/>
  <c r="ET13" i="12"/>
  <c r="ES13" i="12"/>
  <c r="ER13" i="12"/>
  <c r="EQ13" i="12"/>
  <c r="EP13" i="12"/>
  <c r="EO13" i="12"/>
  <c r="EN13" i="12"/>
  <c r="EM13" i="12"/>
  <c r="EL13" i="12"/>
  <c r="EK13" i="12"/>
  <c r="EJ13" i="12"/>
  <c r="EI13" i="12"/>
  <c r="EH13" i="12"/>
  <c r="EG13" i="12"/>
  <c r="EF13" i="12"/>
  <c r="EE13" i="12"/>
  <c r="ED13" i="12"/>
  <c r="CK13" i="12"/>
  <c r="AR13" i="12"/>
  <c r="AD13" i="12"/>
  <c r="AC13" i="12"/>
  <c r="AB13" i="12"/>
  <c r="AA13" i="12"/>
  <c r="G13" i="12"/>
  <c r="E13" i="12"/>
  <c r="HO12" i="12"/>
  <c r="HN12" i="12"/>
  <c r="HM12" i="12"/>
  <c r="HL12" i="12"/>
  <c r="HK12" i="12"/>
  <c r="HJ12" i="12"/>
  <c r="HI12" i="12"/>
  <c r="HH12" i="12"/>
  <c r="HG12" i="12"/>
  <c r="HF12" i="12"/>
  <c r="HE12" i="12"/>
  <c r="HD12" i="12"/>
  <c r="HC12" i="12"/>
  <c r="HB12" i="12"/>
  <c r="HA12" i="12"/>
  <c r="GZ12" i="12"/>
  <c r="GY12" i="12"/>
  <c r="GX12" i="12"/>
  <c r="GW12" i="12"/>
  <c r="GV12" i="12"/>
  <c r="GU12" i="12"/>
  <c r="GT12" i="12"/>
  <c r="GS12" i="12"/>
  <c r="GR12" i="12"/>
  <c r="GQ12" i="12"/>
  <c r="GP12" i="12"/>
  <c r="GO12" i="12"/>
  <c r="GN12" i="12"/>
  <c r="GM12" i="12"/>
  <c r="GL12" i="12"/>
  <c r="GK12" i="12"/>
  <c r="GJ12" i="12"/>
  <c r="GI12" i="12"/>
  <c r="GH12" i="12"/>
  <c r="GG12" i="12"/>
  <c r="GF12" i="12"/>
  <c r="GE12" i="12"/>
  <c r="GD12" i="12"/>
  <c r="GC12" i="12"/>
  <c r="GB12" i="12"/>
  <c r="GA12" i="12"/>
  <c r="FZ12" i="12"/>
  <c r="FY12" i="12"/>
  <c r="FX12" i="12"/>
  <c r="FW12" i="12"/>
  <c r="FV12" i="12"/>
  <c r="FU12" i="12"/>
  <c r="FT12" i="12"/>
  <c r="FS12" i="12"/>
  <c r="FR12" i="12"/>
  <c r="FQ12" i="12"/>
  <c r="FP12" i="12"/>
  <c r="FO12" i="12"/>
  <c r="FN12" i="12"/>
  <c r="FM12" i="12"/>
  <c r="FL12" i="12"/>
  <c r="FK12" i="12"/>
  <c r="FJ12" i="12"/>
  <c r="FI12" i="12"/>
  <c r="FH12" i="12"/>
  <c r="FG12" i="12"/>
  <c r="FF12" i="12"/>
  <c r="FE12" i="12"/>
  <c r="FD12" i="12"/>
  <c r="FC12" i="12"/>
  <c r="FB12" i="12"/>
  <c r="FA12" i="12"/>
  <c r="EZ12" i="12"/>
  <c r="EY12" i="12"/>
  <c r="EX12" i="12"/>
  <c r="EW12" i="12"/>
  <c r="EV12" i="12"/>
  <c r="EU12" i="12"/>
  <c r="ET12" i="12"/>
  <c r="ES12" i="12"/>
  <c r="ER12" i="12"/>
  <c r="EQ12" i="12"/>
  <c r="EP12" i="12"/>
  <c r="EO12" i="12"/>
  <c r="EN12" i="12"/>
  <c r="EM12" i="12"/>
  <c r="EL12" i="12"/>
  <c r="EK12" i="12"/>
  <c r="EJ12" i="12"/>
  <c r="EI12" i="12"/>
  <c r="EH12" i="12"/>
  <c r="EG12" i="12"/>
  <c r="EF12" i="12"/>
  <c r="EE12" i="12"/>
  <c r="ED12" i="12"/>
  <c r="EC12" i="12"/>
  <c r="EB12" i="12"/>
  <c r="EA12" i="12"/>
  <c r="DZ12" i="12"/>
  <c r="DY12" i="12"/>
  <c r="DX12" i="12"/>
  <c r="DW12" i="12"/>
  <c r="DV12" i="12"/>
  <c r="DU12" i="12"/>
  <c r="DT12" i="12"/>
  <c r="DS12" i="12"/>
  <c r="DR12" i="12"/>
  <c r="DQ12" i="12"/>
  <c r="DP12" i="12"/>
  <c r="DO12" i="12"/>
  <c r="DN12" i="12"/>
  <c r="DM12" i="12"/>
  <c r="DL12" i="12"/>
  <c r="DK12" i="12"/>
  <c r="DJ12" i="12"/>
  <c r="DI12" i="12"/>
  <c r="DH12" i="12"/>
  <c r="DG12" i="12"/>
  <c r="DF12" i="12"/>
  <c r="DE12" i="12"/>
  <c r="DD12" i="12"/>
  <c r="DC12" i="12"/>
  <c r="DB12" i="12"/>
  <c r="DA12" i="12"/>
  <c r="CZ12" i="12"/>
  <c r="CY12" i="12"/>
  <c r="CX12" i="12"/>
  <c r="CW12" i="12"/>
  <c r="CV12" i="12"/>
  <c r="CU12" i="12"/>
  <c r="CT12" i="12"/>
  <c r="CS12" i="12"/>
  <c r="CR12" i="12"/>
  <c r="CQ12" i="12"/>
  <c r="CP12" i="12"/>
  <c r="CO12" i="12"/>
  <c r="CN12" i="12"/>
  <c r="CM12" i="12"/>
  <c r="CL12" i="12"/>
  <c r="CK12" i="12"/>
  <c r="AR12" i="12"/>
  <c r="AD12" i="12"/>
  <c r="AC12" i="12"/>
  <c r="AB12" i="12"/>
  <c r="AA12" i="12"/>
  <c r="G12" i="12"/>
  <c r="E12" i="12"/>
  <c r="HO11" i="12"/>
  <c r="HN11" i="12"/>
  <c r="HM11" i="12"/>
  <c r="HL11" i="12"/>
  <c r="HK11" i="12"/>
  <c r="HJ11" i="12"/>
  <c r="HI11" i="12"/>
  <c r="HH11" i="12"/>
  <c r="HG11" i="12"/>
  <c r="HF11" i="12"/>
  <c r="HE11" i="12"/>
  <c r="HD11" i="12"/>
  <c r="HC11" i="12"/>
  <c r="HB11" i="12"/>
  <c r="HA11" i="12"/>
  <c r="GZ11" i="12"/>
  <c r="GY11" i="12"/>
  <c r="GX11" i="12"/>
  <c r="GW11" i="12"/>
  <c r="GV11" i="12"/>
  <c r="GU11" i="12"/>
  <c r="GT11" i="12"/>
  <c r="GS11" i="12"/>
  <c r="GR11" i="12"/>
  <c r="GQ11" i="12"/>
  <c r="GP11" i="12"/>
  <c r="GO11" i="12"/>
  <c r="GN11" i="12"/>
  <c r="GM11" i="12"/>
  <c r="GL11" i="12"/>
  <c r="GK11" i="12"/>
  <c r="GJ11" i="12"/>
  <c r="GI11" i="12"/>
  <c r="GH11" i="12"/>
  <c r="GG11" i="12"/>
  <c r="GF11" i="12"/>
  <c r="GE11" i="12"/>
  <c r="GD11" i="12"/>
  <c r="GC11" i="12"/>
  <c r="GB11" i="12"/>
  <c r="GA11" i="12"/>
  <c r="FZ11" i="12"/>
  <c r="FY11" i="12"/>
  <c r="FX11" i="12"/>
  <c r="FW11" i="12"/>
  <c r="FV11" i="12"/>
  <c r="FU11" i="12"/>
  <c r="FT11" i="12"/>
  <c r="FS11" i="12"/>
  <c r="FR11" i="12"/>
  <c r="FQ11" i="12"/>
  <c r="FP11" i="12"/>
  <c r="FO11" i="12"/>
  <c r="FN11" i="12"/>
  <c r="FM11" i="12"/>
  <c r="FL11" i="12"/>
  <c r="FK11" i="12"/>
  <c r="FJ11" i="12"/>
  <c r="FI11" i="12"/>
  <c r="FH11" i="12"/>
  <c r="FG11" i="12"/>
  <c r="FF11" i="12"/>
  <c r="FE11" i="12"/>
  <c r="FD11" i="12"/>
  <c r="FC11" i="12"/>
  <c r="FB11" i="12"/>
  <c r="FA11" i="12"/>
  <c r="EZ11" i="12"/>
  <c r="EY11" i="12"/>
  <c r="EX11" i="12"/>
  <c r="EW11" i="12"/>
  <c r="EV11" i="12"/>
  <c r="EU11" i="12"/>
  <c r="ET11" i="12"/>
  <c r="ES11" i="12"/>
  <c r="ER11" i="12"/>
  <c r="EQ11" i="12"/>
  <c r="EP11" i="12"/>
  <c r="EO11" i="12"/>
  <c r="EN11" i="12"/>
  <c r="EM11" i="12"/>
  <c r="EL11" i="12"/>
  <c r="EK11" i="12"/>
  <c r="EJ11" i="12"/>
  <c r="EI11" i="12"/>
  <c r="EH11" i="12"/>
  <c r="EG11" i="12"/>
  <c r="EF11" i="12"/>
  <c r="EE11" i="12"/>
  <c r="ED11" i="12"/>
  <c r="CK11" i="12"/>
  <c r="AR11" i="12"/>
  <c r="AD11" i="12"/>
  <c r="AC11" i="12"/>
  <c r="AB11" i="12"/>
  <c r="AA11" i="12"/>
  <c r="I11" i="12"/>
  <c r="G11" i="12"/>
  <c r="F41" i="10" s="1"/>
  <c r="E11" i="12"/>
  <c r="D41" i="10" s="1"/>
  <c r="HO10" i="12"/>
  <c r="HN10" i="12"/>
  <c r="HM10" i="12"/>
  <c r="HL10" i="12"/>
  <c r="HK10" i="12"/>
  <c r="HJ10" i="12"/>
  <c r="HI10" i="12"/>
  <c r="HH10" i="12"/>
  <c r="HG10" i="12"/>
  <c r="HF10" i="12"/>
  <c r="HE10" i="12"/>
  <c r="HD10" i="12"/>
  <c r="HC10" i="12"/>
  <c r="HB10" i="12"/>
  <c r="HA10" i="12"/>
  <c r="GZ10" i="12"/>
  <c r="GY10" i="12"/>
  <c r="GX10" i="12"/>
  <c r="GW10" i="12"/>
  <c r="GV10" i="12"/>
  <c r="GU10" i="12"/>
  <c r="GT10" i="12"/>
  <c r="GS10" i="12"/>
  <c r="GR10" i="12"/>
  <c r="GQ10" i="12"/>
  <c r="GP10" i="12"/>
  <c r="GO10" i="12"/>
  <c r="GN10" i="12"/>
  <c r="GM10" i="12"/>
  <c r="GL10" i="12"/>
  <c r="GK10" i="12"/>
  <c r="GJ10" i="12"/>
  <c r="GI10" i="12"/>
  <c r="GH10" i="12"/>
  <c r="GG10" i="12"/>
  <c r="GF10" i="12"/>
  <c r="GE10" i="12"/>
  <c r="GD10" i="12"/>
  <c r="GC10" i="12"/>
  <c r="GB10" i="12"/>
  <c r="GA10" i="12"/>
  <c r="FZ10" i="12"/>
  <c r="FY10" i="12"/>
  <c r="FX10" i="12"/>
  <c r="FW10" i="12"/>
  <c r="FV10" i="12"/>
  <c r="FU10" i="12"/>
  <c r="FT10" i="12"/>
  <c r="FS10" i="12"/>
  <c r="FR10" i="12"/>
  <c r="FQ10" i="12"/>
  <c r="FP10" i="12"/>
  <c r="FO10" i="12"/>
  <c r="FN10" i="12"/>
  <c r="FM10" i="12"/>
  <c r="FL10" i="12"/>
  <c r="FK10" i="12"/>
  <c r="FJ10" i="12"/>
  <c r="FI10" i="12"/>
  <c r="FH10" i="12"/>
  <c r="FG10" i="12"/>
  <c r="FF10" i="12"/>
  <c r="FE10" i="12"/>
  <c r="FD10" i="12"/>
  <c r="FC10" i="12"/>
  <c r="FB10" i="12"/>
  <c r="FA10" i="12"/>
  <c r="EZ10" i="12"/>
  <c r="EY10" i="12"/>
  <c r="EX10" i="12"/>
  <c r="EW10" i="12"/>
  <c r="EV10" i="12"/>
  <c r="EU10" i="12"/>
  <c r="ET10" i="12"/>
  <c r="ES10" i="12"/>
  <c r="ER10" i="12"/>
  <c r="EQ10" i="12"/>
  <c r="EP10" i="12"/>
  <c r="EO10" i="12"/>
  <c r="EN10" i="12"/>
  <c r="EM10" i="12"/>
  <c r="EL10" i="12"/>
  <c r="EK10" i="12"/>
  <c r="EJ10" i="12"/>
  <c r="EI10" i="12"/>
  <c r="EH10" i="12"/>
  <c r="EG10" i="12"/>
  <c r="EF10" i="12"/>
  <c r="EE10" i="12"/>
  <c r="ED10" i="12"/>
  <c r="CK10" i="12"/>
  <c r="AR10" i="12"/>
  <c r="AD10" i="12"/>
  <c r="AC10" i="12"/>
  <c r="AB10" i="12"/>
  <c r="AA10" i="12"/>
  <c r="I10" i="12"/>
  <c r="G10" i="12"/>
  <c r="F40" i="10" s="1"/>
  <c r="E10" i="12"/>
  <c r="D40" i="10" s="1"/>
  <c r="HO9" i="12"/>
  <c r="HN9" i="12"/>
  <c r="HM9" i="12"/>
  <c r="HL9" i="12"/>
  <c r="HK9" i="12"/>
  <c r="HJ9" i="12"/>
  <c r="HI9" i="12"/>
  <c r="HH9" i="12"/>
  <c r="HG9" i="12"/>
  <c r="HF9" i="12"/>
  <c r="HE9" i="12"/>
  <c r="HD9" i="12"/>
  <c r="HC9" i="12"/>
  <c r="HB9" i="12"/>
  <c r="HA9" i="12"/>
  <c r="GZ9" i="12"/>
  <c r="GY9" i="12"/>
  <c r="GX9" i="12"/>
  <c r="GW9" i="12"/>
  <c r="GV9" i="12"/>
  <c r="GU9" i="12"/>
  <c r="GT9" i="12"/>
  <c r="GS9" i="12"/>
  <c r="GR9" i="12"/>
  <c r="GQ9" i="12"/>
  <c r="GP9" i="12"/>
  <c r="GO9" i="12"/>
  <c r="GN9" i="12"/>
  <c r="GM9" i="12"/>
  <c r="GL9" i="12"/>
  <c r="GK9" i="12"/>
  <c r="GJ9" i="12"/>
  <c r="GI9" i="12"/>
  <c r="GH9" i="12"/>
  <c r="GG9" i="12"/>
  <c r="GF9" i="12"/>
  <c r="GE9" i="12"/>
  <c r="GD9" i="12"/>
  <c r="GC9" i="12"/>
  <c r="GB9" i="12"/>
  <c r="GA9" i="12"/>
  <c r="FZ9" i="12"/>
  <c r="FY9" i="12"/>
  <c r="FX9" i="12"/>
  <c r="FW9" i="12"/>
  <c r="FV9" i="12"/>
  <c r="FU9" i="12"/>
  <c r="FT9" i="12"/>
  <c r="FS9" i="12"/>
  <c r="FR9" i="12"/>
  <c r="FQ9" i="12"/>
  <c r="FP9" i="12"/>
  <c r="FO9" i="12"/>
  <c r="FN9" i="12"/>
  <c r="FM9" i="12"/>
  <c r="FL9" i="12"/>
  <c r="FK9" i="12"/>
  <c r="FJ9" i="12"/>
  <c r="FI9" i="12"/>
  <c r="FH9" i="12"/>
  <c r="FG9" i="12"/>
  <c r="FF9" i="12"/>
  <c r="FE9" i="12"/>
  <c r="FD9" i="12"/>
  <c r="FC9" i="12"/>
  <c r="FB9" i="12"/>
  <c r="FA9" i="12"/>
  <c r="EZ9" i="12"/>
  <c r="EY9" i="12"/>
  <c r="EX9" i="12"/>
  <c r="EW9" i="12"/>
  <c r="EV9" i="12"/>
  <c r="EU9" i="12"/>
  <c r="ET9" i="12"/>
  <c r="ES9" i="12"/>
  <c r="ER9" i="12"/>
  <c r="EQ9" i="12"/>
  <c r="EP9" i="12"/>
  <c r="EO9" i="12"/>
  <c r="EN9" i="12"/>
  <c r="EM9" i="12"/>
  <c r="EL9" i="12"/>
  <c r="EK9" i="12"/>
  <c r="EJ9" i="12"/>
  <c r="EI9" i="12"/>
  <c r="EH9" i="12"/>
  <c r="EG9" i="12"/>
  <c r="EF9" i="12"/>
  <c r="EE9" i="12"/>
  <c r="ED9" i="12"/>
  <c r="CK9" i="12"/>
  <c r="AR9" i="12"/>
  <c r="AD9" i="12"/>
  <c r="AC9" i="12"/>
  <c r="AB9" i="12"/>
  <c r="AA9" i="12"/>
  <c r="I9" i="12"/>
  <c r="G9" i="12"/>
  <c r="F39" i="10" s="1"/>
  <c r="E9" i="12"/>
  <c r="D39" i="10" s="1"/>
  <c r="HO8" i="12"/>
  <c r="HN8" i="12"/>
  <c r="HM8" i="12"/>
  <c r="HL8" i="12"/>
  <c r="HK8" i="12"/>
  <c r="HJ8" i="12"/>
  <c r="HI8" i="12"/>
  <c r="HH8" i="12"/>
  <c r="HG8" i="12"/>
  <c r="HF8" i="12"/>
  <c r="HE8" i="12"/>
  <c r="HD8" i="12"/>
  <c r="HC8" i="12"/>
  <c r="HB8" i="12"/>
  <c r="HA8" i="12"/>
  <c r="GZ8" i="12"/>
  <c r="GY8" i="12"/>
  <c r="GX8" i="12"/>
  <c r="GW8" i="12"/>
  <c r="GV8" i="12"/>
  <c r="GU8" i="12"/>
  <c r="GT8" i="12"/>
  <c r="GS8" i="12"/>
  <c r="GR8" i="12"/>
  <c r="GQ8" i="12"/>
  <c r="GP8" i="12"/>
  <c r="GO8" i="12"/>
  <c r="GN8" i="12"/>
  <c r="GM8" i="12"/>
  <c r="GL8" i="12"/>
  <c r="GK8" i="12"/>
  <c r="GJ8" i="12"/>
  <c r="GI8" i="12"/>
  <c r="GH8" i="12"/>
  <c r="GG8" i="12"/>
  <c r="GF8" i="12"/>
  <c r="GE8" i="12"/>
  <c r="GD8" i="12"/>
  <c r="GC8" i="12"/>
  <c r="GB8" i="12"/>
  <c r="GA8" i="12"/>
  <c r="FZ8" i="12"/>
  <c r="FY8" i="12"/>
  <c r="FX8" i="12"/>
  <c r="FW8" i="12"/>
  <c r="FV8" i="12"/>
  <c r="FU8" i="12"/>
  <c r="FT8" i="12"/>
  <c r="FS8" i="12"/>
  <c r="FR8" i="12"/>
  <c r="FQ8" i="12"/>
  <c r="FP8" i="12"/>
  <c r="FO8" i="12"/>
  <c r="FN8" i="12"/>
  <c r="FM8" i="12"/>
  <c r="FL8" i="12"/>
  <c r="FK8" i="12"/>
  <c r="FJ8" i="12"/>
  <c r="FI8" i="12"/>
  <c r="FH8" i="12"/>
  <c r="FG8" i="12"/>
  <c r="FF8" i="12"/>
  <c r="FE8" i="12"/>
  <c r="FD8" i="12"/>
  <c r="FC8" i="12"/>
  <c r="FB8" i="12"/>
  <c r="FA8" i="12"/>
  <c r="EZ8" i="12"/>
  <c r="EY8" i="12"/>
  <c r="EX8" i="12"/>
  <c r="EW8" i="12"/>
  <c r="EV8" i="12"/>
  <c r="EU8" i="12"/>
  <c r="ET8" i="12"/>
  <c r="ES8" i="12"/>
  <c r="ER8" i="12"/>
  <c r="EQ8" i="12"/>
  <c r="EP8" i="12"/>
  <c r="EO8" i="12"/>
  <c r="EN8" i="12"/>
  <c r="EM8" i="12"/>
  <c r="EL8" i="12"/>
  <c r="EK8" i="12"/>
  <c r="EJ8" i="12"/>
  <c r="EI8" i="12"/>
  <c r="EH8" i="12"/>
  <c r="EG8" i="12"/>
  <c r="EF8" i="12"/>
  <c r="EE8" i="12"/>
  <c r="ED8" i="12"/>
  <c r="AD8" i="12"/>
  <c r="AC8" i="12"/>
  <c r="AB8" i="12"/>
  <c r="AA8" i="12"/>
  <c r="I8" i="12"/>
  <c r="G8" i="12"/>
  <c r="F38" i="10" s="1"/>
  <c r="E8" i="12"/>
  <c r="D38" i="10" s="1"/>
  <c r="FX7" i="12"/>
  <c r="FY7" i="12" s="1"/>
  <c r="FZ7" i="12" s="1"/>
  <c r="GA7" i="12" s="1"/>
  <c r="GB7" i="12" s="1"/>
  <c r="GC7" i="12" s="1"/>
  <c r="GD7" i="12" s="1"/>
  <c r="GE7" i="12" s="1"/>
  <c r="GF7" i="12" s="1"/>
  <c r="GG7" i="12" s="1"/>
  <c r="GH7" i="12" s="1"/>
  <c r="GI7" i="12" s="1"/>
  <c r="GJ7" i="12" s="1"/>
  <c r="GK7" i="12" s="1"/>
  <c r="GL7" i="12" s="1"/>
  <c r="GM7" i="12" s="1"/>
  <c r="GN7" i="12" s="1"/>
  <c r="GO7" i="12" s="1"/>
  <c r="GP7" i="12" s="1"/>
  <c r="GQ7" i="12" s="1"/>
  <c r="GR7" i="12" s="1"/>
  <c r="GS7" i="12" s="1"/>
  <c r="GT7" i="12" s="1"/>
  <c r="GU7" i="12" s="1"/>
  <c r="GV7" i="12" s="1"/>
  <c r="GW7" i="12" s="1"/>
  <c r="GX7" i="12" s="1"/>
  <c r="GY7" i="12" s="1"/>
  <c r="GZ7" i="12" s="1"/>
  <c r="HA7" i="12" s="1"/>
  <c r="HB7" i="12" s="1"/>
  <c r="HC7" i="12" s="1"/>
  <c r="HD7" i="12" s="1"/>
  <c r="HE7" i="12" s="1"/>
  <c r="HF7" i="12" s="1"/>
  <c r="HG7" i="12" s="1"/>
  <c r="HH7" i="12" s="1"/>
  <c r="HI7" i="12" s="1"/>
  <c r="HJ7" i="12" s="1"/>
  <c r="HK7" i="12" s="1"/>
  <c r="HL7" i="12" s="1"/>
  <c r="HM7" i="12" s="1"/>
  <c r="HN7" i="12" s="1"/>
  <c r="HO7" i="12" s="1"/>
  <c r="EE7" i="12"/>
  <c r="EF7" i="12" s="1"/>
  <c r="EG7" i="12" s="1"/>
  <c r="EH7" i="12" s="1"/>
  <c r="EI7" i="12" s="1"/>
  <c r="EJ7" i="12" s="1"/>
  <c r="EK7" i="12" s="1"/>
  <c r="EL7" i="12" s="1"/>
  <c r="EM7" i="12" s="1"/>
  <c r="EN7" i="12" s="1"/>
  <c r="EO7" i="12" s="1"/>
  <c r="EP7" i="12" s="1"/>
  <c r="EQ7" i="12" s="1"/>
  <c r="ER7" i="12" s="1"/>
  <c r="ES7" i="12" s="1"/>
  <c r="ET7" i="12" s="1"/>
  <c r="EU7" i="12" s="1"/>
  <c r="EV7" i="12" s="1"/>
  <c r="EW7" i="12" s="1"/>
  <c r="EX7" i="12" s="1"/>
  <c r="EY7" i="12" s="1"/>
  <c r="EZ7" i="12" s="1"/>
  <c r="FA7" i="12" s="1"/>
  <c r="FB7" i="12" s="1"/>
  <c r="FC7" i="12" s="1"/>
  <c r="FD7" i="12" s="1"/>
  <c r="FE7" i="12" s="1"/>
  <c r="FF7" i="12" s="1"/>
  <c r="FG7" i="12" s="1"/>
  <c r="FH7" i="12" s="1"/>
  <c r="FI7" i="12" s="1"/>
  <c r="FJ7" i="12" s="1"/>
  <c r="FK7" i="12" s="1"/>
  <c r="FL7" i="12" s="1"/>
  <c r="FM7" i="12" s="1"/>
  <c r="FN7" i="12" s="1"/>
  <c r="FO7" i="12" s="1"/>
  <c r="FP7" i="12" s="1"/>
  <c r="FQ7" i="12" s="1"/>
  <c r="FR7" i="12" s="1"/>
  <c r="FS7" i="12" s="1"/>
  <c r="FT7" i="12" s="1"/>
  <c r="FU7" i="12" s="1"/>
  <c r="FV7" i="12" s="1"/>
  <c r="CL7" i="12"/>
  <c r="CL11" i="12" s="1"/>
  <c r="AS7" i="12"/>
  <c r="O4" i="12"/>
  <c r="HV19" i="12" l="1"/>
  <c r="HY19" i="12"/>
  <c r="HX19" i="12"/>
  <c r="HW19" i="12"/>
  <c r="HY14" i="12"/>
  <c r="HX14" i="12"/>
  <c r="HW14" i="12"/>
  <c r="HV14" i="12"/>
  <c r="HY16" i="12"/>
  <c r="HX16" i="12"/>
  <c r="HW16" i="12"/>
  <c r="HV16" i="12"/>
  <c r="Q16" i="12"/>
  <c r="HY18" i="12"/>
  <c r="HX18" i="12"/>
  <c r="HW18" i="12"/>
  <c r="HV18" i="12"/>
  <c r="HX9" i="12"/>
  <c r="HW9" i="12"/>
  <c r="HV9" i="12"/>
  <c r="HY9" i="12"/>
  <c r="H40" i="10"/>
  <c r="HY10" i="12"/>
  <c r="HX10" i="12"/>
  <c r="HW10" i="12"/>
  <c r="HV10" i="12"/>
  <c r="HW20" i="12"/>
  <c r="HV20" i="12"/>
  <c r="HY20" i="12"/>
  <c r="HX20" i="12"/>
  <c r="HY15" i="12"/>
  <c r="HX15" i="12"/>
  <c r="HW15" i="12"/>
  <c r="HV15" i="12"/>
  <c r="H41" i="10"/>
  <c r="HY11" i="12"/>
  <c r="HX11" i="12"/>
  <c r="HW11" i="12"/>
  <c r="HV11" i="12"/>
  <c r="HY17" i="12"/>
  <c r="HX17" i="12"/>
  <c r="HW17" i="12"/>
  <c r="HV17" i="12"/>
  <c r="HY8" i="12"/>
  <c r="HX8" i="12"/>
  <c r="HW8" i="12"/>
  <c r="HV8" i="12"/>
  <c r="H38" i="10"/>
  <c r="H39" i="10"/>
  <c r="Q20" i="12"/>
  <c r="Q19" i="12"/>
  <c r="Q18" i="12"/>
  <c r="Q17" i="12"/>
  <c r="Q15" i="12"/>
  <c r="Q14" i="12"/>
  <c r="Q13" i="12"/>
  <c r="Q12" i="12"/>
  <c r="Q8" i="12"/>
  <c r="Q9" i="12"/>
  <c r="Q10" i="12"/>
  <c r="Q11" i="12"/>
  <c r="AM18" i="12"/>
  <c r="AH18" i="12"/>
  <c r="AN19" i="12"/>
  <c r="AI19" i="12"/>
  <c r="AM13" i="12"/>
  <c r="AH13" i="12"/>
  <c r="AN14" i="12"/>
  <c r="AI14" i="12"/>
  <c r="AM17" i="12"/>
  <c r="AH17" i="12"/>
  <c r="AN18" i="12"/>
  <c r="AI18" i="12"/>
  <c r="AK19" i="12"/>
  <c r="AF19" i="12"/>
  <c r="AL20" i="12"/>
  <c r="AG20" i="12"/>
  <c r="AN15" i="12"/>
  <c r="AI15" i="12"/>
  <c r="AN13" i="12"/>
  <c r="AI13" i="12"/>
  <c r="AM16" i="12"/>
  <c r="AH16" i="12"/>
  <c r="AN17" i="12"/>
  <c r="AI17" i="12"/>
  <c r="AK18" i="12"/>
  <c r="AF18" i="12"/>
  <c r="AL19" i="12"/>
  <c r="AG19" i="12"/>
  <c r="AM20" i="12"/>
  <c r="AH20" i="12"/>
  <c r="AI12" i="12"/>
  <c r="AN12" i="12"/>
  <c r="AM14" i="12"/>
  <c r="AH14" i="12"/>
  <c r="AK20" i="12"/>
  <c r="AF20" i="12"/>
  <c r="AM12" i="12"/>
  <c r="AH12" i="12"/>
  <c r="AM15" i="12"/>
  <c r="AH15" i="12"/>
  <c r="AN16" i="12"/>
  <c r="AI16" i="12"/>
  <c r="AL18" i="12"/>
  <c r="AG18" i="12"/>
  <c r="AM19" i="12"/>
  <c r="AH19" i="12"/>
  <c r="AN20" i="12"/>
  <c r="AI20" i="12"/>
  <c r="AL17" i="12"/>
  <c r="AG17" i="12"/>
  <c r="AK17" i="12"/>
  <c r="AF17" i="12"/>
  <c r="AL16" i="12"/>
  <c r="AG16" i="12"/>
  <c r="AK16" i="12"/>
  <c r="AF16" i="12"/>
  <c r="AG15" i="12"/>
  <c r="AL15" i="12"/>
  <c r="AK15" i="12"/>
  <c r="AF15" i="12"/>
  <c r="AG14" i="12"/>
  <c r="AL14" i="12"/>
  <c r="AK14" i="12"/>
  <c r="AF14" i="12"/>
  <c r="AG13" i="12"/>
  <c r="AL13" i="12"/>
  <c r="AK13" i="12"/>
  <c r="AF13" i="12"/>
  <c r="AG12" i="12"/>
  <c r="AL12" i="12"/>
  <c r="AK12" i="12"/>
  <c r="AF12" i="12"/>
  <c r="AH8" i="12"/>
  <c r="AM8" i="12"/>
  <c r="AI9" i="12"/>
  <c r="AN9" i="12"/>
  <c r="AI8" i="12"/>
  <c r="AN8" i="12"/>
  <c r="AH11" i="12"/>
  <c r="AM11" i="12"/>
  <c r="AN11" i="12"/>
  <c r="AI11" i="12"/>
  <c r="AM9" i="12"/>
  <c r="AH9" i="12"/>
  <c r="AI10" i="12"/>
  <c r="AN10" i="12"/>
  <c r="AL11" i="12"/>
  <c r="AG11" i="12"/>
  <c r="AK11" i="12"/>
  <c r="AF11" i="12"/>
  <c r="AH10" i="12"/>
  <c r="AM10" i="12"/>
  <c r="AG10" i="12"/>
  <c r="AL10" i="12"/>
  <c r="AK10" i="12"/>
  <c r="AF10" i="12"/>
  <c r="AL9" i="12"/>
  <c r="AG9" i="12"/>
  <c r="AK9" i="12"/>
  <c r="AF9" i="12"/>
  <c r="AL8" i="12"/>
  <c r="AG8" i="12"/>
  <c r="AF8" i="12"/>
  <c r="AK8" i="12"/>
  <c r="AS11" i="12"/>
  <c r="AS12" i="12"/>
  <c r="AS13" i="12"/>
  <c r="CL13" i="12"/>
  <c r="CL9" i="12"/>
  <c r="CL10" i="12"/>
  <c r="AS10" i="12"/>
  <c r="AT7" i="12"/>
  <c r="CM7" i="12"/>
  <c r="AS9" i="12"/>
  <c r="AQ18" i="12" l="1"/>
  <c r="AQ15" i="12"/>
  <c r="AQ16" i="12"/>
  <c r="AQ17" i="12"/>
  <c r="AQ20" i="12"/>
  <c r="AP19" i="12"/>
  <c r="K19" i="12" s="1"/>
  <c r="AQ19" i="12"/>
  <c r="AQ14" i="12"/>
  <c r="AP15" i="12"/>
  <c r="K15" i="12" s="1"/>
  <c r="AP17" i="12"/>
  <c r="K17" i="12" s="1"/>
  <c r="AP11" i="12"/>
  <c r="K11" i="12" s="1"/>
  <c r="J41" i="10" s="1"/>
  <c r="AQ9" i="12"/>
  <c r="AQ11" i="12"/>
  <c r="AP10" i="12"/>
  <c r="K10" i="12" s="1"/>
  <c r="J40" i="10" s="1"/>
  <c r="AQ10" i="12"/>
  <c r="AQ8" i="12"/>
  <c r="AP9" i="12"/>
  <c r="K9" i="12" s="1"/>
  <c r="J39" i="10" s="1"/>
  <c r="AP20" i="12"/>
  <c r="K20" i="12" s="1"/>
  <c r="CM13" i="12"/>
  <c r="CM10" i="12"/>
  <c r="CM11" i="12"/>
  <c r="CM9" i="12"/>
  <c r="CN7" i="12"/>
  <c r="AP16" i="12"/>
  <c r="K16" i="12" s="1"/>
  <c r="AP18" i="12"/>
  <c r="K18" i="12" s="1"/>
  <c r="AP14" i="12"/>
  <c r="K14" i="12" s="1"/>
  <c r="AT12" i="12"/>
  <c r="AT13" i="12"/>
  <c r="AT9" i="12"/>
  <c r="AT10" i="12"/>
  <c r="AT11" i="12"/>
  <c r="AU7" i="12"/>
  <c r="AP8" i="12"/>
  <c r="K8" i="12" s="1"/>
  <c r="J38" i="10" s="1"/>
  <c r="A33" i="10"/>
  <c r="A22" i="10"/>
  <c r="A23" i="10"/>
  <c r="A24" i="10"/>
  <c r="A25" i="10"/>
  <c r="A26" i="10"/>
  <c r="A27" i="10"/>
  <c r="A28" i="10"/>
  <c r="A29" i="10"/>
  <c r="A30" i="10"/>
  <c r="A31" i="10"/>
  <c r="A32" i="10"/>
  <c r="A21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8" i="10"/>
  <c r="K35" i="10"/>
  <c r="K34" i="10"/>
  <c r="J9" i="12" l="1"/>
  <c r="M9" i="12" s="1"/>
  <c r="IB9" i="12"/>
  <c r="J14" i="12"/>
  <c r="IB14" i="12"/>
  <c r="J19" i="12"/>
  <c r="IB19" i="12"/>
  <c r="J20" i="12"/>
  <c r="IB20" i="12"/>
  <c r="J17" i="12"/>
  <c r="IB17" i="12"/>
  <c r="J10" i="12"/>
  <c r="IB10" i="12"/>
  <c r="J16" i="12"/>
  <c r="IB16" i="12"/>
  <c r="J15" i="12"/>
  <c r="IB15" i="12"/>
  <c r="J11" i="12"/>
  <c r="I41" i="10" s="1"/>
  <c r="IB11" i="12"/>
  <c r="J18" i="12"/>
  <c r="IB18" i="12"/>
  <c r="J8" i="12"/>
  <c r="M8" i="12" s="1"/>
  <c r="CN13" i="12"/>
  <c r="CN11" i="12"/>
  <c r="CN9" i="12"/>
  <c r="CN10" i="12"/>
  <c r="CO7" i="12"/>
  <c r="AU13" i="12"/>
  <c r="AU10" i="12"/>
  <c r="AU12" i="12"/>
  <c r="AU11" i="12"/>
  <c r="AU9" i="12"/>
  <c r="AV7" i="12"/>
  <c r="HO20" i="9"/>
  <c r="HN20" i="9"/>
  <c r="HM20" i="9"/>
  <c r="HL20" i="9"/>
  <c r="HK20" i="9"/>
  <c r="HJ20" i="9"/>
  <c r="HI20" i="9"/>
  <c r="HH20" i="9"/>
  <c r="HG20" i="9"/>
  <c r="HF20" i="9"/>
  <c r="HE20" i="9"/>
  <c r="HD20" i="9"/>
  <c r="HC20" i="9"/>
  <c r="HB20" i="9"/>
  <c r="HA20" i="9"/>
  <c r="GZ20" i="9"/>
  <c r="GY20" i="9"/>
  <c r="GX20" i="9"/>
  <c r="GW20" i="9"/>
  <c r="GV20" i="9"/>
  <c r="GU20" i="9"/>
  <c r="GT20" i="9"/>
  <c r="GS20" i="9"/>
  <c r="GR20" i="9"/>
  <c r="GQ20" i="9"/>
  <c r="GP20" i="9"/>
  <c r="GO20" i="9"/>
  <c r="GN20" i="9"/>
  <c r="GM20" i="9"/>
  <c r="GL20" i="9"/>
  <c r="GK20" i="9"/>
  <c r="GJ20" i="9"/>
  <c r="GI20" i="9"/>
  <c r="GH20" i="9"/>
  <c r="GG20" i="9"/>
  <c r="GF20" i="9"/>
  <c r="GE20" i="9"/>
  <c r="GD20" i="9"/>
  <c r="GC20" i="9"/>
  <c r="GB20" i="9"/>
  <c r="GA20" i="9"/>
  <c r="FZ20" i="9"/>
  <c r="FY20" i="9"/>
  <c r="FX20" i="9"/>
  <c r="FW20" i="9"/>
  <c r="ED20" i="9"/>
  <c r="CK20" i="9"/>
  <c r="AR20" i="9"/>
  <c r="AD20" i="9"/>
  <c r="AN20" i="9" s="1"/>
  <c r="AC20" i="9"/>
  <c r="AM20" i="9" s="1"/>
  <c r="AB20" i="9"/>
  <c r="AL20" i="9" s="1"/>
  <c r="AA20" i="9"/>
  <c r="G20" i="9"/>
  <c r="F20" i="10" s="1"/>
  <c r="E20" i="9"/>
  <c r="D20" i="10" s="1"/>
  <c r="HO19" i="9"/>
  <c r="HN19" i="9"/>
  <c r="HM19" i="9"/>
  <c r="HL19" i="9"/>
  <c r="HK19" i="9"/>
  <c r="HJ19" i="9"/>
  <c r="HI19" i="9"/>
  <c r="HH19" i="9"/>
  <c r="HG19" i="9"/>
  <c r="HF19" i="9"/>
  <c r="HE19" i="9"/>
  <c r="HD19" i="9"/>
  <c r="HC19" i="9"/>
  <c r="HB19" i="9"/>
  <c r="HA19" i="9"/>
  <c r="GZ19" i="9"/>
  <c r="GY19" i="9"/>
  <c r="GX19" i="9"/>
  <c r="GW19" i="9"/>
  <c r="GV19" i="9"/>
  <c r="GU19" i="9"/>
  <c r="GT19" i="9"/>
  <c r="GS19" i="9"/>
  <c r="GR19" i="9"/>
  <c r="GQ19" i="9"/>
  <c r="GP19" i="9"/>
  <c r="GO19" i="9"/>
  <c r="GN19" i="9"/>
  <c r="GM19" i="9"/>
  <c r="GL19" i="9"/>
  <c r="GK19" i="9"/>
  <c r="GJ19" i="9"/>
  <c r="GI19" i="9"/>
  <c r="GH19" i="9"/>
  <c r="GG19" i="9"/>
  <c r="GF19" i="9"/>
  <c r="GE19" i="9"/>
  <c r="GD19" i="9"/>
  <c r="GC19" i="9"/>
  <c r="GB19" i="9"/>
  <c r="GA19" i="9"/>
  <c r="FZ19" i="9"/>
  <c r="FY19" i="9"/>
  <c r="FX19" i="9"/>
  <c r="FW19" i="9"/>
  <c r="FV19" i="9"/>
  <c r="FU19" i="9"/>
  <c r="FT19" i="9"/>
  <c r="FS19" i="9"/>
  <c r="FR19" i="9"/>
  <c r="FQ19" i="9"/>
  <c r="FP19" i="9"/>
  <c r="FO19" i="9"/>
  <c r="FN19" i="9"/>
  <c r="FM19" i="9"/>
  <c r="FL19" i="9"/>
  <c r="FK19" i="9"/>
  <c r="FJ19" i="9"/>
  <c r="FI19" i="9"/>
  <c r="FH19" i="9"/>
  <c r="FG19" i="9"/>
  <c r="FF19" i="9"/>
  <c r="FE19" i="9"/>
  <c r="FD19" i="9"/>
  <c r="FC19" i="9"/>
  <c r="FB19" i="9"/>
  <c r="FA19" i="9"/>
  <c r="EZ19" i="9"/>
  <c r="EY19" i="9"/>
  <c r="EX19" i="9"/>
  <c r="EW19" i="9"/>
  <c r="EV19" i="9"/>
  <c r="EU19" i="9"/>
  <c r="ET19" i="9"/>
  <c r="ES19" i="9"/>
  <c r="ER19" i="9"/>
  <c r="EQ19" i="9"/>
  <c r="EP19" i="9"/>
  <c r="EO19" i="9"/>
  <c r="EN19" i="9"/>
  <c r="EM19" i="9"/>
  <c r="EL19" i="9"/>
  <c r="EK19" i="9"/>
  <c r="EJ19" i="9"/>
  <c r="EI19" i="9"/>
  <c r="EH19" i="9"/>
  <c r="EG19" i="9"/>
  <c r="EF19" i="9"/>
  <c r="EE19" i="9"/>
  <c r="ED19" i="9"/>
  <c r="CK19" i="9"/>
  <c r="AR19" i="9"/>
  <c r="AD19" i="9"/>
  <c r="AN19" i="9" s="1"/>
  <c r="AC19" i="9"/>
  <c r="AM19" i="9" s="1"/>
  <c r="AB19" i="9"/>
  <c r="AL19" i="9" s="1"/>
  <c r="AA19" i="9"/>
  <c r="G19" i="9"/>
  <c r="F19" i="10" s="1"/>
  <c r="E19" i="9"/>
  <c r="D19" i="10" s="1"/>
  <c r="HO18" i="9"/>
  <c r="HN18" i="9"/>
  <c r="HM18" i="9"/>
  <c r="HL18" i="9"/>
  <c r="HK18" i="9"/>
  <c r="HJ18" i="9"/>
  <c r="HI18" i="9"/>
  <c r="HH18" i="9"/>
  <c r="HG18" i="9"/>
  <c r="HF18" i="9"/>
  <c r="HE18" i="9"/>
  <c r="HD18" i="9"/>
  <c r="HC18" i="9"/>
  <c r="HB18" i="9"/>
  <c r="HA18" i="9"/>
  <c r="GZ18" i="9"/>
  <c r="GY18" i="9"/>
  <c r="GX18" i="9"/>
  <c r="GW18" i="9"/>
  <c r="GV18" i="9"/>
  <c r="GU18" i="9"/>
  <c r="GT18" i="9"/>
  <c r="GS18" i="9"/>
  <c r="GR18" i="9"/>
  <c r="GQ18" i="9"/>
  <c r="GP18" i="9"/>
  <c r="GO18" i="9"/>
  <c r="GN18" i="9"/>
  <c r="GM18" i="9"/>
  <c r="GL18" i="9"/>
  <c r="GK18" i="9"/>
  <c r="GJ18" i="9"/>
  <c r="GI18" i="9"/>
  <c r="GH18" i="9"/>
  <c r="GG18" i="9"/>
  <c r="GF18" i="9"/>
  <c r="GE18" i="9"/>
  <c r="GD18" i="9"/>
  <c r="GC18" i="9"/>
  <c r="GB18" i="9"/>
  <c r="GA18" i="9"/>
  <c r="FZ18" i="9"/>
  <c r="FY18" i="9"/>
  <c r="FX18" i="9"/>
  <c r="FW18" i="9"/>
  <c r="FV18" i="9"/>
  <c r="FU18" i="9"/>
  <c r="FT18" i="9"/>
  <c r="FS18" i="9"/>
  <c r="FR18" i="9"/>
  <c r="FQ18" i="9"/>
  <c r="FP18" i="9"/>
  <c r="FO18" i="9"/>
  <c r="FN18" i="9"/>
  <c r="FM18" i="9"/>
  <c r="FL18" i="9"/>
  <c r="FK18" i="9"/>
  <c r="FJ18" i="9"/>
  <c r="FI18" i="9"/>
  <c r="FH18" i="9"/>
  <c r="FG18" i="9"/>
  <c r="FF18" i="9"/>
  <c r="FE18" i="9"/>
  <c r="FD18" i="9"/>
  <c r="FC18" i="9"/>
  <c r="FB18" i="9"/>
  <c r="FA18" i="9"/>
  <c r="EZ18" i="9"/>
  <c r="EY18" i="9"/>
  <c r="EX18" i="9"/>
  <c r="EW18" i="9"/>
  <c r="EV18" i="9"/>
  <c r="EU18" i="9"/>
  <c r="ET18" i="9"/>
  <c r="ES18" i="9"/>
  <c r="ER18" i="9"/>
  <c r="EQ18" i="9"/>
  <c r="EP18" i="9"/>
  <c r="EO18" i="9"/>
  <c r="EN18" i="9"/>
  <c r="EM18" i="9"/>
  <c r="EL18" i="9"/>
  <c r="EK18" i="9"/>
  <c r="EJ18" i="9"/>
  <c r="EI18" i="9"/>
  <c r="EH18" i="9"/>
  <c r="EG18" i="9"/>
  <c r="EF18" i="9"/>
  <c r="EE18" i="9"/>
  <c r="ED18" i="9"/>
  <c r="CK18" i="9"/>
  <c r="AR18" i="9"/>
  <c r="AD18" i="9"/>
  <c r="AN18" i="9" s="1"/>
  <c r="AC18" i="9"/>
  <c r="AM18" i="9" s="1"/>
  <c r="AB18" i="9"/>
  <c r="AL18" i="9" s="1"/>
  <c r="AA18" i="9"/>
  <c r="G18" i="9"/>
  <c r="F18" i="10" s="1"/>
  <c r="E18" i="9"/>
  <c r="D18" i="10" s="1"/>
  <c r="AD17" i="9"/>
  <c r="AN17" i="9" s="1"/>
  <c r="AC17" i="9"/>
  <c r="AL17" i="9"/>
  <c r="AK17" i="9"/>
  <c r="G17" i="9"/>
  <c r="F17" i="10" s="1"/>
  <c r="E17" i="9"/>
  <c r="D17" i="10" s="1"/>
  <c r="HO16" i="9"/>
  <c r="HN16" i="9"/>
  <c r="HM16" i="9"/>
  <c r="HL16" i="9"/>
  <c r="HK16" i="9"/>
  <c r="HJ16" i="9"/>
  <c r="HI16" i="9"/>
  <c r="HH16" i="9"/>
  <c r="HG16" i="9"/>
  <c r="HF16" i="9"/>
  <c r="HE16" i="9"/>
  <c r="HD16" i="9"/>
  <c r="HC16" i="9"/>
  <c r="HB16" i="9"/>
  <c r="HA16" i="9"/>
  <c r="GZ16" i="9"/>
  <c r="GY16" i="9"/>
  <c r="GX16" i="9"/>
  <c r="GW16" i="9"/>
  <c r="GV16" i="9"/>
  <c r="GU16" i="9"/>
  <c r="GT16" i="9"/>
  <c r="GS16" i="9"/>
  <c r="GR16" i="9"/>
  <c r="GQ16" i="9"/>
  <c r="GP16" i="9"/>
  <c r="GO16" i="9"/>
  <c r="GN16" i="9"/>
  <c r="GM16" i="9"/>
  <c r="GL16" i="9"/>
  <c r="GK16" i="9"/>
  <c r="GJ16" i="9"/>
  <c r="GI16" i="9"/>
  <c r="GH16" i="9"/>
  <c r="GG16" i="9"/>
  <c r="GF16" i="9"/>
  <c r="GE16" i="9"/>
  <c r="GD16" i="9"/>
  <c r="GC16" i="9"/>
  <c r="GB16" i="9"/>
  <c r="GA16" i="9"/>
  <c r="FZ16" i="9"/>
  <c r="FY16" i="9"/>
  <c r="FX16" i="9"/>
  <c r="FW16" i="9"/>
  <c r="FV16" i="9"/>
  <c r="FU16" i="9"/>
  <c r="FT16" i="9"/>
  <c r="FS16" i="9"/>
  <c r="FR16" i="9"/>
  <c r="FQ16" i="9"/>
  <c r="FP16" i="9"/>
  <c r="FO16" i="9"/>
  <c r="FN16" i="9"/>
  <c r="FM16" i="9"/>
  <c r="FL16" i="9"/>
  <c r="FK16" i="9"/>
  <c r="FJ16" i="9"/>
  <c r="FI16" i="9"/>
  <c r="FH16" i="9"/>
  <c r="FG16" i="9"/>
  <c r="FF16" i="9"/>
  <c r="FE16" i="9"/>
  <c r="FD16" i="9"/>
  <c r="FC16" i="9"/>
  <c r="FB16" i="9"/>
  <c r="FA16" i="9"/>
  <c r="EZ16" i="9"/>
  <c r="EY16" i="9"/>
  <c r="EX16" i="9"/>
  <c r="EW16" i="9"/>
  <c r="EV16" i="9"/>
  <c r="EU16" i="9"/>
  <c r="ET16" i="9"/>
  <c r="ES16" i="9"/>
  <c r="ER16" i="9"/>
  <c r="EQ16" i="9"/>
  <c r="EP16" i="9"/>
  <c r="EO16" i="9"/>
  <c r="EN16" i="9"/>
  <c r="EM16" i="9"/>
  <c r="EL16" i="9"/>
  <c r="EK16" i="9"/>
  <c r="EJ16" i="9"/>
  <c r="EI16" i="9"/>
  <c r="EH16" i="9"/>
  <c r="EG16" i="9"/>
  <c r="EF16" i="9"/>
  <c r="EE16" i="9"/>
  <c r="ED16" i="9"/>
  <c r="AD16" i="9"/>
  <c r="AN16" i="9" s="1"/>
  <c r="AC16" i="9"/>
  <c r="AH16" i="9" s="1"/>
  <c r="AB16" i="9"/>
  <c r="AL16" i="9" s="1"/>
  <c r="AA16" i="9"/>
  <c r="G16" i="9"/>
  <c r="F16" i="10" s="1"/>
  <c r="E16" i="9"/>
  <c r="D16" i="10" s="1"/>
  <c r="HO15" i="9"/>
  <c r="HN15" i="9"/>
  <c r="HM15" i="9"/>
  <c r="HL15" i="9"/>
  <c r="HK15" i="9"/>
  <c r="HJ15" i="9"/>
  <c r="HI15" i="9"/>
  <c r="HH15" i="9"/>
  <c r="HG15" i="9"/>
  <c r="HF15" i="9"/>
  <c r="HE15" i="9"/>
  <c r="HD15" i="9"/>
  <c r="HC15" i="9"/>
  <c r="HB15" i="9"/>
  <c r="HA15" i="9"/>
  <c r="GZ15" i="9"/>
  <c r="GY15" i="9"/>
  <c r="GX15" i="9"/>
  <c r="GW15" i="9"/>
  <c r="GV15" i="9"/>
  <c r="GU15" i="9"/>
  <c r="GT15" i="9"/>
  <c r="GS15" i="9"/>
  <c r="GR15" i="9"/>
  <c r="GQ15" i="9"/>
  <c r="GP15" i="9"/>
  <c r="GO15" i="9"/>
  <c r="GN15" i="9"/>
  <c r="GM15" i="9"/>
  <c r="GL15" i="9"/>
  <c r="GK15" i="9"/>
  <c r="GJ15" i="9"/>
  <c r="GI15" i="9"/>
  <c r="GH15" i="9"/>
  <c r="GG15" i="9"/>
  <c r="GF15" i="9"/>
  <c r="GE15" i="9"/>
  <c r="GD15" i="9"/>
  <c r="GC15" i="9"/>
  <c r="GB15" i="9"/>
  <c r="GA15" i="9"/>
  <c r="FZ15" i="9"/>
  <c r="FY15" i="9"/>
  <c r="FX15" i="9"/>
  <c r="FW15" i="9"/>
  <c r="ED15" i="9"/>
  <c r="AD15" i="9"/>
  <c r="AN15" i="9" s="1"/>
  <c r="AC15" i="9"/>
  <c r="AM15" i="9" s="1"/>
  <c r="AB15" i="9"/>
  <c r="AL15" i="9" s="1"/>
  <c r="AA15" i="9"/>
  <c r="G15" i="9"/>
  <c r="F15" i="10" s="1"/>
  <c r="D15" i="10"/>
  <c r="HO14" i="9"/>
  <c r="HN14" i="9"/>
  <c r="HM14" i="9"/>
  <c r="HL14" i="9"/>
  <c r="HK14" i="9"/>
  <c r="HJ14" i="9"/>
  <c r="HI14" i="9"/>
  <c r="HH14" i="9"/>
  <c r="HG14" i="9"/>
  <c r="HF14" i="9"/>
  <c r="HE14" i="9"/>
  <c r="HD14" i="9"/>
  <c r="HC14" i="9"/>
  <c r="HB14" i="9"/>
  <c r="HA14" i="9"/>
  <c r="GZ14" i="9"/>
  <c r="GY14" i="9"/>
  <c r="GX14" i="9"/>
  <c r="GW14" i="9"/>
  <c r="GV14" i="9"/>
  <c r="GU14" i="9"/>
  <c r="GT14" i="9"/>
  <c r="GS14" i="9"/>
  <c r="GR14" i="9"/>
  <c r="GQ14" i="9"/>
  <c r="GP14" i="9"/>
  <c r="GO14" i="9"/>
  <c r="GN14" i="9"/>
  <c r="GM14" i="9"/>
  <c r="GL14" i="9"/>
  <c r="GK14" i="9"/>
  <c r="GJ14" i="9"/>
  <c r="GI14" i="9"/>
  <c r="GH14" i="9"/>
  <c r="GG14" i="9"/>
  <c r="GF14" i="9"/>
  <c r="GE14" i="9"/>
  <c r="GD14" i="9"/>
  <c r="GC14" i="9"/>
  <c r="GB14" i="9"/>
  <c r="GA14" i="9"/>
  <c r="FZ14" i="9"/>
  <c r="FY14" i="9"/>
  <c r="FX14" i="9"/>
  <c r="FW14" i="9"/>
  <c r="AD14" i="9"/>
  <c r="AN14" i="9" s="1"/>
  <c r="AC14" i="9"/>
  <c r="AM14" i="9" s="1"/>
  <c r="AB14" i="9"/>
  <c r="AL14" i="9" s="1"/>
  <c r="AA14" i="9"/>
  <c r="G14" i="9"/>
  <c r="F14" i="10" s="1"/>
  <c r="E14" i="9"/>
  <c r="D14" i="10" s="1"/>
  <c r="FW13" i="9"/>
  <c r="ED13" i="9"/>
  <c r="AD13" i="9"/>
  <c r="AI13" i="9" s="1"/>
  <c r="AC13" i="9"/>
  <c r="AM13" i="9" s="1"/>
  <c r="AB13" i="9"/>
  <c r="AL13" i="9" s="1"/>
  <c r="AA13" i="9"/>
  <c r="G13" i="9"/>
  <c r="F13" i="10" s="1"/>
  <c r="E13" i="9"/>
  <c r="D13" i="10" s="1"/>
  <c r="HO12" i="9"/>
  <c r="HN12" i="9"/>
  <c r="HM12" i="9"/>
  <c r="HL12" i="9"/>
  <c r="HK12" i="9"/>
  <c r="HJ12" i="9"/>
  <c r="HI12" i="9"/>
  <c r="HH12" i="9"/>
  <c r="HG12" i="9"/>
  <c r="HF12" i="9"/>
  <c r="HE12" i="9"/>
  <c r="HD12" i="9"/>
  <c r="HC12" i="9"/>
  <c r="HB12" i="9"/>
  <c r="HA12" i="9"/>
  <c r="GZ12" i="9"/>
  <c r="GY12" i="9"/>
  <c r="GX12" i="9"/>
  <c r="GW12" i="9"/>
  <c r="GV12" i="9"/>
  <c r="GU12" i="9"/>
  <c r="GT12" i="9"/>
  <c r="GS12" i="9"/>
  <c r="GR12" i="9"/>
  <c r="GQ12" i="9"/>
  <c r="GP12" i="9"/>
  <c r="GO12" i="9"/>
  <c r="GN12" i="9"/>
  <c r="GM12" i="9"/>
  <c r="GL12" i="9"/>
  <c r="GK12" i="9"/>
  <c r="GJ12" i="9"/>
  <c r="GI12" i="9"/>
  <c r="GH12" i="9"/>
  <c r="GG12" i="9"/>
  <c r="GF12" i="9"/>
  <c r="GE12" i="9"/>
  <c r="GD12" i="9"/>
  <c r="GC12" i="9"/>
  <c r="GB12" i="9"/>
  <c r="GA12" i="9"/>
  <c r="FZ12" i="9"/>
  <c r="FY12" i="9"/>
  <c r="FX12" i="9"/>
  <c r="FW12" i="9"/>
  <c r="AD12" i="9"/>
  <c r="AN12" i="9" s="1"/>
  <c r="AC12" i="9"/>
  <c r="AM12" i="9" s="1"/>
  <c r="AB12" i="9"/>
  <c r="AA12" i="9"/>
  <c r="G12" i="9"/>
  <c r="F12" i="10" s="1"/>
  <c r="E12" i="9"/>
  <c r="D12" i="10" s="1"/>
  <c r="HO11" i="9"/>
  <c r="HN11" i="9"/>
  <c r="HM11" i="9"/>
  <c r="HL11" i="9"/>
  <c r="HK11" i="9"/>
  <c r="HJ11" i="9"/>
  <c r="HI11" i="9"/>
  <c r="HH11" i="9"/>
  <c r="HG11" i="9"/>
  <c r="HF11" i="9"/>
  <c r="HE11" i="9"/>
  <c r="HD11" i="9"/>
  <c r="HC11" i="9"/>
  <c r="HB11" i="9"/>
  <c r="HA11" i="9"/>
  <c r="GZ11" i="9"/>
  <c r="GY11" i="9"/>
  <c r="GX11" i="9"/>
  <c r="GW11" i="9"/>
  <c r="GV11" i="9"/>
  <c r="GU11" i="9"/>
  <c r="GT11" i="9"/>
  <c r="GS11" i="9"/>
  <c r="GR11" i="9"/>
  <c r="GQ11" i="9"/>
  <c r="GP11" i="9"/>
  <c r="GO11" i="9"/>
  <c r="GN11" i="9"/>
  <c r="GM11" i="9"/>
  <c r="GL11" i="9"/>
  <c r="GK11" i="9"/>
  <c r="GJ11" i="9"/>
  <c r="GI11" i="9"/>
  <c r="GH11" i="9"/>
  <c r="GG11" i="9"/>
  <c r="GF11" i="9"/>
  <c r="GE11" i="9"/>
  <c r="GD11" i="9"/>
  <c r="GC11" i="9"/>
  <c r="GB11" i="9"/>
  <c r="GA11" i="9"/>
  <c r="FZ11" i="9"/>
  <c r="FY11" i="9"/>
  <c r="FX11" i="9"/>
  <c r="FW11" i="9"/>
  <c r="FV11" i="9"/>
  <c r="FU11" i="9"/>
  <c r="FT11" i="9"/>
  <c r="FS11" i="9"/>
  <c r="FR11" i="9"/>
  <c r="FQ11" i="9"/>
  <c r="FP11" i="9"/>
  <c r="FO11" i="9"/>
  <c r="FN11" i="9"/>
  <c r="FM11" i="9"/>
  <c r="FL11" i="9"/>
  <c r="FK11" i="9"/>
  <c r="FJ11" i="9"/>
  <c r="FI11" i="9"/>
  <c r="FH11" i="9"/>
  <c r="FG11" i="9"/>
  <c r="FF11" i="9"/>
  <c r="FE11" i="9"/>
  <c r="FD11" i="9"/>
  <c r="FC11" i="9"/>
  <c r="FB11" i="9"/>
  <c r="FA11" i="9"/>
  <c r="EZ11" i="9"/>
  <c r="EY11" i="9"/>
  <c r="EX11" i="9"/>
  <c r="EW11" i="9"/>
  <c r="EV11" i="9"/>
  <c r="EU11" i="9"/>
  <c r="ET11" i="9"/>
  <c r="ES11" i="9"/>
  <c r="ER11" i="9"/>
  <c r="EQ11" i="9"/>
  <c r="EP11" i="9"/>
  <c r="EO11" i="9"/>
  <c r="EN11" i="9"/>
  <c r="EM11" i="9"/>
  <c r="EL11" i="9"/>
  <c r="EK11" i="9"/>
  <c r="EJ11" i="9"/>
  <c r="EI11" i="9"/>
  <c r="EH11" i="9"/>
  <c r="EG11" i="9"/>
  <c r="EF11" i="9"/>
  <c r="EE11" i="9"/>
  <c r="ED11" i="9"/>
  <c r="AD11" i="9"/>
  <c r="AN11" i="9" s="1"/>
  <c r="AC11" i="9"/>
  <c r="AM11" i="9" s="1"/>
  <c r="AB11" i="9"/>
  <c r="AA11" i="9"/>
  <c r="F11" i="10"/>
  <c r="E11" i="9"/>
  <c r="D11" i="10" s="1"/>
  <c r="HO10" i="9"/>
  <c r="HN10" i="9"/>
  <c r="HM10" i="9"/>
  <c r="HL10" i="9"/>
  <c r="HK10" i="9"/>
  <c r="HJ10" i="9"/>
  <c r="HI10" i="9"/>
  <c r="HH10" i="9"/>
  <c r="HG10" i="9"/>
  <c r="HF10" i="9"/>
  <c r="HE10" i="9"/>
  <c r="HD10" i="9"/>
  <c r="HC10" i="9"/>
  <c r="HB10" i="9"/>
  <c r="HA10" i="9"/>
  <c r="GZ10" i="9"/>
  <c r="GY10" i="9"/>
  <c r="GX10" i="9"/>
  <c r="GW10" i="9"/>
  <c r="GV10" i="9"/>
  <c r="GU10" i="9"/>
  <c r="GT10" i="9"/>
  <c r="GS10" i="9"/>
  <c r="GR10" i="9"/>
  <c r="GQ10" i="9"/>
  <c r="GP10" i="9"/>
  <c r="GO10" i="9"/>
  <c r="GN10" i="9"/>
  <c r="GM10" i="9"/>
  <c r="GL10" i="9"/>
  <c r="GK10" i="9"/>
  <c r="GJ10" i="9"/>
  <c r="GI10" i="9"/>
  <c r="GH10" i="9"/>
  <c r="GG10" i="9"/>
  <c r="GF10" i="9"/>
  <c r="GE10" i="9"/>
  <c r="GD10" i="9"/>
  <c r="GC10" i="9"/>
  <c r="GB10" i="9"/>
  <c r="GA10" i="9"/>
  <c r="FZ10" i="9"/>
  <c r="FY10" i="9"/>
  <c r="FX10" i="9"/>
  <c r="FW10" i="9"/>
  <c r="ED10" i="9"/>
  <c r="AD10" i="9"/>
  <c r="AN10" i="9" s="1"/>
  <c r="AC10" i="9"/>
  <c r="AM10" i="9" s="1"/>
  <c r="AB10" i="9"/>
  <c r="AA10" i="9"/>
  <c r="G10" i="9"/>
  <c r="F10" i="10" s="1"/>
  <c r="E10" i="9"/>
  <c r="D10" i="10" s="1"/>
  <c r="HO9" i="9"/>
  <c r="HN9" i="9"/>
  <c r="HM9" i="9"/>
  <c r="HL9" i="9"/>
  <c r="HK9" i="9"/>
  <c r="HJ9" i="9"/>
  <c r="HI9" i="9"/>
  <c r="HH9" i="9"/>
  <c r="HG9" i="9"/>
  <c r="HF9" i="9"/>
  <c r="HE9" i="9"/>
  <c r="HD9" i="9"/>
  <c r="HC9" i="9"/>
  <c r="HB9" i="9"/>
  <c r="HA9" i="9"/>
  <c r="GZ9" i="9"/>
  <c r="GY9" i="9"/>
  <c r="GX9" i="9"/>
  <c r="GW9" i="9"/>
  <c r="GV9" i="9"/>
  <c r="GU9" i="9"/>
  <c r="GT9" i="9"/>
  <c r="GS9" i="9"/>
  <c r="GR9" i="9"/>
  <c r="GQ9" i="9"/>
  <c r="GP9" i="9"/>
  <c r="GO9" i="9"/>
  <c r="GN9" i="9"/>
  <c r="GM9" i="9"/>
  <c r="GL9" i="9"/>
  <c r="GK9" i="9"/>
  <c r="GJ9" i="9"/>
  <c r="GI9" i="9"/>
  <c r="GH9" i="9"/>
  <c r="GG9" i="9"/>
  <c r="GF9" i="9"/>
  <c r="GE9" i="9"/>
  <c r="GD9" i="9"/>
  <c r="GC9" i="9"/>
  <c r="GB9" i="9"/>
  <c r="GA9" i="9"/>
  <c r="FZ9" i="9"/>
  <c r="FY9" i="9"/>
  <c r="FX9" i="9"/>
  <c r="FW9" i="9"/>
  <c r="AD9" i="9"/>
  <c r="AN9" i="9" s="1"/>
  <c r="AC9" i="9"/>
  <c r="AM9" i="9" s="1"/>
  <c r="AB9" i="9"/>
  <c r="AA9" i="9"/>
  <c r="E9" i="9"/>
  <c r="D9" i="10" s="1"/>
  <c r="HO8" i="9"/>
  <c r="HN8" i="9"/>
  <c r="HM8" i="9"/>
  <c r="HL8" i="9"/>
  <c r="HK8" i="9"/>
  <c r="HJ8" i="9"/>
  <c r="HI8" i="9"/>
  <c r="HH8" i="9"/>
  <c r="HG8" i="9"/>
  <c r="HF8" i="9"/>
  <c r="HE8" i="9"/>
  <c r="HD8" i="9"/>
  <c r="HC8" i="9"/>
  <c r="HB8" i="9"/>
  <c r="HA8" i="9"/>
  <c r="GZ8" i="9"/>
  <c r="GY8" i="9"/>
  <c r="GX8" i="9"/>
  <c r="GW8" i="9"/>
  <c r="GV8" i="9"/>
  <c r="GU8" i="9"/>
  <c r="GT8" i="9"/>
  <c r="GS8" i="9"/>
  <c r="GR8" i="9"/>
  <c r="GQ8" i="9"/>
  <c r="GP8" i="9"/>
  <c r="GO8" i="9"/>
  <c r="GN8" i="9"/>
  <c r="GM8" i="9"/>
  <c r="GL8" i="9"/>
  <c r="GK8" i="9"/>
  <c r="GJ8" i="9"/>
  <c r="GI8" i="9"/>
  <c r="GH8" i="9"/>
  <c r="GG8" i="9"/>
  <c r="GF8" i="9"/>
  <c r="GE8" i="9"/>
  <c r="GD8" i="9"/>
  <c r="GC8" i="9"/>
  <c r="GB8" i="9"/>
  <c r="GA8" i="9"/>
  <c r="FZ8" i="9"/>
  <c r="FY8" i="9"/>
  <c r="FX8" i="9"/>
  <c r="FW8" i="9"/>
  <c r="ED8" i="9"/>
  <c r="AD8" i="9"/>
  <c r="AN8" i="9" s="1"/>
  <c r="AC8" i="9"/>
  <c r="AM8" i="9" s="1"/>
  <c r="AB8" i="9"/>
  <c r="AA8" i="9"/>
  <c r="F8" i="10"/>
  <c r="D8" i="10"/>
  <c r="FX7" i="9"/>
  <c r="FX13" i="9" s="1"/>
  <c r="EE7" i="9"/>
  <c r="EF7" i="9" s="1"/>
  <c r="EG7" i="9" s="1"/>
  <c r="EH7" i="9" s="1"/>
  <c r="EI7" i="9" s="1"/>
  <c r="EJ7" i="9" s="1"/>
  <c r="EK7" i="9" s="1"/>
  <c r="EL7" i="9" s="1"/>
  <c r="EM7" i="9" s="1"/>
  <c r="EN7" i="9" s="1"/>
  <c r="EO7" i="9" s="1"/>
  <c r="EP7" i="9" s="1"/>
  <c r="EQ7" i="9" s="1"/>
  <c r="ER7" i="9" s="1"/>
  <c r="ES7" i="9" s="1"/>
  <c r="ET7" i="9" s="1"/>
  <c r="EU7" i="9" s="1"/>
  <c r="EV7" i="9" s="1"/>
  <c r="EW7" i="9" s="1"/>
  <c r="EX7" i="9" s="1"/>
  <c r="EY7" i="9" s="1"/>
  <c r="EZ7" i="9" s="1"/>
  <c r="FA7" i="9" s="1"/>
  <c r="FB7" i="9" s="1"/>
  <c r="FC7" i="9" s="1"/>
  <c r="FD7" i="9" s="1"/>
  <c r="FE7" i="9" s="1"/>
  <c r="FF7" i="9" s="1"/>
  <c r="FG7" i="9" s="1"/>
  <c r="FH7" i="9" s="1"/>
  <c r="FI7" i="9" s="1"/>
  <c r="FJ7" i="9" s="1"/>
  <c r="FK7" i="9" s="1"/>
  <c r="FL7" i="9" s="1"/>
  <c r="FM7" i="9" s="1"/>
  <c r="FN7" i="9" s="1"/>
  <c r="FO7" i="9" s="1"/>
  <c r="FP7" i="9" s="1"/>
  <c r="FQ7" i="9" s="1"/>
  <c r="FR7" i="9" s="1"/>
  <c r="FS7" i="9" s="1"/>
  <c r="FT7" i="9" s="1"/>
  <c r="FU7" i="9" s="1"/>
  <c r="FV7" i="9" s="1"/>
  <c r="FV15" i="9" s="1"/>
  <c r="CL7" i="9"/>
  <c r="CL19" i="9" s="1"/>
  <c r="AS7" i="9"/>
  <c r="AS17" i="9" s="1"/>
  <c r="O4" i="9"/>
  <c r="N3" i="10" s="1"/>
  <c r="G10" i="4"/>
  <c r="F23" i="10" s="1"/>
  <c r="AM450" i="1"/>
  <c r="AM451" i="1"/>
  <c r="AM452" i="1"/>
  <c r="AM453" i="1"/>
  <c r="AM454" i="1"/>
  <c r="AM455" i="1"/>
  <c r="AM456" i="1"/>
  <c r="AM457" i="1"/>
  <c r="AM458" i="1"/>
  <c r="AM459" i="1"/>
  <c r="AM460" i="1"/>
  <c r="AM461" i="1"/>
  <c r="AM462" i="1"/>
  <c r="AM463" i="1"/>
  <c r="AS436" i="1"/>
  <c r="AS437" i="1"/>
  <c r="AS438" i="1"/>
  <c r="AS439" i="1"/>
  <c r="AS440" i="1"/>
  <c r="AS441" i="1"/>
  <c r="AS442" i="1"/>
  <c r="AS443" i="1"/>
  <c r="AS444" i="1"/>
  <c r="AS445" i="1"/>
  <c r="AS446" i="1"/>
  <c r="AS447" i="1"/>
  <c r="AS448" i="1"/>
  <c r="AS449" i="1"/>
  <c r="AS435" i="1"/>
  <c r="D397" i="5"/>
  <c r="E397" i="5"/>
  <c r="D398" i="5"/>
  <c r="E398" i="5"/>
  <c r="D399" i="5"/>
  <c r="E399" i="5"/>
  <c r="D400" i="5"/>
  <c r="E400" i="5"/>
  <c r="D401" i="5"/>
  <c r="E401" i="5"/>
  <c r="D402" i="5"/>
  <c r="E402" i="5"/>
  <c r="D403" i="5"/>
  <c r="E403" i="5"/>
  <c r="D404" i="5"/>
  <c r="E404" i="5"/>
  <c r="D405" i="5"/>
  <c r="E405" i="5"/>
  <c r="D406" i="5"/>
  <c r="E406" i="5"/>
  <c r="D407" i="5"/>
  <c r="E407" i="5"/>
  <c r="D408" i="5"/>
  <c r="E408" i="5"/>
  <c r="D409" i="5"/>
  <c r="E409" i="5"/>
  <c r="D410" i="5"/>
  <c r="E410" i="5"/>
  <c r="D393" i="5"/>
  <c r="E393" i="5"/>
  <c r="D394" i="5"/>
  <c r="E394" i="5"/>
  <c r="D395" i="5"/>
  <c r="E395" i="5"/>
  <c r="D396" i="5"/>
  <c r="E396" i="5"/>
  <c r="D383" i="5"/>
  <c r="E383" i="5"/>
  <c r="D384" i="5"/>
  <c r="E384" i="5"/>
  <c r="D385" i="5"/>
  <c r="E385" i="5"/>
  <c r="D386" i="5"/>
  <c r="E386" i="5"/>
  <c r="D387" i="5"/>
  <c r="E387" i="5"/>
  <c r="D388" i="5"/>
  <c r="E388" i="5"/>
  <c r="D389" i="5"/>
  <c r="E389" i="5"/>
  <c r="D390" i="5"/>
  <c r="E390" i="5"/>
  <c r="D391" i="5"/>
  <c r="E391" i="5"/>
  <c r="D392" i="5"/>
  <c r="E392" i="5"/>
  <c r="AM436" i="1"/>
  <c r="AM437" i="1"/>
  <c r="AM438" i="1"/>
  <c r="AM439" i="1"/>
  <c r="AM440" i="1"/>
  <c r="AM441" i="1"/>
  <c r="AM442" i="1"/>
  <c r="AM443" i="1"/>
  <c r="AM444" i="1"/>
  <c r="AM445" i="1"/>
  <c r="AM446" i="1"/>
  <c r="AM447" i="1"/>
  <c r="AM448" i="1"/>
  <c r="AM449" i="1"/>
  <c r="O4" i="4"/>
  <c r="AS7" i="4"/>
  <c r="CL7" i="4"/>
  <c r="CM7" i="4" s="1"/>
  <c r="CN7" i="4" s="1"/>
  <c r="EE7" i="4"/>
  <c r="EF7" i="4" s="1"/>
  <c r="EG7" i="4"/>
  <c r="EH7" i="4" s="1"/>
  <c r="FX7" i="4"/>
  <c r="FY7" i="4" s="1"/>
  <c r="FZ7" i="4" s="1"/>
  <c r="GA7" i="4" s="1"/>
  <c r="GB7" i="4" s="1"/>
  <c r="GC7" i="4" s="1"/>
  <c r="GD7" i="4" s="1"/>
  <c r="GE7" i="4" s="1"/>
  <c r="GF7" i="4" s="1"/>
  <c r="GG7" i="4" s="1"/>
  <c r="GH7" i="4" s="1"/>
  <c r="GI7" i="4" s="1"/>
  <c r="GJ7" i="4" s="1"/>
  <c r="GK7" i="4" s="1"/>
  <c r="GL7" i="4" s="1"/>
  <c r="GM7" i="4" s="1"/>
  <c r="GN7" i="4" s="1"/>
  <c r="GO7" i="4" s="1"/>
  <c r="GP7" i="4" s="1"/>
  <c r="GQ7" i="4" s="1"/>
  <c r="GR7" i="4" s="1"/>
  <c r="GS7" i="4" s="1"/>
  <c r="GT7" i="4" s="1"/>
  <c r="GU7" i="4" s="1"/>
  <c r="GV7" i="4" s="1"/>
  <c r="GW7" i="4" s="1"/>
  <c r="GX7" i="4" s="1"/>
  <c r="GY7" i="4" s="1"/>
  <c r="GZ7" i="4" s="1"/>
  <c r="HA7" i="4" s="1"/>
  <c r="HB7" i="4" s="1"/>
  <c r="HC7" i="4" s="1"/>
  <c r="HD7" i="4" s="1"/>
  <c r="HE7" i="4" s="1"/>
  <c r="HF7" i="4" s="1"/>
  <c r="HG7" i="4" s="1"/>
  <c r="HH7" i="4" s="1"/>
  <c r="HI7" i="4" s="1"/>
  <c r="HJ7" i="4" s="1"/>
  <c r="HK7" i="4" s="1"/>
  <c r="HL7" i="4" s="1"/>
  <c r="HM7" i="4" s="1"/>
  <c r="HN7" i="4" s="1"/>
  <c r="HO7" i="4" s="1"/>
  <c r="E8" i="4"/>
  <c r="D21" i="10" s="1"/>
  <c r="G8" i="4"/>
  <c r="F21" i="10" s="1"/>
  <c r="I8" i="4"/>
  <c r="AA8" i="4"/>
  <c r="AB8" i="4"/>
  <c r="AG8" i="4" s="1"/>
  <c r="AC8" i="4"/>
  <c r="AM8" i="4" s="1"/>
  <c r="AD8" i="4"/>
  <c r="AN8" i="4" s="1"/>
  <c r="FW8" i="4"/>
  <c r="FX8" i="4"/>
  <c r="FY8" i="4"/>
  <c r="FZ8" i="4"/>
  <c r="GA8" i="4"/>
  <c r="GB8" i="4"/>
  <c r="GC8" i="4"/>
  <c r="GD8" i="4"/>
  <c r="GE8" i="4"/>
  <c r="GF8" i="4"/>
  <c r="GG8" i="4"/>
  <c r="GH8" i="4"/>
  <c r="GI8" i="4"/>
  <c r="GJ8" i="4"/>
  <c r="GK8" i="4"/>
  <c r="GL8" i="4"/>
  <c r="GM8" i="4"/>
  <c r="GN8" i="4"/>
  <c r="GO8" i="4"/>
  <c r="GP8" i="4"/>
  <c r="GQ8" i="4"/>
  <c r="GR8" i="4"/>
  <c r="GS8" i="4"/>
  <c r="GT8" i="4"/>
  <c r="GU8" i="4"/>
  <c r="GV8" i="4"/>
  <c r="GW8" i="4"/>
  <c r="GX8" i="4"/>
  <c r="GY8" i="4"/>
  <c r="GZ8" i="4"/>
  <c r="HA8" i="4"/>
  <c r="HB8" i="4"/>
  <c r="HC8" i="4"/>
  <c r="HD8" i="4"/>
  <c r="HE8" i="4"/>
  <c r="HF8" i="4"/>
  <c r="HG8" i="4"/>
  <c r="HH8" i="4"/>
  <c r="HI8" i="4"/>
  <c r="HJ8" i="4"/>
  <c r="HK8" i="4"/>
  <c r="HL8" i="4"/>
  <c r="HM8" i="4"/>
  <c r="HN8" i="4"/>
  <c r="HO8" i="4"/>
  <c r="E9" i="4"/>
  <c r="D22" i="10" s="1"/>
  <c r="G9" i="4"/>
  <c r="F22" i="10" s="1"/>
  <c r="I9" i="4"/>
  <c r="AA9" i="4"/>
  <c r="AB9" i="4"/>
  <c r="AL9" i="4" s="1"/>
  <c r="AC9" i="4"/>
  <c r="AM9" i="4" s="1"/>
  <c r="AD9" i="4"/>
  <c r="AN9" i="4" s="1"/>
  <c r="FW9" i="4"/>
  <c r="FX9" i="4"/>
  <c r="FY9" i="4"/>
  <c r="FZ9" i="4"/>
  <c r="GA9" i="4"/>
  <c r="GB9" i="4"/>
  <c r="GC9" i="4"/>
  <c r="GD9" i="4"/>
  <c r="GE9" i="4"/>
  <c r="GF9" i="4"/>
  <c r="GG9" i="4"/>
  <c r="GH9" i="4"/>
  <c r="GI9" i="4"/>
  <c r="GJ9" i="4"/>
  <c r="GK9" i="4"/>
  <c r="GL9" i="4"/>
  <c r="GM9" i="4"/>
  <c r="GN9" i="4"/>
  <c r="GO9" i="4"/>
  <c r="GP9" i="4"/>
  <c r="GQ9" i="4"/>
  <c r="GR9" i="4"/>
  <c r="GS9" i="4"/>
  <c r="GT9" i="4"/>
  <c r="GU9" i="4"/>
  <c r="GV9" i="4"/>
  <c r="GW9" i="4"/>
  <c r="GX9" i="4"/>
  <c r="GY9" i="4"/>
  <c r="GZ9" i="4"/>
  <c r="HA9" i="4"/>
  <c r="HB9" i="4"/>
  <c r="HC9" i="4"/>
  <c r="HD9" i="4"/>
  <c r="HE9" i="4"/>
  <c r="HF9" i="4"/>
  <c r="HG9" i="4"/>
  <c r="HH9" i="4"/>
  <c r="HI9" i="4"/>
  <c r="HJ9" i="4"/>
  <c r="HK9" i="4"/>
  <c r="HL9" i="4"/>
  <c r="HM9" i="4"/>
  <c r="HN9" i="4"/>
  <c r="HO9" i="4"/>
  <c r="E10" i="4"/>
  <c r="D23" i="10" s="1"/>
  <c r="I10" i="4"/>
  <c r="AA10" i="4"/>
  <c r="AB10" i="4"/>
  <c r="AL10" i="4" s="1"/>
  <c r="AC10" i="4"/>
  <c r="AM10" i="4" s="1"/>
  <c r="AD10" i="4"/>
  <c r="AI10" i="4" s="1"/>
  <c r="AR10" i="4"/>
  <c r="AS10" i="4"/>
  <c r="CK10" i="4"/>
  <c r="CL10" i="4"/>
  <c r="CM10" i="4"/>
  <c r="CN10" i="4"/>
  <c r="ED10" i="4"/>
  <c r="EE10" i="4"/>
  <c r="EF10" i="4"/>
  <c r="EG10" i="4"/>
  <c r="EH10" i="4"/>
  <c r="EI10" i="4"/>
  <c r="EJ10" i="4"/>
  <c r="EK10" i="4"/>
  <c r="EL10" i="4"/>
  <c r="EM10" i="4"/>
  <c r="EN10" i="4"/>
  <c r="EO10" i="4"/>
  <c r="EP10" i="4"/>
  <c r="EQ10" i="4"/>
  <c r="ER10" i="4"/>
  <c r="ES10" i="4"/>
  <c r="ET10" i="4"/>
  <c r="EU10" i="4"/>
  <c r="EV10" i="4"/>
  <c r="EW10" i="4"/>
  <c r="EX10" i="4"/>
  <c r="EY10" i="4"/>
  <c r="EZ10" i="4"/>
  <c r="FA10" i="4"/>
  <c r="FB10" i="4"/>
  <c r="FC10" i="4"/>
  <c r="FD10" i="4"/>
  <c r="FE10" i="4"/>
  <c r="FF10" i="4"/>
  <c r="FG10" i="4"/>
  <c r="FH10" i="4"/>
  <c r="FI10" i="4"/>
  <c r="FJ10" i="4"/>
  <c r="FK10" i="4"/>
  <c r="FL10" i="4"/>
  <c r="FM10" i="4"/>
  <c r="FN10" i="4"/>
  <c r="FO10" i="4"/>
  <c r="FP10" i="4"/>
  <c r="FQ10" i="4"/>
  <c r="FR10" i="4"/>
  <c r="FS10" i="4"/>
  <c r="FT10" i="4"/>
  <c r="FU10" i="4"/>
  <c r="FV10" i="4"/>
  <c r="FW10" i="4"/>
  <c r="FX10" i="4"/>
  <c r="FY10" i="4"/>
  <c r="FZ10" i="4"/>
  <c r="GA10" i="4"/>
  <c r="GB10" i="4"/>
  <c r="GC10" i="4"/>
  <c r="GD10" i="4"/>
  <c r="GE10" i="4"/>
  <c r="GF10" i="4"/>
  <c r="GG10" i="4"/>
  <c r="GH10" i="4"/>
  <c r="GI10" i="4"/>
  <c r="GJ10" i="4"/>
  <c r="GK10" i="4"/>
  <c r="GL10" i="4"/>
  <c r="GM10" i="4"/>
  <c r="GN10" i="4"/>
  <c r="GO10" i="4"/>
  <c r="GP10" i="4"/>
  <c r="GQ10" i="4"/>
  <c r="GR10" i="4"/>
  <c r="GS10" i="4"/>
  <c r="GT10" i="4"/>
  <c r="GU10" i="4"/>
  <c r="GV10" i="4"/>
  <c r="GW10" i="4"/>
  <c r="GX10" i="4"/>
  <c r="GY10" i="4"/>
  <c r="GZ10" i="4"/>
  <c r="HA10" i="4"/>
  <c r="HB10" i="4"/>
  <c r="HC10" i="4"/>
  <c r="HD10" i="4"/>
  <c r="HE10" i="4"/>
  <c r="HF10" i="4"/>
  <c r="HG10" i="4"/>
  <c r="HH10" i="4"/>
  <c r="HI10" i="4"/>
  <c r="HJ10" i="4"/>
  <c r="HK10" i="4"/>
  <c r="HL10" i="4"/>
  <c r="HM10" i="4"/>
  <c r="HN10" i="4"/>
  <c r="HO10" i="4"/>
  <c r="E11" i="4"/>
  <c r="D24" i="10" s="1"/>
  <c r="G11" i="4"/>
  <c r="F24" i="10" s="1"/>
  <c r="I11" i="4"/>
  <c r="AA11" i="4"/>
  <c r="AB11" i="4"/>
  <c r="AL11" i="4" s="1"/>
  <c r="AC11" i="4"/>
  <c r="AH11" i="4" s="1"/>
  <c r="AD11" i="4"/>
  <c r="AR11" i="4"/>
  <c r="AS11" i="4"/>
  <c r="AT11" i="4"/>
  <c r="AU11" i="4"/>
  <c r="AV11" i="4"/>
  <c r="AW11" i="4"/>
  <c r="AX11" i="4"/>
  <c r="AY11" i="4"/>
  <c r="AZ11" i="4"/>
  <c r="BA11" i="4"/>
  <c r="BB11" i="4"/>
  <c r="BC11" i="4"/>
  <c r="BD11" i="4"/>
  <c r="BE11" i="4"/>
  <c r="BF11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CY11" i="4"/>
  <c r="CZ11" i="4"/>
  <c r="DA11" i="4"/>
  <c r="DB11" i="4"/>
  <c r="DC11" i="4"/>
  <c r="DD11" i="4"/>
  <c r="DE11" i="4"/>
  <c r="DF11" i="4"/>
  <c r="DG11" i="4"/>
  <c r="DH11" i="4"/>
  <c r="DI11" i="4"/>
  <c r="DJ11" i="4"/>
  <c r="DK11" i="4"/>
  <c r="DL11" i="4"/>
  <c r="DM11" i="4"/>
  <c r="DN11" i="4"/>
  <c r="DO11" i="4"/>
  <c r="DP11" i="4"/>
  <c r="DQ11" i="4"/>
  <c r="DR11" i="4"/>
  <c r="DS11" i="4"/>
  <c r="DT11" i="4"/>
  <c r="DU11" i="4"/>
  <c r="DV11" i="4"/>
  <c r="DW11" i="4"/>
  <c r="DX11" i="4"/>
  <c r="DY11" i="4"/>
  <c r="DZ11" i="4"/>
  <c r="EA11" i="4"/>
  <c r="EB11" i="4"/>
  <c r="EC11" i="4"/>
  <c r="ED11" i="4"/>
  <c r="EE11" i="4"/>
  <c r="EF11" i="4"/>
  <c r="EG11" i="4"/>
  <c r="EH11" i="4"/>
  <c r="EI11" i="4"/>
  <c r="EJ11" i="4"/>
  <c r="EK11" i="4"/>
  <c r="EL11" i="4"/>
  <c r="EM11" i="4"/>
  <c r="EN11" i="4"/>
  <c r="EO11" i="4"/>
  <c r="EP11" i="4"/>
  <c r="EQ11" i="4"/>
  <c r="ER11" i="4"/>
  <c r="ES11" i="4"/>
  <c r="ET11" i="4"/>
  <c r="EU11" i="4"/>
  <c r="EV11" i="4"/>
  <c r="EW11" i="4"/>
  <c r="EX11" i="4"/>
  <c r="EY11" i="4"/>
  <c r="EZ11" i="4"/>
  <c r="FA11" i="4"/>
  <c r="FB11" i="4"/>
  <c r="FC11" i="4"/>
  <c r="FD11" i="4"/>
  <c r="FE11" i="4"/>
  <c r="FF11" i="4"/>
  <c r="FG11" i="4"/>
  <c r="FH11" i="4"/>
  <c r="FI11" i="4"/>
  <c r="FJ11" i="4"/>
  <c r="FK11" i="4"/>
  <c r="FL11" i="4"/>
  <c r="FM11" i="4"/>
  <c r="FN11" i="4"/>
  <c r="FO11" i="4"/>
  <c r="FP11" i="4"/>
  <c r="FQ11" i="4"/>
  <c r="FR11" i="4"/>
  <c r="FS11" i="4"/>
  <c r="FT11" i="4"/>
  <c r="FU11" i="4"/>
  <c r="FV11" i="4"/>
  <c r="FW11" i="4"/>
  <c r="FX11" i="4"/>
  <c r="FY11" i="4"/>
  <c r="FZ11" i="4"/>
  <c r="GA11" i="4"/>
  <c r="GB11" i="4"/>
  <c r="GC11" i="4"/>
  <c r="GD11" i="4"/>
  <c r="GE11" i="4"/>
  <c r="GF11" i="4"/>
  <c r="GG11" i="4"/>
  <c r="GH11" i="4"/>
  <c r="GI11" i="4"/>
  <c r="GJ11" i="4"/>
  <c r="GK11" i="4"/>
  <c r="GL11" i="4"/>
  <c r="GM11" i="4"/>
  <c r="GN11" i="4"/>
  <c r="GO11" i="4"/>
  <c r="GP11" i="4"/>
  <c r="GQ11" i="4"/>
  <c r="GR11" i="4"/>
  <c r="GS11" i="4"/>
  <c r="GT11" i="4"/>
  <c r="GU11" i="4"/>
  <c r="GV11" i="4"/>
  <c r="GW11" i="4"/>
  <c r="GX11" i="4"/>
  <c r="GY11" i="4"/>
  <c r="GZ11" i="4"/>
  <c r="HA11" i="4"/>
  <c r="HB11" i="4"/>
  <c r="HC11" i="4"/>
  <c r="HD11" i="4"/>
  <c r="HE11" i="4"/>
  <c r="HF11" i="4"/>
  <c r="HG11" i="4"/>
  <c r="HH11" i="4"/>
  <c r="HI11" i="4"/>
  <c r="HJ11" i="4"/>
  <c r="HK11" i="4"/>
  <c r="HL11" i="4"/>
  <c r="HM11" i="4"/>
  <c r="HN11" i="4"/>
  <c r="HO11" i="4"/>
  <c r="E12" i="4"/>
  <c r="D25" i="10" s="1"/>
  <c r="G12" i="4"/>
  <c r="F25" i="10" s="1"/>
  <c r="I12" i="4"/>
  <c r="AA12" i="4"/>
  <c r="AB12" i="4"/>
  <c r="AL12" i="4" s="1"/>
  <c r="AC12" i="4"/>
  <c r="AM12" i="4" s="1"/>
  <c r="AD12" i="4"/>
  <c r="AI12" i="4" s="1"/>
  <c r="AR12" i="4"/>
  <c r="AS12" i="4"/>
  <c r="AT12" i="4"/>
  <c r="AU12" i="4"/>
  <c r="AV12" i="4"/>
  <c r="AW12" i="4"/>
  <c r="AX12" i="4"/>
  <c r="AY12" i="4"/>
  <c r="AZ12" i="4"/>
  <c r="BA12" i="4"/>
  <c r="BB12" i="4"/>
  <c r="BC12" i="4"/>
  <c r="BD12" i="4"/>
  <c r="BE12" i="4"/>
  <c r="BF12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CY12" i="4"/>
  <c r="CZ12" i="4"/>
  <c r="DA12" i="4"/>
  <c r="DB12" i="4"/>
  <c r="DC12" i="4"/>
  <c r="DD12" i="4"/>
  <c r="DE12" i="4"/>
  <c r="DF12" i="4"/>
  <c r="DG12" i="4"/>
  <c r="DH12" i="4"/>
  <c r="DI12" i="4"/>
  <c r="DJ12" i="4"/>
  <c r="DK12" i="4"/>
  <c r="DL12" i="4"/>
  <c r="DM12" i="4"/>
  <c r="DN12" i="4"/>
  <c r="DO12" i="4"/>
  <c r="DP12" i="4"/>
  <c r="DQ12" i="4"/>
  <c r="DR12" i="4"/>
  <c r="DS12" i="4"/>
  <c r="DT12" i="4"/>
  <c r="DU12" i="4"/>
  <c r="DV12" i="4"/>
  <c r="DW12" i="4"/>
  <c r="DX12" i="4"/>
  <c r="DY12" i="4"/>
  <c r="DZ12" i="4"/>
  <c r="EA12" i="4"/>
  <c r="EB12" i="4"/>
  <c r="EC12" i="4"/>
  <c r="ED12" i="4"/>
  <c r="EE12" i="4"/>
  <c r="EF12" i="4"/>
  <c r="EG12" i="4"/>
  <c r="EH12" i="4"/>
  <c r="EI12" i="4"/>
  <c r="EJ12" i="4"/>
  <c r="EK12" i="4"/>
  <c r="EL12" i="4"/>
  <c r="EM12" i="4"/>
  <c r="EN12" i="4"/>
  <c r="EO12" i="4"/>
  <c r="EP12" i="4"/>
  <c r="EQ12" i="4"/>
  <c r="ER12" i="4"/>
  <c r="ES12" i="4"/>
  <c r="ET12" i="4"/>
  <c r="EU12" i="4"/>
  <c r="EV12" i="4"/>
  <c r="EW12" i="4"/>
  <c r="EX12" i="4"/>
  <c r="EY12" i="4"/>
  <c r="EZ12" i="4"/>
  <c r="FA12" i="4"/>
  <c r="FB12" i="4"/>
  <c r="FC12" i="4"/>
  <c r="FD12" i="4"/>
  <c r="FE12" i="4"/>
  <c r="FF12" i="4"/>
  <c r="FG12" i="4"/>
  <c r="FH12" i="4"/>
  <c r="FI12" i="4"/>
  <c r="FJ12" i="4"/>
  <c r="FK12" i="4"/>
  <c r="FL12" i="4"/>
  <c r="FM12" i="4"/>
  <c r="FN12" i="4"/>
  <c r="FO12" i="4"/>
  <c r="FP12" i="4"/>
  <c r="FQ12" i="4"/>
  <c r="FR12" i="4"/>
  <c r="FS12" i="4"/>
  <c r="FT12" i="4"/>
  <c r="FU12" i="4"/>
  <c r="FV12" i="4"/>
  <c r="FW12" i="4"/>
  <c r="FX12" i="4"/>
  <c r="FY12" i="4"/>
  <c r="FZ12" i="4"/>
  <c r="GA12" i="4"/>
  <c r="GB12" i="4"/>
  <c r="GC12" i="4"/>
  <c r="GD12" i="4"/>
  <c r="GE12" i="4"/>
  <c r="GF12" i="4"/>
  <c r="GG12" i="4"/>
  <c r="GH12" i="4"/>
  <c r="GI12" i="4"/>
  <c r="GJ12" i="4"/>
  <c r="GK12" i="4"/>
  <c r="GL12" i="4"/>
  <c r="GM12" i="4"/>
  <c r="GN12" i="4"/>
  <c r="GO12" i="4"/>
  <c r="GP12" i="4"/>
  <c r="GQ12" i="4"/>
  <c r="GR12" i="4"/>
  <c r="GS12" i="4"/>
  <c r="GT12" i="4"/>
  <c r="GU12" i="4"/>
  <c r="GV12" i="4"/>
  <c r="GW12" i="4"/>
  <c r="GX12" i="4"/>
  <c r="GY12" i="4"/>
  <c r="GZ12" i="4"/>
  <c r="HA12" i="4"/>
  <c r="HB12" i="4"/>
  <c r="HC12" i="4"/>
  <c r="HD12" i="4"/>
  <c r="HE12" i="4"/>
  <c r="HF12" i="4"/>
  <c r="HG12" i="4"/>
  <c r="HH12" i="4"/>
  <c r="HI12" i="4"/>
  <c r="HJ12" i="4"/>
  <c r="HK12" i="4"/>
  <c r="HL12" i="4"/>
  <c r="HM12" i="4"/>
  <c r="HN12" i="4"/>
  <c r="HO12" i="4"/>
  <c r="E13" i="4"/>
  <c r="D26" i="10" s="1"/>
  <c r="G13" i="4"/>
  <c r="F26" i="10" s="1"/>
  <c r="I13" i="4"/>
  <c r="AA13" i="4"/>
  <c r="AB13" i="4"/>
  <c r="AL13" i="4" s="1"/>
  <c r="AC13" i="4"/>
  <c r="AH13" i="4" s="1"/>
  <c r="AD13" i="4"/>
  <c r="AN13" i="4" s="1"/>
  <c r="AR13" i="4"/>
  <c r="AS13" i="4"/>
  <c r="AT13" i="4"/>
  <c r="AU13" i="4"/>
  <c r="AV13" i="4"/>
  <c r="AW13" i="4"/>
  <c r="AX13" i="4"/>
  <c r="AY13" i="4"/>
  <c r="AZ13" i="4"/>
  <c r="BA13" i="4"/>
  <c r="BB13" i="4"/>
  <c r="BC13" i="4"/>
  <c r="BD13" i="4"/>
  <c r="BE13" i="4"/>
  <c r="BF13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CY13" i="4"/>
  <c r="CZ13" i="4"/>
  <c r="DA13" i="4"/>
  <c r="DB13" i="4"/>
  <c r="DC13" i="4"/>
  <c r="DD13" i="4"/>
  <c r="DE13" i="4"/>
  <c r="DF13" i="4"/>
  <c r="DG13" i="4"/>
  <c r="DH13" i="4"/>
  <c r="DI13" i="4"/>
  <c r="DJ13" i="4"/>
  <c r="DK13" i="4"/>
  <c r="DL13" i="4"/>
  <c r="DM13" i="4"/>
  <c r="DN13" i="4"/>
  <c r="DO13" i="4"/>
  <c r="DP13" i="4"/>
  <c r="DQ13" i="4"/>
  <c r="DR13" i="4"/>
  <c r="DS13" i="4"/>
  <c r="DT13" i="4"/>
  <c r="DU13" i="4"/>
  <c r="DV13" i="4"/>
  <c r="DW13" i="4"/>
  <c r="DX13" i="4"/>
  <c r="DY13" i="4"/>
  <c r="DZ13" i="4"/>
  <c r="EA13" i="4"/>
  <c r="EB13" i="4"/>
  <c r="EC13" i="4"/>
  <c r="ED13" i="4"/>
  <c r="EE13" i="4"/>
  <c r="EF13" i="4"/>
  <c r="EG13" i="4"/>
  <c r="EH13" i="4"/>
  <c r="EI13" i="4"/>
  <c r="EJ13" i="4"/>
  <c r="EK13" i="4"/>
  <c r="EL13" i="4"/>
  <c r="EM13" i="4"/>
  <c r="EN13" i="4"/>
  <c r="EO13" i="4"/>
  <c r="EP13" i="4"/>
  <c r="EQ13" i="4"/>
  <c r="ER13" i="4"/>
  <c r="ES13" i="4"/>
  <c r="ET13" i="4"/>
  <c r="EU13" i="4"/>
  <c r="EV13" i="4"/>
  <c r="EW13" i="4"/>
  <c r="EX13" i="4"/>
  <c r="EY13" i="4"/>
  <c r="EZ13" i="4"/>
  <c r="FA13" i="4"/>
  <c r="FB13" i="4"/>
  <c r="FC13" i="4"/>
  <c r="FD13" i="4"/>
  <c r="FE13" i="4"/>
  <c r="FF13" i="4"/>
  <c r="FG13" i="4"/>
  <c r="FH13" i="4"/>
  <c r="FI13" i="4"/>
  <c r="FJ13" i="4"/>
  <c r="FK13" i="4"/>
  <c r="FL13" i="4"/>
  <c r="FM13" i="4"/>
  <c r="FN13" i="4"/>
  <c r="FO13" i="4"/>
  <c r="FP13" i="4"/>
  <c r="FQ13" i="4"/>
  <c r="FR13" i="4"/>
  <c r="FS13" i="4"/>
  <c r="FT13" i="4"/>
  <c r="FU13" i="4"/>
  <c r="FV13" i="4"/>
  <c r="FW13" i="4"/>
  <c r="FX13" i="4"/>
  <c r="FY13" i="4"/>
  <c r="FZ13" i="4"/>
  <c r="GA13" i="4"/>
  <c r="GB13" i="4"/>
  <c r="GC13" i="4"/>
  <c r="GD13" i="4"/>
  <c r="GE13" i="4"/>
  <c r="GF13" i="4"/>
  <c r="GG13" i="4"/>
  <c r="GH13" i="4"/>
  <c r="GI13" i="4"/>
  <c r="GJ13" i="4"/>
  <c r="GK13" i="4"/>
  <c r="GL13" i="4"/>
  <c r="GM13" i="4"/>
  <c r="GN13" i="4"/>
  <c r="GO13" i="4"/>
  <c r="GP13" i="4"/>
  <c r="GQ13" i="4"/>
  <c r="GR13" i="4"/>
  <c r="GS13" i="4"/>
  <c r="GT13" i="4"/>
  <c r="GU13" i="4"/>
  <c r="GV13" i="4"/>
  <c r="GW13" i="4"/>
  <c r="GX13" i="4"/>
  <c r="GY13" i="4"/>
  <c r="GZ13" i="4"/>
  <c r="HA13" i="4"/>
  <c r="HB13" i="4"/>
  <c r="HC13" i="4"/>
  <c r="HD13" i="4"/>
  <c r="HE13" i="4"/>
  <c r="HF13" i="4"/>
  <c r="HG13" i="4"/>
  <c r="HH13" i="4"/>
  <c r="HI13" i="4"/>
  <c r="HJ13" i="4"/>
  <c r="HK13" i="4"/>
  <c r="HL13" i="4"/>
  <c r="HM13" i="4"/>
  <c r="HN13" i="4"/>
  <c r="HO13" i="4"/>
  <c r="E14" i="4"/>
  <c r="D27" i="10" s="1"/>
  <c r="G14" i="4"/>
  <c r="F27" i="10" s="1"/>
  <c r="I14" i="4"/>
  <c r="AA14" i="4"/>
  <c r="AB14" i="4"/>
  <c r="AG14" i="4" s="1"/>
  <c r="AC14" i="4"/>
  <c r="AH14" i="4" s="1"/>
  <c r="AD14" i="4"/>
  <c r="AR14" i="4"/>
  <c r="AS14" i="4"/>
  <c r="AT14" i="4"/>
  <c r="AU14" i="4"/>
  <c r="AV14" i="4"/>
  <c r="AW14" i="4"/>
  <c r="AX14" i="4"/>
  <c r="AY14" i="4"/>
  <c r="AZ14" i="4"/>
  <c r="BA14" i="4"/>
  <c r="BB14" i="4"/>
  <c r="BC14" i="4"/>
  <c r="BD14" i="4"/>
  <c r="BE14" i="4"/>
  <c r="BF14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CY14" i="4"/>
  <c r="CZ14" i="4"/>
  <c r="DA14" i="4"/>
  <c r="DB14" i="4"/>
  <c r="DC14" i="4"/>
  <c r="DD14" i="4"/>
  <c r="DE14" i="4"/>
  <c r="DF14" i="4"/>
  <c r="DG14" i="4"/>
  <c r="DH14" i="4"/>
  <c r="DI14" i="4"/>
  <c r="DJ14" i="4"/>
  <c r="DK14" i="4"/>
  <c r="DL14" i="4"/>
  <c r="DM14" i="4"/>
  <c r="DN14" i="4"/>
  <c r="DO14" i="4"/>
  <c r="DP14" i="4"/>
  <c r="DQ14" i="4"/>
  <c r="DR14" i="4"/>
  <c r="DS14" i="4"/>
  <c r="DT14" i="4"/>
  <c r="DU14" i="4"/>
  <c r="DV14" i="4"/>
  <c r="DW14" i="4"/>
  <c r="DX14" i="4"/>
  <c r="DY14" i="4"/>
  <c r="DZ14" i="4"/>
  <c r="EA14" i="4"/>
  <c r="EB14" i="4"/>
  <c r="EC14" i="4"/>
  <c r="ED14" i="4"/>
  <c r="EE14" i="4"/>
  <c r="EF14" i="4"/>
  <c r="EG14" i="4"/>
  <c r="EH14" i="4"/>
  <c r="EI14" i="4"/>
  <c r="EJ14" i="4"/>
  <c r="EK14" i="4"/>
  <c r="EL14" i="4"/>
  <c r="EM14" i="4"/>
  <c r="EN14" i="4"/>
  <c r="EO14" i="4"/>
  <c r="EP14" i="4"/>
  <c r="EQ14" i="4"/>
  <c r="ER14" i="4"/>
  <c r="ES14" i="4"/>
  <c r="ET14" i="4"/>
  <c r="EU14" i="4"/>
  <c r="EV14" i="4"/>
  <c r="EW14" i="4"/>
  <c r="EX14" i="4"/>
  <c r="EY14" i="4"/>
  <c r="EZ14" i="4"/>
  <c r="FA14" i="4"/>
  <c r="FB14" i="4"/>
  <c r="FC14" i="4"/>
  <c r="FD14" i="4"/>
  <c r="FE14" i="4"/>
  <c r="FF14" i="4"/>
  <c r="FG14" i="4"/>
  <c r="FH14" i="4"/>
  <c r="FI14" i="4"/>
  <c r="FJ14" i="4"/>
  <c r="FK14" i="4"/>
  <c r="FL14" i="4"/>
  <c r="FM14" i="4"/>
  <c r="FN14" i="4"/>
  <c r="FO14" i="4"/>
  <c r="FP14" i="4"/>
  <c r="FQ14" i="4"/>
  <c r="FR14" i="4"/>
  <c r="FS14" i="4"/>
  <c r="FT14" i="4"/>
  <c r="FU14" i="4"/>
  <c r="FV14" i="4"/>
  <c r="FW14" i="4"/>
  <c r="FX14" i="4"/>
  <c r="FY14" i="4"/>
  <c r="FZ14" i="4"/>
  <c r="GA14" i="4"/>
  <c r="GB14" i="4"/>
  <c r="GC14" i="4"/>
  <c r="GD14" i="4"/>
  <c r="GE14" i="4"/>
  <c r="GF14" i="4"/>
  <c r="GG14" i="4"/>
  <c r="GH14" i="4"/>
  <c r="GI14" i="4"/>
  <c r="GJ14" i="4"/>
  <c r="GK14" i="4"/>
  <c r="GL14" i="4"/>
  <c r="GM14" i="4"/>
  <c r="GN14" i="4"/>
  <c r="GO14" i="4"/>
  <c r="GP14" i="4"/>
  <c r="GQ14" i="4"/>
  <c r="GR14" i="4"/>
  <c r="GS14" i="4"/>
  <c r="GT14" i="4"/>
  <c r="GU14" i="4"/>
  <c r="GV14" i="4"/>
  <c r="GW14" i="4"/>
  <c r="GX14" i="4"/>
  <c r="GY14" i="4"/>
  <c r="GZ14" i="4"/>
  <c r="HA14" i="4"/>
  <c r="HB14" i="4"/>
  <c r="HC14" i="4"/>
  <c r="HD14" i="4"/>
  <c r="HE14" i="4"/>
  <c r="HF14" i="4"/>
  <c r="HG14" i="4"/>
  <c r="HH14" i="4"/>
  <c r="HI14" i="4"/>
  <c r="HJ14" i="4"/>
  <c r="HK14" i="4"/>
  <c r="HL14" i="4"/>
  <c r="HM14" i="4"/>
  <c r="HN14" i="4"/>
  <c r="HO14" i="4"/>
  <c r="E15" i="4"/>
  <c r="D28" i="10" s="1"/>
  <c r="G15" i="4"/>
  <c r="F28" i="10" s="1"/>
  <c r="I15" i="4"/>
  <c r="AA15" i="4"/>
  <c r="AB15" i="4"/>
  <c r="AL15" i="4" s="1"/>
  <c r="AC15" i="4"/>
  <c r="AM15" i="4" s="1"/>
  <c r="AD15" i="4"/>
  <c r="AN15" i="4" s="1"/>
  <c r="AR15" i="4"/>
  <c r="AS15" i="4"/>
  <c r="AT15" i="4"/>
  <c r="AU15" i="4"/>
  <c r="AV15" i="4"/>
  <c r="AW15" i="4"/>
  <c r="AX15" i="4"/>
  <c r="AY15" i="4"/>
  <c r="AZ15" i="4"/>
  <c r="BA15" i="4"/>
  <c r="BB15" i="4"/>
  <c r="BC15" i="4"/>
  <c r="BD15" i="4"/>
  <c r="BE15" i="4"/>
  <c r="BF15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CY15" i="4"/>
  <c r="CZ15" i="4"/>
  <c r="DA15" i="4"/>
  <c r="DB15" i="4"/>
  <c r="DC15" i="4"/>
  <c r="DD15" i="4"/>
  <c r="DE15" i="4"/>
  <c r="DF15" i="4"/>
  <c r="DG15" i="4"/>
  <c r="DH15" i="4"/>
  <c r="DI15" i="4"/>
  <c r="DJ15" i="4"/>
  <c r="DK15" i="4"/>
  <c r="DL15" i="4"/>
  <c r="DM15" i="4"/>
  <c r="DN15" i="4"/>
  <c r="DO15" i="4"/>
  <c r="DP15" i="4"/>
  <c r="DQ15" i="4"/>
  <c r="DR15" i="4"/>
  <c r="DS15" i="4"/>
  <c r="DT15" i="4"/>
  <c r="DU15" i="4"/>
  <c r="DV15" i="4"/>
  <c r="DW15" i="4"/>
  <c r="DX15" i="4"/>
  <c r="DY15" i="4"/>
  <c r="DZ15" i="4"/>
  <c r="EA15" i="4"/>
  <c r="EB15" i="4"/>
  <c r="EC15" i="4"/>
  <c r="ED15" i="4"/>
  <c r="EE15" i="4"/>
  <c r="EF15" i="4"/>
  <c r="EG15" i="4"/>
  <c r="EH15" i="4"/>
  <c r="EI15" i="4"/>
  <c r="EJ15" i="4"/>
  <c r="EK15" i="4"/>
  <c r="EL15" i="4"/>
  <c r="EM15" i="4"/>
  <c r="EN15" i="4"/>
  <c r="EO15" i="4"/>
  <c r="EP15" i="4"/>
  <c r="EQ15" i="4"/>
  <c r="ER15" i="4"/>
  <c r="ES15" i="4"/>
  <c r="ET15" i="4"/>
  <c r="EU15" i="4"/>
  <c r="EV15" i="4"/>
  <c r="EW15" i="4"/>
  <c r="EX15" i="4"/>
  <c r="EY15" i="4"/>
  <c r="EZ15" i="4"/>
  <c r="FA15" i="4"/>
  <c r="FB15" i="4"/>
  <c r="FC15" i="4"/>
  <c r="FD15" i="4"/>
  <c r="FE15" i="4"/>
  <c r="FF15" i="4"/>
  <c r="FG15" i="4"/>
  <c r="FH15" i="4"/>
  <c r="FI15" i="4"/>
  <c r="FJ15" i="4"/>
  <c r="FK15" i="4"/>
  <c r="FL15" i="4"/>
  <c r="FM15" i="4"/>
  <c r="FN15" i="4"/>
  <c r="FO15" i="4"/>
  <c r="FP15" i="4"/>
  <c r="FQ15" i="4"/>
  <c r="FR15" i="4"/>
  <c r="FS15" i="4"/>
  <c r="FT15" i="4"/>
  <c r="FU15" i="4"/>
  <c r="FV15" i="4"/>
  <c r="FW15" i="4"/>
  <c r="FX15" i="4"/>
  <c r="FY15" i="4"/>
  <c r="FZ15" i="4"/>
  <c r="GA15" i="4"/>
  <c r="GB15" i="4"/>
  <c r="GC15" i="4"/>
  <c r="GD15" i="4"/>
  <c r="GE15" i="4"/>
  <c r="GF15" i="4"/>
  <c r="GG15" i="4"/>
  <c r="GH15" i="4"/>
  <c r="GI15" i="4"/>
  <c r="GJ15" i="4"/>
  <c r="GK15" i="4"/>
  <c r="GL15" i="4"/>
  <c r="GM15" i="4"/>
  <c r="GN15" i="4"/>
  <c r="GO15" i="4"/>
  <c r="GP15" i="4"/>
  <c r="GQ15" i="4"/>
  <c r="GR15" i="4"/>
  <c r="GS15" i="4"/>
  <c r="GT15" i="4"/>
  <c r="GU15" i="4"/>
  <c r="GV15" i="4"/>
  <c r="GW15" i="4"/>
  <c r="GX15" i="4"/>
  <c r="GY15" i="4"/>
  <c r="GZ15" i="4"/>
  <c r="HA15" i="4"/>
  <c r="HB15" i="4"/>
  <c r="HC15" i="4"/>
  <c r="HD15" i="4"/>
  <c r="HE15" i="4"/>
  <c r="HF15" i="4"/>
  <c r="HG15" i="4"/>
  <c r="HH15" i="4"/>
  <c r="HI15" i="4"/>
  <c r="HJ15" i="4"/>
  <c r="HK15" i="4"/>
  <c r="HL15" i="4"/>
  <c r="HM15" i="4"/>
  <c r="HN15" i="4"/>
  <c r="HO15" i="4"/>
  <c r="E16" i="4"/>
  <c r="D29" i="10" s="1"/>
  <c r="G16" i="4"/>
  <c r="F29" i="10" s="1"/>
  <c r="I16" i="4"/>
  <c r="AA16" i="4"/>
  <c r="AB16" i="4"/>
  <c r="AG16" i="4" s="1"/>
  <c r="AC16" i="4"/>
  <c r="AH16" i="4" s="1"/>
  <c r="AD16" i="4"/>
  <c r="AI16" i="4" s="1"/>
  <c r="AR16" i="4"/>
  <c r="AS16" i="4"/>
  <c r="AT16" i="4"/>
  <c r="AU16" i="4"/>
  <c r="AV16" i="4"/>
  <c r="AW16" i="4"/>
  <c r="AX16" i="4"/>
  <c r="AY16" i="4"/>
  <c r="AZ16" i="4"/>
  <c r="BA16" i="4"/>
  <c r="BB16" i="4"/>
  <c r="BC16" i="4"/>
  <c r="BD16" i="4"/>
  <c r="BE16" i="4"/>
  <c r="BF16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CY16" i="4"/>
  <c r="CZ16" i="4"/>
  <c r="DA16" i="4"/>
  <c r="DB16" i="4"/>
  <c r="DC16" i="4"/>
  <c r="DD16" i="4"/>
  <c r="DE16" i="4"/>
  <c r="DF16" i="4"/>
  <c r="DG16" i="4"/>
  <c r="DH16" i="4"/>
  <c r="DI16" i="4"/>
  <c r="DJ16" i="4"/>
  <c r="DK16" i="4"/>
  <c r="DL16" i="4"/>
  <c r="DM16" i="4"/>
  <c r="DN16" i="4"/>
  <c r="DO16" i="4"/>
  <c r="DP16" i="4"/>
  <c r="DQ16" i="4"/>
  <c r="DR16" i="4"/>
  <c r="DS16" i="4"/>
  <c r="DT16" i="4"/>
  <c r="DU16" i="4"/>
  <c r="DV16" i="4"/>
  <c r="DW16" i="4"/>
  <c r="DX16" i="4"/>
  <c r="DY16" i="4"/>
  <c r="DZ16" i="4"/>
  <c r="EA16" i="4"/>
  <c r="EB16" i="4"/>
  <c r="EC16" i="4"/>
  <c r="ED16" i="4"/>
  <c r="EE16" i="4"/>
  <c r="EF16" i="4"/>
  <c r="EG16" i="4"/>
  <c r="EH16" i="4"/>
  <c r="EI16" i="4"/>
  <c r="EJ16" i="4"/>
  <c r="EK16" i="4"/>
  <c r="EL16" i="4"/>
  <c r="EM16" i="4"/>
  <c r="EN16" i="4"/>
  <c r="EO16" i="4"/>
  <c r="EP16" i="4"/>
  <c r="EQ16" i="4"/>
  <c r="ER16" i="4"/>
  <c r="ES16" i="4"/>
  <c r="ET16" i="4"/>
  <c r="EU16" i="4"/>
  <c r="EV16" i="4"/>
  <c r="EW16" i="4"/>
  <c r="EX16" i="4"/>
  <c r="EY16" i="4"/>
  <c r="EZ16" i="4"/>
  <c r="FA16" i="4"/>
  <c r="FB16" i="4"/>
  <c r="FC16" i="4"/>
  <c r="FD16" i="4"/>
  <c r="FE16" i="4"/>
  <c r="FF16" i="4"/>
  <c r="FG16" i="4"/>
  <c r="FH16" i="4"/>
  <c r="FI16" i="4"/>
  <c r="FJ16" i="4"/>
  <c r="FK16" i="4"/>
  <c r="FL16" i="4"/>
  <c r="FM16" i="4"/>
  <c r="FN16" i="4"/>
  <c r="FO16" i="4"/>
  <c r="FP16" i="4"/>
  <c r="FQ16" i="4"/>
  <c r="FR16" i="4"/>
  <c r="FS16" i="4"/>
  <c r="FT16" i="4"/>
  <c r="FU16" i="4"/>
  <c r="FV16" i="4"/>
  <c r="FW16" i="4"/>
  <c r="FX16" i="4"/>
  <c r="FY16" i="4"/>
  <c r="FZ16" i="4"/>
  <c r="GA16" i="4"/>
  <c r="GB16" i="4"/>
  <c r="GC16" i="4"/>
  <c r="GD16" i="4"/>
  <c r="GE16" i="4"/>
  <c r="GF16" i="4"/>
  <c r="GG16" i="4"/>
  <c r="GH16" i="4"/>
  <c r="GI16" i="4"/>
  <c r="GJ16" i="4"/>
  <c r="GK16" i="4"/>
  <c r="GL16" i="4"/>
  <c r="GM16" i="4"/>
  <c r="GN16" i="4"/>
  <c r="GO16" i="4"/>
  <c r="GP16" i="4"/>
  <c r="GQ16" i="4"/>
  <c r="GR16" i="4"/>
  <c r="GS16" i="4"/>
  <c r="GT16" i="4"/>
  <c r="GU16" i="4"/>
  <c r="GV16" i="4"/>
  <c r="GW16" i="4"/>
  <c r="GX16" i="4"/>
  <c r="GY16" i="4"/>
  <c r="GZ16" i="4"/>
  <c r="HA16" i="4"/>
  <c r="HB16" i="4"/>
  <c r="HC16" i="4"/>
  <c r="HD16" i="4"/>
  <c r="HE16" i="4"/>
  <c r="HF16" i="4"/>
  <c r="HG16" i="4"/>
  <c r="HH16" i="4"/>
  <c r="HI16" i="4"/>
  <c r="HJ16" i="4"/>
  <c r="HK16" i="4"/>
  <c r="HL16" i="4"/>
  <c r="HM16" i="4"/>
  <c r="HN16" i="4"/>
  <c r="HO16" i="4"/>
  <c r="E17" i="4"/>
  <c r="D30" i="10" s="1"/>
  <c r="G17" i="4"/>
  <c r="F30" i="10" s="1"/>
  <c r="I17" i="4"/>
  <c r="AA17" i="4"/>
  <c r="AB17" i="4"/>
  <c r="AG17" i="4" s="1"/>
  <c r="AC17" i="4"/>
  <c r="AM17" i="4" s="1"/>
  <c r="AD17" i="4"/>
  <c r="AN17" i="4" s="1"/>
  <c r="AR17" i="4"/>
  <c r="AS17" i="4"/>
  <c r="AT17" i="4"/>
  <c r="AU17" i="4"/>
  <c r="AV17" i="4"/>
  <c r="AW17" i="4"/>
  <c r="AX17" i="4"/>
  <c r="AY17" i="4"/>
  <c r="AZ17" i="4"/>
  <c r="BA17" i="4"/>
  <c r="BB17" i="4"/>
  <c r="BC17" i="4"/>
  <c r="BD17" i="4"/>
  <c r="BE17" i="4"/>
  <c r="BF17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CY17" i="4"/>
  <c r="CZ17" i="4"/>
  <c r="DA17" i="4"/>
  <c r="DB17" i="4"/>
  <c r="DC17" i="4"/>
  <c r="DD17" i="4"/>
  <c r="DE17" i="4"/>
  <c r="DF17" i="4"/>
  <c r="DG17" i="4"/>
  <c r="DH17" i="4"/>
  <c r="DI17" i="4"/>
  <c r="DJ17" i="4"/>
  <c r="DK17" i="4"/>
  <c r="DL17" i="4"/>
  <c r="DM17" i="4"/>
  <c r="DN17" i="4"/>
  <c r="DO17" i="4"/>
  <c r="DP17" i="4"/>
  <c r="DQ17" i="4"/>
  <c r="DR17" i="4"/>
  <c r="DS17" i="4"/>
  <c r="DT17" i="4"/>
  <c r="DU17" i="4"/>
  <c r="DV17" i="4"/>
  <c r="DW17" i="4"/>
  <c r="DX17" i="4"/>
  <c r="DY17" i="4"/>
  <c r="DZ17" i="4"/>
  <c r="EA17" i="4"/>
  <c r="EB17" i="4"/>
  <c r="EC17" i="4"/>
  <c r="ED17" i="4"/>
  <c r="EE17" i="4"/>
  <c r="EF17" i="4"/>
  <c r="EG17" i="4"/>
  <c r="EH17" i="4"/>
  <c r="EI17" i="4"/>
  <c r="EJ17" i="4"/>
  <c r="EK17" i="4"/>
  <c r="EL17" i="4"/>
  <c r="EM17" i="4"/>
  <c r="EN17" i="4"/>
  <c r="EO17" i="4"/>
  <c r="EP17" i="4"/>
  <c r="EQ17" i="4"/>
  <c r="ER17" i="4"/>
  <c r="ES17" i="4"/>
  <c r="ET17" i="4"/>
  <c r="EU17" i="4"/>
  <c r="EV17" i="4"/>
  <c r="EW17" i="4"/>
  <c r="EX17" i="4"/>
  <c r="EY17" i="4"/>
  <c r="EZ17" i="4"/>
  <c r="FA17" i="4"/>
  <c r="FB17" i="4"/>
  <c r="FC17" i="4"/>
  <c r="FD17" i="4"/>
  <c r="FE17" i="4"/>
  <c r="FF17" i="4"/>
  <c r="FG17" i="4"/>
  <c r="FH17" i="4"/>
  <c r="FI17" i="4"/>
  <c r="FJ17" i="4"/>
  <c r="FK17" i="4"/>
  <c r="FL17" i="4"/>
  <c r="FM17" i="4"/>
  <c r="FN17" i="4"/>
  <c r="FO17" i="4"/>
  <c r="FP17" i="4"/>
  <c r="FQ17" i="4"/>
  <c r="FR17" i="4"/>
  <c r="FS17" i="4"/>
  <c r="FT17" i="4"/>
  <c r="FU17" i="4"/>
  <c r="FV17" i="4"/>
  <c r="FW17" i="4"/>
  <c r="FX17" i="4"/>
  <c r="FY17" i="4"/>
  <c r="FZ17" i="4"/>
  <c r="GA17" i="4"/>
  <c r="GB17" i="4"/>
  <c r="GC17" i="4"/>
  <c r="GD17" i="4"/>
  <c r="GE17" i="4"/>
  <c r="GF17" i="4"/>
  <c r="GG17" i="4"/>
  <c r="GH17" i="4"/>
  <c r="GI17" i="4"/>
  <c r="GJ17" i="4"/>
  <c r="GK17" i="4"/>
  <c r="GL17" i="4"/>
  <c r="GM17" i="4"/>
  <c r="GN17" i="4"/>
  <c r="GO17" i="4"/>
  <c r="GP17" i="4"/>
  <c r="GQ17" i="4"/>
  <c r="GR17" i="4"/>
  <c r="GS17" i="4"/>
  <c r="GT17" i="4"/>
  <c r="GU17" i="4"/>
  <c r="GV17" i="4"/>
  <c r="GW17" i="4"/>
  <c r="GX17" i="4"/>
  <c r="GY17" i="4"/>
  <c r="GZ17" i="4"/>
  <c r="HA17" i="4"/>
  <c r="HB17" i="4"/>
  <c r="HC17" i="4"/>
  <c r="HD17" i="4"/>
  <c r="HE17" i="4"/>
  <c r="HF17" i="4"/>
  <c r="HG17" i="4"/>
  <c r="HH17" i="4"/>
  <c r="HI17" i="4"/>
  <c r="HJ17" i="4"/>
  <c r="HK17" i="4"/>
  <c r="HL17" i="4"/>
  <c r="HM17" i="4"/>
  <c r="HN17" i="4"/>
  <c r="HO17" i="4"/>
  <c r="E18" i="4"/>
  <c r="D31" i="10" s="1"/>
  <c r="G18" i="4"/>
  <c r="F31" i="10" s="1"/>
  <c r="I18" i="4"/>
  <c r="AA18" i="4"/>
  <c r="AB18" i="4"/>
  <c r="AG18" i="4" s="1"/>
  <c r="AC18" i="4"/>
  <c r="AH18" i="4" s="1"/>
  <c r="AD18" i="4"/>
  <c r="AR18" i="4"/>
  <c r="AS18" i="4"/>
  <c r="AT18" i="4"/>
  <c r="AU18" i="4"/>
  <c r="AV18" i="4"/>
  <c r="AW18" i="4"/>
  <c r="AX18" i="4"/>
  <c r="AY18" i="4"/>
  <c r="AZ18" i="4"/>
  <c r="BA18" i="4"/>
  <c r="BB18" i="4"/>
  <c r="BC18" i="4"/>
  <c r="BD18" i="4"/>
  <c r="BE18" i="4"/>
  <c r="BF18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CY18" i="4"/>
  <c r="CZ18" i="4"/>
  <c r="DA18" i="4"/>
  <c r="DB18" i="4"/>
  <c r="DC18" i="4"/>
  <c r="DD18" i="4"/>
  <c r="DE18" i="4"/>
  <c r="DF18" i="4"/>
  <c r="DG18" i="4"/>
  <c r="DH18" i="4"/>
  <c r="DI18" i="4"/>
  <c r="DJ18" i="4"/>
  <c r="DK18" i="4"/>
  <c r="DL18" i="4"/>
  <c r="DM18" i="4"/>
  <c r="DN18" i="4"/>
  <c r="DO18" i="4"/>
  <c r="DP18" i="4"/>
  <c r="DQ18" i="4"/>
  <c r="DR18" i="4"/>
  <c r="DS18" i="4"/>
  <c r="DT18" i="4"/>
  <c r="DU18" i="4"/>
  <c r="DV18" i="4"/>
  <c r="DW18" i="4"/>
  <c r="DX18" i="4"/>
  <c r="DY18" i="4"/>
  <c r="DZ18" i="4"/>
  <c r="EA18" i="4"/>
  <c r="EB18" i="4"/>
  <c r="EC18" i="4"/>
  <c r="ED18" i="4"/>
  <c r="EE18" i="4"/>
  <c r="EF18" i="4"/>
  <c r="EG18" i="4"/>
  <c r="EH18" i="4"/>
  <c r="EI18" i="4"/>
  <c r="EJ18" i="4"/>
  <c r="EK18" i="4"/>
  <c r="EL18" i="4"/>
  <c r="EM18" i="4"/>
  <c r="EN18" i="4"/>
  <c r="EO18" i="4"/>
  <c r="EP18" i="4"/>
  <c r="EQ18" i="4"/>
  <c r="ER18" i="4"/>
  <c r="ES18" i="4"/>
  <c r="ET18" i="4"/>
  <c r="EU18" i="4"/>
  <c r="EV18" i="4"/>
  <c r="EW18" i="4"/>
  <c r="EX18" i="4"/>
  <c r="EY18" i="4"/>
  <c r="EZ18" i="4"/>
  <c r="FA18" i="4"/>
  <c r="FB18" i="4"/>
  <c r="FC18" i="4"/>
  <c r="FD18" i="4"/>
  <c r="FE18" i="4"/>
  <c r="FF18" i="4"/>
  <c r="FG18" i="4"/>
  <c r="FH18" i="4"/>
  <c r="FI18" i="4"/>
  <c r="FJ18" i="4"/>
  <c r="FK18" i="4"/>
  <c r="FL18" i="4"/>
  <c r="FM18" i="4"/>
  <c r="FN18" i="4"/>
  <c r="FO18" i="4"/>
  <c r="FP18" i="4"/>
  <c r="FQ18" i="4"/>
  <c r="FR18" i="4"/>
  <c r="FS18" i="4"/>
  <c r="FT18" i="4"/>
  <c r="FU18" i="4"/>
  <c r="FV18" i="4"/>
  <c r="FW18" i="4"/>
  <c r="FX18" i="4"/>
  <c r="FY18" i="4"/>
  <c r="FZ18" i="4"/>
  <c r="GA18" i="4"/>
  <c r="GB18" i="4"/>
  <c r="GC18" i="4"/>
  <c r="GD18" i="4"/>
  <c r="GE18" i="4"/>
  <c r="GF18" i="4"/>
  <c r="GG18" i="4"/>
  <c r="GH18" i="4"/>
  <c r="GI18" i="4"/>
  <c r="GJ18" i="4"/>
  <c r="GK18" i="4"/>
  <c r="GL18" i="4"/>
  <c r="GM18" i="4"/>
  <c r="GN18" i="4"/>
  <c r="GO18" i="4"/>
  <c r="GP18" i="4"/>
  <c r="GQ18" i="4"/>
  <c r="GR18" i="4"/>
  <c r="GS18" i="4"/>
  <c r="GT18" i="4"/>
  <c r="GU18" i="4"/>
  <c r="GV18" i="4"/>
  <c r="GW18" i="4"/>
  <c r="GX18" i="4"/>
  <c r="GY18" i="4"/>
  <c r="GZ18" i="4"/>
  <c r="HA18" i="4"/>
  <c r="HB18" i="4"/>
  <c r="HC18" i="4"/>
  <c r="HD18" i="4"/>
  <c r="HE18" i="4"/>
  <c r="HF18" i="4"/>
  <c r="HG18" i="4"/>
  <c r="HH18" i="4"/>
  <c r="HI18" i="4"/>
  <c r="HJ18" i="4"/>
  <c r="HK18" i="4"/>
  <c r="HL18" i="4"/>
  <c r="HM18" i="4"/>
  <c r="HN18" i="4"/>
  <c r="HO18" i="4"/>
  <c r="E19" i="4"/>
  <c r="D32" i="10" s="1"/>
  <c r="G19" i="4"/>
  <c r="F32" i="10" s="1"/>
  <c r="I19" i="4"/>
  <c r="AA19" i="4"/>
  <c r="AB19" i="4"/>
  <c r="AG19" i="4" s="1"/>
  <c r="AC19" i="4"/>
  <c r="AM19" i="4" s="1"/>
  <c r="AD19" i="4"/>
  <c r="AR19" i="4"/>
  <c r="AS19" i="4"/>
  <c r="AT19" i="4"/>
  <c r="AU19" i="4"/>
  <c r="AV19" i="4"/>
  <c r="AW19" i="4"/>
  <c r="AX19" i="4"/>
  <c r="AY19" i="4"/>
  <c r="AZ19" i="4"/>
  <c r="BA19" i="4"/>
  <c r="BB19" i="4"/>
  <c r="BC19" i="4"/>
  <c r="BD19" i="4"/>
  <c r="BE19" i="4"/>
  <c r="BF19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CY19" i="4"/>
  <c r="CZ19" i="4"/>
  <c r="DA19" i="4"/>
  <c r="DB19" i="4"/>
  <c r="DC19" i="4"/>
  <c r="DD19" i="4"/>
  <c r="DE19" i="4"/>
  <c r="DF19" i="4"/>
  <c r="DG19" i="4"/>
  <c r="DH19" i="4"/>
  <c r="DI19" i="4"/>
  <c r="DJ19" i="4"/>
  <c r="DK19" i="4"/>
  <c r="DL19" i="4"/>
  <c r="DM19" i="4"/>
  <c r="DN19" i="4"/>
  <c r="DO19" i="4"/>
  <c r="DP19" i="4"/>
  <c r="DQ19" i="4"/>
  <c r="DR19" i="4"/>
  <c r="DS19" i="4"/>
  <c r="DT19" i="4"/>
  <c r="DU19" i="4"/>
  <c r="DV19" i="4"/>
  <c r="DW19" i="4"/>
  <c r="DX19" i="4"/>
  <c r="DY19" i="4"/>
  <c r="DZ19" i="4"/>
  <c r="EA19" i="4"/>
  <c r="EB19" i="4"/>
  <c r="EC19" i="4"/>
  <c r="ED19" i="4"/>
  <c r="EE19" i="4"/>
  <c r="EF19" i="4"/>
  <c r="EG19" i="4"/>
  <c r="EH19" i="4"/>
  <c r="EI19" i="4"/>
  <c r="EJ19" i="4"/>
  <c r="EK19" i="4"/>
  <c r="EL19" i="4"/>
  <c r="EM19" i="4"/>
  <c r="EN19" i="4"/>
  <c r="EO19" i="4"/>
  <c r="EP19" i="4"/>
  <c r="EQ19" i="4"/>
  <c r="ER19" i="4"/>
  <c r="ES19" i="4"/>
  <c r="ET19" i="4"/>
  <c r="EU19" i="4"/>
  <c r="EV19" i="4"/>
  <c r="EW19" i="4"/>
  <c r="EX19" i="4"/>
  <c r="EY19" i="4"/>
  <c r="EZ19" i="4"/>
  <c r="FA19" i="4"/>
  <c r="FB19" i="4"/>
  <c r="FC19" i="4"/>
  <c r="FD19" i="4"/>
  <c r="FE19" i="4"/>
  <c r="FF19" i="4"/>
  <c r="FG19" i="4"/>
  <c r="FH19" i="4"/>
  <c r="FI19" i="4"/>
  <c r="FJ19" i="4"/>
  <c r="FK19" i="4"/>
  <c r="FL19" i="4"/>
  <c r="FM19" i="4"/>
  <c r="FN19" i="4"/>
  <c r="FO19" i="4"/>
  <c r="FP19" i="4"/>
  <c r="FQ19" i="4"/>
  <c r="FR19" i="4"/>
  <c r="FS19" i="4"/>
  <c r="FT19" i="4"/>
  <c r="FU19" i="4"/>
  <c r="FV19" i="4"/>
  <c r="FW19" i="4"/>
  <c r="FX19" i="4"/>
  <c r="FY19" i="4"/>
  <c r="FZ19" i="4"/>
  <c r="GA19" i="4"/>
  <c r="GB19" i="4"/>
  <c r="GC19" i="4"/>
  <c r="GD19" i="4"/>
  <c r="GE19" i="4"/>
  <c r="GF19" i="4"/>
  <c r="GG19" i="4"/>
  <c r="GH19" i="4"/>
  <c r="GI19" i="4"/>
  <c r="GJ19" i="4"/>
  <c r="GK19" i="4"/>
  <c r="GL19" i="4"/>
  <c r="GM19" i="4"/>
  <c r="GN19" i="4"/>
  <c r="GO19" i="4"/>
  <c r="GP19" i="4"/>
  <c r="GQ19" i="4"/>
  <c r="GR19" i="4"/>
  <c r="GS19" i="4"/>
  <c r="GT19" i="4"/>
  <c r="GU19" i="4"/>
  <c r="GV19" i="4"/>
  <c r="GW19" i="4"/>
  <c r="GX19" i="4"/>
  <c r="GY19" i="4"/>
  <c r="GZ19" i="4"/>
  <c r="HA19" i="4"/>
  <c r="HB19" i="4"/>
  <c r="HC19" i="4"/>
  <c r="HD19" i="4"/>
  <c r="HE19" i="4"/>
  <c r="HF19" i="4"/>
  <c r="HG19" i="4"/>
  <c r="HH19" i="4"/>
  <c r="HI19" i="4"/>
  <c r="HJ19" i="4"/>
  <c r="HK19" i="4"/>
  <c r="HL19" i="4"/>
  <c r="HM19" i="4"/>
  <c r="HN19" i="4"/>
  <c r="HO19" i="4"/>
  <c r="E20" i="4"/>
  <c r="D33" i="10" s="1"/>
  <c r="G20" i="4"/>
  <c r="F33" i="10" s="1"/>
  <c r="I20" i="4"/>
  <c r="AA20" i="4"/>
  <c r="AB20" i="4"/>
  <c r="AL20" i="4" s="1"/>
  <c r="AC20" i="4"/>
  <c r="AH20" i="4" s="1"/>
  <c r="AD20" i="4"/>
  <c r="AN20" i="4" s="1"/>
  <c r="AR20" i="4"/>
  <c r="AS20" i="4"/>
  <c r="AT20" i="4"/>
  <c r="AU20" i="4"/>
  <c r="AV20" i="4"/>
  <c r="AW20" i="4"/>
  <c r="AX20" i="4"/>
  <c r="AY20" i="4"/>
  <c r="AZ20" i="4"/>
  <c r="BA20" i="4"/>
  <c r="BB20" i="4"/>
  <c r="BC20" i="4"/>
  <c r="BD20" i="4"/>
  <c r="BE20" i="4"/>
  <c r="BF20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CY20" i="4"/>
  <c r="CZ20" i="4"/>
  <c r="DA20" i="4"/>
  <c r="DB20" i="4"/>
  <c r="DC20" i="4"/>
  <c r="DD20" i="4"/>
  <c r="DE20" i="4"/>
  <c r="DF20" i="4"/>
  <c r="DG20" i="4"/>
  <c r="DH20" i="4"/>
  <c r="DI20" i="4"/>
  <c r="DJ20" i="4"/>
  <c r="DK20" i="4"/>
  <c r="DL20" i="4"/>
  <c r="DM20" i="4"/>
  <c r="DN20" i="4"/>
  <c r="DO20" i="4"/>
  <c r="DP20" i="4"/>
  <c r="DQ20" i="4"/>
  <c r="DR20" i="4"/>
  <c r="DS20" i="4"/>
  <c r="DT20" i="4"/>
  <c r="DU20" i="4"/>
  <c r="DV20" i="4"/>
  <c r="DW20" i="4"/>
  <c r="DX20" i="4"/>
  <c r="DY20" i="4"/>
  <c r="DZ20" i="4"/>
  <c r="EA20" i="4"/>
  <c r="EB20" i="4"/>
  <c r="EC20" i="4"/>
  <c r="ED20" i="4"/>
  <c r="EE20" i="4"/>
  <c r="EF20" i="4"/>
  <c r="EG20" i="4"/>
  <c r="EH20" i="4"/>
  <c r="EI20" i="4"/>
  <c r="EJ20" i="4"/>
  <c r="EK20" i="4"/>
  <c r="EL20" i="4"/>
  <c r="EM20" i="4"/>
  <c r="EN20" i="4"/>
  <c r="EO20" i="4"/>
  <c r="EP20" i="4"/>
  <c r="EQ20" i="4"/>
  <c r="ER20" i="4"/>
  <c r="ES20" i="4"/>
  <c r="ET20" i="4"/>
  <c r="EU20" i="4"/>
  <c r="EV20" i="4"/>
  <c r="EW20" i="4"/>
  <c r="EX20" i="4"/>
  <c r="EY20" i="4"/>
  <c r="EZ20" i="4"/>
  <c r="FA20" i="4"/>
  <c r="FB20" i="4"/>
  <c r="FC20" i="4"/>
  <c r="FD20" i="4"/>
  <c r="FE20" i="4"/>
  <c r="FF20" i="4"/>
  <c r="FG20" i="4"/>
  <c r="FH20" i="4"/>
  <c r="FI20" i="4"/>
  <c r="FJ20" i="4"/>
  <c r="FK20" i="4"/>
  <c r="FL20" i="4"/>
  <c r="FM20" i="4"/>
  <c r="FN20" i="4"/>
  <c r="FO20" i="4"/>
  <c r="FP20" i="4"/>
  <c r="FQ20" i="4"/>
  <c r="FR20" i="4"/>
  <c r="FS20" i="4"/>
  <c r="FT20" i="4"/>
  <c r="FU20" i="4"/>
  <c r="FV20" i="4"/>
  <c r="FW20" i="4"/>
  <c r="FX20" i="4"/>
  <c r="FY20" i="4"/>
  <c r="FZ20" i="4"/>
  <c r="GA20" i="4"/>
  <c r="GB20" i="4"/>
  <c r="GC20" i="4"/>
  <c r="GD20" i="4"/>
  <c r="GE20" i="4"/>
  <c r="GF20" i="4"/>
  <c r="GG20" i="4"/>
  <c r="GH20" i="4"/>
  <c r="GI20" i="4"/>
  <c r="GJ20" i="4"/>
  <c r="GK20" i="4"/>
  <c r="GL20" i="4"/>
  <c r="GM20" i="4"/>
  <c r="GN20" i="4"/>
  <c r="GO20" i="4"/>
  <c r="GP20" i="4"/>
  <c r="GQ20" i="4"/>
  <c r="GR20" i="4"/>
  <c r="GS20" i="4"/>
  <c r="GT20" i="4"/>
  <c r="GU20" i="4"/>
  <c r="GV20" i="4"/>
  <c r="GW20" i="4"/>
  <c r="GX20" i="4"/>
  <c r="GY20" i="4"/>
  <c r="GZ20" i="4"/>
  <c r="HA20" i="4"/>
  <c r="HB20" i="4"/>
  <c r="HC20" i="4"/>
  <c r="HD20" i="4"/>
  <c r="HE20" i="4"/>
  <c r="HF20" i="4"/>
  <c r="HG20" i="4"/>
  <c r="HH20" i="4"/>
  <c r="HI20" i="4"/>
  <c r="HJ20" i="4"/>
  <c r="HK20" i="4"/>
  <c r="HL20" i="4"/>
  <c r="HM20" i="4"/>
  <c r="HN20" i="4"/>
  <c r="HO20" i="4"/>
  <c r="E2" i="1"/>
  <c r="F2" i="1"/>
  <c r="G2" i="1" s="1"/>
  <c r="J2" i="1"/>
  <c r="L2" i="1" s="1"/>
  <c r="X2" i="1"/>
  <c r="Y2" i="1"/>
  <c r="Z2" i="1"/>
  <c r="AA2" i="1"/>
  <c r="AC2" i="1"/>
  <c r="M2" i="1" s="1"/>
  <c r="AD2" i="1"/>
  <c r="AE2" i="1"/>
  <c r="AF2" i="1"/>
  <c r="AH2" i="1"/>
  <c r="AI2" i="1"/>
  <c r="AJ2" i="1"/>
  <c r="AK2" i="1"/>
  <c r="AM2" i="1"/>
  <c r="E3" i="1"/>
  <c r="H3" i="1" s="1"/>
  <c r="F3" i="1"/>
  <c r="G3" i="1"/>
  <c r="J3" i="1"/>
  <c r="L3" i="1" s="1"/>
  <c r="X3" i="1"/>
  <c r="Y3" i="1"/>
  <c r="Z3" i="1"/>
  <c r="AA3" i="1"/>
  <c r="AC3" i="1"/>
  <c r="AD3" i="1"/>
  <c r="AE3" i="1"/>
  <c r="AF3" i="1"/>
  <c r="AH3" i="1"/>
  <c r="AI3" i="1"/>
  <c r="AJ3" i="1"/>
  <c r="AK3" i="1"/>
  <c r="AM3" i="1"/>
  <c r="E4" i="1"/>
  <c r="F4" i="1"/>
  <c r="G4" i="1" s="1"/>
  <c r="J4" i="1"/>
  <c r="L4" i="1" s="1"/>
  <c r="X4" i="1"/>
  <c r="Y4" i="1"/>
  <c r="Z4" i="1"/>
  <c r="AA4" i="1"/>
  <c r="AC4" i="1"/>
  <c r="AD4" i="1"/>
  <c r="AE4" i="1"/>
  <c r="AF4" i="1"/>
  <c r="AH4" i="1"/>
  <c r="AI4" i="1"/>
  <c r="AJ4" i="1"/>
  <c r="AK4" i="1"/>
  <c r="AM4" i="1"/>
  <c r="E5" i="1"/>
  <c r="H5" i="1" s="1"/>
  <c r="F5" i="1"/>
  <c r="G5" i="1"/>
  <c r="J5" i="1"/>
  <c r="L5" i="1" s="1"/>
  <c r="X5" i="1"/>
  <c r="Y5" i="1"/>
  <c r="Z5" i="1"/>
  <c r="AA5" i="1"/>
  <c r="AC5" i="1"/>
  <c r="AD5" i="1"/>
  <c r="AE5" i="1"/>
  <c r="AF5" i="1"/>
  <c r="AH5" i="1"/>
  <c r="AI5" i="1"/>
  <c r="AJ5" i="1"/>
  <c r="AK5" i="1"/>
  <c r="AM5" i="1"/>
  <c r="E6" i="1"/>
  <c r="F6" i="1"/>
  <c r="G6" i="1" s="1"/>
  <c r="J6" i="1"/>
  <c r="L6" i="1" s="1"/>
  <c r="X6" i="1"/>
  <c r="Y6" i="1"/>
  <c r="Z6" i="1"/>
  <c r="AA6" i="1"/>
  <c r="AC6" i="1"/>
  <c r="AD6" i="1"/>
  <c r="AE6" i="1"/>
  <c r="AF6" i="1"/>
  <c r="AH6" i="1"/>
  <c r="AI6" i="1"/>
  <c r="AJ6" i="1"/>
  <c r="AK6" i="1"/>
  <c r="AM6" i="1"/>
  <c r="E7" i="1"/>
  <c r="H7" i="1" s="1"/>
  <c r="F7" i="1"/>
  <c r="G7" i="1"/>
  <c r="J7" i="1"/>
  <c r="L7" i="1" s="1"/>
  <c r="X7" i="1"/>
  <c r="Y7" i="1"/>
  <c r="Z7" i="1"/>
  <c r="AA7" i="1"/>
  <c r="AC7" i="1"/>
  <c r="AD7" i="1"/>
  <c r="AE7" i="1"/>
  <c r="AF7" i="1"/>
  <c r="AH7" i="1"/>
  <c r="AI7" i="1"/>
  <c r="AJ7" i="1"/>
  <c r="AK7" i="1"/>
  <c r="AM7" i="1"/>
  <c r="E8" i="1"/>
  <c r="F8" i="1"/>
  <c r="G8" i="1" s="1"/>
  <c r="J8" i="1"/>
  <c r="L8" i="1" s="1"/>
  <c r="X8" i="1"/>
  <c r="Y8" i="1"/>
  <c r="Z8" i="1"/>
  <c r="AA8" i="1"/>
  <c r="AC8" i="1"/>
  <c r="AD8" i="1"/>
  <c r="AE8" i="1"/>
  <c r="AF8" i="1"/>
  <c r="AH8" i="1"/>
  <c r="AI8" i="1"/>
  <c r="AJ8" i="1"/>
  <c r="AK8" i="1"/>
  <c r="AM8" i="1"/>
  <c r="E9" i="1"/>
  <c r="H9" i="1" s="1"/>
  <c r="F9" i="1"/>
  <c r="G9" i="1"/>
  <c r="J9" i="1"/>
  <c r="L9" i="1" s="1"/>
  <c r="X9" i="1"/>
  <c r="Y9" i="1"/>
  <c r="Z9" i="1"/>
  <c r="AA9" i="1"/>
  <c r="AC9" i="1"/>
  <c r="AD9" i="1"/>
  <c r="AE9" i="1"/>
  <c r="AF9" i="1"/>
  <c r="AH9" i="1"/>
  <c r="AI9" i="1"/>
  <c r="AJ9" i="1"/>
  <c r="AK9" i="1"/>
  <c r="AM9" i="1"/>
  <c r="E10" i="1"/>
  <c r="F10" i="1"/>
  <c r="G10" i="1" s="1"/>
  <c r="J10" i="1"/>
  <c r="L10" i="1" s="1"/>
  <c r="X10" i="1"/>
  <c r="Y10" i="1"/>
  <c r="Z10" i="1"/>
  <c r="AA10" i="1"/>
  <c r="AC10" i="1"/>
  <c r="M10" i="1" s="1"/>
  <c r="AD10" i="1"/>
  <c r="AE10" i="1"/>
  <c r="AF10" i="1"/>
  <c r="AH10" i="1"/>
  <c r="AI10" i="1"/>
  <c r="AJ10" i="1"/>
  <c r="AK10" i="1"/>
  <c r="AM10" i="1"/>
  <c r="E11" i="1"/>
  <c r="H11" i="1" s="1"/>
  <c r="F11" i="1"/>
  <c r="G11" i="1"/>
  <c r="J11" i="1"/>
  <c r="L11" i="1" s="1"/>
  <c r="X11" i="1"/>
  <c r="Y11" i="1"/>
  <c r="Z11" i="1"/>
  <c r="AA11" i="1"/>
  <c r="AC11" i="1"/>
  <c r="AD11" i="1"/>
  <c r="AE11" i="1"/>
  <c r="AF11" i="1"/>
  <c r="AH11" i="1"/>
  <c r="AI11" i="1"/>
  <c r="AJ11" i="1"/>
  <c r="AK11" i="1"/>
  <c r="AM11" i="1"/>
  <c r="E12" i="1"/>
  <c r="F12" i="1"/>
  <c r="G12" i="1" s="1"/>
  <c r="J12" i="1"/>
  <c r="L12" i="1" s="1"/>
  <c r="X12" i="1"/>
  <c r="Y12" i="1"/>
  <c r="Z12" i="1"/>
  <c r="AA12" i="1"/>
  <c r="AC12" i="1"/>
  <c r="AD12" i="1"/>
  <c r="AE12" i="1"/>
  <c r="AF12" i="1"/>
  <c r="AH12" i="1"/>
  <c r="AI12" i="1"/>
  <c r="AJ12" i="1"/>
  <c r="AK12" i="1"/>
  <c r="AM12" i="1"/>
  <c r="E13" i="1"/>
  <c r="H13" i="1" s="1"/>
  <c r="F13" i="1"/>
  <c r="G13" i="1"/>
  <c r="J13" i="1"/>
  <c r="L13" i="1" s="1"/>
  <c r="X13" i="1"/>
  <c r="Y13" i="1"/>
  <c r="Z13" i="1"/>
  <c r="AA13" i="1"/>
  <c r="AC13" i="1"/>
  <c r="AD13" i="1"/>
  <c r="AE13" i="1"/>
  <c r="AF13" i="1"/>
  <c r="AH13" i="1"/>
  <c r="AI13" i="1"/>
  <c r="AJ13" i="1"/>
  <c r="AK13" i="1"/>
  <c r="AM13" i="1"/>
  <c r="E14" i="1"/>
  <c r="F14" i="1"/>
  <c r="G14" i="1" s="1"/>
  <c r="J14" i="1"/>
  <c r="L14" i="1" s="1"/>
  <c r="X14" i="1"/>
  <c r="Y14" i="1"/>
  <c r="Z14" i="1"/>
  <c r="AA14" i="1"/>
  <c r="AC14" i="1"/>
  <c r="AD14" i="1"/>
  <c r="AE14" i="1"/>
  <c r="AF14" i="1"/>
  <c r="AH14" i="1"/>
  <c r="AI14" i="1"/>
  <c r="AJ14" i="1"/>
  <c r="AK14" i="1"/>
  <c r="AM14" i="1"/>
  <c r="E15" i="1"/>
  <c r="H15" i="1" s="1"/>
  <c r="F15" i="1"/>
  <c r="G15" i="1"/>
  <c r="J15" i="1"/>
  <c r="L15" i="1" s="1"/>
  <c r="X15" i="1"/>
  <c r="Y15" i="1"/>
  <c r="Z15" i="1"/>
  <c r="AA15" i="1"/>
  <c r="AC15" i="1"/>
  <c r="AD15" i="1"/>
  <c r="AE15" i="1"/>
  <c r="AF15" i="1"/>
  <c r="AH15" i="1"/>
  <c r="AI15" i="1"/>
  <c r="AJ15" i="1"/>
  <c r="AK15" i="1"/>
  <c r="AM15" i="1"/>
  <c r="E16" i="1"/>
  <c r="F16" i="1"/>
  <c r="G16" i="1" s="1"/>
  <c r="J16" i="1"/>
  <c r="L16" i="1" s="1"/>
  <c r="X16" i="1"/>
  <c r="Y16" i="1"/>
  <c r="Z16" i="1"/>
  <c r="AA16" i="1"/>
  <c r="AC16" i="1"/>
  <c r="AD16" i="1"/>
  <c r="AE16" i="1"/>
  <c r="AF16" i="1"/>
  <c r="AH16" i="1"/>
  <c r="AI16" i="1"/>
  <c r="AJ16" i="1"/>
  <c r="AK16" i="1"/>
  <c r="AM16" i="1"/>
  <c r="E17" i="1"/>
  <c r="H17" i="1" s="1"/>
  <c r="F17" i="1"/>
  <c r="G17" i="1"/>
  <c r="J17" i="1"/>
  <c r="L17" i="1" s="1"/>
  <c r="X17" i="1"/>
  <c r="Y17" i="1"/>
  <c r="Z17" i="1"/>
  <c r="AA17" i="1"/>
  <c r="AC17" i="1"/>
  <c r="AD17" i="1"/>
  <c r="AE17" i="1"/>
  <c r="AF17" i="1"/>
  <c r="AH17" i="1"/>
  <c r="AI17" i="1"/>
  <c r="AJ17" i="1"/>
  <c r="AK17" i="1"/>
  <c r="AM17" i="1"/>
  <c r="E18" i="1"/>
  <c r="F18" i="1"/>
  <c r="G18" i="1" s="1"/>
  <c r="J18" i="1"/>
  <c r="L18" i="1" s="1"/>
  <c r="X18" i="1"/>
  <c r="Y18" i="1"/>
  <c r="Z18" i="1"/>
  <c r="AA18" i="1"/>
  <c r="AC18" i="1"/>
  <c r="M18" i="1" s="1"/>
  <c r="AD18" i="1"/>
  <c r="AE18" i="1"/>
  <c r="AF18" i="1"/>
  <c r="AH18" i="1"/>
  <c r="AI18" i="1"/>
  <c r="AJ18" i="1"/>
  <c r="AK18" i="1"/>
  <c r="AM18" i="1"/>
  <c r="E19" i="1"/>
  <c r="H19" i="1" s="1"/>
  <c r="F19" i="1"/>
  <c r="G19" i="1"/>
  <c r="J19" i="1"/>
  <c r="L19" i="1" s="1"/>
  <c r="X19" i="1"/>
  <c r="Y19" i="1"/>
  <c r="Z19" i="1"/>
  <c r="AA19" i="1"/>
  <c r="AC19" i="1"/>
  <c r="AD19" i="1"/>
  <c r="AE19" i="1"/>
  <c r="AF19" i="1"/>
  <c r="AH19" i="1"/>
  <c r="AI19" i="1"/>
  <c r="AJ19" i="1"/>
  <c r="AK19" i="1"/>
  <c r="AM19" i="1"/>
  <c r="E20" i="1"/>
  <c r="F20" i="1"/>
  <c r="G20" i="1" s="1"/>
  <c r="J20" i="1"/>
  <c r="L20" i="1" s="1"/>
  <c r="X20" i="1"/>
  <c r="Y20" i="1"/>
  <c r="Z20" i="1"/>
  <c r="AA20" i="1"/>
  <c r="AC20" i="1"/>
  <c r="AD20" i="1"/>
  <c r="AE20" i="1"/>
  <c r="AF20" i="1"/>
  <c r="AH20" i="1"/>
  <c r="AI20" i="1"/>
  <c r="AJ20" i="1"/>
  <c r="AK20" i="1"/>
  <c r="AM20" i="1"/>
  <c r="E21" i="1"/>
  <c r="H21" i="1" s="1"/>
  <c r="F21" i="1"/>
  <c r="G21" i="1"/>
  <c r="J21" i="1"/>
  <c r="L21" i="1" s="1"/>
  <c r="X21" i="1"/>
  <c r="Y21" i="1"/>
  <c r="Z21" i="1"/>
  <c r="AA21" i="1"/>
  <c r="AC21" i="1"/>
  <c r="AD21" i="1"/>
  <c r="AE21" i="1"/>
  <c r="AF21" i="1"/>
  <c r="AH21" i="1"/>
  <c r="AI21" i="1"/>
  <c r="AJ21" i="1"/>
  <c r="AK21" i="1"/>
  <c r="AM21" i="1"/>
  <c r="E22" i="1"/>
  <c r="F22" i="1"/>
  <c r="G22" i="1" s="1"/>
  <c r="J22" i="1"/>
  <c r="L22" i="1" s="1"/>
  <c r="X22" i="1"/>
  <c r="Y22" i="1"/>
  <c r="Z22" i="1"/>
  <c r="AA22" i="1"/>
  <c r="AC22" i="1"/>
  <c r="AD22" i="1"/>
  <c r="AE22" i="1"/>
  <c r="AF22" i="1"/>
  <c r="AH22" i="1"/>
  <c r="AI22" i="1"/>
  <c r="AJ22" i="1"/>
  <c r="AK22" i="1"/>
  <c r="AM22" i="1"/>
  <c r="E23" i="1"/>
  <c r="H23" i="1" s="1"/>
  <c r="F23" i="1"/>
  <c r="G23" i="1"/>
  <c r="J23" i="1"/>
  <c r="L23" i="1" s="1"/>
  <c r="X23" i="1"/>
  <c r="Y23" i="1"/>
  <c r="Z23" i="1"/>
  <c r="AA23" i="1"/>
  <c r="AC23" i="1"/>
  <c r="AD23" i="1"/>
  <c r="AE23" i="1"/>
  <c r="AF23" i="1"/>
  <c r="AH23" i="1"/>
  <c r="AI23" i="1"/>
  <c r="AJ23" i="1"/>
  <c r="AK23" i="1"/>
  <c r="AM23" i="1"/>
  <c r="E24" i="1"/>
  <c r="F24" i="1"/>
  <c r="G24" i="1" s="1"/>
  <c r="J24" i="1"/>
  <c r="L24" i="1" s="1"/>
  <c r="X24" i="1"/>
  <c r="Y24" i="1"/>
  <c r="Z24" i="1"/>
  <c r="AA24" i="1"/>
  <c r="AC24" i="1"/>
  <c r="AD24" i="1"/>
  <c r="AE24" i="1"/>
  <c r="AF24" i="1"/>
  <c r="AH24" i="1"/>
  <c r="AI24" i="1"/>
  <c r="AJ24" i="1"/>
  <c r="AK24" i="1"/>
  <c r="AM24" i="1"/>
  <c r="E25" i="1"/>
  <c r="H25" i="1" s="1"/>
  <c r="F25" i="1"/>
  <c r="G25" i="1"/>
  <c r="J25" i="1"/>
  <c r="L25" i="1" s="1"/>
  <c r="X25" i="1"/>
  <c r="Y25" i="1"/>
  <c r="Z25" i="1"/>
  <c r="AA25" i="1"/>
  <c r="AC25" i="1"/>
  <c r="AD25" i="1"/>
  <c r="AE25" i="1"/>
  <c r="AF25" i="1"/>
  <c r="AH25" i="1"/>
  <c r="AI25" i="1"/>
  <c r="AJ25" i="1"/>
  <c r="AK25" i="1"/>
  <c r="AM25" i="1"/>
  <c r="E26" i="1"/>
  <c r="F26" i="1"/>
  <c r="G26" i="1" s="1"/>
  <c r="J26" i="1"/>
  <c r="L26" i="1" s="1"/>
  <c r="X26" i="1"/>
  <c r="Y26" i="1"/>
  <c r="Z26" i="1"/>
  <c r="AA26" i="1"/>
  <c r="AC26" i="1"/>
  <c r="M26" i="1" s="1"/>
  <c r="AD26" i="1"/>
  <c r="AE26" i="1"/>
  <c r="AF26" i="1"/>
  <c r="AH26" i="1"/>
  <c r="AI26" i="1"/>
  <c r="AJ26" i="1"/>
  <c r="AK26" i="1"/>
  <c r="AM26" i="1"/>
  <c r="E27" i="1"/>
  <c r="H27" i="1" s="1"/>
  <c r="F27" i="1"/>
  <c r="G27" i="1"/>
  <c r="J27" i="1"/>
  <c r="L27" i="1" s="1"/>
  <c r="X27" i="1"/>
  <c r="Y27" i="1"/>
  <c r="Z27" i="1"/>
  <c r="AA27" i="1"/>
  <c r="AC27" i="1"/>
  <c r="AD27" i="1"/>
  <c r="AE27" i="1"/>
  <c r="AF27" i="1"/>
  <c r="AH27" i="1"/>
  <c r="AI27" i="1"/>
  <c r="AJ27" i="1"/>
  <c r="AK27" i="1"/>
  <c r="AM27" i="1"/>
  <c r="E28" i="1"/>
  <c r="F28" i="1"/>
  <c r="G28" i="1" s="1"/>
  <c r="J28" i="1"/>
  <c r="L28" i="1" s="1"/>
  <c r="X28" i="1"/>
  <c r="Y28" i="1"/>
  <c r="Z28" i="1"/>
  <c r="AA28" i="1"/>
  <c r="AC28" i="1"/>
  <c r="AD28" i="1"/>
  <c r="AE28" i="1"/>
  <c r="AF28" i="1"/>
  <c r="AH28" i="1"/>
  <c r="AI28" i="1"/>
  <c r="AJ28" i="1"/>
  <c r="AK28" i="1"/>
  <c r="AM28" i="1"/>
  <c r="E29" i="1"/>
  <c r="H29" i="1" s="1"/>
  <c r="F29" i="1"/>
  <c r="G29" i="1"/>
  <c r="J29" i="1"/>
  <c r="L29" i="1" s="1"/>
  <c r="X29" i="1"/>
  <c r="Y29" i="1"/>
  <c r="Z29" i="1"/>
  <c r="AA29" i="1"/>
  <c r="AC29" i="1"/>
  <c r="AD29" i="1"/>
  <c r="AE29" i="1"/>
  <c r="AF29" i="1"/>
  <c r="AH29" i="1"/>
  <c r="AI29" i="1"/>
  <c r="AJ29" i="1"/>
  <c r="AK29" i="1"/>
  <c r="AM29" i="1"/>
  <c r="E30" i="1"/>
  <c r="F30" i="1"/>
  <c r="G30" i="1" s="1"/>
  <c r="J30" i="1"/>
  <c r="L30" i="1" s="1"/>
  <c r="X30" i="1"/>
  <c r="Y30" i="1"/>
  <c r="Z30" i="1"/>
  <c r="AA30" i="1"/>
  <c r="AC30" i="1"/>
  <c r="AD30" i="1"/>
  <c r="AE30" i="1"/>
  <c r="AF30" i="1"/>
  <c r="AH30" i="1"/>
  <c r="AI30" i="1"/>
  <c r="AJ30" i="1"/>
  <c r="AK30" i="1"/>
  <c r="AM30" i="1"/>
  <c r="E31" i="1"/>
  <c r="H31" i="1" s="1"/>
  <c r="F31" i="1"/>
  <c r="G31" i="1"/>
  <c r="J31" i="1"/>
  <c r="L31" i="1" s="1"/>
  <c r="X31" i="1"/>
  <c r="Y31" i="1"/>
  <c r="Z31" i="1"/>
  <c r="AA31" i="1"/>
  <c r="AC31" i="1"/>
  <c r="AD31" i="1"/>
  <c r="AE31" i="1"/>
  <c r="AF31" i="1"/>
  <c r="AH31" i="1"/>
  <c r="AI31" i="1"/>
  <c r="AJ31" i="1"/>
  <c r="AK31" i="1"/>
  <c r="AM31" i="1"/>
  <c r="E32" i="1"/>
  <c r="F32" i="1"/>
  <c r="G32" i="1" s="1"/>
  <c r="J32" i="1"/>
  <c r="L32" i="1" s="1"/>
  <c r="X32" i="1"/>
  <c r="Y32" i="1"/>
  <c r="Z32" i="1"/>
  <c r="AA32" i="1"/>
  <c r="AC32" i="1"/>
  <c r="AD32" i="1"/>
  <c r="AE32" i="1"/>
  <c r="AF32" i="1"/>
  <c r="AH32" i="1"/>
  <c r="AI32" i="1"/>
  <c r="AJ32" i="1"/>
  <c r="AK32" i="1"/>
  <c r="AM32" i="1"/>
  <c r="E33" i="1"/>
  <c r="H33" i="1" s="1"/>
  <c r="F33" i="1"/>
  <c r="G33" i="1"/>
  <c r="J33" i="1"/>
  <c r="L33" i="1" s="1"/>
  <c r="X33" i="1"/>
  <c r="Y33" i="1"/>
  <c r="Z33" i="1"/>
  <c r="AA33" i="1"/>
  <c r="AC33" i="1"/>
  <c r="AD33" i="1"/>
  <c r="AE33" i="1"/>
  <c r="AF33" i="1"/>
  <c r="AH33" i="1"/>
  <c r="AI33" i="1"/>
  <c r="AJ33" i="1"/>
  <c r="AK33" i="1"/>
  <c r="AM33" i="1"/>
  <c r="E34" i="1"/>
  <c r="F34" i="1"/>
  <c r="G34" i="1" s="1"/>
  <c r="J34" i="1"/>
  <c r="L34" i="1" s="1"/>
  <c r="X34" i="1"/>
  <c r="Y34" i="1"/>
  <c r="Z34" i="1"/>
  <c r="AA34" i="1"/>
  <c r="AC34" i="1"/>
  <c r="M34" i="1" s="1"/>
  <c r="AD34" i="1"/>
  <c r="AE34" i="1"/>
  <c r="AF34" i="1"/>
  <c r="AH34" i="1"/>
  <c r="AI34" i="1"/>
  <c r="AJ34" i="1"/>
  <c r="AK34" i="1"/>
  <c r="AM34" i="1"/>
  <c r="E35" i="1"/>
  <c r="H35" i="1" s="1"/>
  <c r="F35" i="1"/>
  <c r="G35" i="1"/>
  <c r="J35" i="1"/>
  <c r="L35" i="1" s="1"/>
  <c r="X35" i="1"/>
  <c r="Y35" i="1"/>
  <c r="Z35" i="1"/>
  <c r="AA35" i="1"/>
  <c r="AC35" i="1"/>
  <c r="AD35" i="1"/>
  <c r="AE35" i="1"/>
  <c r="AF35" i="1"/>
  <c r="AH35" i="1"/>
  <c r="AI35" i="1"/>
  <c r="AJ35" i="1"/>
  <c r="AK35" i="1"/>
  <c r="AM35" i="1"/>
  <c r="E36" i="1"/>
  <c r="F36" i="1"/>
  <c r="G36" i="1" s="1"/>
  <c r="J36" i="1"/>
  <c r="L36" i="1" s="1"/>
  <c r="X36" i="1"/>
  <c r="Y36" i="1"/>
  <c r="Z36" i="1"/>
  <c r="AA36" i="1"/>
  <c r="AC36" i="1"/>
  <c r="AD36" i="1"/>
  <c r="AE36" i="1"/>
  <c r="AF36" i="1"/>
  <c r="AH36" i="1"/>
  <c r="AI36" i="1"/>
  <c r="AJ36" i="1"/>
  <c r="AK36" i="1"/>
  <c r="AM36" i="1"/>
  <c r="E37" i="1"/>
  <c r="H37" i="1" s="1"/>
  <c r="F37" i="1"/>
  <c r="G37" i="1"/>
  <c r="J37" i="1"/>
  <c r="L37" i="1" s="1"/>
  <c r="X37" i="1"/>
  <c r="Y37" i="1"/>
  <c r="Z37" i="1"/>
  <c r="AA37" i="1"/>
  <c r="AC37" i="1"/>
  <c r="AD37" i="1"/>
  <c r="AE37" i="1"/>
  <c r="AF37" i="1"/>
  <c r="AH37" i="1"/>
  <c r="AI37" i="1"/>
  <c r="AJ37" i="1"/>
  <c r="AK37" i="1"/>
  <c r="AM37" i="1"/>
  <c r="E38" i="1"/>
  <c r="F38" i="1"/>
  <c r="G38" i="1" s="1"/>
  <c r="J38" i="1"/>
  <c r="L38" i="1" s="1"/>
  <c r="X38" i="1"/>
  <c r="Y38" i="1"/>
  <c r="Z38" i="1"/>
  <c r="AA38" i="1"/>
  <c r="AC38" i="1"/>
  <c r="AD38" i="1"/>
  <c r="AE38" i="1"/>
  <c r="AF38" i="1"/>
  <c r="AH38" i="1"/>
  <c r="AI38" i="1"/>
  <c r="AJ38" i="1"/>
  <c r="AK38" i="1"/>
  <c r="AM38" i="1"/>
  <c r="E39" i="1"/>
  <c r="H39" i="1" s="1"/>
  <c r="F39" i="1"/>
  <c r="G39" i="1"/>
  <c r="J39" i="1"/>
  <c r="L39" i="1" s="1"/>
  <c r="X39" i="1"/>
  <c r="Y39" i="1"/>
  <c r="Z39" i="1"/>
  <c r="AA39" i="1"/>
  <c r="AC39" i="1"/>
  <c r="AD39" i="1"/>
  <c r="AE39" i="1"/>
  <c r="AF39" i="1"/>
  <c r="AH39" i="1"/>
  <c r="AI39" i="1"/>
  <c r="AJ39" i="1"/>
  <c r="AK39" i="1"/>
  <c r="AM39" i="1"/>
  <c r="E40" i="1"/>
  <c r="F40" i="1"/>
  <c r="G40" i="1" s="1"/>
  <c r="J40" i="1"/>
  <c r="L40" i="1" s="1"/>
  <c r="X40" i="1"/>
  <c r="Y40" i="1"/>
  <c r="Z40" i="1"/>
  <c r="AA40" i="1"/>
  <c r="AC40" i="1"/>
  <c r="AD40" i="1"/>
  <c r="AE40" i="1"/>
  <c r="AF40" i="1"/>
  <c r="AH40" i="1"/>
  <c r="AI40" i="1"/>
  <c r="AJ40" i="1"/>
  <c r="AK40" i="1"/>
  <c r="AM40" i="1"/>
  <c r="E41" i="1"/>
  <c r="H41" i="1" s="1"/>
  <c r="F41" i="1"/>
  <c r="G41" i="1"/>
  <c r="J41" i="1"/>
  <c r="L41" i="1" s="1"/>
  <c r="X41" i="1"/>
  <c r="Y41" i="1"/>
  <c r="Z41" i="1"/>
  <c r="AA41" i="1"/>
  <c r="AC41" i="1"/>
  <c r="AD41" i="1"/>
  <c r="AE41" i="1"/>
  <c r="AF41" i="1"/>
  <c r="AH41" i="1"/>
  <c r="AI41" i="1"/>
  <c r="AJ41" i="1"/>
  <c r="AK41" i="1"/>
  <c r="AM41" i="1"/>
  <c r="E42" i="1"/>
  <c r="F42" i="1"/>
  <c r="G42" i="1" s="1"/>
  <c r="J42" i="1"/>
  <c r="L42" i="1" s="1"/>
  <c r="X42" i="1"/>
  <c r="Y42" i="1"/>
  <c r="Z42" i="1"/>
  <c r="AA42" i="1"/>
  <c r="AC42" i="1"/>
  <c r="M42" i="1" s="1"/>
  <c r="AD42" i="1"/>
  <c r="AE42" i="1"/>
  <c r="AF42" i="1"/>
  <c r="AH42" i="1"/>
  <c r="AI42" i="1"/>
  <c r="AJ42" i="1"/>
  <c r="AK42" i="1"/>
  <c r="AM42" i="1"/>
  <c r="E43" i="1"/>
  <c r="H43" i="1" s="1"/>
  <c r="F43" i="1"/>
  <c r="G43" i="1"/>
  <c r="J43" i="1"/>
  <c r="L43" i="1" s="1"/>
  <c r="X43" i="1"/>
  <c r="Y43" i="1"/>
  <c r="Z43" i="1"/>
  <c r="AA43" i="1"/>
  <c r="AC43" i="1"/>
  <c r="AD43" i="1"/>
  <c r="AE43" i="1"/>
  <c r="AF43" i="1"/>
  <c r="AH43" i="1"/>
  <c r="AI43" i="1"/>
  <c r="AJ43" i="1"/>
  <c r="AK43" i="1"/>
  <c r="AM43" i="1"/>
  <c r="E44" i="1"/>
  <c r="F44" i="1"/>
  <c r="G44" i="1" s="1"/>
  <c r="J44" i="1"/>
  <c r="L44" i="1" s="1"/>
  <c r="X44" i="1"/>
  <c r="Y44" i="1"/>
  <c r="Z44" i="1"/>
  <c r="AA44" i="1"/>
  <c r="AC44" i="1"/>
  <c r="AD44" i="1"/>
  <c r="AE44" i="1"/>
  <c r="AF44" i="1"/>
  <c r="AH44" i="1"/>
  <c r="AI44" i="1"/>
  <c r="AJ44" i="1"/>
  <c r="AK44" i="1"/>
  <c r="AM44" i="1"/>
  <c r="E45" i="1"/>
  <c r="H45" i="1" s="1"/>
  <c r="F45" i="1"/>
  <c r="G45" i="1"/>
  <c r="J45" i="1"/>
  <c r="L45" i="1" s="1"/>
  <c r="X45" i="1"/>
  <c r="Y45" i="1"/>
  <c r="Z45" i="1"/>
  <c r="AA45" i="1"/>
  <c r="AC45" i="1"/>
  <c r="AD45" i="1"/>
  <c r="AE45" i="1"/>
  <c r="AF45" i="1"/>
  <c r="AH45" i="1"/>
  <c r="AI45" i="1"/>
  <c r="AJ45" i="1"/>
  <c r="AK45" i="1"/>
  <c r="AM45" i="1"/>
  <c r="E46" i="1"/>
  <c r="F46" i="1"/>
  <c r="G46" i="1" s="1"/>
  <c r="J46" i="1"/>
  <c r="L46" i="1" s="1"/>
  <c r="X46" i="1"/>
  <c r="Y46" i="1"/>
  <c r="Z46" i="1"/>
  <c r="AA46" i="1"/>
  <c r="AC46" i="1"/>
  <c r="AD46" i="1"/>
  <c r="AE46" i="1"/>
  <c r="AF46" i="1"/>
  <c r="AH46" i="1"/>
  <c r="AI46" i="1"/>
  <c r="AJ46" i="1"/>
  <c r="AK46" i="1"/>
  <c r="AM46" i="1"/>
  <c r="E47" i="1"/>
  <c r="H47" i="1" s="1"/>
  <c r="F47" i="1"/>
  <c r="G47" i="1"/>
  <c r="J47" i="1"/>
  <c r="L47" i="1" s="1"/>
  <c r="X47" i="1"/>
  <c r="Y47" i="1"/>
  <c r="Z47" i="1"/>
  <c r="AA47" i="1"/>
  <c r="AC47" i="1"/>
  <c r="AD47" i="1"/>
  <c r="AE47" i="1"/>
  <c r="AF47" i="1"/>
  <c r="AH47" i="1"/>
  <c r="AI47" i="1"/>
  <c r="AJ47" i="1"/>
  <c r="AK47" i="1"/>
  <c r="AM47" i="1"/>
  <c r="E48" i="1"/>
  <c r="F48" i="1"/>
  <c r="G48" i="1" s="1"/>
  <c r="J48" i="1"/>
  <c r="L48" i="1" s="1"/>
  <c r="X48" i="1"/>
  <c r="Y48" i="1"/>
  <c r="Z48" i="1"/>
  <c r="AA48" i="1"/>
  <c r="AC48" i="1"/>
  <c r="AD48" i="1"/>
  <c r="AE48" i="1"/>
  <c r="AF48" i="1"/>
  <c r="AH48" i="1"/>
  <c r="AI48" i="1"/>
  <c r="AJ48" i="1"/>
  <c r="AK48" i="1"/>
  <c r="AM48" i="1"/>
  <c r="E49" i="1"/>
  <c r="H49" i="1" s="1"/>
  <c r="F49" i="1"/>
  <c r="G49" i="1"/>
  <c r="J49" i="1"/>
  <c r="L49" i="1" s="1"/>
  <c r="X49" i="1"/>
  <c r="Y49" i="1"/>
  <c r="Z49" i="1"/>
  <c r="AA49" i="1"/>
  <c r="AC49" i="1"/>
  <c r="AD49" i="1"/>
  <c r="AE49" i="1"/>
  <c r="AF49" i="1"/>
  <c r="AH49" i="1"/>
  <c r="AI49" i="1"/>
  <c r="AJ49" i="1"/>
  <c r="AK49" i="1"/>
  <c r="AM49" i="1"/>
  <c r="E50" i="1"/>
  <c r="F50" i="1"/>
  <c r="G50" i="1" s="1"/>
  <c r="J50" i="1"/>
  <c r="L50" i="1" s="1"/>
  <c r="X50" i="1"/>
  <c r="Y50" i="1"/>
  <c r="Z50" i="1"/>
  <c r="AA50" i="1"/>
  <c r="AC50" i="1"/>
  <c r="M50" i="1" s="1"/>
  <c r="AD50" i="1"/>
  <c r="AE50" i="1"/>
  <c r="AF50" i="1"/>
  <c r="AH50" i="1"/>
  <c r="AI50" i="1"/>
  <c r="AJ50" i="1"/>
  <c r="AK50" i="1"/>
  <c r="AM50" i="1"/>
  <c r="E51" i="1"/>
  <c r="H51" i="1" s="1"/>
  <c r="F51" i="1"/>
  <c r="G51" i="1"/>
  <c r="J51" i="1"/>
  <c r="L51" i="1" s="1"/>
  <c r="X51" i="1"/>
  <c r="Y51" i="1"/>
  <c r="Z51" i="1"/>
  <c r="AA51" i="1"/>
  <c r="AC51" i="1"/>
  <c r="AD51" i="1"/>
  <c r="AE51" i="1"/>
  <c r="AF51" i="1"/>
  <c r="AH51" i="1"/>
  <c r="AI51" i="1"/>
  <c r="AJ51" i="1"/>
  <c r="AK51" i="1"/>
  <c r="AM51" i="1"/>
  <c r="E52" i="1"/>
  <c r="F52" i="1"/>
  <c r="G52" i="1" s="1"/>
  <c r="J52" i="1"/>
  <c r="L52" i="1" s="1"/>
  <c r="X52" i="1"/>
  <c r="Y52" i="1"/>
  <c r="Z52" i="1"/>
  <c r="AA52" i="1"/>
  <c r="AC52" i="1"/>
  <c r="AD52" i="1"/>
  <c r="AE52" i="1"/>
  <c r="AF52" i="1"/>
  <c r="AH52" i="1"/>
  <c r="AI52" i="1"/>
  <c r="AJ52" i="1"/>
  <c r="AK52" i="1"/>
  <c r="E53" i="1"/>
  <c r="H53" i="1" s="1"/>
  <c r="F53" i="1"/>
  <c r="G53" i="1"/>
  <c r="J53" i="1"/>
  <c r="L53" i="1" s="1"/>
  <c r="X53" i="1"/>
  <c r="Y53" i="1"/>
  <c r="Z53" i="1"/>
  <c r="AA53" i="1"/>
  <c r="AC53" i="1"/>
  <c r="AD53" i="1"/>
  <c r="AE53" i="1"/>
  <c r="AF53" i="1"/>
  <c r="AH53" i="1"/>
  <c r="AI53" i="1"/>
  <c r="AJ53" i="1"/>
  <c r="AK53" i="1"/>
  <c r="E54" i="1"/>
  <c r="F54" i="1"/>
  <c r="G54" i="1" s="1"/>
  <c r="J54" i="1"/>
  <c r="L54" i="1" s="1"/>
  <c r="X54" i="1"/>
  <c r="Y54" i="1"/>
  <c r="Z54" i="1"/>
  <c r="AA54" i="1"/>
  <c r="AC54" i="1"/>
  <c r="AD54" i="1"/>
  <c r="AE54" i="1"/>
  <c r="AF54" i="1"/>
  <c r="AH54" i="1"/>
  <c r="AI54" i="1"/>
  <c r="AJ54" i="1"/>
  <c r="AK54" i="1"/>
  <c r="AM54" i="1"/>
  <c r="E55" i="1"/>
  <c r="H55" i="1" s="1"/>
  <c r="F55" i="1"/>
  <c r="G55" i="1"/>
  <c r="J55" i="1"/>
  <c r="L55" i="1" s="1"/>
  <c r="X55" i="1"/>
  <c r="Y55" i="1"/>
  <c r="Z55" i="1"/>
  <c r="AA55" i="1"/>
  <c r="AC55" i="1"/>
  <c r="AD55" i="1"/>
  <c r="AE55" i="1"/>
  <c r="AF55" i="1"/>
  <c r="AH55" i="1"/>
  <c r="AI55" i="1"/>
  <c r="AJ55" i="1"/>
  <c r="AK55" i="1"/>
  <c r="AM55" i="1"/>
  <c r="E56" i="1"/>
  <c r="F56" i="1"/>
  <c r="G56" i="1" s="1"/>
  <c r="J56" i="1"/>
  <c r="L56" i="1" s="1"/>
  <c r="X56" i="1"/>
  <c r="Y56" i="1"/>
  <c r="Z56" i="1"/>
  <c r="AA56" i="1"/>
  <c r="AC56" i="1"/>
  <c r="AD56" i="1"/>
  <c r="AE56" i="1"/>
  <c r="AF56" i="1"/>
  <c r="AH56" i="1"/>
  <c r="AI56" i="1"/>
  <c r="AJ56" i="1"/>
  <c r="AK56" i="1"/>
  <c r="AM56" i="1"/>
  <c r="E57" i="1"/>
  <c r="H57" i="1" s="1"/>
  <c r="F57" i="1"/>
  <c r="G57" i="1"/>
  <c r="J57" i="1"/>
  <c r="L57" i="1" s="1"/>
  <c r="X57" i="1"/>
  <c r="Y57" i="1"/>
  <c r="Z57" i="1"/>
  <c r="AA57" i="1"/>
  <c r="AC57" i="1"/>
  <c r="AD57" i="1"/>
  <c r="AE57" i="1"/>
  <c r="AF57" i="1"/>
  <c r="AH57" i="1"/>
  <c r="AI57" i="1"/>
  <c r="AJ57" i="1"/>
  <c r="AK57" i="1"/>
  <c r="AM57" i="1"/>
  <c r="E58" i="1"/>
  <c r="F58" i="1"/>
  <c r="G58" i="1" s="1"/>
  <c r="J58" i="1"/>
  <c r="L58" i="1" s="1"/>
  <c r="X58" i="1"/>
  <c r="Y58" i="1"/>
  <c r="Z58" i="1"/>
  <c r="AA58" i="1"/>
  <c r="AC58" i="1"/>
  <c r="AD58" i="1"/>
  <c r="AE58" i="1"/>
  <c r="AF58" i="1"/>
  <c r="AH58" i="1"/>
  <c r="AI58" i="1"/>
  <c r="AJ58" i="1"/>
  <c r="AK58" i="1"/>
  <c r="AM58" i="1"/>
  <c r="E59" i="1"/>
  <c r="H59" i="1" s="1"/>
  <c r="F59" i="1"/>
  <c r="G59" i="1"/>
  <c r="J59" i="1"/>
  <c r="L59" i="1" s="1"/>
  <c r="X59" i="1"/>
  <c r="Y59" i="1"/>
  <c r="Z59" i="1"/>
  <c r="AA59" i="1"/>
  <c r="AC59" i="1"/>
  <c r="AD59" i="1"/>
  <c r="AE59" i="1"/>
  <c r="AF59" i="1"/>
  <c r="AH59" i="1"/>
  <c r="AI59" i="1"/>
  <c r="AJ59" i="1"/>
  <c r="AK59" i="1"/>
  <c r="AM59" i="1"/>
  <c r="E60" i="1"/>
  <c r="F60" i="1"/>
  <c r="G60" i="1" s="1"/>
  <c r="J60" i="1"/>
  <c r="L60" i="1" s="1"/>
  <c r="X60" i="1"/>
  <c r="Y60" i="1"/>
  <c r="Z60" i="1"/>
  <c r="AA60" i="1"/>
  <c r="AC60" i="1"/>
  <c r="AD60" i="1"/>
  <c r="AE60" i="1"/>
  <c r="AF60" i="1"/>
  <c r="AH60" i="1"/>
  <c r="AI60" i="1"/>
  <c r="AJ60" i="1"/>
  <c r="AK60" i="1"/>
  <c r="AM60" i="1"/>
  <c r="E61" i="1"/>
  <c r="H61" i="1" s="1"/>
  <c r="F61" i="1"/>
  <c r="G61" i="1"/>
  <c r="J61" i="1"/>
  <c r="L61" i="1" s="1"/>
  <c r="X61" i="1"/>
  <c r="Y61" i="1"/>
  <c r="Z61" i="1"/>
  <c r="AA61" i="1"/>
  <c r="AC61" i="1"/>
  <c r="M61" i="1" s="1"/>
  <c r="AD61" i="1"/>
  <c r="AE61" i="1"/>
  <c r="AF61" i="1"/>
  <c r="AH61" i="1"/>
  <c r="AI61" i="1"/>
  <c r="AJ61" i="1"/>
  <c r="AK61" i="1"/>
  <c r="AM61" i="1"/>
  <c r="E62" i="1"/>
  <c r="F62" i="1"/>
  <c r="G62" i="1" s="1"/>
  <c r="J62" i="1"/>
  <c r="L62" i="1" s="1"/>
  <c r="X62" i="1"/>
  <c r="Y62" i="1"/>
  <c r="Z62" i="1"/>
  <c r="AA62" i="1"/>
  <c r="AC62" i="1"/>
  <c r="AD62" i="1"/>
  <c r="AE62" i="1"/>
  <c r="AF62" i="1"/>
  <c r="AH62" i="1"/>
  <c r="AI62" i="1"/>
  <c r="AJ62" i="1"/>
  <c r="AK62" i="1"/>
  <c r="AM62" i="1"/>
  <c r="E63" i="1"/>
  <c r="H63" i="1" s="1"/>
  <c r="F63" i="1"/>
  <c r="G63" i="1"/>
  <c r="J63" i="1"/>
  <c r="L63" i="1" s="1"/>
  <c r="X63" i="1"/>
  <c r="Y63" i="1"/>
  <c r="Z63" i="1"/>
  <c r="AA63" i="1"/>
  <c r="AC63" i="1"/>
  <c r="AD63" i="1"/>
  <c r="AE63" i="1"/>
  <c r="AF63" i="1"/>
  <c r="AH63" i="1"/>
  <c r="AI63" i="1"/>
  <c r="AJ63" i="1"/>
  <c r="AK63" i="1"/>
  <c r="AM63" i="1"/>
  <c r="E64" i="1"/>
  <c r="F64" i="1"/>
  <c r="G64" i="1" s="1"/>
  <c r="J64" i="1"/>
  <c r="L64" i="1" s="1"/>
  <c r="X64" i="1"/>
  <c r="Y64" i="1"/>
  <c r="Z64" i="1"/>
  <c r="AA64" i="1"/>
  <c r="AC64" i="1"/>
  <c r="AD64" i="1"/>
  <c r="AE64" i="1"/>
  <c r="AF64" i="1"/>
  <c r="AH64" i="1"/>
  <c r="AI64" i="1"/>
  <c r="AJ64" i="1"/>
  <c r="AK64" i="1"/>
  <c r="AM64" i="1"/>
  <c r="E65" i="1"/>
  <c r="H65" i="1" s="1"/>
  <c r="F65" i="1"/>
  <c r="G65" i="1"/>
  <c r="J65" i="1"/>
  <c r="L65" i="1" s="1"/>
  <c r="X65" i="1"/>
  <c r="Y65" i="1"/>
  <c r="Z65" i="1"/>
  <c r="AA65" i="1"/>
  <c r="AC65" i="1"/>
  <c r="AD65" i="1"/>
  <c r="AE65" i="1"/>
  <c r="AF65" i="1"/>
  <c r="AH65" i="1"/>
  <c r="AI65" i="1"/>
  <c r="AJ65" i="1"/>
  <c r="AK65" i="1"/>
  <c r="AM65" i="1"/>
  <c r="E66" i="1"/>
  <c r="F66" i="1"/>
  <c r="G66" i="1" s="1"/>
  <c r="J66" i="1"/>
  <c r="L66" i="1" s="1"/>
  <c r="X66" i="1"/>
  <c r="Y66" i="1"/>
  <c r="Z66" i="1"/>
  <c r="AA66" i="1"/>
  <c r="AC66" i="1"/>
  <c r="AD66" i="1"/>
  <c r="AE66" i="1"/>
  <c r="AF66" i="1"/>
  <c r="AH66" i="1"/>
  <c r="AI66" i="1"/>
  <c r="AJ66" i="1"/>
  <c r="AK66" i="1"/>
  <c r="AM66" i="1"/>
  <c r="E67" i="1"/>
  <c r="H67" i="1" s="1"/>
  <c r="F67" i="1"/>
  <c r="G67" i="1"/>
  <c r="J67" i="1"/>
  <c r="L67" i="1" s="1"/>
  <c r="X67" i="1"/>
  <c r="Y67" i="1"/>
  <c r="Z67" i="1"/>
  <c r="AA67" i="1"/>
  <c r="AC67" i="1"/>
  <c r="AD67" i="1"/>
  <c r="AE67" i="1"/>
  <c r="AF67" i="1"/>
  <c r="AH67" i="1"/>
  <c r="AI67" i="1"/>
  <c r="AJ67" i="1"/>
  <c r="AK67" i="1"/>
  <c r="AM67" i="1"/>
  <c r="E68" i="1"/>
  <c r="H68" i="1" s="1"/>
  <c r="F68" i="1"/>
  <c r="G68" i="1"/>
  <c r="J68" i="1"/>
  <c r="L68" i="1" s="1"/>
  <c r="X68" i="1"/>
  <c r="Y68" i="1"/>
  <c r="Z68" i="1"/>
  <c r="AA68" i="1"/>
  <c r="AC68" i="1"/>
  <c r="AD68" i="1"/>
  <c r="AE68" i="1"/>
  <c r="AF68" i="1"/>
  <c r="AH68" i="1"/>
  <c r="AI68" i="1"/>
  <c r="AJ68" i="1"/>
  <c r="AK68" i="1"/>
  <c r="AM68" i="1"/>
  <c r="E69" i="1"/>
  <c r="F69" i="1"/>
  <c r="G69" i="1" s="1"/>
  <c r="H69" i="1"/>
  <c r="J69" i="1"/>
  <c r="L69" i="1" s="1"/>
  <c r="X69" i="1"/>
  <c r="Y69" i="1"/>
  <c r="Z69" i="1"/>
  <c r="AA69" i="1"/>
  <c r="AC69" i="1"/>
  <c r="AD69" i="1"/>
  <c r="AE69" i="1"/>
  <c r="AF69" i="1"/>
  <c r="AH69" i="1"/>
  <c r="AI69" i="1"/>
  <c r="AJ69" i="1"/>
  <c r="AK69" i="1"/>
  <c r="AM69" i="1"/>
  <c r="E70" i="1"/>
  <c r="F70" i="1"/>
  <c r="G70" i="1" s="1"/>
  <c r="J70" i="1"/>
  <c r="L70" i="1" s="1"/>
  <c r="X70" i="1"/>
  <c r="Y70" i="1"/>
  <c r="Z70" i="1"/>
  <c r="AA70" i="1"/>
  <c r="AC70" i="1"/>
  <c r="AD70" i="1"/>
  <c r="AE70" i="1"/>
  <c r="AF70" i="1"/>
  <c r="AH70" i="1"/>
  <c r="AI70" i="1"/>
  <c r="AJ70" i="1"/>
  <c r="AK70" i="1"/>
  <c r="AM70" i="1"/>
  <c r="E71" i="1"/>
  <c r="H71" i="1" s="1"/>
  <c r="F71" i="1"/>
  <c r="G71" i="1"/>
  <c r="J71" i="1"/>
  <c r="L71" i="1" s="1"/>
  <c r="X71" i="1"/>
  <c r="Y71" i="1"/>
  <c r="Z71" i="1"/>
  <c r="AA71" i="1"/>
  <c r="AC71" i="1"/>
  <c r="AD71" i="1"/>
  <c r="AE71" i="1"/>
  <c r="AF71" i="1"/>
  <c r="AH71" i="1"/>
  <c r="AI71" i="1"/>
  <c r="AJ71" i="1"/>
  <c r="AK71" i="1"/>
  <c r="AM71" i="1"/>
  <c r="E72" i="1"/>
  <c r="F72" i="1"/>
  <c r="G72" i="1" s="1"/>
  <c r="J72" i="1"/>
  <c r="L72" i="1" s="1"/>
  <c r="X72" i="1"/>
  <c r="Y72" i="1"/>
  <c r="Z72" i="1"/>
  <c r="AA72" i="1"/>
  <c r="AC72" i="1"/>
  <c r="AD72" i="1"/>
  <c r="AE72" i="1"/>
  <c r="AF72" i="1"/>
  <c r="AH72" i="1"/>
  <c r="AI72" i="1"/>
  <c r="AJ72" i="1"/>
  <c r="AK72" i="1"/>
  <c r="N72" i="1" s="1"/>
  <c r="AM72" i="1"/>
  <c r="E73" i="1"/>
  <c r="H73" i="1" s="1"/>
  <c r="F73" i="1"/>
  <c r="G73" i="1"/>
  <c r="J73" i="1"/>
  <c r="L73" i="1" s="1"/>
  <c r="X73" i="1"/>
  <c r="Y73" i="1"/>
  <c r="Z73" i="1"/>
  <c r="AA73" i="1"/>
  <c r="AC73" i="1"/>
  <c r="AD73" i="1"/>
  <c r="AE73" i="1"/>
  <c r="AF73" i="1"/>
  <c r="AH73" i="1"/>
  <c r="AI73" i="1"/>
  <c r="AJ73" i="1"/>
  <c r="AK73" i="1"/>
  <c r="AM73" i="1"/>
  <c r="E74" i="1"/>
  <c r="F74" i="1"/>
  <c r="G74" i="1" s="1"/>
  <c r="J74" i="1"/>
  <c r="L74" i="1" s="1"/>
  <c r="X74" i="1"/>
  <c r="Y74" i="1"/>
  <c r="Z74" i="1"/>
  <c r="AA74" i="1"/>
  <c r="AC74" i="1"/>
  <c r="AD74" i="1"/>
  <c r="AE74" i="1"/>
  <c r="AF74" i="1"/>
  <c r="AH74" i="1"/>
  <c r="AI74" i="1"/>
  <c r="AJ74" i="1"/>
  <c r="AK74" i="1"/>
  <c r="AM74" i="1"/>
  <c r="E75" i="1"/>
  <c r="H75" i="1" s="1"/>
  <c r="F75" i="1"/>
  <c r="G75" i="1"/>
  <c r="J75" i="1"/>
  <c r="L75" i="1" s="1"/>
  <c r="X75" i="1"/>
  <c r="Y75" i="1"/>
  <c r="Z75" i="1"/>
  <c r="AA75" i="1"/>
  <c r="AC75" i="1"/>
  <c r="AD75" i="1"/>
  <c r="AE75" i="1"/>
  <c r="AF75" i="1"/>
  <c r="AH75" i="1"/>
  <c r="AI75" i="1"/>
  <c r="AJ75" i="1"/>
  <c r="AK75" i="1"/>
  <c r="AM75" i="1"/>
  <c r="E76" i="1"/>
  <c r="F76" i="1"/>
  <c r="G76" i="1" s="1"/>
  <c r="J76" i="1"/>
  <c r="L76" i="1" s="1"/>
  <c r="X76" i="1"/>
  <c r="Y76" i="1"/>
  <c r="Z76" i="1"/>
  <c r="AA76" i="1"/>
  <c r="AC76" i="1"/>
  <c r="AD76" i="1"/>
  <c r="AE76" i="1"/>
  <c r="AF76" i="1"/>
  <c r="AH76" i="1"/>
  <c r="AI76" i="1"/>
  <c r="AJ76" i="1"/>
  <c r="AK76" i="1"/>
  <c r="AM76" i="1"/>
  <c r="E77" i="1"/>
  <c r="H77" i="1" s="1"/>
  <c r="F77" i="1"/>
  <c r="G77" i="1"/>
  <c r="J77" i="1"/>
  <c r="L77" i="1" s="1"/>
  <c r="X77" i="1"/>
  <c r="Y77" i="1"/>
  <c r="Z77" i="1"/>
  <c r="AA77" i="1"/>
  <c r="AC77" i="1"/>
  <c r="AD77" i="1"/>
  <c r="AE77" i="1"/>
  <c r="AF77" i="1"/>
  <c r="AH77" i="1"/>
  <c r="AI77" i="1"/>
  <c r="AJ77" i="1"/>
  <c r="AK77" i="1"/>
  <c r="AM77" i="1"/>
  <c r="E78" i="1"/>
  <c r="F78" i="1"/>
  <c r="G78" i="1" s="1"/>
  <c r="J78" i="1"/>
  <c r="L78" i="1" s="1"/>
  <c r="X78" i="1"/>
  <c r="Y78" i="1"/>
  <c r="Z78" i="1"/>
  <c r="AA78" i="1"/>
  <c r="AC78" i="1"/>
  <c r="AD78" i="1"/>
  <c r="AE78" i="1"/>
  <c r="AF78" i="1"/>
  <c r="AH78" i="1"/>
  <c r="AI78" i="1"/>
  <c r="AJ78" i="1"/>
  <c r="AK78" i="1"/>
  <c r="AM78" i="1"/>
  <c r="E79" i="1"/>
  <c r="H79" i="1" s="1"/>
  <c r="F79" i="1"/>
  <c r="G79" i="1"/>
  <c r="J79" i="1"/>
  <c r="L79" i="1" s="1"/>
  <c r="X79" i="1"/>
  <c r="Y79" i="1"/>
  <c r="Z79" i="1"/>
  <c r="AA79" i="1"/>
  <c r="AC79" i="1"/>
  <c r="AD79" i="1"/>
  <c r="AE79" i="1"/>
  <c r="AF79" i="1"/>
  <c r="AH79" i="1"/>
  <c r="AI79" i="1"/>
  <c r="AJ79" i="1"/>
  <c r="AK79" i="1"/>
  <c r="AM79" i="1"/>
  <c r="E80" i="1"/>
  <c r="F80" i="1"/>
  <c r="G80" i="1" s="1"/>
  <c r="J80" i="1"/>
  <c r="L80" i="1" s="1"/>
  <c r="X80" i="1"/>
  <c r="Y80" i="1"/>
  <c r="Z80" i="1"/>
  <c r="AA80" i="1"/>
  <c r="AC80" i="1"/>
  <c r="AD80" i="1"/>
  <c r="AE80" i="1"/>
  <c r="AF80" i="1"/>
  <c r="AH80" i="1"/>
  <c r="AI80" i="1"/>
  <c r="AJ80" i="1"/>
  <c r="AK80" i="1"/>
  <c r="N80" i="1" s="1"/>
  <c r="AM80" i="1"/>
  <c r="E81" i="1"/>
  <c r="H81" i="1" s="1"/>
  <c r="F81" i="1"/>
  <c r="G81" i="1"/>
  <c r="J81" i="1"/>
  <c r="L81" i="1" s="1"/>
  <c r="X81" i="1"/>
  <c r="Y81" i="1"/>
  <c r="Z81" i="1"/>
  <c r="AA81" i="1"/>
  <c r="AC81" i="1"/>
  <c r="AD81" i="1"/>
  <c r="AE81" i="1"/>
  <c r="AF81" i="1"/>
  <c r="AH81" i="1"/>
  <c r="AI81" i="1"/>
  <c r="AJ81" i="1"/>
  <c r="AK81" i="1"/>
  <c r="AM81" i="1"/>
  <c r="E82" i="1"/>
  <c r="F82" i="1"/>
  <c r="G82" i="1" s="1"/>
  <c r="J82" i="1"/>
  <c r="L82" i="1" s="1"/>
  <c r="X82" i="1"/>
  <c r="Y82" i="1"/>
  <c r="Z82" i="1"/>
  <c r="AA82" i="1"/>
  <c r="AC82" i="1"/>
  <c r="AD82" i="1"/>
  <c r="AE82" i="1"/>
  <c r="AF82" i="1"/>
  <c r="AH82" i="1"/>
  <c r="AI82" i="1"/>
  <c r="AJ82" i="1"/>
  <c r="AK82" i="1"/>
  <c r="E83" i="1"/>
  <c r="H83" i="1" s="1"/>
  <c r="F83" i="1"/>
  <c r="G83" i="1"/>
  <c r="J83" i="1"/>
  <c r="L83" i="1" s="1"/>
  <c r="X83" i="1"/>
  <c r="Y83" i="1"/>
  <c r="Z83" i="1"/>
  <c r="AA83" i="1"/>
  <c r="AC83" i="1"/>
  <c r="AD83" i="1"/>
  <c r="AE83" i="1"/>
  <c r="AF83" i="1"/>
  <c r="AH83" i="1"/>
  <c r="AI83" i="1"/>
  <c r="AJ83" i="1"/>
  <c r="AK83" i="1"/>
  <c r="E84" i="1"/>
  <c r="F84" i="1"/>
  <c r="G84" i="1" s="1"/>
  <c r="J84" i="1"/>
  <c r="L84" i="1" s="1"/>
  <c r="X84" i="1"/>
  <c r="Y84" i="1"/>
  <c r="Z84" i="1"/>
  <c r="AA84" i="1"/>
  <c r="AC84" i="1"/>
  <c r="AD84" i="1"/>
  <c r="AE84" i="1"/>
  <c r="AF84" i="1"/>
  <c r="AH84" i="1"/>
  <c r="AI84" i="1"/>
  <c r="AJ84" i="1"/>
  <c r="AK84" i="1"/>
  <c r="N84" i="1" s="1"/>
  <c r="E85" i="1"/>
  <c r="H85" i="1" s="1"/>
  <c r="F85" i="1"/>
  <c r="G85" i="1"/>
  <c r="J85" i="1"/>
  <c r="L85" i="1" s="1"/>
  <c r="X85" i="1"/>
  <c r="Y85" i="1"/>
  <c r="Z85" i="1"/>
  <c r="AA85" i="1"/>
  <c r="AC85" i="1"/>
  <c r="AD85" i="1"/>
  <c r="AE85" i="1"/>
  <c r="AF85" i="1"/>
  <c r="AH85" i="1"/>
  <c r="AI85" i="1"/>
  <c r="AJ85" i="1"/>
  <c r="AK85" i="1"/>
  <c r="E86" i="1"/>
  <c r="F86" i="1"/>
  <c r="G86" i="1" s="1"/>
  <c r="J86" i="1"/>
  <c r="L86" i="1" s="1"/>
  <c r="X86" i="1"/>
  <c r="Y86" i="1"/>
  <c r="Z86" i="1"/>
  <c r="AA86" i="1"/>
  <c r="AC86" i="1"/>
  <c r="AD86" i="1"/>
  <c r="AE86" i="1"/>
  <c r="AF86" i="1"/>
  <c r="AH86" i="1"/>
  <c r="AI86" i="1"/>
  <c r="AJ86" i="1"/>
  <c r="AK86" i="1"/>
  <c r="E87" i="1"/>
  <c r="H87" i="1" s="1"/>
  <c r="F87" i="1"/>
  <c r="G87" i="1" s="1"/>
  <c r="J87" i="1"/>
  <c r="L87" i="1" s="1"/>
  <c r="X87" i="1"/>
  <c r="Y87" i="1"/>
  <c r="Z87" i="1"/>
  <c r="AA87" i="1"/>
  <c r="AC87" i="1"/>
  <c r="AD87" i="1"/>
  <c r="AE87" i="1"/>
  <c r="AF87" i="1"/>
  <c r="AH87" i="1"/>
  <c r="AI87" i="1"/>
  <c r="AJ87" i="1"/>
  <c r="AK87" i="1"/>
  <c r="E88" i="1"/>
  <c r="H88" i="1" s="1"/>
  <c r="F88" i="1"/>
  <c r="G88" i="1" s="1"/>
  <c r="J88" i="1"/>
  <c r="L88" i="1" s="1"/>
  <c r="X88" i="1"/>
  <c r="Y88" i="1"/>
  <c r="Z88" i="1"/>
  <c r="AA88" i="1"/>
  <c r="AC88" i="1"/>
  <c r="AD88" i="1"/>
  <c r="AE88" i="1"/>
  <c r="AF88" i="1"/>
  <c r="AH88" i="1"/>
  <c r="AI88" i="1"/>
  <c r="AJ88" i="1"/>
  <c r="AK88" i="1"/>
  <c r="E89" i="1"/>
  <c r="H89" i="1" s="1"/>
  <c r="F89" i="1"/>
  <c r="G89" i="1"/>
  <c r="J89" i="1"/>
  <c r="L89" i="1" s="1"/>
  <c r="X89" i="1"/>
  <c r="Y89" i="1"/>
  <c r="Z89" i="1"/>
  <c r="AA89" i="1"/>
  <c r="AC89" i="1"/>
  <c r="AD89" i="1"/>
  <c r="AE89" i="1"/>
  <c r="AF89" i="1"/>
  <c r="AH89" i="1"/>
  <c r="AI89" i="1"/>
  <c r="AJ89" i="1"/>
  <c r="AK89" i="1"/>
  <c r="E90" i="1"/>
  <c r="F90" i="1"/>
  <c r="G90" i="1"/>
  <c r="J90" i="1"/>
  <c r="L90" i="1" s="1"/>
  <c r="X90" i="1"/>
  <c r="Y90" i="1"/>
  <c r="Z90" i="1"/>
  <c r="AA90" i="1"/>
  <c r="AC90" i="1"/>
  <c r="AD90" i="1"/>
  <c r="AE90" i="1"/>
  <c r="AF90" i="1"/>
  <c r="AH90" i="1"/>
  <c r="AI90" i="1"/>
  <c r="AJ90" i="1"/>
  <c r="AK90" i="1"/>
  <c r="AM90" i="1"/>
  <c r="E91" i="1"/>
  <c r="F91" i="1"/>
  <c r="G91" i="1" s="1"/>
  <c r="J91" i="1"/>
  <c r="L91" i="1" s="1"/>
  <c r="X91" i="1"/>
  <c r="Y91" i="1"/>
  <c r="Z91" i="1"/>
  <c r="AA91" i="1"/>
  <c r="AC91" i="1"/>
  <c r="AD91" i="1"/>
  <c r="AE91" i="1"/>
  <c r="AF91" i="1"/>
  <c r="AH91" i="1"/>
  <c r="AI91" i="1"/>
  <c r="AJ91" i="1"/>
  <c r="AK91" i="1"/>
  <c r="AM91" i="1"/>
  <c r="E92" i="1"/>
  <c r="H92" i="1" s="1"/>
  <c r="F92" i="1"/>
  <c r="G92" i="1" s="1"/>
  <c r="J92" i="1"/>
  <c r="L92" i="1" s="1"/>
  <c r="X92" i="1"/>
  <c r="Y92" i="1"/>
  <c r="Z92" i="1"/>
  <c r="AA92" i="1"/>
  <c r="AC92" i="1"/>
  <c r="AD92" i="1"/>
  <c r="AE92" i="1"/>
  <c r="AF92" i="1"/>
  <c r="AH92" i="1"/>
  <c r="AI92" i="1"/>
  <c r="AJ92" i="1"/>
  <c r="AK92" i="1"/>
  <c r="AM92" i="1"/>
  <c r="E93" i="1"/>
  <c r="H93" i="1" s="1"/>
  <c r="F93" i="1"/>
  <c r="G93" i="1"/>
  <c r="J93" i="1"/>
  <c r="L93" i="1" s="1"/>
  <c r="X93" i="1"/>
  <c r="Y93" i="1"/>
  <c r="Z93" i="1"/>
  <c r="AA93" i="1"/>
  <c r="AC93" i="1"/>
  <c r="AD93" i="1"/>
  <c r="AE93" i="1"/>
  <c r="AF93" i="1"/>
  <c r="AH93" i="1"/>
  <c r="AI93" i="1"/>
  <c r="AJ93" i="1"/>
  <c r="AK93" i="1"/>
  <c r="AM93" i="1"/>
  <c r="E94" i="1"/>
  <c r="F94" i="1"/>
  <c r="G94" i="1"/>
  <c r="J94" i="1"/>
  <c r="L94" i="1" s="1"/>
  <c r="X94" i="1"/>
  <c r="Y94" i="1"/>
  <c r="Z94" i="1"/>
  <c r="AA94" i="1"/>
  <c r="AC94" i="1"/>
  <c r="AD94" i="1"/>
  <c r="AE94" i="1"/>
  <c r="AF94" i="1"/>
  <c r="AH94" i="1"/>
  <c r="AI94" i="1"/>
  <c r="AJ94" i="1"/>
  <c r="AK94" i="1"/>
  <c r="AM94" i="1"/>
  <c r="E95" i="1"/>
  <c r="F95" i="1"/>
  <c r="G95" i="1"/>
  <c r="J95" i="1"/>
  <c r="L95" i="1" s="1"/>
  <c r="X95" i="1"/>
  <c r="Y95" i="1"/>
  <c r="Z95" i="1"/>
  <c r="AA95" i="1"/>
  <c r="AC95" i="1"/>
  <c r="AD95" i="1"/>
  <c r="AE95" i="1"/>
  <c r="AF95" i="1"/>
  <c r="AH95" i="1"/>
  <c r="AI95" i="1"/>
  <c r="AJ95" i="1"/>
  <c r="AK95" i="1"/>
  <c r="AM95" i="1"/>
  <c r="E96" i="1"/>
  <c r="F96" i="1"/>
  <c r="G96" i="1" s="1"/>
  <c r="J96" i="1"/>
  <c r="L96" i="1" s="1"/>
  <c r="X96" i="1"/>
  <c r="Y96" i="1"/>
  <c r="Z96" i="1"/>
  <c r="AA96" i="1"/>
  <c r="AC96" i="1"/>
  <c r="AD96" i="1"/>
  <c r="AE96" i="1"/>
  <c r="AF96" i="1"/>
  <c r="AH96" i="1"/>
  <c r="AI96" i="1"/>
  <c r="AJ96" i="1"/>
  <c r="AK96" i="1"/>
  <c r="N96" i="1" s="1"/>
  <c r="AM96" i="1"/>
  <c r="E97" i="1"/>
  <c r="H97" i="1" s="1"/>
  <c r="F97" i="1"/>
  <c r="G97" i="1"/>
  <c r="J97" i="1"/>
  <c r="L97" i="1" s="1"/>
  <c r="X97" i="1"/>
  <c r="Y97" i="1"/>
  <c r="Z97" i="1"/>
  <c r="AA97" i="1"/>
  <c r="AC97" i="1"/>
  <c r="AD97" i="1"/>
  <c r="AE97" i="1"/>
  <c r="AF97" i="1"/>
  <c r="AH97" i="1"/>
  <c r="AI97" i="1"/>
  <c r="AJ97" i="1"/>
  <c r="AK97" i="1"/>
  <c r="AM97" i="1"/>
  <c r="E98" i="1"/>
  <c r="F98" i="1"/>
  <c r="G98" i="1" s="1"/>
  <c r="J98" i="1"/>
  <c r="L98" i="1" s="1"/>
  <c r="X98" i="1"/>
  <c r="Y98" i="1"/>
  <c r="Z98" i="1"/>
  <c r="AA98" i="1"/>
  <c r="AC98" i="1"/>
  <c r="AD98" i="1"/>
  <c r="AE98" i="1"/>
  <c r="AF98" i="1"/>
  <c r="AH98" i="1"/>
  <c r="AI98" i="1"/>
  <c r="AJ98" i="1"/>
  <c r="AK98" i="1"/>
  <c r="AM98" i="1"/>
  <c r="E99" i="1"/>
  <c r="H99" i="1" s="1"/>
  <c r="F99" i="1"/>
  <c r="G99" i="1"/>
  <c r="J99" i="1"/>
  <c r="L99" i="1" s="1"/>
  <c r="X99" i="1"/>
  <c r="Y99" i="1"/>
  <c r="Z99" i="1"/>
  <c r="AA99" i="1"/>
  <c r="AC99" i="1"/>
  <c r="AD99" i="1"/>
  <c r="AE99" i="1"/>
  <c r="AF99" i="1"/>
  <c r="AH99" i="1"/>
  <c r="AI99" i="1"/>
  <c r="AJ99" i="1"/>
  <c r="AK99" i="1"/>
  <c r="AM99" i="1"/>
  <c r="E100" i="1"/>
  <c r="F100" i="1"/>
  <c r="G100" i="1" s="1"/>
  <c r="J100" i="1"/>
  <c r="L100" i="1" s="1"/>
  <c r="X100" i="1"/>
  <c r="Y100" i="1"/>
  <c r="Z100" i="1"/>
  <c r="AA100" i="1"/>
  <c r="AC100" i="1"/>
  <c r="M100" i="1" s="1"/>
  <c r="AD100" i="1"/>
  <c r="AE100" i="1"/>
  <c r="AF100" i="1"/>
  <c r="AH100" i="1"/>
  <c r="AI100" i="1"/>
  <c r="AJ100" i="1"/>
  <c r="AK100" i="1"/>
  <c r="AM100" i="1"/>
  <c r="E101" i="1"/>
  <c r="H101" i="1" s="1"/>
  <c r="F101" i="1"/>
  <c r="G101" i="1"/>
  <c r="J101" i="1"/>
  <c r="L101" i="1" s="1"/>
  <c r="X101" i="1"/>
  <c r="Y101" i="1"/>
  <c r="Z101" i="1"/>
  <c r="AA101" i="1"/>
  <c r="AC101" i="1"/>
  <c r="AD101" i="1"/>
  <c r="AE101" i="1"/>
  <c r="AF101" i="1"/>
  <c r="AH101" i="1"/>
  <c r="AI101" i="1"/>
  <c r="AJ101" i="1"/>
  <c r="AK101" i="1"/>
  <c r="AM101" i="1"/>
  <c r="E102" i="1"/>
  <c r="F102" i="1"/>
  <c r="G102" i="1" s="1"/>
  <c r="J102" i="1"/>
  <c r="L102" i="1" s="1"/>
  <c r="X102" i="1"/>
  <c r="Y102" i="1"/>
  <c r="Z102" i="1"/>
  <c r="AA102" i="1"/>
  <c r="AC102" i="1"/>
  <c r="AD102" i="1"/>
  <c r="AE102" i="1"/>
  <c r="AF102" i="1"/>
  <c r="AH102" i="1"/>
  <c r="AI102" i="1"/>
  <c r="AJ102" i="1"/>
  <c r="AK102" i="1"/>
  <c r="AM102" i="1"/>
  <c r="E103" i="1"/>
  <c r="H103" i="1" s="1"/>
  <c r="F103" i="1"/>
  <c r="G103" i="1" s="1"/>
  <c r="J103" i="1"/>
  <c r="L103" i="1" s="1"/>
  <c r="X103" i="1"/>
  <c r="Y103" i="1"/>
  <c r="Z103" i="1"/>
  <c r="AA103" i="1"/>
  <c r="AC103" i="1"/>
  <c r="AD103" i="1"/>
  <c r="AE103" i="1"/>
  <c r="AF103" i="1"/>
  <c r="AH103" i="1"/>
  <c r="AI103" i="1"/>
  <c r="AJ103" i="1"/>
  <c r="AK103" i="1"/>
  <c r="AM103" i="1"/>
  <c r="E104" i="1"/>
  <c r="H104" i="1" s="1"/>
  <c r="F104" i="1"/>
  <c r="G104" i="1"/>
  <c r="J104" i="1"/>
  <c r="L104" i="1" s="1"/>
  <c r="X104" i="1"/>
  <c r="Y104" i="1"/>
  <c r="Z104" i="1"/>
  <c r="AA104" i="1"/>
  <c r="AC104" i="1"/>
  <c r="AD104" i="1"/>
  <c r="AE104" i="1"/>
  <c r="AF104" i="1"/>
  <c r="AH104" i="1"/>
  <c r="AI104" i="1"/>
  <c r="AJ104" i="1"/>
  <c r="AK104" i="1"/>
  <c r="N104" i="1" s="1"/>
  <c r="AM104" i="1"/>
  <c r="E105" i="1"/>
  <c r="F105" i="1"/>
  <c r="G105" i="1"/>
  <c r="J105" i="1"/>
  <c r="L105" i="1" s="1"/>
  <c r="X105" i="1"/>
  <c r="Y105" i="1"/>
  <c r="Z105" i="1"/>
  <c r="AA105" i="1"/>
  <c r="AC105" i="1"/>
  <c r="AD105" i="1"/>
  <c r="AE105" i="1"/>
  <c r="AF105" i="1"/>
  <c r="AH105" i="1"/>
  <c r="AI105" i="1"/>
  <c r="AJ105" i="1"/>
  <c r="AK105" i="1"/>
  <c r="AM105" i="1"/>
  <c r="E106" i="1"/>
  <c r="F106" i="1"/>
  <c r="G106" i="1" s="1"/>
  <c r="J106" i="1"/>
  <c r="L106" i="1" s="1"/>
  <c r="X106" i="1"/>
  <c r="Y106" i="1"/>
  <c r="Z106" i="1"/>
  <c r="AA106" i="1"/>
  <c r="AC106" i="1"/>
  <c r="AD106" i="1"/>
  <c r="AE106" i="1"/>
  <c r="AF106" i="1"/>
  <c r="AH106" i="1"/>
  <c r="AI106" i="1"/>
  <c r="AJ106" i="1"/>
  <c r="AK106" i="1"/>
  <c r="AM106" i="1"/>
  <c r="E107" i="1"/>
  <c r="H107" i="1" s="1"/>
  <c r="F107" i="1"/>
  <c r="G107" i="1" s="1"/>
  <c r="J107" i="1"/>
  <c r="L107" i="1" s="1"/>
  <c r="X107" i="1"/>
  <c r="Y107" i="1"/>
  <c r="Z107" i="1"/>
  <c r="AA107" i="1"/>
  <c r="AC107" i="1"/>
  <c r="AD107" i="1"/>
  <c r="AE107" i="1"/>
  <c r="AF107" i="1"/>
  <c r="AH107" i="1"/>
  <c r="AI107" i="1"/>
  <c r="AJ107" i="1"/>
  <c r="AK107" i="1"/>
  <c r="AM107" i="1"/>
  <c r="E108" i="1"/>
  <c r="H108" i="1" s="1"/>
  <c r="F108" i="1"/>
  <c r="G108" i="1"/>
  <c r="J108" i="1"/>
  <c r="L108" i="1" s="1"/>
  <c r="X108" i="1"/>
  <c r="Y108" i="1"/>
  <c r="Z108" i="1"/>
  <c r="AA108" i="1"/>
  <c r="AC108" i="1"/>
  <c r="AD108" i="1"/>
  <c r="AE108" i="1"/>
  <c r="AF108" i="1"/>
  <c r="AH108" i="1"/>
  <c r="AI108" i="1"/>
  <c r="AJ108" i="1"/>
  <c r="AK108" i="1"/>
  <c r="AM108" i="1"/>
  <c r="E109" i="1"/>
  <c r="F109" i="1"/>
  <c r="G109" i="1"/>
  <c r="J109" i="1"/>
  <c r="L109" i="1" s="1"/>
  <c r="X109" i="1"/>
  <c r="Y109" i="1"/>
  <c r="Z109" i="1"/>
  <c r="AA109" i="1"/>
  <c r="AC109" i="1"/>
  <c r="AD109" i="1"/>
  <c r="AE109" i="1"/>
  <c r="AF109" i="1"/>
  <c r="AH109" i="1"/>
  <c r="AI109" i="1"/>
  <c r="AJ109" i="1"/>
  <c r="AK109" i="1"/>
  <c r="AM109" i="1"/>
  <c r="E110" i="1"/>
  <c r="F110" i="1"/>
  <c r="G110" i="1" s="1"/>
  <c r="J110" i="1"/>
  <c r="L110" i="1" s="1"/>
  <c r="X110" i="1"/>
  <c r="Y110" i="1"/>
  <c r="Z110" i="1"/>
  <c r="AA110" i="1"/>
  <c r="AC110" i="1"/>
  <c r="AD110" i="1"/>
  <c r="AE110" i="1"/>
  <c r="AF110" i="1"/>
  <c r="AH110" i="1"/>
  <c r="AI110" i="1"/>
  <c r="AJ110" i="1"/>
  <c r="AK110" i="1"/>
  <c r="AM110" i="1"/>
  <c r="E111" i="1"/>
  <c r="H111" i="1" s="1"/>
  <c r="F111" i="1"/>
  <c r="G111" i="1" s="1"/>
  <c r="J111" i="1"/>
  <c r="L111" i="1" s="1"/>
  <c r="X111" i="1"/>
  <c r="Y111" i="1"/>
  <c r="Z111" i="1"/>
  <c r="AA111" i="1"/>
  <c r="AC111" i="1"/>
  <c r="AD111" i="1"/>
  <c r="AE111" i="1"/>
  <c r="AF111" i="1"/>
  <c r="AH111" i="1"/>
  <c r="AI111" i="1"/>
  <c r="AJ111" i="1"/>
  <c r="AK111" i="1"/>
  <c r="AM111" i="1"/>
  <c r="E112" i="1"/>
  <c r="H112" i="1" s="1"/>
  <c r="F112" i="1"/>
  <c r="G112" i="1"/>
  <c r="J112" i="1"/>
  <c r="L112" i="1" s="1"/>
  <c r="X112" i="1"/>
  <c r="Y112" i="1"/>
  <c r="Z112" i="1"/>
  <c r="AA112" i="1"/>
  <c r="AC112" i="1"/>
  <c r="AD112" i="1"/>
  <c r="AE112" i="1"/>
  <c r="AF112" i="1"/>
  <c r="AH112" i="1"/>
  <c r="AI112" i="1"/>
  <c r="AJ112" i="1"/>
  <c r="AK112" i="1"/>
  <c r="AM112" i="1"/>
  <c r="E113" i="1"/>
  <c r="F113" i="1"/>
  <c r="G113" i="1"/>
  <c r="J113" i="1"/>
  <c r="L113" i="1" s="1"/>
  <c r="X113" i="1"/>
  <c r="Y113" i="1"/>
  <c r="Z113" i="1"/>
  <c r="AA113" i="1"/>
  <c r="AC113" i="1"/>
  <c r="AD113" i="1"/>
  <c r="AE113" i="1"/>
  <c r="AF113" i="1"/>
  <c r="AH113" i="1"/>
  <c r="AI113" i="1"/>
  <c r="AJ113" i="1"/>
  <c r="AK113" i="1"/>
  <c r="AM113" i="1"/>
  <c r="E114" i="1"/>
  <c r="F114" i="1"/>
  <c r="G114" i="1" s="1"/>
  <c r="J114" i="1"/>
  <c r="L114" i="1" s="1"/>
  <c r="X114" i="1"/>
  <c r="Y114" i="1"/>
  <c r="Z114" i="1"/>
  <c r="AA114" i="1"/>
  <c r="AC114" i="1"/>
  <c r="AD114" i="1"/>
  <c r="AE114" i="1"/>
  <c r="AF114" i="1"/>
  <c r="AH114" i="1"/>
  <c r="AI114" i="1"/>
  <c r="AJ114" i="1"/>
  <c r="AK114" i="1"/>
  <c r="AM114" i="1"/>
  <c r="E115" i="1"/>
  <c r="H115" i="1" s="1"/>
  <c r="F115" i="1"/>
  <c r="G115" i="1" s="1"/>
  <c r="J115" i="1"/>
  <c r="L115" i="1" s="1"/>
  <c r="X115" i="1"/>
  <c r="Y115" i="1"/>
  <c r="Z115" i="1"/>
  <c r="AA115" i="1"/>
  <c r="AC115" i="1"/>
  <c r="AD115" i="1"/>
  <c r="AE115" i="1"/>
  <c r="AF115" i="1"/>
  <c r="AH115" i="1"/>
  <c r="AI115" i="1"/>
  <c r="AJ115" i="1"/>
  <c r="AK115" i="1"/>
  <c r="E116" i="1"/>
  <c r="H116" i="1" s="1"/>
  <c r="F116" i="1"/>
  <c r="G116" i="1"/>
  <c r="J116" i="1"/>
  <c r="L116" i="1" s="1"/>
  <c r="X116" i="1"/>
  <c r="Y116" i="1"/>
  <c r="Z116" i="1"/>
  <c r="AA116" i="1"/>
  <c r="AC116" i="1"/>
  <c r="AD116" i="1"/>
  <c r="AE116" i="1"/>
  <c r="AF116" i="1"/>
  <c r="AH116" i="1"/>
  <c r="AI116" i="1"/>
  <c r="AJ116" i="1"/>
  <c r="AK116" i="1"/>
  <c r="AM116" i="1"/>
  <c r="E117" i="1"/>
  <c r="F117" i="1"/>
  <c r="G117" i="1"/>
  <c r="J117" i="1"/>
  <c r="L117" i="1" s="1"/>
  <c r="X117" i="1"/>
  <c r="Y117" i="1"/>
  <c r="Z117" i="1"/>
  <c r="AA117" i="1"/>
  <c r="AC117" i="1"/>
  <c r="AD117" i="1"/>
  <c r="AE117" i="1"/>
  <c r="AF117" i="1"/>
  <c r="AH117" i="1"/>
  <c r="AI117" i="1"/>
  <c r="AJ117" i="1"/>
  <c r="AK117" i="1"/>
  <c r="AM117" i="1"/>
  <c r="E118" i="1"/>
  <c r="F118" i="1"/>
  <c r="G118" i="1" s="1"/>
  <c r="J118" i="1"/>
  <c r="L118" i="1" s="1"/>
  <c r="X118" i="1"/>
  <c r="Y118" i="1"/>
  <c r="Z118" i="1"/>
  <c r="AA118" i="1"/>
  <c r="AC118" i="1"/>
  <c r="AD118" i="1"/>
  <c r="AE118" i="1"/>
  <c r="AF118" i="1"/>
  <c r="AH118" i="1"/>
  <c r="AI118" i="1"/>
  <c r="AJ118" i="1"/>
  <c r="AK118" i="1"/>
  <c r="AM118" i="1"/>
  <c r="E119" i="1"/>
  <c r="H119" i="1" s="1"/>
  <c r="F119" i="1"/>
  <c r="G119" i="1" s="1"/>
  <c r="J119" i="1"/>
  <c r="L119" i="1" s="1"/>
  <c r="X119" i="1"/>
  <c r="Y119" i="1"/>
  <c r="Z119" i="1"/>
  <c r="AA119" i="1"/>
  <c r="AC119" i="1"/>
  <c r="AD119" i="1"/>
  <c r="AE119" i="1"/>
  <c r="AF119" i="1"/>
  <c r="AH119" i="1"/>
  <c r="AI119" i="1"/>
  <c r="AJ119" i="1"/>
  <c r="AK119" i="1"/>
  <c r="AM119" i="1"/>
  <c r="E120" i="1"/>
  <c r="H120" i="1" s="1"/>
  <c r="F120" i="1"/>
  <c r="G120" i="1"/>
  <c r="J120" i="1"/>
  <c r="L120" i="1" s="1"/>
  <c r="X120" i="1"/>
  <c r="Y120" i="1"/>
  <c r="Z120" i="1"/>
  <c r="AA120" i="1"/>
  <c r="AC120" i="1"/>
  <c r="AD120" i="1"/>
  <c r="AE120" i="1"/>
  <c r="AF120" i="1"/>
  <c r="AH120" i="1"/>
  <c r="AI120" i="1"/>
  <c r="AJ120" i="1"/>
  <c r="AK120" i="1"/>
  <c r="AM120" i="1"/>
  <c r="E121" i="1"/>
  <c r="H121" i="1" s="1"/>
  <c r="F121" i="1"/>
  <c r="G121" i="1"/>
  <c r="J121" i="1"/>
  <c r="L121" i="1" s="1"/>
  <c r="X121" i="1"/>
  <c r="Y121" i="1"/>
  <c r="Z121" i="1"/>
  <c r="AA121" i="1"/>
  <c r="AC121" i="1"/>
  <c r="AD121" i="1"/>
  <c r="AE121" i="1"/>
  <c r="AF121" i="1"/>
  <c r="AH121" i="1"/>
  <c r="AI121" i="1"/>
  <c r="AJ121" i="1"/>
  <c r="AK121" i="1"/>
  <c r="AM121" i="1"/>
  <c r="E122" i="1"/>
  <c r="F122" i="1"/>
  <c r="G122" i="1" s="1"/>
  <c r="J122" i="1"/>
  <c r="L122" i="1" s="1"/>
  <c r="X122" i="1"/>
  <c r="Y122" i="1"/>
  <c r="Z122" i="1"/>
  <c r="AA122" i="1"/>
  <c r="AC122" i="1"/>
  <c r="AD122" i="1"/>
  <c r="AE122" i="1"/>
  <c r="AF122" i="1"/>
  <c r="AH122" i="1"/>
  <c r="AI122" i="1"/>
  <c r="AJ122" i="1"/>
  <c r="AK122" i="1"/>
  <c r="AM122" i="1"/>
  <c r="E123" i="1"/>
  <c r="H123" i="1" s="1"/>
  <c r="F123" i="1"/>
  <c r="G123" i="1" s="1"/>
  <c r="J123" i="1"/>
  <c r="L123" i="1" s="1"/>
  <c r="X123" i="1"/>
  <c r="Y123" i="1"/>
  <c r="Z123" i="1"/>
  <c r="AA123" i="1"/>
  <c r="AC123" i="1"/>
  <c r="AD123" i="1"/>
  <c r="AE123" i="1"/>
  <c r="AF123" i="1"/>
  <c r="AH123" i="1"/>
  <c r="AI123" i="1"/>
  <c r="AJ123" i="1"/>
  <c r="AK123" i="1"/>
  <c r="AM123" i="1"/>
  <c r="E124" i="1"/>
  <c r="H124" i="1" s="1"/>
  <c r="F124" i="1"/>
  <c r="G124" i="1" s="1"/>
  <c r="J124" i="1"/>
  <c r="L124" i="1" s="1"/>
  <c r="X124" i="1"/>
  <c r="Y124" i="1"/>
  <c r="Z124" i="1"/>
  <c r="AA124" i="1"/>
  <c r="AC124" i="1"/>
  <c r="AD124" i="1"/>
  <c r="AE124" i="1"/>
  <c r="AF124" i="1"/>
  <c r="AH124" i="1"/>
  <c r="AI124" i="1"/>
  <c r="AJ124" i="1"/>
  <c r="AK124" i="1"/>
  <c r="AM124" i="1"/>
  <c r="E125" i="1"/>
  <c r="H125" i="1" s="1"/>
  <c r="F125" i="1"/>
  <c r="G125" i="1"/>
  <c r="J125" i="1"/>
  <c r="L125" i="1" s="1"/>
  <c r="X125" i="1"/>
  <c r="Y125" i="1"/>
  <c r="Z125" i="1"/>
  <c r="AA125" i="1"/>
  <c r="AC125" i="1"/>
  <c r="AD125" i="1"/>
  <c r="AE125" i="1"/>
  <c r="AF125" i="1"/>
  <c r="AH125" i="1"/>
  <c r="AI125" i="1"/>
  <c r="AJ125" i="1"/>
  <c r="AK125" i="1"/>
  <c r="AM125" i="1"/>
  <c r="E126" i="1"/>
  <c r="F126" i="1"/>
  <c r="G126" i="1" s="1"/>
  <c r="J126" i="1"/>
  <c r="L126" i="1" s="1"/>
  <c r="X126" i="1"/>
  <c r="Y126" i="1"/>
  <c r="Z126" i="1"/>
  <c r="AA126" i="1"/>
  <c r="AC126" i="1"/>
  <c r="AD126" i="1"/>
  <c r="AE126" i="1"/>
  <c r="AF126" i="1"/>
  <c r="AH126" i="1"/>
  <c r="AI126" i="1"/>
  <c r="AJ126" i="1"/>
  <c r="AK126" i="1"/>
  <c r="AM126" i="1"/>
  <c r="E127" i="1"/>
  <c r="H127" i="1" s="1"/>
  <c r="F127" i="1"/>
  <c r="G127" i="1" s="1"/>
  <c r="J127" i="1"/>
  <c r="L127" i="1" s="1"/>
  <c r="X127" i="1"/>
  <c r="Y127" i="1"/>
  <c r="Z127" i="1"/>
  <c r="AA127" i="1"/>
  <c r="AC127" i="1"/>
  <c r="AD127" i="1"/>
  <c r="AE127" i="1"/>
  <c r="AF127" i="1"/>
  <c r="AH127" i="1"/>
  <c r="AI127" i="1"/>
  <c r="AJ127" i="1"/>
  <c r="AK127" i="1"/>
  <c r="AM127" i="1"/>
  <c r="E128" i="1"/>
  <c r="H128" i="1" s="1"/>
  <c r="F128" i="1"/>
  <c r="G128" i="1" s="1"/>
  <c r="J128" i="1"/>
  <c r="L128" i="1" s="1"/>
  <c r="X128" i="1"/>
  <c r="Y128" i="1"/>
  <c r="Z128" i="1"/>
  <c r="AA128" i="1"/>
  <c r="AC128" i="1"/>
  <c r="AD128" i="1"/>
  <c r="AE128" i="1"/>
  <c r="AF128" i="1"/>
  <c r="AH128" i="1"/>
  <c r="AI128" i="1"/>
  <c r="AJ128" i="1"/>
  <c r="AK128" i="1"/>
  <c r="AM128" i="1"/>
  <c r="E129" i="1"/>
  <c r="H129" i="1" s="1"/>
  <c r="F129" i="1"/>
  <c r="G129" i="1"/>
  <c r="J129" i="1"/>
  <c r="L129" i="1" s="1"/>
  <c r="X129" i="1"/>
  <c r="Y129" i="1"/>
  <c r="Z129" i="1"/>
  <c r="AA129" i="1"/>
  <c r="AC129" i="1"/>
  <c r="AD129" i="1"/>
  <c r="AE129" i="1"/>
  <c r="AF129" i="1"/>
  <c r="AH129" i="1"/>
  <c r="AI129" i="1"/>
  <c r="AJ129" i="1"/>
  <c r="AK129" i="1"/>
  <c r="AM129" i="1"/>
  <c r="E130" i="1"/>
  <c r="F130" i="1"/>
  <c r="G130" i="1" s="1"/>
  <c r="J130" i="1"/>
  <c r="L130" i="1" s="1"/>
  <c r="X130" i="1"/>
  <c r="Y130" i="1"/>
  <c r="Z130" i="1"/>
  <c r="AA130" i="1"/>
  <c r="AC130" i="1"/>
  <c r="AD130" i="1"/>
  <c r="AE130" i="1"/>
  <c r="AF130" i="1"/>
  <c r="AH130" i="1"/>
  <c r="AI130" i="1"/>
  <c r="AJ130" i="1"/>
  <c r="AK130" i="1"/>
  <c r="AM130" i="1"/>
  <c r="E131" i="1"/>
  <c r="H131" i="1" s="1"/>
  <c r="F131" i="1"/>
  <c r="G131" i="1" s="1"/>
  <c r="J131" i="1"/>
  <c r="L131" i="1" s="1"/>
  <c r="X131" i="1"/>
  <c r="Y131" i="1"/>
  <c r="Z131" i="1"/>
  <c r="AA131" i="1"/>
  <c r="AC131" i="1"/>
  <c r="AD131" i="1"/>
  <c r="AE131" i="1"/>
  <c r="AF131" i="1"/>
  <c r="AH131" i="1"/>
  <c r="AI131" i="1"/>
  <c r="AJ131" i="1"/>
  <c r="AK131" i="1"/>
  <c r="AM131" i="1"/>
  <c r="E132" i="1"/>
  <c r="H132" i="1" s="1"/>
  <c r="F132" i="1"/>
  <c r="G132" i="1"/>
  <c r="J132" i="1"/>
  <c r="L132" i="1" s="1"/>
  <c r="X132" i="1"/>
  <c r="Y132" i="1"/>
  <c r="Z132" i="1"/>
  <c r="AA132" i="1"/>
  <c r="AC132" i="1"/>
  <c r="AD132" i="1"/>
  <c r="AE132" i="1"/>
  <c r="AF132" i="1"/>
  <c r="AH132" i="1"/>
  <c r="AI132" i="1"/>
  <c r="AJ132" i="1"/>
  <c r="AK132" i="1"/>
  <c r="AM132" i="1"/>
  <c r="E133" i="1"/>
  <c r="H133" i="1" s="1"/>
  <c r="F133" i="1"/>
  <c r="G133" i="1"/>
  <c r="J133" i="1"/>
  <c r="L133" i="1" s="1"/>
  <c r="X133" i="1"/>
  <c r="Y133" i="1"/>
  <c r="Z133" i="1"/>
  <c r="AA133" i="1"/>
  <c r="AC133" i="1"/>
  <c r="AD133" i="1"/>
  <c r="AE133" i="1"/>
  <c r="AF133" i="1"/>
  <c r="AH133" i="1"/>
  <c r="AI133" i="1"/>
  <c r="AJ133" i="1"/>
  <c r="AK133" i="1"/>
  <c r="AM133" i="1"/>
  <c r="E134" i="1"/>
  <c r="F134" i="1"/>
  <c r="G134" i="1" s="1"/>
  <c r="J134" i="1"/>
  <c r="L134" i="1" s="1"/>
  <c r="X134" i="1"/>
  <c r="Y134" i="1"/>
  <c r="Z134" i="1"/>
  <c r="AA134" i="1"/>
  <c r="AC134" i="1"/>
  <c r="AD134" i="1"/>
  <c r="AE134" i="1"/>
  <c r="AF134" i="1"/>
  <c r="AH134" i="1"/>
  <c r="AI134" i="1"/>
  <c r="AJ134" i="1"/>
  <c r="AK134" i="1"/>
  <c r="AM134" i="1"/>
  <c r="E135" i="1"/>
  <c r="H135" i="1" s="1"/>
  <c r="F135" i="1"/>
  <c r="G135" i="1" s="1"/>
  <c r="J135" i="1"/>
  <c r="L135" i="1" s="1"/>
  <c r="X135" i="1"/>
  <c r="Y135" i="1"/>
  <c r="Z135" i="1"/>
  <c r="AA135" i="1"/>
  <c r="AC135" i="1"/>
  <c r="AD135" i="1"/>
  <c r="AE135" i="1"/>
  <c r="AF135" i="1"/>
  <c r="AH135" i="1"/>
  <c r="AI135" i="1"/>
  <c r="AJ135" i="1"/>
  <c r="AK135" i="1"/>
  <c r="AM135" i="1"/>
  <c r="E136" i="1"/>
  <c r="H136" i="1" s="1"/>
  <c r="F136" i="1"/>
  <c r="G136" i="1"/>
  <c r="J136" i="1"/>
  <c r="L136" i="1" s="1"/>
  <c r="X136" i="1"/>
  <c r="Y136" i="1"/>
  <c r="Z136" i="1"/>
  <c r="AA136" i="1"/>
  <c r="AC136" i="1"/>
  <c r="AD136" i="1"/>
  <c r="AE136" i="1"/>
  <c r="AF136" i="1"/>
  <c r="AH136" i="1"/>
  <c r="AI136" i="1"/>
  <c r="AJ136" i="1"/>
  <c r="AK136" i="1"/>
  <c r="AM136" i="1"/>
  <c r="E137" i="1"/>
  <c r="H137" i="1" s="1"/>
  <c r="F137" i="1"/>
  <c r="G137" i="1"/>
  <c r="J137" i="1"/>
  <c r="L137" i="1" s="1"/>
  <c r="X137" i="1"/>
  <c r="Y137" i="1"/>
  <c r="Z137" i="1"/>
  <c r="AA137" i="1"/>
  <c r="AC137" i="1"/>
  <c r="AD137" i="1"/>
  <c r="AE137" i="1"/>
  <c r="AF137" i="1"/>
  <c r="AH137" i="1"/>
  <c r="AI137" i="1"/>
  <c r="AJ137" i="1"/>
  <c r="AK137" i="1"/>
  <c r="AM137" i="1"/>
  <c r="E138" i="1"/>
  <c r="F138" i="1"/>
  <c r="G138" i="1" s="1"/>
  <c r="J138" i="1"/>
  <c r="L138" i="1" s="1"/>
  <c r="X138" i="1"/>
  <c r="Y138" i="1"/>
  <c r="Z138" i="1"/>
  <c r="AA138" i="1"/>
  <c r="AC138" i="1"/>
  <c r="AD138" i="1"/>
  <c r="AE138" i="1"/>
  <c r="AF138" i="1"/>
  <c r="AH138" i="1"/>
  <c r="AI138" i="1"/>
  <c r="AJ138" i="1"/>
  <c r="AK138" i="1"/>
  <c r="AM138" i="1"/>
  <c r="E139" i="1"/>
  <c r="H139" i="1" s="1"/>
  <c r="F139" i="1"/>
  <c r="G139" i="1" s="1"/>
  <c r="J139" i="1"/>
  <c r="L139" i="1" s="1"/>
  <c r="X139" i="1"/>
  <c r="Y139" i="1"/>
  <c r="Z139" i="1"/>
  <c r="AA139" i="1"/>
  <c r="AC139" i="1"/>
  <c r="AD139" i="1"/>
  <c r="AE139" i="1"/>
  <c r="AF139" i="1"/>
  <c r="AH139" i="1"/>
  <c r="AI139" i="1"/>
  <c r="AJ139" i="1"/>
  <c r="AK139" i="1"/>
  <c r="AM139" i="1"/>
  <c r="E140" i="1"/>
  <c r="H140" i="1" s="1"/>
  <c r="F140" i="1"/>
  <c r="G140" i="1"/>
  <c r="J140" i="1"/>
  <c r="L140" i="1" s="1"/>
  <c r="X140" i="1"/>
  <c r="Y140" i="1"/>
  <c r="Z140" i="1"/>
  <c r="AA140" i="1"/>
  <c r="AC140" i="1"/>
  <c r="AD140" i="1"/>
  <c r="AE140" i="1"/>
  <c r="AF140" i="1"/>
  <c r="AH140" i="1"/>
  <c r="AI140" i="1"/>
  <c r="AJ140" i="1"/>
  <c r="AK140" i="1"/>
  <c r="AM140" i="1"/>
  <c r="E141" i="1"/>
  <c r="H141" i="1" s="1"/>
  <c r="F141" i="1"/>
  <c r="G141" i="1"/>
  <c r="J141" i="1"/>
  <c r="L141" i="1" s="1"/>
  <c r="X141" i="1"/>
  <c r="Y141" i="1"/>
  <c r="Z141" i="1"/>
  <c r="AA141" i="1"/>
  <c r="AC141" i="1"/>
  <c r="AD141" i="1"/>
  <c r="AE141" i="1"/>
  <c r="AF141" i="1"/>
  <c r="AH141" i="1"/>
  <c r="AI141" i="1"/>
  <c r="AJ141" i="1"/>
  <c r="AK141" i="1"/>
  <c r="AM141" i="1"/>
  <c r="E142" i="1"/>
  <c r="F142" i="1"/>
  <c r="G142" i="1" s="1"/>
  <c r="J142" i="1"/>
  <c r="L142" i="1" s="1"/>
  <c r="X142" i="1"/>
  <c r="Y142" i="1"/>
  <c r="Z142" i="1"/>
  <c r="AA142" i="1"/>
  <c r="AC142" i="1"/>
  <c r="AD142" i="1"/>
  <c r="AE142" i="1"/>
  <c r="AF142" i="1"/>
  <c r="AH142" i="1"/>
  <c r="AI142" i="1"/>
  <c r="AJ142" i="1"/>
  <c r="AK142" i="1"/>
  <c r="AM142" i="1"/>
  <c r="E143" i="1"/>
  <c r="H143" i="1" s="1"/>
  <c r="F143" i="1"/>
  <c r="G143" i="1" s="1"/>
  <c r="J143" i="1"/>
  <c r="L143" i="1" s="1"/>
  <c r="X143" i="1"/>
  <c r="Y143" i="1"/>
  <c r="Z143" i="1"/>
  <c r="AA143" i="1"/>
  <c r="AC143" i="1"/>
  <c r="AD143" i="1"/>
  <c r="AE143" i="1"/>
  <c r="AF143" i="1"/>
  <c r="AH143" i="1"/>
  <c r="AI143" i="1"/>
  <c r="AJ143" i="1"/>
  <c r="AK143" i="1"/>
  <c r="AM143" i="1"/>
  <c r="E144" i="1"/>
  <c r="H144" i="1" s="1"/>
  <c r="F144" i="1"/>
  <c r="G144" i="1"/>
  <c r="J144" i="1"/>
  <c r="L144" i="1" s="1"/>
  <c r="X144" i="1"/>
  <c r="Y144" i="1"/>
  <c r="Z144" i="1"/>
  <c r="AA144" i="1"/>
  <c r="AC144" i="1"/>
  <c r="AD144" i="1"/>
  <c r="AE144" i="1"/>
  <c r="AF144" i="1"/>
  <c r="AH144" i="1"/>
  <c r="AI144" i="1"/>
  <c r="AJ144" i="1"/>
  <c r="AK144" i="1"/>
  <c r="E145" i="1"/>
  <c r="H145" i="1" s="1"/>
  <c r="F145" i="1"/>
  <c r="G145" i="1"/>
  <c r="J145" i="1"/>
  <c r="L145" i="1" s="1"/>
  <c r="X145" i="1"/>
  <c r="Y145" i="1"/>
  <c r="Z145" i="1"/>
  <c r="AA145" i="1"/>
  <c r="AC145" i="1"/>
  <c r="AD145" i="1"/>
  <c r="AE145" i="1"/>
  <c r="AF145" i="1"/>
  <c r="AH145" i="1"/>
  <c r="AI145" i="1"/>
  <c r="AJ145" i="1"/>
  <c r="AK145" i="1"/>
  <c r="E146" i="1"/>
  <c r="F146" i="1"/>
  <c r="G146" i="1" s="1"/>
  <c r="J146" i="1"/>
  <c r="L146" i="1" s="1"/>
  <c r="X146" i="1"/>
  <c r="Y146" i="1"/>
  <c r="Z146" i="1"/>
  <c r="AA146" i="1"/>
  <c r="AC146" i="1"/>
  <c r="AD146" i="1"/>
  <c r="AE146" i="1"/>
  <c r="AF146" i="1"/>
  <c r="AH146" i="1"/>
  <c r="AI146" i="1"/>
  <c r="AJ146" i="1"/>
  <c r="AK146" i="1"/>
  <c r="E147" i="1"/>
  <c r="H147" i="1" s="1"/>
  <c r="F147" i="1"/>
  <c r="G147" i="1" s="1"/>
  <c r="J147" i="1"/>
  <c r="L147" i="1" s="1"/>
  <c r="X147" i="1"/>
  <c r="Y147" i="1"/>
  <c r="Z147" i="1"/>
  <c r="AA147" i="1"/>
  <c r="AC147" i="1"/>
  <c r="AD147" i="1"/>
  <c r="AE147" i="1"/>
  <c r="AF147" i="1"/>
  <c r="AH147" i="1"/>
  <c r="AI147" i="1"/>
  <c r="AJ147" i="1"/>
  <c r="AK147" i="1"/>
  <c r="E148" i="1"/>
  <c r="H148" i="1" s="1"/>
  <c r="F148" i="1"/>
  <c r="G148" i="1"/>
  <c r="J148" i="1"/>
  <c r="L148" i="1" s="1"/>
  <c r="X148" i="1"/>
  <c r="Y148" i="1"/>
  <c r="Z148" i="1"/>
  <c r="AA148" i="1"/>
  <c r="AC148" i="1"/>
  <c r="AD148" i="1"/>
  <c r="AE148" i="1"/>
  <c r="AF148" i="1"/>
  <c r="AH148" i="1"/>
  <c r="AI148" i="1"/>
  <c r="AJ148" i="1"/>
  <c r="AK148" i="1"/>
  <c r="E149" i="1"/>
  <c r="H149" i="1" s="1"/>
  <c r="F149" i="1"/>
  <c r="G149" i="1"/>
  <c r="J149" i="1"/>
  <c r="L149" i="1" s="1"/>
  <c r="X149" i="1"/>
  <c r="Y149" i="1"/>
  <c r="Z149" i="1"/>
  <c r="AA149" i="1"/>
  <c r="AC149" i="1"/>
  <c r="AD149" i="1"/>
  <c r="AE149" i="1"/>
  <c r="AF149" i="1"/>
  <c r="AH149" i="1"/>
  <c r="AI149" i="1"/>
  <c r="AJ149" i="1"/>
  <c r="AK149" i="1"/>
  <c r="E150" i="1"/>
  <c r="F150" i="1"/>
  <c r="G150" i="1" s="1"/>
  <c r="J150" i="1"/>
  <c r="L150" i="1" s="1"/>
  <c r="X150" i="1"/>
  <c r="Y150" i="1"/>
  <c r="Z150" i="1"/>
  <c r="AA150" i="1"/>
  <c r="AC150" i="1"/>
  <c r="AD150" i="1"/>
  <c r="AE150" i="1"/>
  <c r="AF150" i="1"/>
  <c r="AH150" i="1"/>
  <c r="AI150" i="1"/>
  <c r="AJ150" i="1"/>
  <c r="AK150" i="1"/>
  <c r="E151" i="1"/>
  <c r="H151" i="1" s="1"/>
  <c r="F151" i="1"/>
  <c r="G151" i="1" s="1"/>
  <c r="J151" i="1"/>
  <c r="L151" i="1" s="1"/>
  <c r="X151" i="1"/>
  <c r="Y151" i="1"/>
  <c r="Z151" i="1"/>
  <c r="AA151" i="1"/>
  <c r="AC151" i="1"/>
  <c r="AD151" i="1"/>
  <c r="AE151" i="1"/>
  <c r="AF151" i="1"/>
  <c r="AH151" i="1"/>
  <c r="AI151" i="1"/>
  <c r="AJ151" i="1"/>
  <c r="AK151" i="1"/>
  <c r="AM151" i="1"/>
  <c r="E152" i="1"/>
  <c r="H152" i="1" s="1"/>
  <c r="F152" i="1"/>
  <c r="G152" i="1"/>
  <c r="J152" i="1"/>
  <c r="L152" i="1" s="1"/>
  <c r="X152" i="1"/>
  <c r="Y152" i="1"/>
  <c r="Z152" i="1"/>
  <c r="AA152" i="1"/>
  <c r="AC152" i="1"/>
  <c r="AD152" i="1"/>
  <c r="AE152" i="1"/>
  <c r="AF152" i="1"/>
  <c r="AH152" i="1"/>
  <c r="AI152" i="1"/>
  <c r="AJ152" i="1"/>
  <c r="AK152" i="1"/>
  <c r="AM152" i="1"/>
  <c r="E153" i="1"/>
  <c r="H153" i="1" s="1"/>
  <c r="F153" i="1"/>
  <c r="G153" i="1"/>
  <c r="J153" i="1"/>
  <c r="L153" i="1" s="1"/>
  <c r="X153" i="1"/>
  <c r="Y153" i="1"/>
  <c r="Z153" i="1"/>
  <c r="AA153" i="1"/>
  <c r="AC153" i="1"/>
  <c r="AD153" i="1"/>
  <c r="AE153" i="1"/>
  <c r="AF153" i="1"/>
  <c r="AH153" i="1"/>
  <c r="AI153" i="1"/>
  <c r="AJ153" i="1"/>
  <c r="AK153" i="1"/>
  <c r="AM153" i="1"/>
  <c r="E154" i="1"/>
  <c r="F154" i="1"/>
  <c r="G154" i="1" s="1"/>
  <c r="J154" i="1"/>
  <c r="L154" i="1" s="1"/>
  <c r="X154" i="1"/>
  <c r="Y154" i="1"/>
  <c r="Z154" i="1"/>
  <c r="AA154" i="1"/>
  <c r="AC154" i="1"/>
  <c r="AD154" i="1"/>
  <c r="AE154" i="1"/>
  <c r="AF154" i="1"/>
  <c r="AH154" i="1"/>
  <c r="AI154" i="1"/>
  <c r="AJ154" i="1"/>
  <c r="AK154" i="1"/>
  <c r="AM154" i="1"/>
  <c r="E155" i="1"/>
  <c r="H155" i="1" s="1"/>
  <c r="F155" i="1"/>
  <c r="G155" i="1" s="1"/>
  <c r="J155" i="1"/>
  <c r="L155" i="1" s="1"/>
  <c r="X155" i="1"/>
  <c r="Y155" i="1"/>
  <c r="Z155" i="1"/>
  <c r="AA155" i="1"/>
  <c r="AC155" i="1"/>
  <c r="AD155" i="1"/>
  <c r="AE155" i="1"/>
  <c r="AF155" i="1"/>
  <c r="AH155" i="1"/>
  <c r="AI155" i="1"/>
  <c r="AJ155" i="1"/>
  <c r="AK155" i="1"/>
  <c r="E156" i="1"/>
  <c r="H156" i="1" s="1"/>
  <c r="F156" i="1"/>
  <c r="G156" i="1"/>
  <c r="J156" i="1"/>
  <c r="L156" i="1" s="1"/>
  <c r="X156" i="1"/>
  <c r="Y156" i="1"/>
  <c r="Z156" i="1"/>
  <c r="AA156" i="1"/>
  <c r="AC156" i="1"/>
  <c r="AD156" i="1"/>
  <c r="AE156" i="1"/>
  <c r="AF156" i="1"/>
  <c r="AH156" i="1"/>
  <c r="AI156" i="1"/>
  <c r="AJ156" i="1"/>
  <c r="AK156" i="1"/>
  <c r="E157" i="1"/>
  <c r="F157" i="1"/>
  <c r="G157" i="1"/>
  <c r="J157" i="1"/>
  <c r="L157" i="1" s="1"/>
  <c r="X157" i="1"/>
  <c r="Y157" i="1"/>
  <c r="Z157" i="1"/>
  <c r="AA157" i="1"/>
  <c r="AC157" i="1"/>
  <c r="AD157" i="1"/>
  <c r="AE157" i="1"/>
  <c r="AF157" i="1"/>
  <c r="AH157" i="1"/>
  <c r="AI157" i="1"/>
  <c r="AJ157" i="1"/>
  <c r="AK157" i="1"/>
  <c r="E158" i="1"/>
  <c r="F158" i="1"/>
  <c r="G158" i="1" s="1"/>
  <c r="J158" i="1"/>
  <c r="L158" i="1" s="1"/>
  <c r="X158" i="1"/>
  <c r="Y158" i="1"/>
  <c r="Z158" i="1"/>
  <c r="AA158" i="1"/>
  <c r="AC158" i="1"/>
  <c r="AD158" i="1"/>
  <c r="AE158" i="1"/>
  <c r="AF158" i="1"/>
  <c r="AH158" i="1"/>
  <c r="AI158" i="1"/>
  <c r="AJ158" i="1"/>
  <c r="AK158" i="1"/>
  <c r="E159" i="1"/>
  <c r="H159" i="1" s="1"/>
  <c r="F159" i="1"/>
  <c r="G159" i="1" s="1"/>
  <c r="J159" i="1"/>
  <c r="L159" i="1" s="1"/>
  <c r="X159" i="1"/>
  <c r="Y159" i="1"/>
  <c r="Z159" i="1"/>
  <c r="AA159" i="1"/>
  <c r="AC159" i="1"/>
  <c r="AD159" i="1"/>
  <c r="AE159" i="1"/>
  <c r="AF159" i="1"/>
  <c r="AH159" i="1"/>
  <c r="AI159" i="1"/>
  <c r="AJ159" i="1"/>
  <c r="AK159" i="1"/>
  <c r="E160" i="1"/>
  <c r="H160" i="1" s="1"/>
  <c r="F160" i="1"/>
  <c r="G160" i="1"/>
  <c r="J160" i="1"/>
  <c r="L160" i="1" s="1"/>
  <c r="X160" i="1"/>
  <c r="Y160" i="1"/>
  <c r="Z160" i="1"/>
  <c r="AA160" i="1"/>
  <c r="AC160" i="1"/>
  <c r="AD160" i="1"/>
  <c r="AE160" i="1"/>
  <c r="AF160" i="1"/>
  <c r="AH160" i="1"/>
  <c r="AI160" i="1"/>
  <c r="AJ160" i="1"/>
  <c r="AK160" i="1"/>
  <c r="E161" i="1"/>
  <c r="F161" i="1"/>
  <c r="G161" i="1"/>
  <c r="J161" i="1"/>
  <c r="L161" i="1" s="1"/>
  <c r="X161" i="1"/>
  <c r="Y161" i="1"/>
  <c r="Z161" i="1"/>
  <c r="AA161" i="1"/>
  <c r="AC161" i="1"/>
  <c r="AD161" i="1"/>
  <c r="AE161" i="1"/>
  <c r="AF161" i="1"/>
  <c r="AH161" i="1"/>
  <c r="AI161" i="1"/>
  <c r="AJ161" i="1"/>
  <c r="AK161" i="1"/>
  <c r="E162" i="1"/>
  <c r="F162" i="1"/>
  <c r="G162" i="1" s="1"/>
  <c r="J162" i="1"/>
  <c r="L162" i="1" s="1"/>
  <c r="X162" i="1"/>
  <c r="Y162" i="1"/>
  <c r="Z162" i="1"/>
  <c r="AA162" i="1"/>
  <c r="AC162" i="1"/>
  <c r="AD162" i="1"/>
  <c r="AE162" i="1"/>
  <c r="AF162" i="1"/>
  <c r="AH162" i="1"/>
  <c r="AI162" i="1"/>
  <c r="AJ162" i="1"/>
  <c r="AK162" i="1"/>
  <c r="E163" i="1"/>
  <c r="H163" i="1" s="1"/>
  <c r="F163" i="1"/>
  <c r="G163" i="1" s="1"/>
  <c r="J163" i="1"/>
  <c r="L163" i="1" s="1"/>
  <c r="X163" i="1"/>
  <c r="Y163" i="1"/>
  <c r="Z163" i="1"/>
  <c r="AA163" i="1"/>
  <c r="AC163" i="1"/>
  <c r="AD163" i="1"/>
  <c r="AE163" i="1"/>
  <c r="AF163" i="1"/>
  <c r="AH163" i="1"/>
  <c r="AI163" i="1"/>
  <c r="AJ163" i="1"/>
  <c r="AK163" i="1"/>
  <c r="AM163" i="1"/>
  <c r="E164" i="1"/>
  <c r="H164" i="1" s="1"/>
  <c r="F164" i="1"/>
  <c r="G164" i="1"/>
  <c r="J164" i="1"/>
  <c r="L164" i="1" s="1"/>
  <c r="X164" i="1"/>
  <c r="Y164" i="1"/>
  <c r="Z164" i="1"/>
  <c r="AA164" i="1"/>
  <c r="AC164" i="1"/>
  <c r="AD164" i="1"/>
  <c r="AE164" i="1"/>
  <c r="AF164" i="1"/>
  <c r="AH164" i="1"/>
  <c r="AI164" i="1"/>
  <c r="AJ164" i="1"/>
  <c r="AK164" i="1"/>
  <c r="AM164" i="1"/>
  <c r="E165" i="1"/>
  <c r="F165" i="1"/>
  <c r="G165" i="1"/>
  <c r="J165" i="1"/>
  <c r="L165" i="1" s="1"/>
  <c r="X165" i="1"/>
  <c r="Y165" i="1"/>
  <c r="Z165" i="1"/>
  <c r="AA165" i="1"/>
  <c r="AC165" i="1"/>
  <c r="AD165" i="1"/>
  <c r="AE165" i="1"/>
  <c r="AF165" i="1"/>
  <c r="AH165" i="1"/>
  <c r="AI165" i="1"/>
  <c r="AJ165" i="1"/>
  <c r="AK165" i="1"/>
  <c r="AM165" i="1"/>
  <c r="E166" i="1"/>
  <c r="F166" i="1"/>
  <c r="G166" i="1" s="1"/>
  <c r="J166" i="1"/>
  <c r="L166" i="1" s="1"/>
  <c r="X166" i="1"/>
  <c r="Y166" i="1"/>
  <c r="Z166" i="1"/>
  <c r="AA166" i="1"/>
  <c r="AC166" i="1"/>
  <c r="AD166" i="1"/>
  <c r="AE166" i="1"/>
  <c r="AF166" i="1"/>
  <c r="AH166" i="1"/>
  <c r="AI166" i="1"/>
  <c r="AJ166" i="1"/>
  <c r="AK166" i="1"/>
  <c r="AM166" i="1"/>
  <c r="E167" i="1"/>
  <c r="H167" i="1" s="1"/>
  <c r="F167" i="1"/>
  <c r="G167" i="1" s="1"/>
  <c r="J167" i="1"/>
  <c r="L167" i="1" s="1"/>
  <c r="X167" i="1"/>
  <c r="Y167" i="1"/>
  <c r="Z167" i="1"/>
  <c r="AA167" i="1"/>
  <c r="AC167" i="1"/>
  <c r="AD167" i="1"/>
  <c r="AE167" i="1"/>
  <c r="AF167" i="1"/>
  <c r="AH167" i="1"/>
  <c r="AI167" i="1"/>
  <c r="AJ167" i="1"/>
  <c r="AK167" i="1"/>
  <c r="AM167" i="1"/>
  <c r="E168" i="1"/>
  <c r="H168" i="1" s="1"/>
  <c r="F168" i="1"/>
  <c r="G168" i="1"/>
  <c r="J168" i="1"/>
  <c r="L168" i="1" s="1"/>
  <c r="X168" i="1"/>
  <c r="Y168" i="1"/>
  <c r="Z168" i="1"/>
  <c r="AA168" i="1"/>
  <c r="AC168" i="1"/>
  <c r="AD168" i="1"/>
  <c r="AE168" i="1"/>
  <c r="AF168" i="1"/>
  <c r="AH168" i="1"/>
  <c r="AI168" i="1"/>
  <c r="AJ168" i="1"/>
  <c r="AK168" i="1"/>
  <c r="AM168" i="1"/>
  <c r="E169" i="1"/>
  <c r="F169" i="1"/>
  <c r="G169" i="1"/>
  <c r="J169" i="1"/>
  <c r="L169" i="1" s="1"/>
  <c r="X169" i="1"/>
  <c r="Y169" i="1"/>
  <c r="Z169" i="1"/>
  <c r="AA169" i="1"/>
  <c r="AC169" i="1"/>
  <c r="AD169" i="1"/>
  <c r="AE169" i="1"/>
  <c r="AF169" i="1"/>
  <c r="AH169" i="1"/>
  <c r="AI169" i="1"/>
  <c r="AJ169" i="1"/>
  <c r="AK169" i="1"/>
  <c r="AM169" i="1"/>
  <c r="E170" i="1"/>
  <c r="F170" i="1"/>
  <c r="G170" i="1" s="1"/>
  <c r="J170" i="1"/>
  <c r="L170" i="1" s="1"/>
  <c r="X170" i="1"/>
  <c r="Y170" i="1"/>
  <c r="Z170" i="1"/>
  <c r="AA170" i="1"/>
  <c r="AC170" i="1"/>
  <c r="AD170" i="1"/>
  <c r="AE170" i="1"/>
  <c r="AF170" i="1"/>
  <c r="AH170" i="1"/>
  <c r="AI170" i="1"/>
  <c r="AJ170" i="1"/>
  <c r="AK170" i="1"/>
  <c r="AM170" i="1"/>
  <c r="E171" i="1"/>
  <c r="H171" i="1" s="1"/>
  <c r="F171" i="1"/>
  <c r="G171" i="1" s="1"/>
  <c r="J171" i="1"/>
  <c r="L171" i="1" s="1"/>
  <c r="X171" i="1"/>
  <c r="Y171" i="1"/>
  <c r="Z171" i="1"/>
  <c r="AA171" i="1"/>
  <c r="AC171" i="1"/>
  <c r="AD171" i="1"/>
  <c r="AE171" i="1"/>
  <c r="AF171" i="1"/>
  <c r="AH171" i="1"/>
  <c r="AI171" i="1"/>
  <c r="AJ171" i="1"/>
  <c r="AK171" i="1"/>
  <c r="AM171" i="1"/>
  <c r="E172" i="1"/>
  <c r="H172" i="1" s="1"/>
  <c r="F172" i="1"/>
  <c r="G172" i="1"/>
  <c r="J172" i="1"/>
  <c r="L172" i="1" s="1"/>
  <c r="X172" i="1"/>
  <c r="Y172" i="1"/>
  <c r="Z172" i="1"/>
  <c r="AA172" i="1"/>
  <c r="AC172" i="1"/>
  <c r="AD172" i="1"/>
  <c r="AE172" i="1"/>
  <c r="AF172" i="1"/>
  <c r="AH172" i="1"/>
  <c r="AI172" i="1"/>
  <c r="AJ172" i="1"/>
  <c r="AK172" i="1"/>
  <c r="AM172" i="1"/>
  <c r="E173" i="1"/>
  <c r="F173" i="1"/>
  <c r="G173" i="1"/>
  <c r="J173" i="1"/>
  <c r="L173" i="1" s="1"/>
  <c r="X173" i="1"/>
  <c r="Y173" i="1"/>
  <c r="Z173" i="1"/>
  <c r="AA173" i="1"/>
  <c r="AC173" i="1"/>
  <c r="AD173" i="1"/>
  <c r="AE173" i="1"/>
  <c r="AF173" i="1"/>
  <c r="AH173" i="1"/>
  <c r="AI173" i="1"/>
  <c r="AJ173" i="1"/>
  <c r="AK173" i="1"/>
  <c r="AM173" i="1"/>
  <c r="E174" i="1"/>
  <c r="F174" i="1"/>
  <c r="G174" i="1" s="1"/>
  <c r="J174" i="1"/>
  <c r="L174" i="1" s="1"/>
  <c r="X174" i="1"/>
  <c r="Y174" i="1"/>
  <c r="Z174" i="1"/>
  <c r="AA174" i="1"/>
  <c r="AC174" i="1"/>
  <c r="AD174" i="1"/>
  <c r="AE174" i="1"/>
  <c r="AF174" i="1"/>
  <c r="AH174" i="1"/>
  <c r="AI174" i="1"/>
  <c r="AJ174" i="1"/>
  <c r="AK174" i="1"/>
  <c r="AM174" i="1"/>
  <c r="E175" i="1"/>
  <c r="H175" i="1" s="1"/>
  <c r="F175" i="1"/>
  <c r="G175" i="1" s="1"/>
  <c r="J175" i="1"/>
  <c r="L175" i="1" s="1"/>
  <c r="X175" i="1"/>
  <c r="Y175" i="1"/>
  <c r="Z175" i="1"/>
  <c r="AA175" i="1"/>
  <c r="AC175" i="1"/>
  <c r="AD175" i="1"/>
  <c r="AE175" i="1"/>
  <c r="AF175" i="1"/>
  <c r="AH175" i="1"/>
  <c r="AI175" i="1"/>
  <c r="AJ175" i="1"/>
  <c r="AK175" i="1"/>
  <c r="AM175" i="1"/>
  <c r="E176" i="1"/>
  <c r="H176" i="1" s="1"/>
  <c r="F176" i="1"/>
  <c r="G176" i="1"/>
  <c r="J176" i="1"/>
  <c r="L176" i="1" s="1"/>
  <c r="X176" i="1"/>
  <c r="Y176" i="1"/>
  <c r="Z176" i="1"/>
  <c r="AA176" i="1"/>
  <c r="AC176" i="1"/>
  <c r="AD176" i="1"/>
  <c r="AE176" i="1"/>
  <c r="AF176" i="1"/>
  <c r="AH176" i="1"/>
  <c r="AI176" i="1"/>
  <c r="AJ176" i="1"/>
  <c r="AK176" i="1"/>
  <c r="AM176" i="1"/>
  <c r="E177" i="1"/>
  <c r="F177" i="1"/>
  <c r="G177" i="1"/>
  <c r="J177" i="1"/>
  <c r="L177" i="1" s="1"/>
  <c r="X177" i="1"/>
  <c r="Y177" i="1"/>
  <c r="Z177" i="1"/>
  <c r="AA177" i="1"/>
  <c r="AC177" i="1"/>
  <c r="AD177" i="1"/>
  <c r="AE177" i="1"/>
  <c r="AF177" i="1"/>
  <c r="AH177" i="1"/>
  <c r="AI177" i="1"/>
  <c r="AJ177" i="1"/>
  <c r="AK177" i="1"/>
  <c r="AM177" i="1"/>
  <c r="E178" i="1"/>
  <c r="F178" i="1"/>
  <c r="G178" i="1" s="1"/>
  <c r="J178" i="1"/>
  <c r="L178" i="1" s="1"/>
  <c r="X178" i="1"/>
  <c r="Y178" i="1"/>
  <c r="Z178" i="1"/>
  <c r="AA178" i="1"/>
  <c r="AC178" i="1"/>
  <c r="AD178" i="1"/>
  <c r="AE178" i="1"/>
  <c r="AF178" i="1"/>
  <c r="AH178" i="1"/>
  <c r="AI178" i="1"/>
  <c r="AJ178" i="1"/>
  <c r="AK178" i="1"/>
  <c r="AM178" i="1"/>
  <c r="E179" i="1"/>
  <c r="H179" i="1" s="1"/>
  <c r="F179" i="1"/>
  <c r="G179" i="1" s="1"/>
  <c r="J179" i="1"/>
  <c r="L179" i="1" s="1"/>
  <c r="X179" i="1"/>
  <c r="Y179" i="1"/>
  <c r="Z179" i="1"/>
  <c r="AA179" i="1"/>
  <c r="AC179" i="1"/>
  <c r="AD179" i="1"/>
  <c r="AE179" i="1"/>
  <c r="AF179" i="1"/>
  <c r="AH179" i="1"/>
  <c r="AI179" i="1"/>
  <c r="AJ179" i="1"/>
  <c r="AK179" i="1"/>
  <c r="AM179" i="1"/>
  <c r="E180" i="1"/>
  <c r="H180" i="1" s="1"/>
  <c r="F180" i="1"/>
  <c r="G180" i="1"/>
  <c r="J180" i="1"/>
  <c r="L180" i="1" s="1"/>
  <c r="X180" i="1"/>
  <c r="Y180" i="1"/>
  <c r="Z180" i="1"/>
  <c r="AA180" i="1"/>
  <c r="AC180" i="1"/>
  <c r="AD180" i="1"/>
  <c r="AE180" i="1"/>
  <c r="AF180" i="1"/>
  <c r="AH180" i="1"/>
  <c r="AI180" i="1"/>
  <c r="AJ180" i="1"/>
  <c r="AK180" i="1"/>
  <c r="N180" i="1" s="1"/>
  <c r="AM180" i="1"/>
  <c r="E181" i="1"/>
  <c r="F181" i="1"/>
  <c r="G181" i="1"/>
  <c r="J181" i="1"/>
  <c r="L181" i="1" s="1"/>
  <c r="X181" i="1"/>
  <c r="Y181" i="1"/>
  <c r="Z181" i="1"/>
  <c r="AA181" i="1"/>
  <c r="AC181" i="1"/>
  <c r="AD181" i="1"/>
  <c r="AE181" i="1"/>
  <c r="AF181" i="1"/>
  <c r="AH181" i="1"/>
  <c r="AI181" i="1"/>
  <c r="AJ181" i="1"/>
  <c r="AK181" i="1"/>
  <c r="AM181" i="1"/>
  <c r="E182" i="1"/>
  <c r="F182" i="1"/>
  <c r="G182" i="1" s="1"/>
  <c r="J182" i="1"/>
  <c r="L182" i="1" s="1"/>
  <c r="X182" i="1"/>
  <c r="Y182" i="1"/>
  <c r="Z182" i="1"/>
  <c r="AA182" i="1"/>
  <c r="AC182" i="1"/>
  <c r="AD182" i="1"/>
  <c r="AE182" i="1"/>
  <c r="AF182" i="1"/>
  <c r="AH182" i="1"/>
  <c r="AI182" i="1"/>
  <c r="AJ182" i="1"/>
  <c r="AK182" i="1"/>
  <c r="AM182" i="1"/>
  <c r="E183" i="1"/>
  <c r="H183" i="1" s="1"/>
  <c r="F183" i="1"/>
  <c r="G183" i="1" s="1"/>
  <c r="J183" i="1"/>
  <c r="L183" i="1" s="1"/>
  <c r="X183" i="1"/>
  <c r="Y183" i="1"/>
  <c r="Z183" i="1"/>
  <c r="AA183" i="1"/>
  <c r="AC183" i="1"/>
  <c r="AD183" i="1"/>
  <c r="AE183" i="1"/>
  <c r="AF183" i="1"/>
  <c r="AH183" i="1"/>
  <c r="AI183" i="1"/>
  <c r="AJ183" i="1"/>
  <c r="AK183" i="1"/>
  <c r="AM183" i="1"/>
  <c r="E184" i="1"/>
  <c r="H184" i="1" s="1"/>
  <c r="F184" i="1"/>
  <c r="G184" i="1"/>
  <c r="J184" i="1"/>
  <c r="L184" i="1" s="1"/>
  <c r="X184" i="1"/>
  <c r="Y184" i="1"/>
  <c r="Z184" i="1"/>
  <c r="AA184" i="1"/>
  <c r="AC184" i="1"/>
  <c r="AD184" i="1"/>
  <c r="AE184" i="1"/>
  <c r="AF184" i="1"/>
  <c r="AH184" i="1"/>
  <c r="AI184" i="1"/>
  <c r="AJ184" i="1"/>
  <c r="AK184" i="1"/>
  <c r="AM184" i="1"/>
  <c r="E185" i="1"/>
  <c r="F185" i="1"/>
  <c r="G185" i="1"/>
  <c r="J185" i="1"/>
  <c r="L185" i="1" s="1"/>
  <c r="X185" i="1"/>
  <c r="Y185" i="1"/>
  <c r="Z185" i="1"/>
  <c r="AA185" i="1"/>
  <c r="AC185" i="1"/>
  <c r="AD185" i="1"/>
  <c r="AE185" i="1"/>
  <c r="AF185" i="1"/>
  <c r="AH185" i="1"/>
  <c r="AI185" i="1"/>
  <c r="AJ185" i="1"/>
  <c r="AK185" i="1"/>
  <c r="AM185" i="1"/>
  <c r="E186" i="1"/>
  <c r="F186" i="1"/>
  <c r="G186" i="1" s="1"/>
  <c r="J186" i="1"/>
  <c r="L186" i="1" s="1"/>
  <c r="X186" i="1"/>
  <c r="Y186" i="1"/>
  <c r="Z186" i="1"/>
  <c r="AA186" i="1"/>
  <c r="AC186" i="1"/>
  <c r="AD186" i="1"/>
  <c r="AE186" i="1"/>
  <c r="AF186" i="1"/>
  <c r="AH186" i="1"/>
  <c r="AI186" i="1"/>
  <c r="AJ186" i="1"/>
  <c r="AK186" i="1"/>
  <c r="AM186" i="1"/>
  <c r="E187" i="1"/>
  <c r="H187" i="1" s="1"/>
  <c r="F187" i="1"/>
  <c r="G187" i="1" s="1"/>
  <c r="J187" i="1"/>
  <c r="L187" i="1" s="1"/>
  <c r="X187" i="1"/>
  <c r="Y187" i="1"/>
  <c r="Z187" i="1"/>
  <c r="AA187" i="1"/>
  <c r="AC187" i="1"/>
  <c r="AD187" i="1"/>
  <c r="AE187" i="1"/>
  <c r="AF187" i="1"/>
  <c r="AH187" i="1"/>
  <c r="AI187" i="1"/>
  <c r="AJ187" i="1"/>
  <c r="AK187" i="1"/>
  <c r="AM187" i="1"/>
  <c r="E188" i="1"/>
  <c r="H188" i="1" s="1"/>
  <c r="F188" i="1"/>
  <c r="G188" i="1"/>
  <c r="J188" i="1"/>
  <c r="L188" i="1" s="1"/>
  <c r="X188" i="1"/>
  <c r="Y188" i="1"/>
  <c r="Z188" i="1"/>
  <c r="AA188" i="1"/>
  <c r="AC188" i="1"/>
  <c r="AD188" i="1"/>
  <c r="AE188" i="1"/>
  <c r="AF188" i="1"/>
  <c r="AH188" i="1"/>
  <c r="AI188" i="1"/>
  <c r="AJ188" i="1"/>
  <c r="AK188" i="1"/>
  <c r="N188" i="1" s="1"/>
  <c r="AM188" i="1"/>
  <c r="E189" i="1"/>
  <c r="F189" i="1"/>
  <c r="G189" i="1"/>
  <c r="J189" i="1"/>
  <c r="L189" i="1" s="1"/>
  <c r="X189" i="1"/>
  <c r="Y189" i="1"/>
  <c r="Z189" i="1"/>
  <c r="AA189" i="1"/>
  <c r="AC189" i="1"/>
  <c r="AD189" i="1"/>
  <c r="AE189" i="1"/>
  <c r="AF189" i="1"/>
  <c r="AH189" i="1"/>
  <c r="AI189" i="1"/>
  <c r="AJ189" i="1"/>
  <c r="AK189" i="1"/>
  <c r="AM189" i="1"/>
  <c r="E190" i="1"/>
  <c r="F190" i="1"/>
  <c r="G190" i="1" s="1"/>
  <c r="J190" i="1"/>
  <c r="L190" i="1" s="1"/>
  <c r="X190" i="1"/>
  <c r="Y190" i="1"/>
  <c r="Z190" i="1"/>
  <c r="AA190" i="1"/>
  <c r="AC190" i="1"/>
  <c r="AD190" i="1"/>
  <c r="AE190" i="1"/>
  <c r="AF190" i="1"/>
  <c r="AH190" i="1"/>
  <c r="AI190" i="1"/>
  <c r="AJ190" i="1"/>
  <c r="AK190" i="1"/>
  <c r="AM190" i="1"/>
  <c r="E191" i="1"/>
  <c r="H191" i="1" s="1"/>
  <c r="F191" i="1"/>
  <c r="G191" i="1" s="1"/>
  <c r="J191" i="1"/>
  <c r="L191" i="1" s="1"/>
  <c r="X191" i="1"/>
  <c r="Y191" i="1"/>
  <c r="Z191" i="1"/>
  <c r="AA191" i="1"/>
  <c r="AC191" i="1"/>
  <c r="AD191" i="1"/>
  <c r="AE191" i="1"/>
  <c r="AF191" i="1"/>
  <c r="AH191" i="1"/>
  <c r="AI191" i="1"/>
  <c r="AJ191" i="1"/>
  <c r="AK191" i="1"/>
  <c r="AM191" i="1"/>
  <c r="E192" i="1"/>
  <c r="H192" i="1" s="1"/>
  <c r="F192" i="1"/>
  <c r="G192" i="1"/>
  <c r="J192" i="1"/>
  <c r="L192" i="1" s="1"/>
  <c r="X192" i="1"/>
  <c r="Y192" i="1"/>
  <c r="Z192" i="1"/>
  <c r="AA192" i="1"/>
  <c r="AC192" i="1"/>
  <c r="AD192" i="1"/>
  <c r="AE192" i="1"/>
  <c r="AF192" i="1"/>
  <c r="AH192" i="1"/>
  <c r="AI192" i="1"/>
  <c r="AJ192" i="1"/>
  <c r="AK192" i="1"/>
  <c r="AM192" i="1"/>
  <c r="E193" i="1"/>
  <c r="F193" i="1"/>
  <c r="G193" i="1"/>
  <c r="J193" i="1"/>
  <c r="L193" i="1" s="1"/>
  <c r="X193" i="1"/>
  <c r="Y193" i="1"/>
  <c r="Z193" i="1"/>
  <c r="AA193" i="1"/>
  <c r="AC193" i="1"/>
  <c r="AD193" i="1"/>
  <c r="AE193" i="1"/>
  <c r="AF193" i="1"/>
  <c r="AH193" i="1"/>
  <c r="AI193" i="1"/>
  <c r="AJ193" i="1"/>
  <c r="AK193" i="1"/>
  <c r="E194" i="1"/>
  <c r="F194" i="1"/>
  <c r="G194" i="1" s="1"/>
  <c r="J194" i="1"/>
  <c r="L194" i="1" s="1"/>
  <c r="X194" i="1"/>
  <c r="Y194" i="1"/>
  <c r="Z194" i="1"/>
  <c r="AA194" i="1"/>
  <c r="AC194" i="1"/>
  <c r="AD194" i="1"/>
  <c r="AE194" i="1"/>
  <c r="AF194" i="1"/>
  <c r="AH194" i="1"/>
  <c r="AI194" i="1"/>
  <c r="AJ194" i="1"/>
  <c r="AK194" i="1"/>
  <c r="E195" i="1"/>
  <c r="H195" i="1" s="1"/>
  <c r="F195" i="1"/>
  <c r="G195" i="1" s="1"/>
  <c r="J195" i="1"/>
  <c r="L195" i="1" s="1"/>
  <c r="X195" i="1"/>
  <c r="Y195" i="1"/>
  <c r="Z195" i="1"/>
  <c r="AA195" i="1"/>
  <c r="AC195" i="1"/>
  <c r="AD195" i="1"/>
  <c r="AE195" i="1"/>
  <c r="AF195" i="1"/>
  <c r="AH195" i="1"/>
  <c r="AI195" i="1"/>
  <c r="AJ195" i="1"/>
  <c r="AK195" i="1"/>
  <c r="E196" i="1"/>
  <c r="H196" i="1" s="1"/>
  <c r="F196" i="1"/>
  <c r="G196" i="1"/>
  <c r="J196" i="1"/>
  <c r="L196" i="1" s="1"/>
  <c r="X196" i="1"/>
  <c r="Y196" i="1"/>
  <c r="Z196" i="1"/>
  <c r="AA196" i="1"/>
  <c r="AC196" i="1"/>
  <c r="AD196" i="1"/>
  <c r="AE196" i="1"/>
  <c r="AF196" i="1"/>
  <c r="AH196" i="1"/>
  <c r="AI196" i="1"/>
  <c r="AJ196" i="1"/>
  <c r="AK196" i="1"/>
  <c r="E197" i="1"/>
  <c r="F197" i="1"/>
  <c r="G197" i="1"/>
  <c r="J197" i="1"/>
  <c r="L197" i="1" s="1"/>
  <c r="X197" i="1"/>
  <c r="Y197" i="1"/>
  <c r="Z197" i="1"/>
  <c r="AA197" i="1"/>
  <c r="AC197" i="1"/>
  <c r="AD197" i="1"/>
  <c r="AE197" i="1"/>
  <c r="AF197" i="1"/>
  <c r="AH197" i="1"/>
  <c r="AI197" i="1"/>
  <c r="AJ197" i="1"/>
  <c r="AK197" i="1"/>
  <c r="E198" i="1"/>
  <c r="F198" i="1"/>
  <c r="G198" i="1" s="1"/>
  <c r="J198" i="1"/>
  <c r="L198" i="1" s="1"/>
  <c r="X198" i="1"/>
  <c r="Y198" i="1"/>
  <c r="Z198" i="1"/>
  <c r="AA198" i="1"/>
  <c r="AC198" i="1"/>
  <c r="AD198" i="1"/>
  <c r="AE198" i="1"/>
  <c r="AF198" i="1"/>
  <c r="AH198" i="1"/>
  <c r="AI198" i="1"/>
  <c r="AJ198" i="1"/>
  <c r="AK198" i="1"/>
  <c r="E199" i="1"/>
  <c r="H199" i="1" s="1"/>
  <c r="F199" i="1"/>
  <c r="G199" i="1" s="1"/>
  <c r="J199" i="1"/>
  <c r="L199" i="1" s="1"/>
  <c r="X199" i="1"/>
  <c r="Y199" i="1"/>
  <c r="Z199" i="1"/>
  <c r="AA199" i="1"/>
  <c r="AC199" i="1"/>
  <c r="AD199" i="1"/>
  <c r="AE199" i="1"/>
  <c r="AF199" i="1"/>
  <c r="AH199" i="1"/>
  <c r="AI199" i="1"/>
  <c r="AJ199" i="1"/>
  <c r="AK199" i="1"/>
  <c r="E200" i="1"/>
  <c r="H200" i="1" s="1"/>
  <c r="F200" i="1"/>
  <c r="G200" i="1"/>
  <c r="J200" i="1"/>
  <c r="L200" i="1" s="1"/>
  <c r="X200" i="1"/>
  <c r="Y200" i="1"/>
  <c r="Z200" i="1"/>
  <c r="AA200" i="1"/>
  <c r="AC200" i="1"/>
  <c r="AD200" i="1"/>
  <c r="AE200" i="1"/>
  <c r="AF200" i="1"/>
  <c r="AH200" i="1"/>
  <c r="AI200" i="1"/>
  <c r="AJ200" i="1"/>
  <c r="AK200" i="1"/>
  <c r="N200" i="1" s="1"/>
  <c r="AM200" i="1"/>
  <c r="E201" i="1"/>
  <c r="F201" i="1"/>
  <c r="G201" i="1"/>
  <c r="J201" i="1"/>
  <c r="L201" i="1" s="1"/>
  <c r="X201" i="1"/>
  <c r="Y201" i="1"/>
  <c r="Z201" i="1"/>
  <c r="AA201" i="1"/>
  <c r="AC201" i="1"/>
  <c r="AD201" i="1"/>
  <c r="AE201" i="1"/>
  <c r="AF201" i="1"/>
  <c r="AH201" i="1"/>
  <c r="AI201" i="1"/>
  <c r="AJ201" i="1"/>
  <c r="AK201" i="1"/>
  <c r="AM201" i="1"/>
  <c r="E202" i="1"/>
  <c r="F202" i="1"/>
  <c r="G202" i="1" s="1"/>
  <c r="J202" i="1"/>
  <c r="L202" i="1" s="1"/>
  <c r="X202" i="1"/>
  <c r="Y202" i="1"/>
  <c r="Z202" i="1"/>
  <c r="AA202" i="1"/>
  <c r="AC202" i="1"/>
  <c r="AD202" i="1"/>
  <c r="AE202" i="1"/>
  <c r="AF202" i="1"/>
  <c r="AH202" i="1"/>
  <c r="AI202" i="1"/>
  <c r="AJ202" i="1"/>
  <c r="AK202" i="1"/>
  <c r="AM202" i="1"/>
  <c r="AR202" i="1"/>
  <c r="AT202" i="1"/>
  <c r="AV202" i="1"/>
  <c r="E203" i="1"/>
  <c r="F203" i="1"/>
  <c r="G203" i="1" s="1"/>
  <c r="J203" i="1"/>
  <c r="L203" i="1" s="1"/>
  <c r="X203" i="1"/>
  <c r="Y203" i="1"/>
  <c r="Z203" i="1"/>
  <c r="AA203" i="1"/>
  <c r="AC203" i="1"/>
  <c r="AD203" i="1"/>
  <c r="AE203" i="1"/>
  <c r="AF203" i="1"/>
  <c r="AH203" i="1"/>
  <c r="AI203" i="1"/>
  <c r="AJ203" i="1"/>
  <c r="AK203" i="1"/>
  <c r="AM203" i="1"/>
  <c r="AR203" i="1"/>
  <c r="AT203" i="1"/>
  <c r="AV203" i="1"/>
  <c r="E204" i="1"/>
  <c r="F204" i="1"/>
  <c r="G204" i="1" s="1"/>
  <c r="J204" i="1"/>
  <c r="L204" i="1"/>
  <c r="X204" i="1"/>
  <c r="Y204" i="1"/>
  <c r="Z204" i="1"/>
  <c r="AA204" i="1"/>
  <c r="AC204" i="1"/>
  <c r="AD204" i="1"/>
  <c r="AE204" i="1"/>
  <c r="AF204" i="1"/>
  <c r="AH204" i="1"/>
  <c r="AI204" i="1"/>
  <c r="AJ204" i="1"/>
  <c r="AK204" i="1"/>
  <c r="AM204" i="1"/>
  <c r="AR204" i="1"/>
  <c r="AT204" i="1"/>
  <c r="AV204" i="1"/>
  <c r="E205" i="1"/>
  <c r="H205" i="1" s="1"/>
  <c r="F205" i="1"/>
  <c r="G205" i="1" s="1"/>
  <c r="J205" i="1"/>
  <c r="L205" i="1" s="1"/>
  <c r="X205" i="1"/>
  <c r="Y205" i="1"/>
  <c r="Z205" i="1"/>
  <c r="AA205" i="1"/>
  <c r="AC205" i="1"/>
  <c r="AD205" i="1"/>
  <c r="AE205" i="1"/>
  <c r="AF205" i="1"/>
  <c r="AH205" i="1"/>
  <c r="AI205" i="1"/>
  <c r="AJ205" i="1"/>
  <c r="AK205" i="1"/>
  <c r="AM205" i="1"/>
  <c r="AR205" i="1"/>
  <c r="AT205" i="1"/>
  <c r="AV205" i="1"/>
  <c r="E206" i="1"/>
  <c r="F206" i="1"/>
  <c r="G206" i="1"/>
  <c r="J206" i="1"/>
  <c r="L206" i="1" s="1"/>
  <c r="X206" i="1"/>
  <c r="Y206" i="1"/>
  <c r="Z206" i="1"/>
  <c r="AA206" i="1"/>
  <c r="AC206" i="1"/>
  <c r="AD206" i="1"/>
  <c r="AE206" i="1"/>
  <c r="AF206" i="1"/>
  <c r="AH206" i="1"/>
  <c r="AI206" i="1"/>
  <c r="AJ206" i="1"/>
  <c r="AK206" i="1"/>
  <c r="AM206" i="1"/>
  <c r="AR206" i="1"/>
  <c r="AT206" i="1"/>
  <c r="AV206" i="1"/>
  <c r="E207" i="1"/>
  <c r="F207" i="1"/>
  <c r="G207" i="1" s="1"/>
  <c r="J207" i="1"/>
  <c r="L207" i="1" s="1"/>
  <c r="X207" i="1"/>
  <c r="Y207" i="1"/>
  <c r="Z207" i="1"/>
  <c r="AA207" i="1"/>
  <c r="AC207" i="1"/>
  <c r="AD207" i="1"/>
  <c r="AE207" i="1"/>
  <c r="AF207" i="1"/>
  <c r="AH207" i="1"/>
  <c r="AI207" i="1"/>
  <c r="AJ207" i="1"/>
  <c r="AK207" i="1"/>
  <c r="AM207" i="1"/>
  <c r="AR207" i="1"/>
  <c r="AT207" i="1"/>
  <c r="AV207" i="1"/>
  <c r="E208" i="1"/>
  <c r="F208" i="1"/>
  <c r="G208" i="1" s="1"/>
  <c r="J208" i="1"/>
  <c r="L208" i="1" s="1"/>
  <c r="X208" i="1"/>
  <c r="Y208" i="1"/>
  <c r="Z208" i="1"/>
  <c r="AA208" i="1"/>
  <c r="AC208" i="1"/>
  <c r="AD208" i="1"/>
  <c r="AE208" i="1"/>
  <c r="AF208" i="1"/>
  <c r="AH208" i="1"/>
  <c r="AI208" i="1"/>
  <c r="AJ208" i="1"/>
  <c r="AK208" i="1"/>
  <c r="AM208" i="1"/>
  <c r="AR208" i="1"/>
  <c r="AT208" i="1"/>
  <c r="AV208" i="1"/>
  <c r="E209" i="1"/>
  <c r="F209" i="1"/>
  <c r="G209" i="1"/>
  <c r="H209" i="1"/>
  <c r="J209" i="1"/>
  <c r="L209" i="1"/>
  <c r="X209" i="1"/>
  <c r="Y209" i="1"/>
  <c r="Z209" i="1"/>
  <c r="AA209" i="1"/>
  <c r="AC209" i="1"/>
  <c r="AD209" i="1"/>
  <c r="AE209" i="1"/>
  <c r="AF209" i="1"/>
  <c r="AH209" i="1"/>
  <c r="AI209" i="1"/>
  <c r="AJ209" i="1"/>
  <c r="AK209" i="1"/>
  <c r="AM209" i="1"/>
  <c r="AR209" i="1"/>
  <c r="AT209" i="1"/>
  <c r="AV209" i="1"/>
  <c r="E210" i="1"/>
  <c r="H210" i="1" s="1"/>
  <c r="F210" i="1"/>
  <c r="G210" i="1" s="1"/>
  <c r="J210" i="1"/>
  <c r="L210" i="1" s="1"/>
  <c r="X210" i="1"/>
  <c r="Y210" i="1"/>
  <c r="Z210" i="1"/>
  <c r="AA210" i="1"/>
  <c r="AC210" i="1"/>
  <c r="AD210" i="1"/>
  <c r="AE210" i="1"/>
  <c r="AF210" i="1"/>
  <c r="AH210" i="1"/>
  <c r="AI210" i="1"/>
  <c r="AJ210" i="1"/>
  <c r="AK210" i="1"/>
  <c r="AM210" i="1"/>
  <c r="AR210" i="1"/>
  <c r="AT210" i="1"/>
  <c r="AV210" i="1"/>
  <c r="E211" i="1"/>
  <c r="F211" i="1"/>
  <c r="G211" i="1" s="1"/>
  <c r="J211" i="1"/>
  <c r="L211" i="1"/>
  <c r="X211" i="1"/>
  <c r="Y211" i="1"/>
  <c r="Z211" i="1"/>
  <c r="AA211" i="1"/>
  <c r="AC211" i="1"/>
  <c r="AD211" i="1"/>
  <c r="AE211" i="1"/>
  <c r="AF211" i="1"/>
  <c r="AH211" i="1"/>
  <c r="AI211" i="1"/>
  <c r="AJ211" i="1"/>
  <c r="AK211" i="1"/>
  <c r="AM211" i="1"/>
  <c r="AR211" i="1"/>
  <c r="AT211" i="1"/>
  <c r="AV211" i="1"/>
  <c r="E212" i="1"/>
  <c r="F212" i="1"/>
  <c r="G212" i="1" s="1"/>
  <c r="J212" i="1"/>
  <c r="L212" i="1"/>
  <c r="X212" i="1"/>
  <c r="Y212" i="1"/>
  <c r="Z212" i="1"/>
  <c r="AA212" i="1"/>
  <c r="AC212" i="1"/>
  <c r="AD212" i="1"/>
  <c r="AE212" i="1"/>
  <c r="AF212" i="1"/>
  <c r="AH212" i="1"/>
  <c r="AI212" i="1"/>
  <c r="AJ212" i="1"/>
  <c r="AK212" i="1"/>
  <c r="AM212" i="1"/>
  <c r="AR212" i="1"/>
  <c r="AT212" i="1"/>
  <c r="AV212" i="1"/>
  <c r="E213" i="1"/>
  <c r="H213" i="1" s="1"/>
  <c r="F213" i="1"/>
  <c r="G213" i="1" s="1"/>
  <c r="J213" i="1"/>
  <c r="L213" i="1" s="1"/>
  <c r="X213" i="1"/>
  <c r="Y213" i="1"/>
  <c r="Z213" i="1"/>
  <c r="AA213" i="1"/>
  <c r="AC213" i="1"/>
  <c r="AD213" i="1"/>
  <c r="AE213" i="1"/>
  <c r="AF213" i="1"/>
  <c r="AH213" i="1"/>
  <c r="AI213" i="1"/>
  <c r="AJ213" i="1"/>
  <c r="AK213" i="1"/>
  <c r="AM213" i="1"/>
  <c r="AR213" i="1"/>
  <c r="AT213" i="1"/>
  <c r="AV213" i="1"/>
  <c r="E214" i="1"/>
  <c r="F214" i="1"/>
  <c r="G214" i="1"/>
  <c r="J214" i="1"/>
  <c r="L214" i="1" s="1"/>
  <c r="X214" i="1"/>
  <c r="Y214" i="1"/>
  <c r="Z214" i="1"/>
  <c r="AA214" i="1"/>
  <c r="AC214" i="1"/>
  <c r="AD214" i="1"/>
  <c r="AE214" i="1"/>
  <c r="AF214" i="1"/>
  <c r="AH214" i="1"/>
  <c r="AI214" i="1"/>
  <c r="AJ214" i="1"/>
  <c r="AK214" i="1"/>
  <c r="AM214" i="1"/>
  <c r="AR214" i="1"/>
  <c r="AT214" i="1"/>
  <c r="AV214" i="1"/>
  <c r="E215" i="1"/>
  <c r="F215" i="1"/>
  <c r="G215" i="1" s="1"/>
  <c r="J215" i="1"/>
  <c r="L215" i="1" s="1"/>
  <c r="X215" i="1"/>
  <c r="Y215" i="1"/>
  <c r="Z215" i="1"/>
  <c r="AA215" i="1"/>
  <c r="AC215" i="1"/>
  <c r="AD215" i="1"/>
  <c r="AE215" i="1"/>
  <c r="AF215" i="1"/>
  <c r="AH215" i="1"/>
  <c r="AI215" i="1"/>
  <c r="AJ215" i="1"/>
  <c r="AK215" i="1"/>
  <c r="AM215" i="1"/>
  <c r="AR215" i="1"/>
  <c r="AT215" i="1"/>
  <c r="AV215" i="1"/>
  <c r="E216" i="1"/>
  <c r="F216" i="1"/>
  <c r="G216" i="1" s="1"/>
  <c r="J216" i="1"/>
  <c r="L216" i="1" s="1"/>
  <c r="X216" i="1"/>
  <c r="Y216" i="1"/>
  <c r="Z216" i="1"/>
  <c r="AA216" i="1"/>
  <c r="AC216" i="1"/>
  <c r="M216" i="1" s="1"/>
  <c r="AD216" i="1"/>
  <c r="AE216" i="1"/>
  <c r="AF216" i="1"/>
  <c r="AH216" i="1"/>
  <c r="AI216" i="1"/>
  <c r="AJ216" i="1"/>
  <c r="AK216" i="1"/>
  <c r="AM216" i="1"/>
  <c r="AR216" i="1"/>
  <c r="AT216" i="1"/>
  <c r="AV216" i="1"/>
  <c r="E217" i="1"/>
  <c r="F217" i="1"/>
  <c r="G217" i="1"/>
  <c r="H217" i="1"/>
  <c r="J217" i="1"/>
  <c r="L217" i="1"/>
  <c r="X217" i="1"/>
  <c r="Y217" i="1"/>
  <c r="Z217" i="1"/>
  <c r="AA217" i="1"/>
  <c r="AC217" i="1"/>
  <c r="AD217" i="1"/>
  <c r="AE217" i="1"/>
  <c r="AF217" i="1"/>
  <c r="AH217" i="1"/>
  <c r="AI217" i="1"/>
  <c r="AJ217" i="1"/>
  <c r="AK217" i="1"/>
  <c r="AM217" i="1"/>
  <c r="AR217" i="1"/>
  <c r="AT217" i="1"/>
  <c r="AV217" i="1"/>
  <c r="E218" i="1"/>
  <c r="H218" i="1" s="1"/>
  <c r="F218" i="1"/>
  <c r="G218" i="1" s="1"/>
  <c r="J218" i="1"/>
  <c r="L218" i="1" s="1"/>
  <c r="X218" i="1"/>
  <c r="Y218" i="1"/>
  <c r="Z218" i="1"/>
  <c r="AA218" i="1"/>
  <c r="AC218" i="1"/>
  <c r="AD218" i="1"/>
  <c r="AE218" i="1"/>
  <c r="AF218" i="1"/>
  <c r="AH218" i="1"/>
  <c r="AI218" i="1"/>
  <c r="AJ218" i="1"/>
  <c r="AK218" i="1"/>
  <c r="AM218" i="1"/>
  <c r="AR218" i="1"/>
  <c r="AT218" i="1"/>
  <c r="AV218" i="1"/>
  <c r="E219" i="1"/>
  <c r="F219" i="1"/>
  <c r="G219" i="1" s="1"/>
  <c r="J219" i="1"/>
  <c r="L219" i="1"/>
  <c r="X219" i="1"/>
  <c r="Y219" i="1"/>
  <c r="Z219" i="1"/>
  <c r="AA219" i="1"/>
  <c r="AC219" i="1"/>
  <c r="AD219" i="1"/>
  <c r="AE219" i="1"/>
  <c r="AF219" i="1"/>
  <c r="AH219" i="1"/>
  <c r="AI219" i="1"/>
  <c r="AJ219" i="1"/>
  <c r="AK219" i="1"/>
  <c r="AM219" i="1"/>
  <c r="AR219" i="1"/>
  <c r="AT219" i="1"/>
  <c r="AV219" i="1"/>
  <c r="E220" i="1"/>
  <c r="F220" i="1"/>
  <c r="G220" i="1" s="1"/>
  <c r="J220" i="1"/>
  <c r="L220" i="1"/>
  <c r="X220" i="1"/>
  <c r="Y220" i="1"/>
  <c r="Z220" i="1"/>
  <c r="AA220" i="1"/>
  <c r="AC220" i="1"/>
  <c r="AD220" i="1"/>
  <c r="AE220" i="1"/>
  <c r="AF220" i="1"/>
  <c r="AH220" i="1"/>
  <c r="AI220" i="1"/>
  <c r="AJ220" i="1"/>
  <c r="AK220" i="1"/>
  <c r="AM220" i="1"/>
  <c r="AR220" i="1"/>
  <c r="AT220" i="1"/>
  <c r="AV220" i="1"/>
  <c r="E221" i="1"/>
  <c r="H221" i="1" s="1"/>
  <c r="F221" i="1"/>
  <c r="G221" i="1" s="1"/>
  <c r="J221" i="1"/>
  <c r="L221" i="1" s="1"/>
  <c r="X221" i="1"/>
  <c r="Y221" i="1"/>
  <c r="Z221" i="1"/>
  <c r="AA221" i="1"/>
  <c r="AC221" i="1"/>
  <c r="AD221" i="1"/>
  <c r="AE221" i="1"/>
  <c r="AF221" i="1"/>
  <c r="AH221" i="1"/>
  <c r="AI221" i="1"/>
  <c r="AJ221" i="1"/>
  <c r="AK221" i="1"/>
  <c r="AM221" i="1"/>
  <c r="AR221" i="1"/>
  <c r="AT221" i="1"/>
  <c r="AV221" i="1"/>
  <c r="E222" i="1"/>
  <c r="F222" i="1"/>
  <c r="G222" i="1"/>
  <c r="J222" i="1"/>
  <c r="L222" i="1" s="1"/>
  <c r="X222" i="1"/>
  <c r="Y222" i="1"/>
  <c r="Z222" i="1"/>
  <c r="AA222" i="1"/>
  <c r="AC222" i="1"/>
  <c r="AD222" i="1"/>
  <c r="AE222" i="1"/>
  <c r="AF222" i="1"/>
  <c r="AH222" i="1"/>
  <c r="AI222" i="1"/>
  <c r="AJ222" i="1"/>
  <c r="AK222" i="1"/>
  <c r="AM222" i="1"/>
  <c r="AR222" i="1"/>
  <c r="AT222" i="1"/>
  <c r="AV222" i="1"/>
  <c r="E223" i="1"/>
  <c r="F223" i="1"/>
  <c r="G223" i="1" s="1"/>
  <c r="J223" i="1"/>
  <c r="L223" i="1" s="1"/>
  <c r="X223" i="1"/>
  <c r="Y223" i="1"/>
  <c r="Z223" i="1"/>
  <c r="AA223" i="1"/>
  <c r="AC223" i="1"/>
  <c r="AD223" i="1"/>
  <c r="AE223" i="1"/>
  <c r="AF223" i="1"/>
  <c r="AH223" i="1"/>
  <c r="AI223" i="1"/>
  <c r="AJ223" i="1"/>
  <c r="AK223" i="1"/>
  <c r="AM223" i="1"/>
  <c r="AR223" i="1"/>
  <c r="AT223" i="1"/>
  <c r="AV223" i="1"/>
  <c r="E224" i="1"/>
  <c r="F224" i="1"/>
  <c r="G224" i="1" s="1"/>
  <c r="J224" i="1"/>
  <c r="L224" i="1" s="1"/>
  <c r="X224" i="1"/>
  <c r="Y224" i="1"/>
  <c r="Z224" i="1"/>
  <c r="AA224" i="1"/>
  <c r="AC224" i="1"/>
  <c r="AD224" i="1"/>
  <c r="AE224" i="1"/>
  <c r="AF224" i="1"/>
  <c r="AH224" i="1"/>
  <c r="AI224" i="1"/>
  <c r="AJ224" i="1"/>
  <c r="AK224" i="1"/>
  <c r="AM224" i="1"/>
  <c r="AR224" i="1"/>
  <c r="AT224" i="1"/>
  <c r="AV224" i="1"/>
  <c r="E225" i="1"/>
  <c r="F225" i="1"/>
  <c r="G225" i="1"/>
  <c r="H225" i="1"/>
  <c r="J225" i="1"/>
  <c r="L225" i="1"/>
  <c r="X225" i="1"/>
  <c r="Y225" i="1"/>
  <c r="Z225" i="1"/>
  <c r="AA225" i="1"/>
  <c r="AC225" i="1"/>
  <c r="AD225" i="1"/>
  <c r="AE225" i="1"/>
  <c r="AF225" i="1"/>
  <c r="AH225" i="1"/>
  <c r="AI225" i="1"/>
  <c r="AJ225" i="1"/>
  <c r="AK225" i="1"/>
  <c r="AM225" i="1"/>
  <c r="AR225" i="1"/>
  <c r="AT225" i="1"/>
  <c r="AV225" i="1"/>
  <c r="E226" i="1"/>
  <c r="H226" i="1" s="1"/>
  <c r="F226" i="1"/>
  <c r="G226" i="1" s="1"/>
  <c r="J226" i="1"/>
  <c r="L226" i="1" s="1"/>
  <c r="X226" i="1"/>
  <c r="Y226" i="1"/>
  <c r="Z226" i="1"/>
  <c r="AA226" i="1"/>
  <c r="AC226" i="1"/>
  <c r="AD226" i="1"/>
  <c r="AE226" i="1"/>
  <c r="AF226" i="1"/>
  <c r="AH226" i="1"/>
  <c r="AI226" i="1"/>
  <c r="AJ226" i="1"/>
  <c r="AK226" i="1"/>
  <c r="AM226" i="1"/>
  <c r="AT226" i="1"/>
  <c r="E227" i="1"/>
  <c r="F227" i="1"/>
  <c r="G227" i="1"/>
  <c r="H227" i="1"/>
  <c r="J227" i="1"/>
  <c r="L227" i="1"/>
  <c r="X227" i="1"/>
  <c r="Y227" i="1"/>
  <c r="Z227" i="1"/>
  <c r="AA227" i="1"/>
  <c r="AC227" i="1"/>
  <c r="AD227" i="1"/>
  <c r="AE227" i="1"/>
  <c r="AF227" i="1"/>
  <c r="AH227" i="1"/>
  <c r="AI227" i="1"/>
  <c r="AJ227" i="1"/>
  <c r="AK227" i="1"/>
  <c r="AM227" i="1"/>
  <c r="AT227" i="1"/>
  <c r="E228" i="1"/>
  <c r="F228" i="1"/>
  <c r="G228" i="1"/>
  <c r="J228" i="1"/>
  <c r="L228" i="1" s="1"/>
  <c r="X228" i="1"/>
  <c r="Y228" i="1"/>
  <c r="Z228" i="1"/>
  <c r="AA228" i="1"/>
  <c r="AC228" i="1"/>
  <c r="AD228" i="1"/>
  <c r="AE228" i="1"/>
  <c r="AF228" i="1"/>
  <c r="AH228" i="1"/>
  <c r="AI228" i="1"/>
  <c r="AJ228" i="1"/>
  <c r="AK228" i="1"/>
  <c r="AM228" i="1"/>
  <c r="AT228" i="1"/>
  <c r="E229" i="1"/>
  <c r="H229" i="1" s="1"/>
  <c r="F229" i="1"/>
  <c r="G229" i="1" s="1"/>
  <c r="J229" i="1"/>
  <c r="L229" i="1"/>
  <c r="X229" i="1"/>
  <c r="Y229" i="1"/>
  <c r="Z229" i="1"/>
  <c r="AA229" i="1"/>
  <c r="AC229" i="1"/>
  <c r="AD229" i="1"/>
  <c r="AE229" i="1"/>
  <c r="AF229" i="1"/>
  <c r="AH229" i="1"/>
  <c r="AI229" i="1"/>
  <c r="AJ229" i="1"/>
  <c r="AK229" i="1"/>
  <c r="AM229" i="1"/>
  <c r="AT229" i="1"/>
  <c r="E230" i="1"/>
  <c r="H230" i="1" s="1"/>
  <c r="F230" i="1"/>
  <c r="G230" i="1" s="1"/>
  <c r="J230" i="1"/>
  <c r="L230" i="1" s="1"/>
  <c r="X230" i="1"/>
  <c r="Y230" i="1"/>
  <c r="Z230" i="1"/>
  <c r="AA230" i="1"/>
  <c r="AC230" i="1"/>
  <c r="AD230" i="1"/>
  <c r="AE230" i="1"/>
  <c r="AF230" i="1"/>
  <c r="AH230" i="1"/>
  <c r="AI230" i="1"/>
  <c r="AJ230" i="1"/>
  <c r="AK230" i="1"/>
  <c r="AM230" i="1"/>
  <c r="AT230" i="1"/>
  <c r="E231" i="1"/>
  <c r="F231" i="1"/>
  <c r="G231" i="1" s="1"/>
  <c r="J231" i="1"/>
  <c r="L231" i="1" s="1"/>
  <c r="X231" i="1"/>
  <c r="Y231" i="1"/>
  <c r="Z231" i="1"/>
  <c r="AA231" i="1"/>
  <c r="AC231" i="1"/>
  <c r="AD231" i="1"/>
  <c r="AE231" i="1"/>
  <c r="AF231" i="1"/>
  <c r="AH231" i="1"/>
  <c r="AI231" i="1"/>
  <c r="AJ231" i="1"/>
  <c r="AK231" i="1"/>
  <c r="AM231" i="1"/>
  <c r="AT231" i="1"/>
  <c r="E232" i="1"/>
  <c r="H232" i="1" s="1"/>
  <c r="F232" i="1"/>
  <c r="G232" i="1" s="1"/>
  <c r="J232" i="1"/>
  <c r="L232" i="1"/>
  <c r="X232" i="1"/>
  <c r="Y232" i="1"/>
  <c r="Z232" i="1"/>
  <c r="AA232" i="1"/>
  <c r="AC232" i="1"/>
  <c r="AD232" i="1"/>
  <c r="AE232" i="1"/>
  <c r="AF232" i="1"/>
  <c r="AH232" i="1"/>
  <c r="AI232" i="1"/>
  <c r="AJ232" i="1"/>
  <c r="AK232" i="1"/>
  <c r="AM232" i="1"/>
  <c r="AT232" i="1"/>
  <c r="E233" i="1"/>
  <c r="F233" i="1"/>
  <c r="G233" i="1" s="1"/>
  <c r="J233" i="1"/>
  <c r="L233" i="1" s="1"/>
  <c r="X233" i="1"/>
  <c r="Y233" i="1"/>
  <c r="Z233" i="1"/>
  <c r="AA233" i="1"/>
  <c r="AC233" i="1"/>
  <c r="AD233" i="1"/>
  <c r="AE233" i="1"/>
  <c r="AF233" i="1"/>
  <c r="AH233" i="1"/>
  <c r="AI233" i="1"/>
  <c r="AJ233" i="1"/>
  <c r="AK233" i="1"/>
  <c r="AM233" i="1"/>
  <c r="AT233" i="1"/>
  <c r="E234" i="1"/>
  <c r="F234" i="1"/>
  <c r="G234" i="1"/>
  <c r="H234" i="1"/>
  <c r="J234" i="1"/>
  <c r="L234" i="1" s="1"/>
  <c r="X234" i="1"/>
  <c r="Y234" i="1"/>
  <c r="Z234" i="1"/>
  <c r="AA234" i="1"/>
  <c r="AC234" i="1"/>
  <c r="AD234" i="1"/>
  <c r="AE234" i="1"/>
  <c r="AF234" i="1"/>
  <c r="AH234" i="1"/>
  <c r="AI234" i="1"/>
  <c r="AJ234" i="1"/>
  <c r="AK234" i="1"/>
  <c r="AM234" i="1"/>
  <c r="AT234" i="1"/>
  <c r="E235" i="1"/>
  <c r="H235" i="1" s="1"/>
  <c r="F235" i="1"/>
  <c r="G235" i="1" s="1"/>
  <c r="J235" i="1"/>
  <c r="L235" i="1"/>
  <c r="X235" i="1"/>
  <c r="Y235" i="1"/>
  <c r="Z235" i="1"/>
  <c r="AA235" i="1"/>
  <c r="AC235" i="1"/>
  <c r="AD235" i="1"/>
  <c r="AE235" i="1"/>
  <c r="AF235" i="1"/>
  <c r="AH235" i="1"/>
  <c r="AI235" i="1"/>
  <c r="AJ235" i="1"/>
  <c r="AK235" i="1"/>
  <c r="AM235" i="1"/>
  <c r="AT235" i="1"/>
  <c r="E236" i="1"/>
  <c r="F236" i="1"/>
  <c r="G236" i="1" s="1"/>
  <c r="J236" i="1"/>
  <c r="L236" i="1"/>
  <c r="X236" i="1"/>
  <c r="Y236" i="1"/>
  <c r="Z236" i="1"/>
  <c r="AA236" i="1"/>
  <c r="AC236" i="1"/>
  <c r="AD236" i="1"/>
  <c r="AE236" i="1"/>
  <c r="AF236" i="1"/>
  <c r="AH236" i="1"/>
  <c r="AI236" i="1"/>
  <c r="AJ236" i="1"/>
  <c r="AK236" i="1"/>
  <c r="AM236" i="1"/>
  <c r="AT236" i="1"/>
  <c r="E237" i="1"/>
  <c r="F237" i="1"/>
  <c r="G237" i="1" s="1"/>
  <c r="H237" i="1"/>
  <c r="J237" i="1"/>
  <c r="L237" i="1" s="1"/>
  <c r="X237" i="1"/>
  <c r="Y237" i="1"/>
  <c r="Z237" i="1"/>
  <c r="AA237" i="1"/>
  <c r="AC237" i="1"/>
  <c r="AD237" i="1"/>
  <c r="AE237" i="1"/>
  <c r="AF237" i="1"/>
  <c r="AH237" i="1"/>
  <c r="AI237" i="1"/>
  <c r="AJ237" i="1"/>
  <c r="AK237" i="1"/>
  <c r="AM237" i="1"/>
  <c r="AT237" i="1"/>
  <c r="E238" i="1"/>
  <c r="F238" i="1"/>
  <c r="G238" i="1"/>
  <c r="H238" i="1"/>
  <c r="J238" i="1"/>
  <c r="L238" i="1" s="1"/>
  <c r="X238" i="1"/>
  <c r="Y238" i="1"/>
  <c r="Z238" i="1"/>
  <c r="AA238" i="1"/>
  <c r="AC238" i="1"/>
  <c r="AD238" i="1"/>
  <c r="AE238" i="1"/>
  <c r="AF238" i="1"/>
  <c r="AH238" i="1"/>
  <c r="AI238" i="1"/>
  <c r="AJ238" i="1"/>
  <c r="AK238" i="1"/>
  <c r="AM238" i="1"/>
  <c r="AT238" i="1"/>
  <c r="E239" i="1"/>
  <c r="H239" i="1" s="1"/>
  <c r="F239" i="1"/>
  <c r="G239" i="1" s="1"/>
  <c r="J239" i="1"/>
  <c r="L239" i="1"/>
  <c r="X239" i="1"/>
  <c r="Y239" i="1"/>
  <c r="Z239" i="1"/>
  <c r="AA239" i="1"/>
  <c r="AC239" i="1"/>
  <c r="AD239" i="1"/>
  <c r="AE239" i="1"/>
  <c r="AF239" i="1"/>
  <c r="AH239" i="1"/>
  <c r="AI239" i="1"/>
  <c r="AJ239" i="1"/>
  <c r="AK239" i="1"/>
  <c r="AM239" i="1"/>
  <c r="AT239" i="1"/>
  <c r="E240" i="1"/>
  <c r="F240" i="1"/>
  <c r="G240" i="1" s="1"/>
  <c r="J240" i="1"/>
  <c r="L240" i="1"/>
  <c r="X240" i="1"/>
  <c r="Y240" i="1"/>
  <c r="Z240" i="1"/>
  <c r="AA240" i="1"/>
  <c r="AC240" i="1"/>
  <c r="AD240" i="1"/>
  <c r="AE240" i="1"/>
  <c r="AF240" i="1"/>
  <c r="AH240" i="1"/>
  <c r="AI240" i="1"/>
  <c r="AJ240" i="1"/>
  <c r="AK240" i="1"/>
  <c r="AM240" i="1"/>
  <c r="AT240" i="1"/>
  <c r="E241" i="1"/>
  <c r="F241" i="1"/>
  <c r="G241" i="1" s="1"/>
  <c r="H241" i="1"/>
  <c r="J241" i="1"/>
  <c r="L241" i="1" s="1"/>
  <c r="X241" i="1"/>
  <c r="Y241" i="1"/>
  <c r="Z241" i="1"/>
  <c r="AA241" i="1"/>
  <c r="AC241" i="1"/>
  <c r="AD241" i="1"/>
  <c r="AE241" i="1"/>
  <c r="AF241" i="1"/>
  <c r="AH241" i="1"/>
  <c r="AI241" i="1"/>
  <c r="AJ241" i="1"/>
  <c r="AK241" i="1"/>
  <c r="AM241" i="1"/>
  <c r="AT241" i="1"/>
  <c r="E242" i="1"/>
  <c r="H242" i="1" s="1"/>
  <c r="F242" i="1"/>
  <c r="G242" i="1"/>
  <c r="J242" i="1"/>
  <c r="L242" i="1" s="1"/>
  <c r="X242" i="1"/>
  <c r="Y242" i="1"/>
  <c r="Z242" i="1"/>
  <c r="AA242" i="1"/>
  <c r="AC242" i="1"/>
  <c r="AD242" i="1"/>
  <c r="AE242" i="1"/>
  <c r="AF242" i="1"/>
  <c r="AH242" i="1"/>
  <c r="AI242" i="1"/>
  <c r="AJ242" i="1"/>
  <c r="AK242" i="1"/>
  <c r="AM242" i="1"/>
  <c r="AT242" i="1"/>
  <c r="E243" i="1"/>
  <c r="F243" i="1"/>
  <c r="G243" i="1" s="1"/>
  <c r="J243" i="1"/>
  <c r="L243" i="1"/>
  <c r="X243" i="1"/>
  <c r="Y243" i="1"/>
  <c r="Z243" i="1"/>
  <c r="AA243" i="1"/>
  <c r="AC243" i="1"/>
  <c r="AD243" i="1"/>
  <c r="AE243" i="1"/>
  <c r="AF243" i="1"/>
  <c r="AH243" i="1"/>
  <c r="AI243" i="1"/>
  <c r="AJ243" i="1"/>
  <c r="AK243" i="1"/>
  <c r="AM243" i="1"/>
  <c r="AT243" i="1"/>
  <c r="E244" i="1"/>
  <c r="F244" i="1"/>
  <c r="G244" i="1"/>
  <c r="J244" i="1"/>
  <c r="L244" i="1"/>
  <c r="X244" i="1"/>
  <c r="Y244" i="1"/>
  <c r="Z244" i="1"/>
  <c r="AA244" i="1"/>
  <c r="AC244" i="1"/>
  <c r="AD244" i="1"/>
  <c r="AE244" i="1"/>
  <c r="AF244" i="1"/>
  <c r="AH244" i="1"/>
  <c r="AI244" i="1"/>
  <c r="AJ244" i="1"/>
  <c r="AK244" i="1"/>
  <c r="AM244" i="1"/>
  <c r="AT244" i="1"/>
  <c r="E245" i="1"/>
  <c r="F245" i="1"/>
  <c r="G245" i="1" s="1"/>
  <c r="H245" i="1"/>
  <c r="J245" i="1"/>
  <c r="L245" i="1" s="1"/>
  <c r="X245" i="1"/>
  <c r="Y245" i="1"/>
  <c r="Z245" i="1"/>
  <c r="AA245" i="1"/>
  <c r="AC245" i="1"/>
  <c r="AD245" i="1"/>
  <c r="AE245" i="1"/>
  <c r="AF245" i="1"/>
  <c r="AH245" i="1"/>
  <c r="AI245" i="1"/>
  <c r="AJ245" i="1"/>
  <c r="AK245" i="1"/>
  <c r="AM245" i="1"/>
  <c r="AT245" i="1"/>
  <c r="E246" i="1"/>
  <c r="F246" i="1"/>
  <c r="G246" i="1"/>
  <c r="H246" i="1"/>
  <c r="J246" i="1"/>
  <c r="L246" i="1" s="1"/>
  <c r="X246" i="1"/>
  <c r="Y246" i="1"/>
  <c r="Z246" i="1"/>
  <c r="AA246" i="1"/>
  <c r="AC246" i="1"/>
  <c r="AD246" i="1"/>
  <c r="AE246" i="1"/>
  <c r="AF246" i="1"/>
  <c r="AH246" i="1"/>
  <c r="AI246" i="1"/>
  <c r="AJ246" i="1"/>
  <c r="AK246" i="1"/>
  <c r="AM246" i="1"/>
  <c r="AT246" i="1"/>
  <c r="E247" i="1"/>
  <c r="H247" i="1" s="1"/>
  <c r="F247" i="1"/>
  <c r="G247" i="1" s="1"/>
  <c r="J247" i="1"/>
  <c r="L247" i="1"/>
  <c r="X247" i="1"/>
  <c r="Y247" i="1"/>
  <c r="Z247" i="1"/>
  <c r="AA247" i="1"/>
  <c r="AC247" i="1"/>
  <c r="AD247" i="1"/>
  <c r="AE247" i="1"/>
  <c r="AF247" i="1"/>
  <c r="AH247" i="1"/>
  <c r="AI247" i="1"/>
  <c r="AJ247" i="1"/>
  <c r="AK247" i="1"/>
  <c r="AM247" i="1"/>
  <c r="AT247" i="1"/>
  <c r="E248" i="1"/>
  <c r="F248" i="1"/>
  <c r="G248" i="1" s="1"/>
  <c r="J248" i="1"/>
  <c r="L248" i="1"/>
  <c r="X248" i="1"/>
  <c r="Y248" i="1"/>
  <c r="Z248" i="1"/>
  <c r="AA248" i="1"/>
  <c r="AC248" i="1"/>
  <c r="AD248" i="1"/>
  <c r="AE248" i="1"/>
  <c r="AF248" i="1"/>
  <c r="AH248" i="1"/>
  <c r="AI248" i="1"/>
  <c r="AJ248" i="1"/>
  <c r="AK248" i="1"/>
  <c r="AM248" i="1"/>
  <c r="AT248" i="1"/>
  <c r="E249" i="1"/>
  <c r="F249" i="1"/>
  <c r="G249" i="1" s="1"/>
  <c r="H249" i="1"/>
  <c r="J249" i="1"/>
  <c r="L249" i="1" s="1"/>
  <c r="X249" i="1"/>
  <c r="Y249" i="1"/>
  <c r="Z249" i="1"/>
  <c r="AA249" i="1"/>
  <c r="AC249" i="1"/>
  <c r="AD249" i="1"/>
  <c r="AE249" i="1"/>
  <c r="AF249" i="1"/>
  <c r="AH249" i="1"/>
  <c r="AI249" i="1"/>
  <c r="AJ249" i="1"/>
  <c r="AK249" i="1"/>
  <c r="AM249" i="1"/>
  <c r="AT249" i="1"/>
  <c r="E250" i="1"/>
  <c r="H250" i="1" s="1"/>
  <c r="F250" i="1"/>
  <c r="G250" i="1"/>
  <c r="J250" i="1"/>
  <c r="L250" i="1" s="1"/>
  <c r="X250" i="1"/>
  <c r="Y250" i="1"/>
  <c r="Z250" i="1"/>
  <c r="AA250" i="1"/>
  <c r="AC250" i="1"/>
  <c r="AD250" i="1"/>
  <c r="AE250" i="1"/>
  <c r="AF250" i="1"/>
  <c r="AH250" i="1"/>
  <c r="AI250" i="1"/>
  <c r="AJ250" i="1"/>
  <c r="AK250" i="1"/>
  <c r="AM250" i="1"/>
  <c r="E251" i="1"/>
  <c r="F251" i="1"/>
  <c r="G251" i="1"/>
  <c r="J251" i="1"/>
  <c r="L251" i="1" s="1"/>
  <c r="X251" i="1"/>
  <c r="Y251" i="1"/>
  <c r="Z251" i="1"/>
  <c r="AA251" i="1"/>
  <c r="AC251" i="1"/>
  <c r="AD251" i="1"/>
  <c r="AE251" i="1"/>
  <c r="AF251" i="1"/>
  <c r="AH251" i="1"/>
  <c r="AI251" i="1"/>
  <c r="AJ251" i="1"/>
  <c r="AK251" i="1"/>
  <c r="AM251" i="1"/>
  <c r="E252" i="1"/>
  <c r="F252" i="1"/>
  <c r="G252" i="1" s="1"/>
  <c r="J252" i="1"/>
  <c r="L252" i="1" s="1"/>
  <c r="X252" i="1"/>
  <c r="Y252" i="1"/>
  <c r="Z252" i="1"/>
  <c r="AA252" i="1"/>
  <c r="AC252" i="1"/>
  <c r="AD252" i="1"/>
  <c r="AE252" i="1"/>
  <c r="AF252" i="1"/>
  <c r="AH252" i="1"/>
  <c r="AI252" i="1"/>
  <c r="AJ252" i="1"/>
  <c r="AK252" i="1"/>
  <c r="AM252" i="1"/>
  <c r="E253" i="1"/>
  <c r="F253" i="1"/>
  <c r="G253" i="1"/>
  <c r="J253" i="1"/>
  <c r="L253" i="1" s="1"/>
  <c r="X253" i="1"/>
  <c r="Y253" i="1"/>
  <c r="Z253" i="1"/>
  <c r="AA253" i="1"/>
  <c r="AC253" i="1"/>
  <c r="AD253" i="1"/>
  <c r="AE253" i="1"/>
  <c r="AF253" i="1"/>
  <c r="AH253" i="1"/>
  <c r="AI253" i="1"/>
  <c r="AJ253" i="1"/>
  <c r="AK253" i="1"/>
  <c r="AM253" i="1"/>
  <c r="E254" i="1"/>
  <c r="H254" i="1" s="1"/>
  <c r="F254" i="1"/>
  <c r="G254" i="1" s="1"/>
  <c r="J254" i="1"/>
  <c r="L254" i="1" s="1"/>
  <c r="X254" i="1"/>
  <c r="Y254" i="1"/>
  <c r="Z254" i="1"/>
  <c r="AA254" i="1"/>
  <c r="AC254" i="1"/>
  <c r="AD254" i="1"/>
  <c r="AE254" i="1"/>
  <c r="AF254" i="1"/>
  <c r="AH254" i="1"/>
  <c r="AI254" i="1"/>
  <c r="AJ254" i="1"/>
  <c r="AK254" i="1"/>
  <c r="AM254" i="1"/>
  <c r="E255" i="1"/>
  <c r="H255" i="1" s="1"/>
  <c r="F255" i="1"/>
  <c r="G255" i="1"/>
  <c r="J255" i="1"/>
  <c r="L255" i="1" s="1"/>
  <c r="X255" i="1"/>
  <c r="Y255" i="1"/>
  <c r="Z255" i="1"/>
  <c r="AA255" i="1"/>
  <c r="AC255" i="1"/>
  <c r="AD255" i="1"/>
  <c r="AE255" i="1"/>
  <c r="AF255" i="1"/>
  <c r="AH255" i="1"/>
  <c r="AI255" i="1"/>
  <c r="AJ255" i="1"/>
  <c r="AK255" i="1"/>
  <c r="AM255" i="1"/>
  <c r="E256" i="1"/>
  <c r="F256" i="1"/>
  <c r="G256" i="1"/>
  <c r="H256" i="1"/>
  <c r="J256" i="1"/>
  <c r="L256" i="1" s="1"/>
  <c r="X256" i="1"/>
  <c r="Y256" i="1"/>
  <c r="Z256" i="1"/>
  <c r="AA256" i="1"/>
  <c r="AC256" i="1"/>
  <c r="AD256" i="1"/>
  <c r="AE256" i="1"/>
  <c r="AF256" i="1"/>
  <c r="AH256" i="1"/>
  <c r="AI256" i="1"/>
  <c r="AJ256" i="1"/>
  <c r="AK256" i="1"/>
  <c r="AM256" i="1"/>
  <c r="E257" i="1"/>
  <c r="H257" i="1" s="1"/>
  <c r="F257" i="1"/>
  <c r="G257" i="1" s="1"/>
  <c r="J257" i="1"/>
  <c r="L257" i="1" s="1"/>
  <c r="X257" i="1"/>
  <c r="Y257" i="1"/>
  <c r="Z257" i="1"/>
  <c r="AA257" i="1"/>
  <c r="AC257" i="1"/>
  <c r="AD257" i="1"/>
  <c r="AE257" i="1"/>
  <c r="AF257" i="1"/>
  <c r="AH257" i="1"/>
  <c r="AI257" i="1"/>
  <c r="AJ257" i="1"/>
  <c r="AK257" i="1"/>
  <c r="AM257" i="1"/>
  <c r="E258" i="1"/>
  <c r="H258" i="1" s="1"/>
  <c r="F258" i="1"/>
  <c r="G258" i="1"/>
  <c r="J258" i="1"/>
  <c r="L258" i="1" s="1"/>
  <c r="X258" i="1"/>
  <c r="Y258" i="1"/>
  <c r="Z258" i="1"/>
  <c r="AA258" i="1"/>
  <c r="AC258" i="1"/>
  <c r="AD258" i="1"/>
  <c r="AE258" i="1"/>
  <c r="AF258" i="1"/>
  <c r="AH258" i="1"/>
  <c r="AI258" i="1"/>
  <c r="AJ258" i="1"/>
  <c r="AK258" i="1"/>
  <c r="AM258" i="1"/>
  <c r="E259" i="1"/>
  <c r="F259" i="1"/>
  <c r="G259" i="1"/>
  <c r="J259" i="1"/>
  <c r="L259" i="1" s="1"/>
  <c r="X259" i="1"/>
  <c r="Y259" i="1"/>
  <c r="Z259" i="1"/>
  <c r="AA259" i="1"/>
  <c r="AC259" i="1"/>
  <c r="AD259" i="1"/>
  <c r="AE259" i="1"/>
  <c r="AF259" i="1"/>
  <c r="AH259" i="1"/>
  <c r="AI259" i="1"/>
  <c r="AJ259" i="1"/>
  <c r="AK259" i="1"/>
  <c r="AM259" i="1"/>
  <c r="E260" i="1"/>
  <c r="F260" i="1"/>
  <c r="G260" i="1" s="1"/>
  <c r="J260" i="1"/>
  <c r="L260" i="1" s="1"/>
  <c r="X260" i="1"/>
  <c r="Y260" i="1"/>
  <c r="Z260" i="1"/>
  <c r="AA260" i="1"/>
  <c r="AC260" i="1"/>
  <c r="AD260" i="1"/>
  <c r="AE260" i="1"/>
  <c r="AF260" i="1"/>
  <c r="AH260" i="1"/>
  <c r="AI260" i="1"/>
  <c r="AJ260" i="1"/>
  <c r="AK260" i="1"/>
  <c r="AM260" i="1"/>
  <c r="E261" i="1"/>
  <c r="F261" i="1"/>
  <c r="G261" i="1"/>
  <c r="J261" i="1"/>
  <c r="L261" i="1" s="1"/>
  <c r="X261" i="1"/>
  <c r="Y261" i="1"/>
  <c r="Z261" i="1"/>
  <c r="AA261" i="1"/>
  <c r="AC261" i="1"/>
  <c r="AD261" i="1"/>
  <c r="AE261" i="1"/>
  <c r="AF261" i="1"/>
  <c r="AH261" i="1"/>
  <c r="AI261" i="1"/>
  <c r="AJ261" i="1"/>
  <c r="AK261" i="1"/>
  <c r="AM261" i="1"/>
  <c r="E262" i="1"/>
  <c r="H262" i="1" s="1"/>
  <c r="F262" i="1"/>
  <c r="G262" i="1" s="1"/>
  <c r="J262" i="1"/>
  <c r="L262" i="1" s="1"/>
  <c r="X262" i="1"/>
  <c r="Y262" i="1"/>
  <c r="Z262" i="1"/>
  <c r="AA262" i="1"/>
  <c r="AC262" i="1"/>
  <c r="AD262" i="1"/>
  <c r="AE262" i="1"/>
  <c r="AF262" i="1"/>
  <c r="AH262" i="1"/>
  <c r="AI262" i="1"/>
  <c r="AJ262" i="1"/>
  <c r="AK262" i="1"/>
  <c r="AM262" i="1"/>
  <c r="E263" i="1"/>
  <c r="H263" i="1" s="1"/>
  <c r="F263" i="1"/>
  <c r="G263" i="1"/>
  <c r="J263" i="1"/>
  <c r="L263" i="1" s="1"/>
  <c r="X263" i="1"/>
  <c r="Y263" i="1"/>
  <c r="Z263" i="1"/>
  <c r="AA263" i="1"/>
  <c r="AC263" i="1"/>
  <c r="AD263" i="1"/>
  <c r="AE263" i="1"/>
  <c r="AF263" i="1"/>
  <c r="AH263" i="1"/>
  <c r="AI263" i="1"/>
  <c r="AJ263" i="1"/>
  <c r="AK263" i="1"/>
  <c r="AM263" i="1"/>
  <c r="E264" i="1"/>
  <c r="F264" i="1"/>
  <c r="G264" i="1"/>
  <c r="H264" i="1"/>
  <c r="J264" i="1"/>
  <c r="L264" i="1" s="1"/>
  <c r="X264" i="1"/>
  <c r="Y264" i="1"/>
  <c r="Z264" i="1"/>
  <c r="AA264" i="1"/>
  <c r="AC264" i="1"/>
  <c r="AD264" i="1"/>
  <c r="AE264" i="1"/>
  <c r="AF264" i="1"/>
  <c r="AH264" i="1"/>
  <c r="AI264" i="1"/>
  <c r="AJ264" i="1"/>
  <c r="AK264" i="1"/>
  <c r="AM264" i="1"/>
  <c r="E265" i="1"/>
  <c r="H265" i="1" s="1"/>
  <c r="F265" i="1"/>
  <c r="G265" i="1" s="1"/>
  <c r="J265" i="1"/>
  <c r="L265" i="1" s="1"/>
  <c r="X265" i="1"/>
  <c r="Y265" i="1"/>
  <c r="Z265" i="1"/>
  <c r="AA265" i="1"/>
  <c r="AC265" i="1"/>
  <c r="AD265" i="1"/>
  <c r="AE265" i="1"/>
  <c r="AF265" i="1"/>
  <c r="AH265" i="1"/>
  <c r="AI265" i="1"/>
  <c r="AJ265" i="1"/>
  <c r="AK265" i="1"/>
  <c r="AM265" i="1"/>
  <c r="E266" i="1"/>
  <c r="H266" i="1" s="1"/>
  <c r="F266" i="1"/>
  <c r="G266" i="1"/>
  <c r="J266" i="1"/>
  <c r="L266" i="1" s="1"/>
  <c r="X266" i="1"/>
  <c r="Y266" i="1"/>
  <c r="Z266" i="1"/>
  <c r="AA266" i="1"/>
  <c r="AC266" i="1"/>
  <c r="AD266" i="1"/>
  <c r="AE266" i="1"/>
  <c r="AF266" i="1"/>
  <c r="AH266" i="1"/>
  <c r="AI266" i="1"/>
  <c r="AJ266" i="1"/>
  <c r="AK266" i="1"/>
  <c r="N266" i="1" s="1"/>
  <c r="AM266" i="1"/>
  <c r="E267" i="1"/>
  <c r="F267" i="1"/>
  <c r="G267" i="1"/>
  <c r="J267" i="1"/>
  <c r="L267" i="1" s="1"/>
  <c r="X267" i="1"/>
  <c r="Y267" i="1"/>
  <c r="Z267" i="1"/>
  <c r="AA267" i="1"/>
  <c r="AC267" i="1"/>
  <c r="AD267" i="1"/>
  <c r="AE267" i="1"/>
  <c r="AF267" i="1"/>
  <c r="AH267" i="1"/>
  <c r="AI267" i="1"/>
  <c r="AJ267" i="1"/>
  <c r="AK267" i="1"/>
  <c r="AM267" i="1"/>
  <c r="E268" i="1"/>
  <c r="F268" i="1"/>
  <c r="G268" i="1" s="1"/>
  <c r="J268" i="1"/>
  <c r="L268" i="1" s="1"/>
  <c r="X268" i="1"/>
  <c r="Y268" i="1"/>
  <c r="Z268" i="1"/>
  <c r="AA268" i="1"/>
  <c r="AC268" i="1"/>
  <c r="AD268" i="1"/>
  <c r="AE268" i="1"/>
  <c r="AF268" i="1"/>
  <c r="AH268" i="1"/>
  <c r="AI268" i="1"/>
  <c r="AJ268" i="1"/>
  <c r="AK268" i="1"/>
  <c r="AM268" i="1"/>
  <c r="E269" i="1"/>
  <c r="F269" i="1"/>
  <c r="G269" i="1"/>
  <c r="J269" i="1"/>
  <c r="L269" i="1" s="1"/>
  <c r="X269" i="1"/>
  <c r="Y269" i="1"/>
  <c r="Z269" i="1"/>
  <c r="AA269" i="1"/>
  <c r="AC269" i="1"/>
  <c r="AD269" i="1"/>
  <c r="AE269" i="1"/>
  <c r="AF269" i="1"/>
  <c r="AH269" i="1"/>
  <c r="AI269" i="1"/>
  <c r="AJ269" i="1"/>
  <c r="AK269" i="1"/>
  <c r="AM269" i="1"/>
  <c r="E270" i="1"/>
  <c r="H270" i="1" s="1"/>
  <c r="F270" i="1"/>
  <c r="G270" i="1" s="1"/>
  <c r="J270" i="1"/>
  <c r="L270" i="1" s="1"/>
  <c r="X270" i="1"/>
  <c r="Y270" i="1"/>
  <c r="Z270" i="1"/>
  <c r="AA270" i="1"/>
  <c r="AC270" i="1"/>
  <c r="AD270" i="1"/>
  <c r="AE270" i="1"/>
  <c r="AF270" i="1"/>
  <c r="AH270" i="1"/>
  <c r="AI270" i="1"/>
  <c r="AJ270" i="1"/>
  <c r="AK270" i="1"/>
  <c r="AM270" i="1"/>
  <c r="E271" i="1"/>
  <c r="H271" i="1" s="1"/>
  <c r="F271" i="1"/>
  <c r="G271" i="1"/>
  <c r="J271" i="1"/>
  <c r="L271" i="1" s="1"/>
  <c r="X271" i="1"/>
  <c r="Y271" i="1"/>
  <c r="Z271" i="1"/>
  <c r="AA271" i="1"/>
  <c r="AC271" i="1"/>
  <c r="AD271" i="1"/>
  <c r="AE271" i="1"/>
  <c r="AF271" i="1"/>
  <c r="AH271" i="1"/>
  <c r="AI271" i="1"/>
  <c r="AJ271" i="1"/>
  <c r="AK271" i="1"/>
  <c r="AM271" i="1"/>
  <c r="E272" i="1"/>
  <c r="F272" i="1"/>
  <c r="G272" i="1"/>
  <c r="H272" i="1"/>
  <c r="J272" i="1"/>
  <c r="L272" i="1" s="1"/>
  <c r="X272" i="1"/>
  <c r="Y272" i="1"/>
  <c r="Z272" i="1"/>
  <c r="AA272" i="1"/>
  <c r="AC272" i="1"/>
  <c r="AD272" i="1"/>
  <c r="AE272" i="1"/>
  <c r="AF272" i="1"/>
  <c r="AH272" i="1"/>
  <c r="AI272" i="1"/>
  <c r="AJ272" i="1"/>
  <c r="AK272" i="1"/>
  <c r="AM272" i="1"/>
  <c r="E273" i="1"/>
  <c r="H273" i="1" s="1"/>
  <c r="F273" i="1"/>
  <c r="G273" i="1" s="1"/>
  <c r="J273" i="1"/>
  <c r="L273" i="1" s="1"/>
  <c r="X273" i="1"/>
  <c r="Y273" i="1"/>
  <c r="Z273" i="1"/>
  <c r="AA273" i="1"/>
  <c r="AC273" i="1"/>
  <c r="AD273" i="1"/>
  <c r="AE273" i="1"/>
  <c r="AF273" i="1"/>
  <c r="AH273" i="1"/>
  <c r="AI273" i="1"/>
  <c r="AJ273" i="1"/>
  <c r="AK273" i="1"/>
  <c r="AM273" i="1"/>
  <c r="E274" i="1"/>
  <c r="H274" i="1" s="1"/>
  <c r="F274" i="1"/>
  <c r="G274" i="1"/>
  <c r="J274" i="1"/>
  <c r="L274" i="1" s="1"/>
  <c r="X274" i="1"/>
  <c r="Y274" i="1"/>
  <c r="Z274" i="1"/>
  <c r="AA274" i="1"/>
  <c r="AC274" i="1"/>
  <c r="AD274" i="1"/>
  <c r="AE274" i="1"/>
  <c r="AF274" i="1"/>
  <c r="AH274" i="1"/>
  <c r="AI274" i="1"/>
  <c r="AJ274" i="1"/>
  <c r="AK274" i="1"/>
  <c r="AM274" i="1"/>
  <c r="E275" i="1"/>
  <c r="F275" i="1"/>
  <c r="G275" i="1"/>
  <c r="J275" i="1"/>
  <c r="L275" i="1" s="1"/>
  <c r="X275" i="1"/>
  <c r="Y275" i="1"/>
  <c r="Z275" i="1"/>
  <c r="AA275" i="1"/>
  <c r="AC275" i="1"/>
  <c r="AD275" i="1"/>
  <c r="AE275" i="1"/>
  <c r="AF275" i="1"/>
  <c r="AH275" i="1"/>
  <c r="AI275" i="1"/>
  <c r="AJ275" i="1"/>
  <c r="AK275" i="1"/>
  <c r="AM275" i="1"/>
  <c r="E276" i="1"/>
  <c r="F276" i="1"/>
  <c r="G276" i="1" s="1"/>
  <c r="J276" i="1"/>
  <c r="L276" i="1" s="1"/>
  <c r="X276" i="1"/>
  <c r="Y276" i="1"/>
  <c r="Z276" i="1"/>
  <c r="AA276" i="1"/>
  <c r="AC276" i="1"/>
  <c r="AD276" i="1"/>
  <c r="AE276" i="1"/>
  <c r="AF276" i="1"/>
  <c r="AH276" i="1"/>
  <c r="AI276" i="1"/>
  <c r="AJ276" i="1"/>
  <c r="AK276" i="1"/>
  <c r="AM276" i="1"/>
  <c r="E277" i="1"/>
  <c r="F277" i="1"/>
  <c r="G277" i="1"/>
  <c r="J277" i="1"/>
  <c r="L277" i="1" s="1"/>
  <c r="X277" i="1"/>
  <c r="Y277" i="1"/>
  <c r="Z277" i="1"/>
  <c r="AA277" i="1"/>
  <c r="AC277" i="1"/>
  <c r="AD277" i="1"/>
  <c r="AE277" i="1"/>
  <c r="AF277" i="1"/>
  <c r="AH277" i="1"/>
  <c r="AI277" i="1"/>
  <c r="AJ277" i="1"/>
  <c r="AK277" i="1"/>
  <c r="AM277" i="1"/>
  <c r="E278" i="1"/>
  <c r="H278" i="1" s="1"/>
  <c r="F278" i="1"/>
  <c r="G278" i="1" s="1"/>
  <c r="J278" i="1"/>
  <c r="L278" i="1" s="1"/>
  <c r="X278" i="1"/>
  <c r="Y278" i="1"/>
  <c r="Z278" i="1"/>
  <c r="AA278" i="1"/>
  <c r="AC278" i="1"/>
  <c r="AD278" i="1"/>
  <c r="AE278" i="1"/>
  <c r="AF278" i="1"/>
  <c r="AH278" i="1"/>
  <c r="AI278" i="1"/>
  <c r="AJ278" i="1"/>
  <c r="AK278" i="1"/>
  <c r="AM278" i="1"/>
  <c r="E279" i="1"/>
  <c r="H279" i="1" s="1"/>
  <c r="F279" i="1"/>
  <c r="G279" i="1"/>
  <c r="J279" i="1"/>
  <c r="L279" i="1" s="1"/>
  <c r="X279" i="1"/>
  <c r="Y279" i="1"/>
  <c r="Z279" i="1"/>
  <c r="AA279" i="1"/>
  <c r="AC279" i="1"/>
  <c r="AD279" i="1"/>
  <c r="AE279" i="1"/>
  <c r="AF279" i="1"/>
  <c r="AH279" i="1"/>
  <c r="AI279" i="1"/>
  <c r="AJ279" i="1"/>
  <c r="AK279" i="1"/>
  <c r="AM279" i="1"/>
  <c r="E280" i="1"/>
  <c r="F280" i="1"/>
  <c r="G280" i="1"/>
  <c r="H280" i="1"/>
  <c r="J280" i="1"/>
  <c r="L280" i="1" s="1"/>
  <c r="X280" i="1"/>
  <c r="Y280" i="1"/>
  <c r="Z280" i="1"/>
  <c r="AA280" i="1"/>
  <c r="AC280" i="1"/>
  <c r="AD280" i="1"/>
  <c r="AE280" i="1"/>
  <c r="AF280" i="1"/>
  <c r="AH280" i="1"/>
  <c r="AI280" i="1"/>
  <c r="AJ280" i="1"/>
  <c r="AK280" i="1"/>
  <c r="AM280" i="1"/>
  <c r="E281" i="1"/>
  <c r="H281" i="1" s="1"/>
  <c r="F281" i="1"/>
  <c r="G281" i="1" s="1"/>
  <c r="J281" i="1"/>
  <c r="L281" i="1" s="1"/>
  <c r="X281" i="1"/>
  <c r="Y281" i="1"/>
  <c r="Z281" i="1"/>
  <c r="AA281" i="1"/>
  <c r="AC281" i="1"/>
  <c r="AD281" i="1"/>
  <c r="AE281" i="1"/>
  <c r="AF281" i="1"/>
  <c r="AH281" i="1"/>
  <c r="AI281" i="1"/>
  <c r="AJ281" i="1"/>
  <c r="AK281" i="1"/>
  <c r="AM281" i="1"/>
  <c r="E282" i="1"/>
  <c r="H282" i="1" s="1"/>
  <c r="F282" i="1"/>
  <c r="G282" i="1"/>
  <c r="J282" i="1"/>
  <c r="L282" i="1" s="1"/>
  <c r="X282" i="1"/>
  <c r="Y282" i="1"/>
  <c r="Z282" i="1"/>
  <c r="AA282" i="1"/>
  <c r="AC282" i="1"/>
  <c r="AD282" i="1"/>
  <c r="AE282" i="1"/>
  <c r="AF282" i="1"/>
  <c r="AH282" i="1"/>
  <c r="AI282" i="1"/>
  <c r="AJ282" i="1"/>
  <c r="AK282" i="1"/>
  <c r="N282" i="1" s="1"/>
  <c r="AM282" i="1"/>
  <c r="E283" i="1"/>
  <c r="F283" i="1"/>
  <c r="G283" i="1"/>
  <c r="J283" i="1"/>
  <c r="L283" i="1" s="1"/>
  <c r="X283" i="1"/>
  <c r="Y283" i="1"/>
  <c r="Z283" i="1"/>
  <c r="AA283" i="1"/>
  <c r="AC283" i="1"/>
  <c r="AD283" i="1"/>
  <c r="AE283" i="1"/>
  <c r="AF283" i="1"/>
  <c r="AH283" i="1"/>
  <c r="AI283" i="1"/>
  <c r="AJ283" i="1"/>
  <c r="AK283" i="1"/>
  <c r="AM283" i="1"/>
  <c r="E284" i="1"/>
  <c r="H284" i="1" s="1"/>
  <c r="F284" i="1"/>
  <c r="G284" i="1" s="1"/>
  <c r="J284" i="1"/>
  <c r="L284" i="1" s="1"/>
  <c r="X284" i="1"/>
  <c r="Y284" i="1"/>
  <c r="Z284" i="1"/>
  <c r="AA284" i="1"/>
  <c r="AC284" i="1"/>
  <c r="AD284" i="1"/>
  <c r="AE284" i="1"/>
  <c r="AF284" i="1"/>
  <c r="AH284" i="1"/>
  <c r="AI284" i="1"/>
  <c r="AJ284" i="1"/>
  <c r="AK284" i="1"/>
  <c r="AM284" i="1"/>
  <c r="E285" i="1"/>
  <c r="F285" i="1"/>
  <c r="G285" i="1" s="1"/>
  <c r="J285" i="1"/>
  <c r="L285" i="1" s="1"/>
  <c r="X285" i="1"/>
  <c r="Y285" i="1"/>
  <c r="Z285" i="1"/>
  <c r="AA285" i="1"/>
  <c r="AC285" i="1"/>
  <c r="AD285" i="1"/>
  <c r="AE285" i="1"/>
  <c r="AF285" i="1"/>
  <c r="AH285" i="1"/>
  <c r="AI285" i="1"/>
  <c r="AJ285" i="1"/>
  <c r="AK285" i="1"/>
  <c r="AM285" i="1"/>
  <c r="E286" i="1"/>
  <c r="H286" i="1" s="1"/>
  <c r="F286" i="1"/>
  <c r="G286" i="1"/>
  <c r="J286" i="1"/>
  <c r="L286" i="1" s="1"/>
  <c r="X286" i="1"/>
  <c r="Y286" i="1"/>
  <c r="Z286" i="1"/>
  <c r="AA286" i="1"/>
  <c r="AC286" i="1"/>
  <c r="AD286" i="1"/>
  <c r="AE286" i="1"/>
  <c r="AF286" i="1"/>
  <c r="AH286" i="1"/>
  <c r="AI286" i="1"/>
  <c r="AJ286" i="1"/>
  <c r="AK286" i="1"/>
  <c r="AM286" i="1"/>
  <c r="E287" i="1"/>
  <c r="H287" i="1" s="1"/>
  <c r="F287" i="1"/>
  <c r="G287" i="1"/>
  <c r="J287" i="1"/>
  <c r="L287" i="1" s="1"/>
  <c r="X287" i="1"/>
  <c r="Y287" i="1"/>
  <c r="Z287" i="1"/>
  <c r="AA287" i="1"/>
  <c r="AC287" i="1"/>
  <c r="AD287" i="1"/>
  <c r="AE287" i="1"/>
  <c r="AF287" i="1"/>
  <c r="AH287" i="1"/>
  <c r="AI287" i="1"/>
  <c r="AJ287" i="1"/>
  <c r="AK287" i="1"/>
  <c r="AM287" i="1"/>
  <c r="E288" i="1"/>
  <c r="F288" i="1"/>
  <c r="G288" i="1" s="1"/>
  <c r="J288" i="1"/>
  <c r="L288" i="1" s="1"/>
  <c r="X288" i="1"/>
  <c r="Y288" i="1"/>
  <c r="Z288" i="1"/>
  <c r="AA288" i="1"/>
  <c r="AC288" i="1"/>
  <c r="AD288" i="1"/>
  <c r="AE288" i="1"/>
  <c r="AF288" i="1"/>
  <c r="AH288" i="1"/>
  <c r="AI288" i="1"/>
  <c r="AJ288" i="1"/>
  <c r="AK288" i="1"/>
  <c r="AM288" i="1"/>
  <c r="E289" i="1"/>
  <c r="H289" i="1" s="1"/>
  <c r="F289" i="1"/>
  <c r="G289" i="1" s="1"/>
  <c r="J289" i="1"/>
  <c r="L289" i="1" s="1"/>
  <c r="X289" i="1"/>
  <c r="Y289" i="1"/>
  <c r="Z289" i="1"/>
  <c r="AA289" i="1"/>
  <c r="AC289" i="1"/>
  <c r="AD289" i="1"/>
  <c r="AE289" i="1"/>
  <c r="AF289" i="1"/>
  <c r="AH289" i="1"/>
  <c r="AI289" i="1"/>
  <c r="AJ289" i="1"/>
  <c r="AK289" i="1"/>
  <c r="AM289" i="1"/>
  <c r="E290" i="1"/>
  <c r="F290" i="1"/>
  <c r="G290" i="1"/>
  <c r="H290" i="1"/>
  <c r="J290" i="1"/>
  <c r="L290" i="1" s="1"/>
  <c r="X290" i="1"/>
  <c r="Y290" i="1"/>
  <c r="Z290" i="1"/>
  <c r="AA290" i="1"/>
  <c r="AC290" i="1"/>
  <c r="AD290" i="1"/>
  <c r="AE290" i="1"/>
  <c r="AF290" i="1"/>
  <c r="AH290" i="1"/>
  <c r="AI290" i="1"/>
  <c r="AJ290" i="1"/>
  <c r="AK290" i="1"/>
  <c r="AM290" i="1"/>
  <c r="E291" i="1"/>
  <c r="F291" i="1"/>
  <c r="G291" i="1" s="1"/>
  <c r="J291" i="1"/>
  <c r="L291" i="1" s="1"/>
  <c r="X291" i="1"/>
  <c r="Y291" i="1"/>
  <c r="Z291" i="1"/>
  <c r="AA291" i="1"/>
  <c r="AC291" i="1"/>
  <c r="AD291" i="1"/>
  <c r="AE291" i="1"/>
  <c r="AF291" i="1"/>
  <c r="AH291" i="1"/>
  <c r="AI291" i="1"/>
  <c r="AJ291" i="1"/>
  <c r="AK291" i="1"/>
  <c r="E292" i="1"/>
  <c r="F292" i="1"/>
  <c r="G292" i="1" s="1"/>
  <c r="J292" i="1"/>
  <c r="L292" i="1"/>
  <c r="X292" i="1"/>
  <c r="Y292" i="1"/>
  <c r="Z292" i="1"/>
  <c r="AA292" i="1"/>
  <c r="AC292" i="1"/>
  <c r="AD292" i="1"/>
  <c r="AE292" i="1"/>
  <c r="AF292" i="1"/>
  <c r="AH292" i="1"/>
  <c r="AI292" i="1"/>
  <c r="AJ292" i="1"/>
  <c r="AK292" i="1"/>
  <c r="AM292" i="1"/>
  <c r="E293" i="1"/>
  <c r="H293" i="1" s="1"/>
  <c r="F293" i="1"/>
  <c r="G293" i="1" s="1"/>
  <c r="J293" i="1"/>
  <c r="L293" i="1"/>
  <c r="X293" i="1"/>
  <c r="Y293" i="1"/>
  <c r="Z293" i="1"/>
  <c r="AA293" i="1"/>
  <c r="AC293" i="1"/>
  <c r="AD293" i="1"/>
  <c r="AE293" i="1"/>
  <c r="AF293" i="1"/>
  <c r="AH293" i="1"/>
  <c r="AI293" i="1"/>
  <c r="AJ293" i="1"/>
  <c r="AK293" i="1"/>
  <c r="AM293" i="1"/>
  <c r="E294" i="1"/>
  <c r="F294" i="1"/>
  <c r="G294" i="1" s="1"/>
  <c r="H294" i="1"/>
  <c r="J294" i="1"/>
  <c r="L294" i="1" s="1"/>
  <c r="X294" i="1"/>
  <c r="Y294" i="1"/>
  <c r="Z294" i="1"/>
  <c r="AA294" i="1"/>
  <c r="AC294" i="1"/>
  <c r="AD294" i="1"/>
  <c r="AE294" i="1"/>
  <c r="AF294" i="1"/>
  <c r="AH294" i="1"/>
  <c r="AI294" i="1"/>
  <c r="AJ294" i="1"/>
  <c r="AK294" i="1"/>
  <c r="AM294" i="1"/>
  <c r="E295" i="1"/>
  <c r="F295" i="1"/>
  <c r="G295" i="1" s="1"/>
  <c r="J295" i="1"/>
  <c r="L295" i="1"/>
  <c r="X295" i="1"/>
  <c r="Y295" i="1"/>
  <c r="Z295" i="1"/>
  <c r="AA295" i="1"/>
  <c r="AC295" i="1"/>
  <c r="AD295" i="1"/>
  <c r="AE295" i="1"/>
  <c r="AF295" i="1"/>
  <c r="AH295" i="1"/>
  <c r="AI295" i="1"/>
  <c r="AJ295" i="1"/>
  <c r="AK295" i="1"/>
  <c r="AM295" i="1"/>
  <c r="E296" i="1"/>
  <c r="H296" i="1" s="1"/>
  <c r="F296" i="1"/>
  <c r="G296" i="1" s="1"/>
  <c r="J296" i="1"/>
  <c r="L296" i="1"/>
  <c r="X296" i="1"/>
  <c r="Y296" i="1"/>
  <c r="Z296" i="1"/>
  <c r="AA296" i="1"/>
  <c r="AC296" i="1"/>
  <c r="AD296" i="1"/>
  <c r="AE296" i="1"/>
  <c r="AF296" i="1"/>
  <c r="AH296" i="1"/>
  <c r="AI296" i="1"/>
  <c r="AJ296" i="1"/>
  <c r="AK296" i="1"/>
  <c r="AM296" i="1"/>
  <c r="E297" i="1"/>
  <c r="F297" i="1"/>
  <c r="G297" i="1" s="1"/>
  <c r="J297" i="1"/>
  <c r="L297" i="1" s="1"/>
  <c r="X297" i="1"/>
  <c r="Y297" i="1"/>
  <c r="Z297" i="1"/>
  <c r="AA297" i="1"/>
  <c r="AC297" i="1"/>
  <c r="AD297" i="1"/>
  <c r="AE297" i="1"/>
  <c r="AF297" i="1"/>
  <c r="AH297" i="1"/>
  <c r="AI297" i="1"/>
  <c r="AJ297" i="1"/>
  <c r="AK297" i="1"/>
  <c r="AM297" i="1"/>
  <c r="E298" i="1"/>
  <c r="F298" i="1"/>
  <c r="G298" i="1" s="1"/>
  <c r="J298" i="1"/>
  <c r="L298" i="1" s="1"/>
  <c r="X298" i="1"/>
  <c r="Y298" i="1"/>
  <c r="Z298" i="1"/>
  <c r="AA298" i="1"/>
  <c r="AC298" i="1"/>
  <c r="AD298" i="1"/>
  <c r="AE298" i="1"/>
  <c r="AF298" i="1"/>
  <c r="AH298" i="1"/>
  <c r="AI298" i="1"/>
  <c r="AJ298" i="1"/>
  <c r="AK298" i="1"/>
  <c r="AM298" i="1"/>
  <c r="E299" i="1"/>
  <c r="F299" i="1"/>
  <c r="G299" i="1" s="1"/>
  <c r="J299" i="1"/>
  <c r="L299" i="1" s="1"/>
  <c r="X299" i="1"/>
  <c r="Y299" i="1"/>
  <c r="Z299" i="1"/>
  <c r="AA299" i="1"/>
  <c r="AC299" i="1"/>
  <c r="AD299" i="1"/>
  <c r="AE299" i="1"/>
  <c r="AF299" i="1"/>
  <c r="AH299" i="1"/>
  <c r="AI299" i="1"/>
  <c r="AJ299" i="1"/>
  <c r="AK299" i="1"/>
  <c r="AM299" i="1"/>
  <c r="E300" i="1"/>
  <c r="H300" i="1" s="1"/>
  <c r="F300" i="1"/>
  <c r="G300" i="1" s="1"/>
  <c r="J300" i="1"/>
  <c r="L300" i="1"/>
  <c r="X300" i="1"/>
  <c r="Y300" i="1"/>
  <c r="Z300" i="1"/>
  <c r="AA300" i="1"/>
  <c r="AC300" i="1"/>
  <c r="AD300" i="1"/>
  <c r="AE300" i="1"/>
  <c r="AF300" i="1"/>
  <c r="AH300" i="1"/>
  <c r="AI300" i="1"/>
  <c r="AJ300" i="1"/>
  <c r="AK300" i="1"/>
  <c r="AM300" i="1"/>
  <c r="E301" i="1"/>
  <c r="H301" i="1" s="1"/>
  <c r="F301" i="1"/>
  <c r="G301" i="1" s="1"/>
  <c r="J301" i="1"/>
  <c r="L301" i="1" s="1"/>
  <c r="X301" i="1"/>
  <c r="Y301" i="1"/>
  <c r="Z301" i="1"/>
  <c r="AA301" i="1"/>
  <c r="AC301" i="1"/>
  <c r="AD301" i="1"/>
  <c r="AE301" i="1"/>
  <c r="AF301" i="1"/>
  <c r="AH301" i="1"/>
  <c r="AI301" i="1"/>
  <c r="AJ301" i="1"/>
  <c r="AK301" i="1"/>
  <c r="AM301" i="1"/>
  <c r="E302" i="1"/>
  <c r="F302" i="1"/>
  <c r="G302" i="1" s="1"/>
  <c r="J302" i="1"/>
  <c r="L302" i="1" s="1"/>
  <c r="X302" i="1"/>
  <c r="Y302" i="1"/>
  <c r="Z302" i="1"/>
  <c r="AA302" i="1"/>
  <c r="AC302" i="1"/>
  <c r="M302" i="1" s="1"/>
  <c r="AD302" i="1"/>
  <c r="AE302" i="1"/>
  <c r="AF302" i="1"/>
  <c r="AH302" i="1"/>
  <c r="AI302" i="1"/>
  <c r="AJ302" i="1"/>
  <c r="AK302" i="1"/>
  <c r="AM302" i="1"/>
  <c r="E303" i="1"/>
  <c r="H303" i="1" s="1"/>
  <c r="F303" i="1"/>
  <c r="G303" i="1" s="1"/>
  <c r="J303" i="1"/>
  <c r="L303" i="1" s="1"/>
  <c r="X303" i="1"/>
  <c r="Y303" i="1"/>
  <c r="Z303" i="1"/>
  <c r="AA303" i="1"/>
  <c r="AC303" i="1"/>
  <c r="AD303" i="1"/>
  <c r="AE303" i="1"/>
  <c r="AF303" i="1"/>
  <c r="AH303" i="1"/>
  <c r="AI303" i="1"/>
  <c r="AJ303" i="1"/>
  <c r="AK303" i="1"/>
  <c r="AM303" i="1"/>
  <c r="E304" i="1"/>
  <c r="H304" i="1" s="1"/>
  <c r="F304" i="1"/>
  <c r="G304" i="1" s="1"/>
  <c r="J304" i="1"/>
  <c r="L304" i="1"/>
  <c r="X304" i="1"/>
  <c r="Y304" i="1"/>
  <c r="Z304" i="1"/>
  <c r="AA304" i="1"/>
  <c r="AC304" i="1"/>
  <c r="AD304" i="1"/>
  <c r="AE304" i="1"/>
  <c r="AF304" i="1"/>
  <c r="AH304" i="1"/>
  <c r="AI304" i="1"/>
  <c r="AJ304" i="1"/>
  <c r="AK304" i="1"/>
  <c r="AM304" i="1"/>
  <c r="E305" i="1"/>
  <c r="H305" i="1" s="1"/>
  <c r="F305" i="1"/>
  <c r="G305" i="1" s="1"/>
  <c r="J305" i="1"/>
  <c r="L305" i="1" s="1"/>
  <c r="X305" i="1"/>
  <c r="Y305" i="1"/>
  <c r="Z305" i="1"/>
  <c r="AA305" i="1"/>
  <c r="AC305" i="1"/>
  <c r="AD305" i="1"/>
  <c r="AE305" i="1"/>
  <c r="AF305" i="1"/>
  <c r="AH305" i="1"/>
  <c r="AI305" i="1"/>
  <c r="AJ305" i="1"/>
  <c r="AK305" i="1"/>
  <c r="AM305" i="1"/>
  <c r="E306" i="1"/>
  <c r="F306" i="1"/>
  <c r="G306" i="1" s="1"/>
  <c r="J306" i="1"/>
  <c r="L306" i="1" s="1"/>
  <c r="X306" i="1"/>
  <c r="Y306" i="1"/>
  <c r="Z306" i="1"/>
  <c r="AA306" i="1"/>
  <c r="AC306" i="1"/>
  <c r="AD306" i="1"/>
  <c r="AE306" i="1"/>
  <c r="AF306" i="1"/>
  <c r="AH306" i="1"/>
  <c r="AI306" i="1"/>
  <c r="AJ306" i="1"/>
  <c r="AK306" i="1"/>
  <c r="AM306" i="1"/>
  <c r="E307" i="1"/>
  <c r="F307" i="1"/>
  <c r="G307" i="1" s="1"/>
  <c r="J307" i="1"/>
  <c r="L307" i="1" s="1"/>
  <c r="X307" i="1"/>
  <c r="Y307" i="1"/>
  <c r="Z307" i="1"/>
  <c r="AA307" i="1"/>
  <c r="AC307" i="1"/>
  <c r="AD307" i="1"/>
  <c r="AE307" i="1"/>
  <c r="AF307" i="1"/>
  <c r="AH307" i="1"/>
  <c r="AI307" i="1"/>
  <c r="AJ307" i="1"/>
  <c r="AK307" i="1"/>
  <c r="AM307" i="1"/>
  <c r="E308" i="1"/>
  <c r="H308" i="1" s="1"/>
  <c r="F308" i="1"/>
  <c r="G308" i="1" s="1"/>
  <c r="J308" i="1"/>
  <c r="L308" i="1"/>
  <c r="X308" i="1"/>
  <c r="Y308" i="1"/>
  <c r="Z308" i="1"/>
  <c r="AA308" i="1"/>
  <c r="AC308" i="1"/>
  <c r="AD308" i="1"/>
  <c r="AE308" i="1"/>
  <c r="AF308" i="1"/>
  <c r="AH308" i="1"/>
  <c r="AI308" i="1"/>
  <c r="AJ308" i="1"/>
  <c r="AK308" i="1"/>
  <c r="AM308" i="1"/>
  <c r="E309" i="1"/>
  <c r="F309" i="1"/>
  <c r="G309" i="1" s="1"/>
  <c r="H309" i="1"/>
  <c r="J309" i="1"/>
  <c r="L309" i="1" s="1"/>
  <c r="X309" i="1"/>
  <c r="Y309" i="1"/>
  <c r="Z309" i="1"/>
  <c r="AA309" i="1"/>
  <c r="AC309" i="1"/>
  <c r="AD309" i="1"/>
  <c r="AE309" i="1"/>
  <c r="AF309" i="1"/>
  <c r="AH309" i="1"/>
  <c r="AI309" i="1"/>
  <c r="AJ309" i="1"/>
  <c r="AK309" i="1"/>
  <c r="AM309" i="1"/>
  <c r="E310" i="1"/>
  <c r="F310" i="1"/>
  <c r="G310" i="1" s="1"/>
  <c r="J310" i="1"/>
  <c r="L310" i="1" s="1"/>
  <c r="X310" i="1"/>
  <c r="Y310" i="1"/>
  <c r="Z310" i="1"/>
  <c r="AA310" i="1"/>
  <c r="AC310" i="1"/>
  <c r="AD310" i="1"/>
  <c r="AE310" i="1"/>
  <c r="AF310" i="1"/>
  <c r="AH310" i="1"/>
  <c r="AI310" i="1"/>
  <c r="AJ310" i="1"/>
  <c r="AK310" i="1"/>
  <c r="AM310" i="1"/>
  <c r="E311" i="1"/>
  <c r="H311" i="1" s="1"/>
  <c r="F311" i="1"/>
  <c r="G311" i="1" s="1"/>
  <c r="J311" i="1"/>
  <c r="L311" i="1"/>
  <c r="X311" i="1"/>
  <c r="Y311" i="1"/>
  <c r="Z311" i="1"/>
  <c r="AA311" i="1"/>
  <c r="AC311" i="1"/>
  <c r="AD311" i="1"/>
  <c r="AE311" i="1"/>
  <c r="AF311" i="1"/>
  <c r="AH311" i="1"/>
  <c r="AI311" i="1"/>
  <c r="AJ311" i="1"/>
  <c r="AK311" i="1"/>
  <c r="AM311" i="1"/>
  <c r="E312" i="1"/>
  <c r="F312" i="1"/>
  <c r="G312" i="1" s="1"/>
  <c r="J312" i="1"/>
  <c r="L312" i="1" s="1"/>
  <c r="X312" i="1"/>
  <c r="Y312" i="1"/>
  <c r="Z312" i="1"/>
  <c r="AA312" i="1"/>
  <c r="AC312" i="1"/>
  <c r="AD312" i="1"/>
  <c r="AE312" i="1"/>
  <c r="AF312" i="1"/>
  <c r="AH312" i="1"/>
  <c r="AI312" i="1"/>
  <c r="AJ312" i="1"/>
  <c r="AK312" i="1"/>
  <c r="AM312" i="1"/>
  <c r="E313" i="1"/>
  <c r="H313" i="1" s="1"/>
  <c r="F313" i="1"/>
  <c r="G313" i="1" s="1"/>
  <c r="J313" i="1"/>
  <c r="L313" i="1"/>
  <c r="X313" i="1"/>
  <c r="Y313" i="1"/>
  <c r="Z313" i="1"/>
  <c r="AA313" i="1"/>
  <c r="AC313" i="1"/>
  <c r="AD313" i="1"/>
  <c r="AE313" i="1"/>
  <c r="AF313" i="1"/>
  <c r="AH313" i="1"/>
  <c r="AI313" i="1"/>
  <c r="AJ313" i="1"/>
  <c r="AK313" i="1"/>
  <c r="AM313" i="1"/>
  <c r="E314" i="1"/>
  <c r="H314" i="1" s="1"/>
  <c r="F314" i="1"/>
  <c r="G314" i="1" s="1"/>
  <c r="J314" i="1"/>
  <c r="L314" i="1"/>
  <c r="X314" i="1"/>
  <c r="Y314" i="1"/>
  <c r="Z314" i="1"/>
  <c r="AA314" i="1"/>
  <c r="AC314" i="1"/>
  <c r="AD314" i="1"/>
  <c r="AE314" i="1"/>
  <c r="AF314" i="1"/>
  <c r="AH314" i="1"/>
  <c r="AI314" i="1"/>
  <c r="AJ314" i="1"/>
  <c r="AK314" i="1"/>
  <c r="N314" i="1" s="1"/>
  <c r="AM314" i="1"/>
  <c r="E315" i="1"/>
  <c r="F315" i="1"/>
  <c r="G315" i="1" s="1"/>
  <c r="H315" i="1"/>
  <c r="J315" i="1"/>
  <c r="L315" i="1" s="1"/>
  <c r="X315" i="1"/>
  <c r="Y315" i="1"/>
  <c r="Z315" i="1"/>
  <c r="AA315" i="1"/>
  <c r="AC315" i="1"/>
  <c r="AD315" i="1"/>
  <c r="AE315" i="1"/>
  <c r="AF315" i="1"/>
  <c r="AH315" i="1"/>
  <c r="AI315" i="1"/>
  <c r="AJ315" i="1"/>
  <c r="AK315" i="1"/>
  <c r="AM315" i="1"/>
  <c r="E316" i="1"/>
  <c r="H316" i="1" s="1"/>
  <c r="F316" i="1"/>
  <c r="G316" i="1" s="1"/>
  <c r="J316" i="1"/>
  <c r="L316" i="1"/>
  <c r="X316" i="1"/>
  <c r="Y316" i="1"/>
  <c r="Z316" i="1"/>
  <c r="AA316" i="1"/>
  <c r="AC316" i="1"/>
  <c r="AD316" i="1"/>
  <c r="AE316" i="1"/>
  <c r="AF316" i="1"/>
  <c r="AH316" i="1"/>
  <c r="AI316" i="1"/>
  <c r="AJ316" i="1"/>
  <c r="AK316" i="1"/>
  <c r="AM316" i="1"/>
  <c r="E317" i="1"/>
  <c r="F317" i="1"/>
  <c r="G317" i="1" s="1"/>
  <c r="H317" i="1"/>
  <c r="J317" i="1"/>
  <c r="L317" i="1" s="1"/>
  <c r="X317" i="1"/>
  <c r="Y317" i="1"/>
  <c r="Z317" i="1"/>
  <c r="AA317" i="1"/>
  <c r="AC317" i="1"/>
  <c r="AD317" i="1"/>
  <c r="AE317" i="1"/>
  <c r="AF317" i="1"/>
  <c r="AH317" i="1"/>
  <c r="AI317" i="1"/>
  <c r="AJ317" i="1"/>
  <c r="AK317" i="1"/>
  <c r="AM317" i="1"/>
  <c r="E318" i="1"/>
  <c r="F318" i="1"/>
  <c r="G318" i="1" s="1"/>
  <c r="J318" i="1"/>
  <c r="L318" i="1" s="1"/>
  <c r="X318" i="1"/>
  <c r="Y318" i="1"/>
  <c r="Z318" i="1"/>
  <c r="AA318" i="1"/>
  <c r="AC318" i="1"/>
  <c r="AD318" i="1"/>
  <c r="AE318" i="1"/>
  <c r="AF318" i="1"/>
  <c r="AH318" i="1"/>
  <c r="AI318" i="1"/>
  <c r="AJ318" i="1"/>
  <c r="AK318" i="1"/>
  <c r="AM318" i="1"/>
  <c r="E319" i="1"/>
  <c r="H319" i="1" s="1"/>
  <c r="F319" i="1"/>
  <c r="G319" i="1" s="1"/>
  <c r="J319" i="1"/>
  <c r="L319" i="1"/>
  <c r="X319" i="1"/>
  <c r="Y319" i="1"/>
  <c r="Z319" i="1"/>
  <c r="AA319" i="1"/>
  <c r="AC319" i="1"/>
  <c r="AD319" i="1"/>
  <c r="AE319" i="1"/>
  <c r="AF319" i="1"/>
  <c r="AH319" i="1"/>
  <c r="AI319" i="1"/>
  <c r="AJ319" i="1"/>
  <c r="AK319" i="1"/>
  <c r="AM319" i="1"/>
  <c r="E320" i="1"/>
  <c r="F320" i="1"/>
  <c r="G320" i="1" s="1"/>
  <c r="J320" i="1"/>
  <c r="L320" i="1" s="1"/>
  <c r="X320" i="1"/>
  <c r="Y320" i="1"/>
  <c r="Z320" i="1"/>
  <c r="AA320" i="1"/>
  <c r="AC320" i="1"/>
  <c r="AD320" i="1"/>
  <c r="AE320" i="1"/>
  <c r="AF320" i="1"/>
  <c r="AH320" i="1"/>
  <c r="AI320" i="1"/>
  <c r="AJ320" i="1"/>
  <c r="AK320" i="1"/>
  <c r="AM320" i="1"/>
  <c r="E321" i="1"/>
  <c r="H321" i="1" s="1"/>
  <c r="F321" i="1"/>
  <c r="G321" i="1" s="1"/>
  <c r="J321" i="1"/>
  <c r="L321" i="1"/>
  <c r="X321" i="1"/>
  <c r="Y321" i="1"/>
  <c r="Z321" i="1"/>
  <c r="AA321" i="1"/>
  <c r="AC321" i="1"/>
  <c r="AD321" i="1"/>
  <c r="AE321" i="1"/>
  <c r="AF321" i="1"/>
  <c r="AH321" i="1"/>
  <c r="AI321" i="1"/>
  <c r="AJ321" i="1"/>
  <c r="AK321" i="1"/>
  <c r="AM321" i="1"/>
  <c r="E322" i="1"/>
  <c r="H322" i="1" s="1"/>
  <c r="F322" i="1"/>
  <c r="G322" i="1" s="1"/>
  <c r="J322" i="1"/>
  <c r="L322" i="1"/>
  <c r="X322" i="1"/>
  <c r="Y322" i="1"/>
  <c r="Z322" i="1"/>
  <c r="AA322" i="1"/>
  <c r="AC322" i="1"/>
  <c r="AD322" i="1"/>
  <c r="AE322" i="1"/>
  <c r="AF322" i="1"/>
  <c r="AH322" i="1"/>
  <c r="AI322" i="1"/>
  <c r="AJ322" i="1"/>
  <c r="AK322" i="1"/>
  <c r="AM322" i="1"/>
  <c r="E323" i="1"/>
  <c r="F323" i="1"/>
  <c r="G323" i="1" s="1"/>
  <c r="H323" i="1"/>
  <c r="J323" i="1"/>
  <c r="L323" i="1" s="1"/>
  <c r="X323" i="1"/>
  <c r="Y323" i="1"/>
  <c r="Z323" i="1"/>
  <c r="AA323" i="1"/>
  <c r="AC323" i="1"/>
  <c r="AD323" i="1"/>
  <c r="AE323" i="1"/>
  <c r="AF323" i="1"/>
  <c r="AH323" i="1"/>
  <c r="AI323" i="1"/>
  <c r="AJ323" i="1"/>
  <c r="AK323" i="1"/>
  <c r="AM323" i="1"/>
  <c r="E324" i="1"/>
  <c r="H324" i="1" s="1"/>
  <c r="F324" i="1"/>
  <c r="G324" i="1" s="1"/>
  <c r="J324" i="1"/>
  <c r="L324" i="1"/>
  <c r="X324" i="1"/>
  <c r="Y324" i="1"/>
  <c r="Z324" i="1"/>
  <c r="AA324" i="1"/>
  <c r="AC324" i="1"/>
  <c r="AD324" i="1"/>
  <c r="AE324" i="1"/>
  <c r="AF324" i="1"/>
  <c r="AH324" i="1"/>
  <c r="AI324" i="1"/>
  <c r="AJ324" i="1"/>
  <c r="AK324" i="1"/>
  <c r="AM324" i="1"/>
  <c r="E325" i="1"/>
  <c r="F325" i="1"/>
  <c r="G325" i="1" s="1"/>
  <c r="H325" i="1"/>
  <c r="J325" i="1"/>
  <c r="L325" i="1" s="1"/>
  <c r="X325" i="1"/>
  <c r="Y325" i="1"/>
  <c r="Z325" i="1"/>
  <c r="AA325" i="1"/>
  <c r="AC325" i="1"/>
  <c r="AD325" i="1"/>
  <c r="AE325" i="1"/>
  <c r="AF325" i="1"/>
  <c r="AH325" i="1"/>
  <c r="AI325" i="1"/>
  <c r="AJ325" i="1"/>
  <c r="AK325" i="1"/>
  <c r="AM325" i="1"/>
  <c r="E326" i="1"/>
  <c r="F326" i="1"/>
  <c r="G326" i="1" s="1"/>
  <c r="J326" i="1"/>
  <c r="L326" i="1" s="1"/>
  <c r="X326" i="1"/>
  <c r="Y326" i="1"/>
  <c r="Z326" i="1"/>
  <c r="AA326" i="1"/>
  <c r="AC326" i="1"/>
  <c r="AD326" i="1"/>
  <c r="AE326" i="1"/>
  <c r="AF326" i="1"/>
  <c r="AH326" i="1"/>
  <c r="AI326" i="1"/>
  <c r="AJ326" i="1"/>
  <c r="AK326" i="1"/>
  <c r="AM326" i="1"/>
  <c r="E327" i="1"/>
  <c r="H327" i="1" s="1"/>
  <c r="F327" i="1"/>
  <c r="G327" i="1" s="1"/>
  <c r="J327" i="1"/>
  <c r="L327" i="1"/>
  <c r="X327" i="1"/>
  <c r="Y327" i="1"/>
  <c r="Z327" i="1"/>
  <c r="AA327" i="1"/>
  <c r="AC327" i="1"/>
  <c r="AD327" i="1"/>
  <c r="AE327" i="1"/>
  <c r="AF327" i="1"/>
  <c r="AH327" i="1"/>
  <c r="AI327" i="1"/>
  <c r="AJ327" i="1"/>
  <c r="AK327" i="1"/>
  <c r="AM327" i="1"/>
  <c r="E328" i="1"/>
  <c r="F328" i="1"/>
  <c r="G328" i="1" s="1"/>
  <c r="J328" i="1"/>
  <c r="L328" i="1" s="1"/>
  <c r="X328" i="1"/>
  <c r="Y328" i="1"/>
  <c r="Z328" i="1"/>
  <c r="AA328" i="1"/>
  <c r="AC328" i="1"/>
  <c r="AD328" i="1"/>
  <c r="AE328" i="1"/>
  <c r="AF328" i="1"/>
  <c r="AH328" i="1"/>
  <c r="AI328" i="1"/>
  <c r="AJ328" i="1"/>
  <c r="AK328" i="1"/>
  <c r="AM328" i="1"/>
  <c r="E329" i="1"/>
  <c r="H329" i="1" s="1"/>
  <c r="F329" i="1"/>
  <c r="G329" i="1" s="1"/>
  <c r="J329" i="1"/>
  <c r="L329" i="1"/>
  <c r="X329" i="1"/>
  <c r="Y329" i="1"/>
  <c r="Z329" i="1"/>
  <c r="AA329" i="1"/>
  <c r="AC329" i="1"/>
  <c r="AD329" i="1"/>
  <c r="AE329" i="1"/>
  <c r="AF329" i="1"/>
  <c r="AH329" i="1"/>
  <c r="AI329" i="1"/>
  <c r="AJ329" i="1"/>
  <c r="AK329" i="1"/>
  <c r="AM329" i="1"/>
  <c r="E330" i="1"/>
  <c r="H330" i="1" s="1"/>
  <c r="F330" i="1"/>
  <c r="G330" i="1" s="1"/>
  <c r="J330" i="1"/>
  <c r="L330" i="1"/>
  <c r="X330" i="1"/>
  <c r="Y330" i="1"/>
  <c r="Z330" i="1"/>
  <c r="AA330" i="1"/>
  <c r="AC330" i="1"/>
  <c r="AD330" i="1"/>
  <c r="AE330" i="1"/>
  <c r="AF330" i="1"/>
  <c r="AH330" i="1"/>
  <c r="AI330" i="1"/>
  <c r="AJ330" i="1"/>
  <c r="AK330" i="1"/>
  <c r="AM330" i="1"/>
  <c r="E331" i="1"/>
  <c r="F331" i="1"/>
  <c r="G331" i="1" s="1"/>
  <c r="H331" i="1"/>
  <c r="J331" i="1"/>
  <c r="L331" i="1" s="1"/>
  <c r="X331" i="1"/>
  <c r="Y331" i="1"/>
  <c r="Z331" i="1"/>
  <c r="AA331" i="1"/>
  <c r="AC331" i="1"/>
  <c r="AD331" i="1"/>
  <c r="AE331" i="1"/>
  <c r="AF331" i="1"/>
  <c r="AH331" i="1"/>
  <c r="AI331" i="1"/>
  <c r="AJ331" i="1"/>
  <c r="AK331" i="1"/>
  <c r="AM331" i="1"/>
  <c r="E332" i="1"/>
  <c r="H332" i="1" s="1"/>
  <c r="F332" i="1"/>
  <c r="G332" i="1" s="1"/>
  <c r="J332" i="1"/>
  <c r="L332" i="1"/>
  <c r="X332" i="1"/>
  <c r="Y332" i="1"/>
  <c r="Z332" i="1"/>
  <c r="AA332" i="1"/>
  <c r="AC332" i="1"/>
  <c r="AD332" i="1"/>
  <c r="AE332" i="1"/>
  <c r="AF332" i="1"/>
  <c r="AH332" i="1"/>
  <c r="AI332" i="1"/>
  <c r="AJ332" i="1"/>
  <c r="AK332" i="1"/>
  <c r="AM332" i="1"/>
  <c r="E333" i="1"/>
  <c r="F333" i="1"/>
  <c r="G333" i="1" s="1"/>
  <c r="H333" i="1"/>
  <c r="J333" i="1"/>
  <c r="L333" i="1" s="1"/>
  <c r="X333" i="1"/>
  <c r="Y333" i="1"/>
  <c r="Z333" i="1"/>
  <c r="AA333" i="1"/>
  <c r="AC333" i="1"/>
  <c r="AD333" i="1"/>
  <c r="AE333" i="1"/>
  <c r="AF333" i="1"/>
  <c r="AH333" i="1"/>
  <c r="AI333" i="1"/>
  <c r="AJ333" i="1"/>
  <c r="AK333" i="1"/>
  <c r="AM333" i="1"/>
  <c r="E334" i="1"/>
  <c r="F334" i="1"/>
  <c r="G334" i="1" s="1"/>
  <c r="J334" i="1"/>
  <c r="L334" i="1" s="1"/>
  <c r="X334" i="1"/>
  <c r="Y334" i="1"/>
  <c r="Z334" i="1"/>
  <c r="AA334" i="1"/>
  <c r="AC334" i="1"/>
  <c r="AD334" i="1"/>
  <c r="AE334" i="1"/>
  <c r="AF334" i="1"/>
  <c r="AH334" i="1"/>
  <c r="AI334" i="1"/>
  <c r="AJ334" i="1"/>
  <c r="AK334" i="1"/>
  <c r="AM334" i="1"/>
  <c r="E335" i="1"/>
  <c r="H335" i="1" s="1"/>
  <c r="F335" i="1"/>
  <c r="G335" i="1" s="1"/>
  <c r="J335" i="1"/>
  <c r="L335" i="1"/>
  <c r="X335" i="1"/>
  <c r="Y335" i="1"/>
  <c r="Z335" i="1"/>
  <c r="AA335" i="1"/>
  <c r="AC335" i="1"/>
  <c r="AD335" i="1"/>
  <c r="AE335" i="1"/>
  <c r="AF335" i="1"/>
  <c r="AH335" i="1"/>
  <c r="AI335" i="1"/>
  <c r="AJ335" i="1"/>
  <c r="AK335" i="1"/>
  <c r="AM335" i="1"/>
  <c r="E336" i="1"/>
  <c r="F336" i="1"/>
  <c r="G336" i="1" s="1"/>
  <c r="J336" i="1"/>
  <c r="L336" i="1" s="1"/>
  <c r="X336" i="1"/>
  <c r="Y336" i="1"/>
  <c r="Z336" i="1"/>
  <c r="AA336" i="1"/>
  <c r="AC336" i="1"/>
  <c r="AD336" i="1"/>
  <c r="AE336" i="1"/>
  <c r="AF336" i="1"/>
  <c r="AH336" i="1"/>
  <c r="AI336" i="1"/>
  <c r="AJ336" i="1"/>
  <c r="AK336" i="1"/>
  <c r="AM336" i="1"/>
  <c r="E337" i="1"/>
  <c r="H337" i="1" s="1"/>
  <c r="F337" i="1"/>
  <c r="G337" i="1" s="1"/>
  <c r="J337" i="1"/>
  <c r="L337" i="1"/>
  <c r="X337" i="1"/>
  <c r="Y337" i="1"/>
  <c r="Z337" i="1"/>
  <c r="AA337" i="1"/>
  <c r="AC337" i="1"/>
  <c r="AD337" i="1"/>
  <c r="AE337" i="1"/>
  <c r="AF337" i="1"/>
  <c r="AH337" i="1"/>
  <c r="AI337" i="1"/>
  <c r="AJ337" i="1"/>
  <c r="AK337" i="1"/>
  <c r="AM337" i="1"/>
  <c r="E338" i="1"/>
  <c r="H338" i="1" s="1"/>
  <c r="F338" i="1"/>
  <c r="G338" i="1" s="1"/>
  <c r="J338" i="1"/>
  <c r="L338" i="1"/>
  <c r="X338" i="1"/>
  <c r="Y338" i="1"/>
  <c r="Z338" i="1"/>
  <c r="AA338" i="1"/>
  <c r="AC338" i="1"/>
  <c r="M338" i="1" s="1"/>
  <c r="AD338" i="1"/>
  <c r="AE338" i="1"/>
  <c r="AF338" i="1"/>
  <c r="AH338" i="1"/>
  <c r="AI338" i="1"/>
  <c r="AJ338" i="1"/>
  <c r="AK338" i="1"/>
  <c r="AM338" i="1"/>
  <c r="E339" i="1"/>
  <c r="F339" i="1"/>
  <c r="G339" i="1" s="1"/>
  <c r="H339" i="1"/>
  <c r="J339" i="1"/>
  <c r="L339" i="1" s="1"/>
  <c r="X339" i="1"/>
  <c r="Y339" i="1"/>
  <c r="Z339" i="1"/>
  <c r="AA339" i="1"/>
  <c r="AC339" i="1"/>
  <c r="AD339" i="1"/>
  <c r="AE339" i="1"/>
  <c r="AF339" i="1"/>
  <c r="AH339" i="1"/>
  <c r="AI339" i="1"/>
  <c r="AJ339" i="1"/>
  <c r="AK339" i="1"/>
  <c r="AM339" i="1"/>
  <c r="E340" i="1"/>
  <c r="H340" i="1" s="1"/>
  <c r="F340" i="1"/>
  <c r="G340" i="1" s="1"/>
  <c r="J340" i="1"/>
  <c r="L340" i="1"/>
  <c r="X340" i="1"/>
  <c r="Y340" i="1"/>
  <c r="Z340" i="1"/>
  <c r="AA340" i="1"/>
  <c r="AC340" i="1"/>
  <c r="AD340" i="1"/>
  <c r="AE340" i="1"/>
  <c r="AF340" i="1"/>
  <c r="AH340" i="1"/>
  <c r="AI340" i="1"/>
  <c r="AJ340" i="1"/>
  <c r="AK340" i="1"/>
  <c r="AM340" i="1"/>
  <c r="E341" i="1"/>
  <c r="F341" i="1"/>
  <c r="G341" i="1" s="1"/>
  <c r="H341" i="1"/>
  <c r="J341" i="1"/>
  <c r="L341" i="1" s="1"/>
  <c r="X341" i="1"/>
  <c r="Y341" i="1"/>
  <c r="Z341" i="1"/>
  <c r="AA341" i="1"/>
  <c r="AC341" i="1"/>
  <c r="AD341" i="1"/>
  <c r="AE341" i="1"/>
  <c r="AF341" i="1"/>
  <c r="AH341" i="1"/>
  <c r="AI341" i="1"/>
  <c r="AJ341" i="1"/>
  <c r="AK341" i="1"/>
  <c r="AM341" i="1"/>
  <c r="E342" i="1"/>
  <c r="H342" i="1" s="1"/>
  <c r="F342" i="1"/>
  <c r="G342" i="1" s="1"/>
  <c r="J342" i="1"/>
  <c r="L342" i="1"/>
  <c r="X342" i="1"/>
  <c r="Y342" i="1"/>
  <c r="Z342" i="1"/>
  <c r="AA342" i="1"/>
  <c r="AC342" i="1"/>
  <c r="AD342" i="1"/>
  <c r="AE342" i="1"/>
  <c r="AF342" i="1"/>
  <c r="AH342" i="1"/>
  <c r="AI342" i="1"/>
  <c r="AJ342" i="1"/>
  <c r="AK342" i="1"/>
  <c r="AM342" i="1"/>
  <c r="E343" i="1"/>
  <c r="F343" i="1"/>
  <c r="G343" i="1" s="1"/>
  <c r="H343" i="1"/>
  <c r="J343" i="1"/>
  <c r="L343" i="1" s="1"/>
  <c r="X343" i="1"/>
  <c r="Y343" i="1"/>
  <c r="Z343" i="1"/>
  <c r="AA343" i="1"/>
  <c r="AC343" i="1"/>
  <c r="AD343" i="1"/>
  <c r="AE343" i="1"/>
  <c r="AF343" i="1"/>
  <c r="AH343" i="1"/>
  <c r="AI343" i="1"/>
  <c r="AJ343" i="1"/>
  <c r="AK343" i="1"/>
  <c r="AM343" i="1"/>
  <c r="E344" i="1"/>
  <c r="H344" i="1" s="1"/>
  <c r="F344" i="1"/>
  <c r="G344" i="1" s="1"/>
  <c r="J344" i="1"/>
  <c r="L344" i="1"/>
  <c r="X344" i="1"/>
  <c r="Y344" i="1"/>
  <c r="Z344" i="1"/>
  <c r="AA344" i="1"/>
  <c r="AC344" i="1"/>
  <c r="AD344" i="1"/>
  <c r="AE344" i="1"/>
  <c r="AF344" i="1"/>
  <c r="AH344" i="1"/>
  <c r="AI344" i="1"/>
  <c r="AJ344" i="1"/>
  <c r="AK344" i="1"/>
  <c r="AM344" i="1"/>
  <c r="E345" i="1"/>
  <c r="F345" i="1"/>
  <c r="G345" i="1" s="1"/>
  <c r="H345" i="1"/>
  <c r="J345" i="1"/>
  <c r="L345" i="1" s="1"/>
  <c r="X345" i="1"/>
  <c r="Y345" i="1"/>
  <c r="Z345" i="1"/>
  <c r="AA345" i="1"/>
  <c r="AC345" i="1"/>
  <c r="AD345" i="1"/>
  <c r="AE345" i="1"/>
  <c r="AF345" i="1"/>
  <c r="AH345" i="1"/>
  <c r="AI345" i="1"/>
  <c r="AJ345" i="1"/>
  <c r="AK345" i="1"/>
  <c r="AM345" i="1"/>
  <c r="E346" i="1"/>
  <c r="H346" i="1" s="1"/>
  <c r="F346" i="1"/>
  <c r="G346" i="1" s="1"/>
  <c r="J346" i="1"/>
  <c r="L346" i="1"/>
  <c r="X346" i="1"/>
  <c r="Y346" i="1"/>
  <c r="Z346" i="1"/>
  <c r="AA346" i="1"/>
  <c r="AC346" i="1"/>
  <c r="AD346" i="1"/>
  <c r="AE346" i="1"/>
  <c r="AF346" i="1"/>
  <c r="AH346" i="1"/>
  <c r="AI346" i="1"/>
  <c r="AJ346" i="1"/>
  <c r="AK346" i="1"/>
  <c r="AM346" i="1"/>
  <c r="E347" i="1"/>
  <c r="F347" i="1"/>
  <c r="G347" i="1" s="1"/>
  <c r="H347" i="1"/>
  <c r="J347" i="1"/>
  <c r="L347" i="1" s="1"/>
  <c r="X347" i="1"/>
  <c r="Y347" i="1"/>
  <c r="Z347" i="1"/>
  <c r="AA347" i="1"/>
  <c r="AC347" i="1"/>
  <c r="AD347" i="1"/>
  <c r="AE347" i="1"/>
  <c r="AF347" i="1"/>
  <c r="AH347" i="1"/>
  <c r="AI347" i="1"/>
  <c r="AJ347" i="1"/>
  <c r="AK347" i="1"/>
  <c r="AM347" i="1"/>
  <c r="E348" i="1"/>
  <c r="H348" i="1" s="1"/>
  <c r="F348" i="1"/>
  <c r="G348" i="1" s="1"/>
  <c r="J348" i="1"/>
  <c r="L348" i="1"/>
  <c r="X348" i="1"/>
  <c r="Y348" i="1"/>
  <c r="Z348" i="1"/>
  <c r="AA348" i="1"/>
  <c r="AC348" i="1"/>
  <c r="AD348" i="1"/>
  <c r="AE348" i="1"/>
  <c r="AF348" i="1"/>
  <c r="AH348" i="1"/>
  <c r="AI348" i="1"/>
  <c r="AJ348" i="1"/>
  <c r="AK348" i="1"/>
  <c r="AM348" i="1"/>
  <c r="E349" i="1"/>
  <c r="F349" i="1"/>
  <c r="G349" i="1" s="1"/>
  <c r="H349" i="1"/>
  <c r="J349" i="1"/>
  <c r="L349" i="1" s="1"/>
  <c r="X349" i="1"/>
  <c r="Y349" i="1"/>
  <c r="Z349" i="1"/>
  <c r="AA349" i="1"/>
  <c r="AC349" i="1"/>
  <c r="AD349" i="1"/>
  <c r="AE349" i="1"/>
  <c r="AF349" i="1"/>
  <c r="AH349" i="1"/>
  <c r="AI349" i="1"/>
  <c r="AJ349" i="1"/>
  <c r="AK349" i="1"/>
  <c r="AM349" i="1"/>
  <c r="E350" i="1"/>
  <c r="H350" i="1" s="1"/>
  <c r="F350" i="1"/>
  <c r="G350" i="1" s="1"/>
  <c r="J350" i="1"/>
  <c r="L350" i="1"/>
  <c r="X350" i="1"/>
  <c r="Y350" i="1"/>
  <c r="Z350" i="1"/>
  <c r="AA350" i="1"/>
  <c r="AC350" i="1"/>
  <c r="AD350" i="1"/>
  <c r="AE350" i="1"/>
  <c r="AF350" i="1"/>
  <c r="AH350" i="1"/>
  <c r="AI350" i="1"/>
  <c r="AJ350" i="1"/>
  <c r="AK350" i="1"/>
  <c r="AM350" i="1"/>
  <c r="E351" i="1"/>
  <c r="F351" i="1"/>
  <c r="G351" i="1" s="1"/>
  <c r="H351" i="1"/>
  <c r="J351" i="1"/>
  <c r="L351" i="1" s="1"/>
  <c r="X351" i="1"/>
  <c r="Y351" i="1"/>
  <c r="Z351" i="1"/>
  <c r="AA351" i="1"/>
  <c r="AC351" i="1"/>
  <c r="AD351" i="1"/>
  <c r="AE351" i="1"/>
  <c r="AF351" i="1"/>
  <c r="AH351" i="1"/>
  <c r="AI351" i="1"/>
  <c r="AJ351" i="1"/>
  <c r="AK351" i="1"/>
  <c r="AM351" i="1"/>
  <c r="E352" i="1"/>
  <c r="H352" i="1" s="1"/>
  <c r="F352" i="1"/>
  <c r="G352" i="1" s="1"/>
  <c r="J352" i="1"/>
  <c r="L352" i="1"/>
  <c r="X352" i="1"/>
  <c r="Y352" i="1"/>
  <c r="Z352" i="1"/>
  <c r="AA352" i="1"/>
  <c r="AC352" i="1"/>
  <c r="AD352" i="1"/>
  <c r="AE352" i="1"/>
  <c r="AF352" i="1"/>
  <c r="AH352" i="1"/>
  <c r="AI352" i="1"/>
  <c r="AJ352" i="1"/>
  <c r="AK352" i="1"/>
  <c r="AM352" i="1"/>
  <c r="E353" i="1"/>
  <c r="F353" i="1"/>
  <c r="G353" i="1" s="1"/>
  <c r="H353" i="1"/>
  <c r="J353" i="1"/>
  <c r="L353" i="1" s="1"/>
  <c r="X353" i="1"/>
  <c r="Y353" i="1"/>
  <c r="Z353" i="1"/>
  <c r="AA353" i="1"/>
  <c r="AC353" i="1"/>
  <c r="AD353" i="1"/>
  <c r="AE353" i="1"/>
  <c r="AF353" i="1"/>
  <c r="AH353" i="1"/>
  <c r="AI353" i="1"/>
  <c r="AJ353" i="1"/>
  <c r="AK353" i="1"/>
  <c r="AM353" i="1"/>
  <c r="E354" i="1"/>
  <c r="H354" i="1" s="1"/>
  <c r="F354" i="1"/>
  <c r="G354" i="1" s="1"/>
  <c r="J354" i="1"/>
  <c r="L354" i="1"/>
  <c r="X354" i="1"/>
  <c r="Y354" i="1"/>
  <c r="Z354" i="1"/>
  <c r="AA354" i="1"/>
  <c r="AC354" i="1"/>
  <c r="AD354" i="1"/>
  <c r="AE354" i="1"/>
  <c r="AF354" i="1"/>
  <c r="AH354" i="1"/>
  <c r="AI354" i="1"/>
  <c r="AJ354" i="1"/>
  <c r="AK354" i="1"/>
  <c r="AM354" i="1"/>
  <c r="E355" i="1"/>
  <c r="F355" i="1"/>
  <c r="G355" i="1" s="1"/>
  <c r="H355" i="1"/>
  <c r="J355" i="1"/>
  <c r="L355" i="1" s="1"/>
  <c r="X355" i="1"/>
  <c r="Y355" i="1"/>
  <c r="Z355" i="1"/>
  <c r="AA355" i="1"/>
  <c r="AC355" i="1"/>
  <c r="AD355" i="1"/>
  <c r="AE355" i="1"/>
  <c r="AF355" i="1"/>
  <c r="AH355" i="1"/>
  <c r="AI355" i="1"/>
  <c r="AJ355" i="1"/>
  <c r="AK355" i="1"/>
  <c r="E356" i="1"/>
  <c r="F356" i="1"/>
  <c r="G356" i="1" s="1"/>
  <c r="J356" i="1"/>
  <c r="L356" i="1" s="1"/>
  <c r="X356" i="1"/>
  <c r="Y356" i="1"/>
  <c r="Z356" i="1"/>
  <c r="AA356" i="1"/>
  <c r="AC356" i="1"/>
  <c r="AD356" i="1"/>
  <c r="AE356" i="1"/>
  <c r="AF356" i="1"/>
  <c r="AH356" i="1"/>
  <c r="AI356" i="1"/>
  <c r="AJ356" i="1"/>
  <c r="AK356" i="1"/>
  <c r="AM356" i="1"/>
  <c r="E357" i="1"/>
  <c r="H357" i="1" s="1"/>
  <c r="F357" i="1"/>
  <c r="G357" i="1" s="1"/>
  <c r="J357" i="1"/>
  <c r="L357" i="1" s="1"/>
  <c r="X357" i="1"/>
  <c r="Y357" i="1"/>
  <c r="Z357" i="1"/>
  <c r="AA357" i="1"/>
  <c r="AC357" i="1"/>
  <c r="AD357" i="1"/>
  <c r="AE357" i="1"/>
  <c r="AF357" i="1"/>
  <c r="AH357" i="1"/>
  <c r="AI357" i="1"/>
  <c r="AJ357" i="1"/>
  <c r="AK357" i="1"/>
  <c r="AM357" i="1"/>
  <c r="E358" i="1"/>
  <c r="H358" i="1" s="1"/>
  <c r="F358" i="1"/>
  <c r="G358" i="1"/>
  <c r="J358" i="1"/>
  <c r="L358" i="1" s="1"/>
  <c r="X358" i="1"/>
  <c r="Y358" i="1"/>
  <c r="Z358" i="1"/>
  <c r="AA358" i="1"/>
  <c r="AC358" i="1"/>
  <c r="AD358" i="1"/>
  <c r="AE358" i="1"/>
  <c r="AF358" i="1"/>
  <c r="AH358" i="1"/>
  <c r="AI358" i="1"/>
  <c r="AJ358" i="1"/>
  <c r="AK358" i="1"/>
  <c r="N358" i="1" s="1"/>
  <c r="AM358" i="1"/>
  <c r="E359" i="1"/>
  <c r="F359" i="1"/>
  <c r="G359" i="1"/>
  <c r="J359" i="1"/>
  <c r="L359" i="1" s="1"/>
  <c r="X359" i="1"/>
  <c r="Y359" i="1"/>
  <c r="Z359" i="1"/>
  <c r="AA359" i="1"/>
  <c r="AC359" i="1"/>
  <c r="AD359" i="1"/>
  <c r="AE359" i="1"/>
  <c r="AF359" i="1"/>
  <c r="AH359" i="1"/>
  <c r="AI359" i="1"/>
  <c r="AJ359" i="1"/>
  <c r="AK359" i="1"/>
  <c r="AM359" i="1"/>
  <c r="E360" i="1"/>
  <c r="F360" i="1"/>
  <c r="G360" i="1" s="1"/>
  <c r="J360" i="1"/>
  <c r="L360" i="1" s="1"/>
  <c r="X360" i="1"/>
  <c r="Y360" i="1"/>
  <c r="Z360" i="1"/>
  <c r="AA360" i="1"/>
  <c r="AC360" i="1"/>
  <c r="AD360" i="1"/>
  <c r="AE360" i="1"/>
  <c r="AF360" i="1"/>
  <c r="AH360" i="1"/>
  <c r="AI360" i="1"/>
  <c r="AJ360" i="1"/>
  <c r="AK360" i="1"/>
  <c r="AM360" i="1"/>
  <c r="E361" i="1"/>
  <c r="H361" i="1" s="1"/>
  <c r="F361" i="1"/>
  <c r="G361" i="1" s="1"/>
  <c r="J361" i="1"/>
  <c r="L361" i="1" s="1"/>
  <c r="X361" i="1"/>
  <c r="Y361" i="1"/>
  <c r="Z361" i="1"/>
  <c r="AA361" i="1"/>
  <c r="AC361" i="1"/>
  <c r="AD361" i="1"/>
  <c r="AE361" i="1"/>
  <c r="AF361" i="1"/>
  <c r="AH361" i="1"/>
  <c r="AI361" i="1"/>
  <c r="AJ361" i="1"/>
  <c r="AK361" i="1"/>
  <c r="AM361" i="1"/>
  <c r="E362" i="1"/>
  <c r="H362" i="1" s="1"/>
  <c r="F362" i="1"/>
  <c r="G362" i="1"/>
  <c r="J362" i="1"/>
  <c r="L362" i="1" s="1"/>
  <c r="X362" i="1"/>
  <c r="Y362" i="1"/>
  <c r="Z362" i="1"/>
  <c r="AA362" i="1"/>
  <c r="AC362" i="1"/>
  <c r="AD362" i="1"/>
  <c r="AE362" i="1"/>
  <c r="AF362" i="1"/>
  <c r="AH362" i="1"/>
  <c r="AI362" i="1"/>
  <c r="AJ362" i="1"/>
  <c r="AK362" i="1"/>
  <c r="AM362" i="1"/>
  <c r="E363" i="1"/>
  <c r="F363" i="1"/>
  <c r="G363" i="1"/>
  <c r="J363" i="1"/>
  <c r="L363" i="1" s="1"/>
  <c r="X363" i="1"/>
  <c r="Y363" i="1"/>
  <c r="Z363" i="1"/>
  <c r="AA363" i="1"/>
  <c r="AC363" i="1"/>
  <c r="AD363" i="1"/>
  <c r="AE363" i="1"/>
  <c r="AF363" i="1"/>
  <c r="AH363" i="1"/>
  <c r="AI363" i="1"/>
  <c r="AJ363" i="1"/>
  <c r="AK363" i="1"/>
  <c r="AM363" i="1"/>
  <c r="E364" i="1"/>
  <c r="F364" i="1"/>
  <c r="G364" i="1" s="1"/>
  <c r="J364" i="1"/>
  <c r="L364" i="1" s="1"/>
  <c r="X364" i="1"/>
  <c r="Y364" i="1"/>
  <c r="Z364" i="1"/>
  <c r="AA364" i="1"/>
  <c r="AC364" i="1"/>
  <c r="AD364" i="1"/>
  <c r="AE364" i="1"/>
  <c r="AF364" i="1"/>
  <c r="AH364" i="1"/>
  <c r="AI364" i="1"/>
  <c r="AJ364" i="1"/>
  <c r="AK364" i="1"/>
  <c r="AM364" i="1"/>
  <c r="E365" i="1"/>
  <c r="H365" i="1" s="1"/>
  <c r="F365" i="1"/>
  <c r="G365" i="1" s="1"/>
  <c r="J365" i="1"/>
  <c r="L365" i="1" s="1"/>
  <c r="X365" i="1"/>
  <c r="Y365" i="1"/>
  <c r="Z365" i="1"/>
  <c r="AA365" i="1"/>
  <c r="AC365" i="1"/>
  <c r="AD365" i="1"/>
  <c r="AE365" i="1"/>
  <c r="AF365" i="1"/>
  <c r="AH365" i="1"/>
  <c r="AI365" i="1"/>
  <c r="AJ365" i="1"/>
  <c r="AK365" i="1"/>
  <c r="AM365" i="1"/>
  <c r="E366" i="1"/>
  <c r="H366" i="1" s="1"/>
  <c r="F366" i="1"/>
  <c r="G366" i="1"/>
  <c r="J366" i="1"/>
  <c r="L366" i="1" s="1"/>
  <c r="X366" i="1"/>
  <c r="Y366" i="1"/>
  <c r="Z366" i="1"/>
  <c r="AA366" i="1"/>
  <c r="AC366" i="1"/>
  <c r="AD366" i="1"/>
  <c r="AE366" i="1"/>
  <c r="AF366" i="1"/>
  <c r="AH366" i="1"/>
  <c r="AI366" i="1"/>
  <c r="AJ366" i="1"/>
  <c r="AK366" i="1"/>
  <c r="AM366" i="1"/>
  <c r="E367" i="1"/>
  <c r="F367" i="1"/>
  <c r="G367" i="1"/>
  <c r="J367" i="1"/>
  <c r="L367" i="1" s="1"/>
  <c r="X367" i="1"/>
  <c r="Y367" i="1"/>
  <c r="Z367" i="1"/>
  <c r="AA367" i="1"/>
  <c r="AC367" i="1"/>
  <c r="AD367" i="1"/>
  <c r="AE367" i="1"/>
  <c r="AF367" i="1"/>
  <c r="AH367" i="1"/>
  <c r="AI367" i="1"/>
  <c r="AJ367" i="1"/>
  <c r="AK367" i="1"/>
  <c r="AM367" i="1"/>
  <c r="E368" i="1"/>
  <c r="F368" i="1"/>
  <c r="G368" i="1" s="1"/>
  <c r="J368" i="1"/>
  <c r="L368" i="1" s="1"/>
  <c r="X368" i="1"/>
  <c r="Y368" i="1"/>
  <c r="Z368" i="1"/>
  <c r="AA368" i="1"/>
  <c r="AC368" i="1"/>
  <c r="AD368" i="1"/>
  <c r="AE368" i="1"/>
  <c r="AF368" i="1"/>
  <c r="AH368" i="1"/>
  <c r="AI368" i="1"/>
  <c r="AJ368" i="1"/>
  <c r="AK368" i="1"/>
  <c r="AM368" i="1"/>
  <c r="E369" i="1"/>
  <c r="H369" i="1" s="1"/>
  <c r="F369" i="1"/>
  <c r="G369" i="1" s="1"/>
  <c r="J369" i="1"/>
  <c r="L369" i="1" s="1"/>
  <c r="X369" i="1"/>
  <c r="Y369" i="1"/>
  <c r="Z369" i="1"/>
  <c r="AA369" i="1"/>
  <c r="AC369" i="1"/>
  <c r="AD369" i="1"/>
  <c r="AE369" i="1"/>
  <c r="AF369" i="1"/>
  <c r="AH369" i="1"/>
  <c r="AI369" i="1"/>
  <c r="AJ369" i="1"/>
  <c r="AK369" i="1"/>
  <c r="AM369" i="1"/>
  <c r="E370" i="1"/>
  <c r="H370" i="1" s="1"/>
  <c r="F370" i="1"/>
  <c r="G370" i="1"/>
  <c r="J370" i="1"/>
  <c r="L370" i="1" s="1"/>
  <c r="X370" i="1"/>
  <c r="Y370" i="1"/>
  <c r="Z370" i="1"/>
  <c r="AA370" i="1"/>
  <c r="AC370" i="1"/>
  <c r="AD370" i="1"/>
  <c r="AE370" i="1"/>
  <c r="AF370" i="1"/>
  <c r="AH370" i="1"/>
  <c r="AI370" i="1"/>
  <c r="AJ370" i="1"/>
  <c r="AK370" i="1"/>
  <c r="AM370" i="1"/>
  <c r="E371" i="1"/>
  <c r="F371" i="1"/>
  <c r="G371" i="1"/>
  <c r="J371" i="1"/>
  <c r="L371" i="1" s="1"/>
  <c r="X371" i="1"/>
  <c r="Y371" i="1"/>
  <c r="Z371" i="1"/>
  <c r="AA371" i="1"/>
  <c r="AC371" i="1"/>
  <c r="M371" i="1" s="1"/>
  <c r="AD371" i="1"/>
  <c r="AE371" i="1"/>
  <c r="AF371" i="1"/>
  <c r="AH371" i="1"/>
  <c r="AI371" i="1"/>
  <c r="AJ371" i="1"/>
  <c r="AK371" i="1"/>
  <c r="AM371" i="1"/>
  <c r="E372" i="1"/>
  <c r="F372" i="1"/>
  <c r="G372" i="1" s="1"/>
  <c r="J372" i="1"/>
  <c r="L372" i="1" s="1"/>
  <c r="X372" i="1"/>
  <c r="Y372" i="1"/>
  <c r="Z372" i="1"/>
  <c r="AA372" i="1"/>
  <c r="AC372" i="1"/>
  <c r="AD372" i="1"/>
  <c r="AE372" i="1"/>
  <c r="AF372" i="1"/>
  <c r="AH372" i="1"/>
  <c r="AI372" i="1"/>
  <c r="AJ372" i="1"/>
  <c r="AK372" i="1"/>
  <c r="AM372" i="1"/>
  <c r="E373" i="1"/>
  <c r="H373" i="1" s="1"/>
  <c r="F373" i="1"/>
  <c r="G373" i="1" s="1"/>
  <c r="J373" i="1"/>
  <c r="L373" i="1" s="1"/>
  <c r="X373" i="1"/>
  <c r="Y373" i="1"/>
  <c r="Z373" i="1"/>
  <c r="AA373" i="1"/>
  <c r="AC373" i="1"/>
  <c r="AD373" i="1"/>
  <c r="AE373" i="1"/>
  <c r="AF373" i="1"/>
  <c r="AH373" i="1"/>
  <c r="AI373" i="1"/>
  <c r="AJ373" i="1"/>
  <c r="AK373" i="1"/>
  <c r="AM373" i="1"/>
  <c r="E374" i="1"/>
  <c r="H374" i="1" s="1"/>
  <c r="F374" i="1"/>
  <c r="G374" i="1"/>
  <c r="J374" i="1"/>
  <c r="L374" i="1" s="1"/>
  <c r="X374" i="1"/>
  <c r="Y374" i="1"/>
  <c r="Z374" i="1"/>
  <c r="AA374" i="1"/>
  <c r="AC374" i="1"/>
  <c r="AD374" i="1"/>
  <c r="AE374" i="1"/>
  <c r="AF374" i="1"/>
  <c r="AH374" i="1"/>
  <c r="AI374" i="1"/>
  <c r="AJ374" i="1"/>
  <c r="AK374" i="1"/>
  <c r="AM374" i="1"/>
  <c r="E375" i="1"/>
  <c r="F375" i="1"/>
  <c r="G375" i="1"/>
  <c r="J375" i="1"/>
  <c r="L375" i="1" s="1"/>
  <c r="X375" i="1"/>
  <c r="Y375" i="1"/>
  <c r="Z375" i="1"/>
  <c r="AA375" i="1"/>
  <c r="AC375" i="1"/>
  <c r="AD375" i="1"/>
  <c r="AE375" i="1"/>
  <c r="AF375" i="1"/>
  <c r="AH375" i="1"/>
  <c r="AI375" i="1"/>
  <c r="AJ375" i="1"/>
  <c r="AK375" i="1"/>
  <c r="AM375" i="1"/>
  <c r="E376" i="1"/>
  <c r="F376" i="1"/>
  <c r="G376" i="1" s="1"/>
  <c r="J376" i="1"/>
  <c r="L376" i="1" s="1"/>
  <c r="X376" i="1"/>
  <c r="Y376" i="1"/>
  <c r="Z376" i="1"/>
  <c r="AA376" i="1"/>
  <c r="AC376" i="1"/>
  <c r="AD376" i="1"/>
  <c r="AE376" i="1"/>
  <c r="AF376" i="1"/>
  <c r="AH376" i="1"/>
  <c r="AI376" i="1"/>
  <c r="AJ376" i="1"/>
  <c r="AK376" i="1"/>
  <c r="AM376" i="1"/>
  <c r="E377" i="1"/>
  <c r="H377" i="1" s="1"/>
  <c r="F377" i="1"/>
  <c r="G377" i="1" s="1"/>
  <c r="J377" i="1"/>
  <c r="L377" i="1" s="1"/>
  <c r="X377" i="1"/>
  <c r="Y377" i="1"/>
  <c r="Z377" i="1"/>
  <c r="AA377" i="1"/>
  <c r="AC377" i="1"/>
  <c r="AD377" i="1"/>
  <c r="AE377" i="1"/>
  <c r="AF377" i="1"/>
  <c r="AH377" i="1"/>
  <c r="AI377" i="1"/>
  <c r="AJ377" i="1"/>
  <c r="AK377" i="1"/>
  <c r="AM377" i="1"/>
  <c r="E378" i="1"/>
  <c r="H378" i="1" s="1"/>
  <c r="F378" i="1"/>
  <c r="G378" i="1"/>
  <c r="J378" i="1"/>
  <c r="L378" i="1" s="1"/>
  <c r="X378" i="1"/>
  <c r="Y378" i="1"/>
  <c r="Z378" i="1"/>
  <c r="AA378" i="1"/>
  <c r="AC378" i="1"/>
  <c r="AD378" i="1"/>
  <c r="AE378" i="1"/>
  <c r="AF378" i="1"/>
  <c r="AH378" i="1"/>
  <c r="AI378" i="1"/>
  <c r="AJ378" i="1"/>
  <c r="AK378" i="1"/>
  <c r="AM378" i="1"/>
  <c r="E379" i="1"/>
  <c r="F379" i="1"/>
  <c r="G379" i="1"/>
  <c r="J379" i="1"/>
  <c r="L379" i="1" s="1"/>
  <c r="X379" i="1"/>
  <c r="Y379" i="1"/>
  <c r="Z379" i="1"/>
  <c r="AA379" i="1"/>
  <c r="AC379" i="1"/>
  <c r="AD379" i="1"/>
  <c r="AE379" i="1"/>
  <c r="AF379" i="1"/>
  <c r="AH379" i="1"/>
  <c r="AI379" i="1"/>
  <c r="AJ379" i="1"/>
  <c r="AK379" i="1"/>
  <c r="AM379" i="1"/>
  <c r="E380" i="1"/>
  <c r="F380" i="1"/>
  <c r="G380" i="1" s="1"/>
  <c r="J380" i="1"/>
  <c r="L380" i="1" s="1"/>
  <c r="X380" i="1"/>
  <c r="AH380" i="1" s="1"/>
  <c r="Y380" i="1"/>
  <c r="AI380" i="1" s="1"/>
  <c r="Z380" i="1"/>
  <c r="AA380" i="1"/>
  <c r="AF380" i="1" s="1"/>
  <c r="AC380" i="1"/>
  <c r="AD380" i="1"/>
  <c r="AE380" i="1"/>
  <c r="AJ380" i="1"/>
  <c r="AM380" i="1"/>
  <c r="E381" i="1"/>
  <c r="F381" i="1"/>
  <c r="G381" i="1" s="1"/>
  <c r="H381" i="1"/>
  <c r="J381" i="1"/>
  <c r="L381" i="1" s="1"/>
  <c r="X381" i="1"/>
  <c r="AH381" i="1" s="1"/>
  <c r="Y381" i="1"/>
  <c r="AI381" i="1" s="1"/>
  <c r="Z381" i="1"/>
  <c r="AJ381" i="1" s="1"/>
  <c r="AA381" i="1"/>
  <c r="AC381" i="1"/>
  <c r="AD381" i="1"/>
  <c r="AE381" i="1"/>
  <c r="AF381" i="1"/>
  <c r="AK381" i="1"/>
  <c r="AM381" i="1"/>
  <c r="E382" i="1"/>
  <c r="H382" i="1" s="1"/>
  <c r="F382" i="1"/>
  <c r="G382" i="1"/>
  <c r="J382" i="1"/>
  <c r="L382" i="1" s="1"/>
  <c r="X382" i="1"/>
  <c r="Y382" i="1"/>
  <c r="Z382" i="1"/>
  <c r="AA382" i="1"/>
  <c r="AC382" i="1"/>
  <c r="AD382" i="1"/>
  <c r="AE382" i="1"/>
  <c r="AF382" i="1"/>
  <c r="AH382" i="1"/>
  <c r="AI382" i="1"/>
  <c r="AJ382" i="1"/>
  <c r="AK382" i="1"/>
  <c r="AM382" i="1"/>
  <c r="E383" i="1"/>
  <c r="F383" i="1"/>
  <c r="G383" i="1"/>
  <c r="J383" i="1"/>
  <c r="L383" i="1" s="1"/>
  <c r="X383" i="1"/>
  <c r="Y383" i="1"/>
  <c r="AI383" i="1" s="1"/>
  <c r="Z383" i="1"/>
  <c r="AJ383" i="1" s="1"/>
  <c r="AA383" i="1"/>
  <c r="AC383" i="1"/>
  <c r="AD383" i="1"/>
  <c r="AE383" i="1"/>
  <c r="AH383" i="1"/>
  <c r="AM383" i="1"/>
  <c r="E384" i="1"/>
  <c r="F384" i="1"/>
  <c r="J384" i="1"/>
  <c r="L384" i="1"/>
  <c r="X384" i="1"/>
  <c r="AH384" i="1" s="1"/>
  <c r="Y384" i="1"/>
  <c r="Z384" i="1"/>
  <c r="AJ384" i="1" s="1"/>
  <c r="AA384" i="1"/>
  <c r="AK384" i="1" s="1"/>
  <c r="AC384" i="1"/>
  <c r="AD384" i="1"/>
  <c r="AE384" i="1"/>
  <c r="AF384" i="1"/>
  <c r="AI384" i="1"/>
  <c r="AM384" i="1"/>
  <c r="E385" i="1"/>
  <c r="F385" i="1"/>
  <c r="G385" i="1" s="1"/>
  <c r="J385" i="1"/>
  <c r="L385" i="1" s="1"/>
  <c r="X385" i="1"/>
  <c r="AH385" i="1" s="1"/>
  <c r="Y385" i="1"/>
  <c r="AI385" i="1" s="1"/>
  <c r="Z385" i="1"/>
  <c r="AA385" i="1"/>
  <c r="AF385" i="1" s="1"/>
  <c r="AC385" i="1"/>
  <c r="AD385" i="1"/>
  <c r="AE385" i="1"/>
  <c r="AJ385" i="1"/>
  <c r="AM385" i="1"/>
  <c r="E386" i="1"/>
  <c r="F386" i="1"/>
  <c r="G386" i="1" s="1"/>
  <c r="H386" i="1"/>
  <c r="J386" i="1"/>
  <c r="L386" i="1" s="1"/>
  <c r="X386" i="1"/>
  <c r="AH386" i="1" s="1"/>
  <c r="Y386" i="1"/>
  <c r="AI386" i="1" s="1"/>
  <c r="Z386" i="1"/>
  <c r="AJ386" i="1" s="1"/>
  <c r="AA386" i="1"/>
  <c r="AC386" i="1"/>
  <c r="AD386" i="1"/>
  <c r="AE386" i="1"/>
  <c r="AF386" i="1"/>
  <c r="AK386" i="1"/>
  <c r="AM386" i="1"/>
  <c r="E387" i="1"/>
  <c r="H387" i="1" s="1"/>
  <c r="F387" i="1"/>
  <c r="G387" i="1"/>
  <c r="J387" i="1"/>
  <c r="L387" i="1" s="1"/>
  <c r="X387" i="1"/>
  <c r="Y387" i="1"/>
  <c r="Z387" i="1"/>
  <c r="AA387" i="1"/>
  <c r="AC387" i="1"/>
  <c r="AD387" i="1"/>
  <c r="AE387" i="1"/>
  <c r="AF387" i="1"/>
  <c r="AH387" i="1"/>
  <c r="AI387" i="1"/>
  <c r="AJ387" i="1"/>
  <c r="AK387" i="1"/>
  <c r="N387" i="1" s="1"/>
  <c r="AM387" i="1"/>
  <c r="E388" i="1"/>
  <c r="F388" i="1"/>
  <c r="G388" i="1"/>
  <c r="J388" i="1"/>
  <c r="L388" i="1" s="1"/>
  <c r="X388" i="1"/>
  <c r="Y388" i="1"/>
  <c r="AI388" i="1" s="1"/>
  <c r="Z388" i="1"/>
  <c r="AJ388" i="1" s="1"/>
  <c r="AA388" i="1"/>
  <c r="AC388" i="1"/>
  <c r="AD388" i="1"/>
  <c r="AE388" i="1"/>
  <c r="AH388" i="1"/>
  <c r="AM388" i="1"/>
  <c r="E389" i="1"/>
  <c r="F389" i="1"/>
  <c r="J389" i="1"/>
  <c r="L389" i="1"/>
  <c r="X389" i="1"/>
  <c r="AH389" i="1" s="1"/>
  <c r="Y389" i="1"/>
  <c r="Z389" i="1"/>
  <c r="AJ389" i="1" s="1"/>
  <c r="AA389" i="1"/>
  <c r="AK389" i="1" s="1"/>
  <c r="AC389" i="1"/>
  <c r="AD389" i="1"/>
  <c r="AE389" i="1"/>
  <c r="AF389" i="1"/>
  <c r="AI389" i="1"/>
  <c r="AM389" i="1"/>
  <c r="E390" i="1"/>
  <c r="F390" i="1"/>
  <c r="G390" i="1" s="1"/>
  <c r="J390" i="1"/>
  <c r="L390" i="1" s="1"/>
  <c r="X390" i="1"/>
  <c r="AH390" i="1" s="1"/>
  <c r="Y390" i="1"/>
  <c r="AI390" i="1" s="1"/>
  <c r="Z390" i="1"/>
  <c r="AA390" i="1"/>
  <c r="AF390" i="1" s="1"/>
  <c r="AC390" i="1"/>
  <c r="AD390" i="1"/>
  <c r="AE390" i="1"/>
  <c r="AJ390" i="1"/>
  <c r="AM390" i="1"/>
  <c r="E391" i="1"/>
  <c r="F391" i="1"/>
  <c r="G391" i="1" s="1"/>
  <c r="H391" i="1"/>
  <c r="J391" i="1"/>
  <c r="L391" i="1" s="1"/>
  <c r="X391" i="1"/>
  <c r="AH391" i="1" s="1"/>
  <c r="Y391" i="1"/>
  <c r="AI391" i="1" s="1"/>
  <c r="Z391" i="1"/>
  <c r="AJ391" i="1" s="1"/>
  <c r="AA391" i="1"/>
  <c r="AC391" i="1"/>
  <c r="AD391" i="1"/>
  <c r="AE391" i="1"/>
  <c r="AF391" i="1"/>
  <c r="AK391" i="1"/>
  <c r="AM391" i="1"/>
  <c r="E392" i="1"/>
  <c r="H392" i="1" s="1"/>
  <c r="F392" i="1"/>
  <c r="G392" i="1"/>
  <c r="J392" i="1"/>
  <c r="L392" i="1" s="1"/>
  <c r="X392" i="1"/>
  <c r="Y392" i="1"/>
  <c r="AI392" i="1" s="1"/>
  <c r="Z392" i="1"/>
  <c r="AJ392" i="1" s="1"/>
  <c r="AA392" i="1"/>
  <c r="AC392" i="1"/>
  <c r="AD392" i="1"/>
  <c r="AE392" i="1"/>
  <c r="AH392" i="1"/>
  <c r="AM392" i="1"/>
  <c r="E393" i="1"/>
  <c r="F393" i="1"/>
  <c r="G393" i="1" s="1"/>
  <c r="J393" i="1"/>
  <c r="L393" i="1"/>
  <c r="X393" i="1"/>
  <c r="AH393" i="1" s="1"/>
  <c r="Y393" i="1"/>
  <c r="Z393" i="1"/>
  <c r="AJ393" i="1" s="1"/>
  <c r="AA393" i="1"/>
  <c r="AK393" i="1" s="1"/>
  <c r="AC393" i="1"/>
  <c r="AD393" i="1"/>
  <c r="AE393" i="1"/>
  <c r="AF393" i="1"/>
  <c r="AI393" i="1"/>
  <c r="AM393" i="1"/>
  <c r="E394" i="1"/>
  <c r="F394" i="1"/>
  <c r="G394" i="1" s="1"/>
  <c r="J394" i="1"/>
  <c r="L394" i="1" s="1"/>
  <c r="X394" i="1"/>
  <c r="AH394" i="1" s="1"/>
  <c r="Y394" i="1"/>
  <c r="AI394" i="1" s="1"/>
  <c r="Z394" i="1"/>
  <c r="AA394" i="1"/>
  <c r="AC394" i="1"/>
  <c r="AD394" i="1"/>
  <c r="AE394" i="1"/>
  <c r="AJ394" i="1"/>
  <c r="AM394" i="1"/>
  <c r="E395" i="1"/>
  <c r="F395" i="1"/>
  <c r="G395" i="1" s="1"/>
  <c r="H395" i="1"/>
  <c r="J395" i="1"/>
  <c r="L395" i="1" s="1"/>
  <c r="X395" i="1"/>
  <c r="AH395" i="1" s="1"/>
  <c r="Y395" i="1"/>
  <c r="AI395" i="1" s="1"/>
  <c r="Z395" i="1"/>
  <c r="AJ395" i="1" s="1"/>
  <c r="AA395" i="1"/>
  <c r="AC395" i="1"/>
  <c r="AD395" i="1"/>
  <c r="AE395" i="1"/>
  <c r="AF395" i="1"/>
  <c r="AK395" i="1"/>
  <c r="AM395" i="1"/>
  <c r="E396" i="1"/>
  <c r="H396" i="1" s="1"/>
  <c r="F396" i="1"/>
  <c r="G396" i="1"/>
  <c r="J396" i="1"/>
  <c r="L396" i="1" s="1"/>
  <c r="X396" i="1"/>
  <c r="Y396" i="1"/>
  <c r="AI396" i="1" s="1"/>
  <c r="Z396" i="1"/>
  <c r="AJ396" i="1" s="1"/>
  <c r="AA396" i="1"/>
  <c r="AC396" i="1"/>
  <c r="AD396" i="1"/>
  <c r="AE396" i="1"/>
  <c r="AH396" i="1"/>
  <c r="AM396" i="1"/>
  <c r="E397" i="1"/>
  <c r="H397" i="1" s="1"/>
  <c r="F397" i="1"/>
  <c r="G397" i="1" s="1"/>
  <c r="J397" i="1"/>
  <c r="L397" i="1"/>
  <c r="X397" i="1"/>
  <c r="AH397" i="1" s="1"/>
  <c r="Y397" i="1"/>
  <c r="Z397" i="1"/>
  <c r="AJ397" i="1" s="1"/>
  <c r="AA397" i="1"/>
  <c r="AK397" i="1" s="1"/>
  <c r="AC397" i="1"/>
  <c r="AD397" i="1"/>
  <c r="AE397" i="1"/>
  <c r="AF397" i="1"/>
  <c r="AI397" i="1"/>
  <c r="AM397" i="1"/>
  <c r="E398" i="1"/>
  <c r="F398" i="1"/>
  <c r="G398" i="1" s="1"/>
  <c r="J398" i="1"/>
  <c r="L398" i="1" s="1"/>
  <c r="X398" i="1"/>
  <c r="Y398" i="1"/>
  <c r="Z398" i="1"/>
  <c r="AA398" i="1"/>
  <c r="AC398" i="1"/>
  <c r="AD398" i="1"/>
  <c r="AE398" i="1"/>
  <c r="AF398" i="1"/>
  <c r="AH398" i="1"/>
  <c r="AI398" i="1"/>
  <c r="AJ398" i="1"/>
  <c r="AK398" i="1"/>
  <c r="AM398" i="1"/>
  <c r="E399" i="1"/>
  <c r="H399" i="1" s="1"/>
  <c r="F399" i="1"/>
  <c r="G399" i="1" s="1"/>
  <c r="J399" i="1"/>
  <c r="L399" i="1" s="1"/>
  <c r="X399" i="1"/>
  <c r="Y399" i="1"/>
  <c r="Z399" i="1"/>
  <c r="AA399" i="1"/>
  <c r="AC399" i="1"/>
  <c r="AD399" i="1"/>
  <c r="AE399" i="1"/>
  <c r="AF399" i="1"/>
  <c r="AH399" i="1"/>
  <c r="AI399" i="1"/>
  <c r="AJ399" i="1"/>
  <c r="AK399" i="1"/>
  <c r="AM399" i="1"/>
  <c r="E400" i="1"/>
  <c r="H400" i="1" s="1"/>
  <c r="F400" i="1"/>
  <c r="G400" i="1"/>
  <c r="J400" i="1"/>
  <c r="L400" i="1" s="1"/>
  <c r="X400" i="1"/>
  <c r="Y400" i="1"/>
  <c r="Z400" i="1"/>
  <c r="AA400" i="1"/>
  <c r="AC400" i="1"/>
  <c r="AD400" i="1"/>
  <c r="AE400" i="1"/>
  <c r="AF400" i="1"/>
  <c r="AH400" i="1"/>
  <c r="AI400" i="1"/>
  <c r="AJ400" i="1"/>
  <c r="AK400" i="1"/>
  <c r="AM400" i="1"/>
  <c r="E401" i="1"/>
  <c r="F401" i="1"/>
  <c r="G401" i="1"/>
  <c r="J401" i="1"/>
  <c r="L401" i="1" s="1"/>
  <c r="X401" i="1"/>
  <c r="Y401" i="1"/>
  <c r="AI401" i="1" s="1"/>
  <c r="Z401" i="1"/>
  <c r="AJ401" i="1" s="1"/>
  <c r="AA401" i="1"/>
  <c r="AC401" i="1"/>
  <c r="AD401" i="1"/>
  <c r="AE401" i="1"/>
  <c r="AH401" i="1"/>
  <c r="AM401" i="1"/>
  <c r="E402" i="1"/>
  <c r="H402" i="1" s="1"/>
  <c r="F402" i="1"/>
  <c r="G402" i="1" s="1"/>
  <c r="J402" i="1"/>
  <c r="L402" i="1"/>
  <c r="X402" i="1"/>
  <c r="AH402" i="1" s="1"/>
  <c r="Y402" i="1"/>
  <c r="Z402" i="1"/>
  <c r="AJ402" i="1" s="1"/>
  <c r="AA402" i="1"/>
  <c r="AK402" i="1" s="1"/>
  <c r="N402" i="1" s="1"/>
  <c r="AC402" i="1"/>
  <c r="AD402" i="1"/>
  <c r="AE402" i="1"/>
  <c r="AF402" i="1"/>
  <c r="AI402" i="1"/>
  <c r="AM402" i="1"/>
  <c r="E403" i="1"/>
  <c r="H403" i="1" s="1"/>
  <c r="F403" i="1"/>
  <c r="G403" i="1" s="1"/>
  <c r="J403" i="1"/>
  <c r="L403" i="1" s="1"/>
  <c r="X403" i="1"/>
  <c r="AH403" i="1" s="1"/>
  <c r="Y403" i="1"/>
  <c r="AI403" i="1" s="1"/>
  <c r="Z403" i="1"/>
  <c r="AA403" i="1"/>
  <c r="AC403" i="1"/>
  <c r="AD403" i="1"/>
  <c r="AE403" i="1"/>
  <c r="AJ403" i="1"/>
  <c r="AM403" i="1"/>
  <c r="E404" i="1"/>
  <c r="F404" i="1"/>
  <c r="G404" i="1" s="1"/>
  <c r="H404" i="1"/>
  <c r="J404" i="1"/>
  <c r="L404" i="1" s="1"/>
  <c r="X404" i="1"/>
  <c r="AH404" i="1" s="1"/>
  <c r="Y404" i="1"/>
  <c r="AI404" i="1" s="1"/>
  <c r="Z404" i="1"/>
  <c r="AJ404" i="1" s="1"/>
  <c r="AA404" i="1"/>
  <c r="AC404" i="1"/>
  <c r="AD404" i="1"/>
  <c r="AE404" i="1"/>
  <c r="AF404" i="1"/>
  <c r="AK404" i="1"/>
  <c r="AM404" i="1"/>
  <c r="E405" i="1"/>
  <c r="F405" i="1"/>
  <c r="G405" i="1"/>
  <c r="J405" i="1"/>
  <c r="L405" i="1" s="1"/>
  <c r="X405" i="1"/>
  <c r="Y405" i="1"/>
  <c r="AI405" i="1" s="1"/>
  <c r="Z405" i="1"/>
  <c r="AJ405" i="1" s="1"/>
  <c r="AA405" i="1"/>
  <c r="AC405" i="1"/>
  <c r="AD405" i="1"/>
  <c r="AE405" i="1"/>
  <c r="AH405" i="1"/>
  <c r="AM405" i="1"/>
  <c r="E406" i="1"/>
  <c r="H406" i="1" s="1"/>
  <c r="F406" i="1"/>
  <c r="G406" i="1" s="1"/>
  <c r="J406" i="1"/>
  <c r="L406" i="1"/>
  <c r="X406" i="1"/>
  <c r="AH406" i="1" s="1"/>
  <c r="Y406" i="1"/>
  <c r="Z406" i="1"/>
  <c r="AJ406" i="1" s="1"/>
  <c r="AA406" i="1"/>
  <c r="AK406" i="1" s="1"/>
  <c r="AC406" i="1"/>
  <c r="AD406" i="1"/>
  <c r="AE406" i="1"/>
  <c r="AF406" i="1"/>
  <c r="AI406" i="1"/>
  <c r="AM406" i="1"/>
  <c r="E407" i="1"/>
  <c r="H407" i="1" s="1"/>
  <c r="F407" i="1"/>
  <c r="G407" i="1" s="1"/>
  <c r="J407" i="1"/>
  <c r="L407" i="1" s="1"/>
  <c r="X407" i="1"/>
  <c r="Y407" i="1"/>
  <c r="Z407" i="1"/>
  <c r="AA407" i="1"/>
  <c r="AC407" i="1"/>
  <c r="AD407" i="1"/>
  <c r="AE407" i="1"/>
  <c r="AF407" i="1"/>
  <c r="AH407" i="1"/>
  <c r="AI407" i="1"/>
  <c r="AJ407" i="1"/>
  <c r="AK407" i="1"/>
  <c r="AM407" i="1"/>
  <c r="E408" i="1"/>
  <c r="H408" i="1" s="1"/>
  <c r="F408" i="1"/>
  <c r="G408" i="1"/>
  <c r="J408" i="1"/>
  <c r="L408" i="1" s="1"/>
  <c r="X408" i="1"/>
  <c r="Y408" i="1"/>
  <c r="AI408" i="1" s="1"/>
  <c r="Z408" i="1"/>
  <c r="AJ408" i="1" s="1"/>
  <c r="AA408" i="1"/>
  <c r="AC408" i="1"/>
  <c r="AD408" i="1"/>
  <c r="AE408" i="1"/>
  <c r="AH408" i="1"/>
  <c r="AM408" i="1"/>
  <c r="E409" i="1"/>
  <c r="H409" i="1" s="1"/>
  <c r="F409" i="1"/>
  <c r="G409" i="1" s="1"/>
  <c r="J409" i="1"/>
  <c r="L409" i="1"/>
  <c r="X409" i="1"/>
  <c r="AH409" i="1" s="1"/>
  <c r="Y409" i="1"/>
  <c r="Z409" i="1"/>
  <c r="AJ409" i="1" s="1"/>
  <c r="AA409" i="1"/>
  <c r="AK409" i="1" s="1"/>
  <c r="AC409" i="1"/>
  <c r="AD409" i="1"/>
  <c r="AE409" i="1"/>
  <c r="AF409" i="1"/>
  <c r="AI409" i="1"/>
  <c r="AM409" i="1"/>
  <c r="E410" i="1"/>
  <c r="F410" i="1"/>
  <c r="G410" i="1" s="1"/>
  <c r="J410" i="1"/>
  <c r="L410" i="1" s="1"/>
  <c r="X410" i="1"/>
  <c r="AH410" i="1" s="1"/>
  <c r="Y410" i="1"/>
  <c r="AI410" i="1" s="1"/>
  <c r="Z410" i="1"/>
  <c r="AA410" i="1"/>
  <c r="AC410" i="1"/>
  <c r="AD410" i="1"/>
  <c r="AE410" i="1"/>
  <c r="AJ410" i="1"/>
  <c r="AM410" i="1"/>
  <c r="E411" i="1"/>
  <c r="F411" i="1"/>
  <c r="G411" i="1" s="1"/>
  <c r="H411" i="1"/>
  <c r="J411" i="1"/>
  <c r="L411" i="1" s="1"/>
  <c r="X411" i="1"/>
  <c r="AH411" i="1" s="1"/>
  <c r="Y411" i="1"/>
  <c r="AI411" i="1" s="1"/>
  <c r="Z411" i="1"/>
  <c r="AJ411" i="1" s="1"/>
  <c r="AA411" i="1"/>
  <c r="AC411" i="1"/>
  <c r="AD411" i="1"/>
  <c r="AE411" i="1"/>
  <c r="AF411" i="1"/>
  <c r="AK411" i="1"/>
  <c r="AM411" i="1"/>
  <c r="E412" i="1"/>
  <c r="H412" i="1" s="1"/>
  <c r="F412" i="1"/>
  <c r="G412" i="1"/>
  <c r="J412" i="1"/>
  <c r="L412" i="1" s="1"/>
  <c r="X412" i="1"/>
  <c r="Y412" i="1"/>
  <c r="AI412" i="1" s="1"/>
  <c r="Z412" i="1"/>
  <c r="AJ412" i="1" s="1"/>
  <c r="AA412" i="1"/>
  <c r="AC412" i="1"/>
  <c r="AD412" i="1"/>
  <c r="AE412" i="1"/>
  <c r="AH412" i="1"/>
  <c r="AM412" i="1"/>
  <c r="E413" i="1"/>
  <c r="H413" i="1" s="1"/>
  <c r="F413" i="1"/>
  <c r="G413" i="1" s="1"/>
  <c r="J413" i="1"/>
  <c r="L413" i="1"/>
  <c r="X413" i="1"/>
  <c r="AH413" i="1" s="1"/>
  <c r="Y413" i="1"/>
  <c r="Z413" i="1"/>
  <c r="AJ413" i="1" s="1"/>
  <c r="AA413" i="1"/>
  <c r="AK413" i="1" s="1"/>
  <c r="AC413" i="1"/>
  <c r="AD413" i="1"/>
  <c r="AE413" i="1"/>
  <c r="AF413" i="1"/>
  <c r="AI413" i="1"/>
  <c r="AM413" i="1"/>
  <c r="E414" i="1"/>
  <c r="F414" i="1"/>
  <c r="G414" i="1" s="1"/>
  <c r="J414" i="1"/>
  <c r="L414" i="1" s="1"/>
  <c r="X414" i="1"/>
  <c r="Y414" i="1"/>
  <c r="Z414" i="1"/>
  <c r="AA414" i="1"/>
  <c r="AC414" i="1"/>
  <c r="AD414" i="1"/>
  <c r="AE414" i="1"/>
  <c r="AF414" i="1"/>
  <c r="AH414" i="1"/>
  <c r="AI414" i="1"/>
  <c r="AJ414" i="1"/>
  <c r="AK414" i="1"/>
  <c r="AM414" i="1"/>
  <c r="E415" i="1"/>
  <c r="H415" i="1" s="1"/>
  <c r="F415" i="1"/>
  <c r="G415" i="1" s="1"/>
  <c r="J415" i="1"/>
  <c r="L415" i="1" s="1"/>
  <c r="X415" i="1"/>
  <c r="Y415" i="1"/>
  <c r="AI415" i="1" s="1"/>
  <c r="Z415" i="1"/>
  <c r="AA415" i="1"/>
  <c r="AC415" i="1"/>
  <c r="AD415" i="1"/>
  <c r="AE415" i="1"/>
  <c r="AH415" i="1"/>
  <c r="AJ415" i="1"/>
  <c r="AM415" i="1"/>
  <c r="E416" i="1"/>
  <c r="F416" i="1"/>
  <c r="G416" i="1" s="1"/>
  <c r="J416" i="1"/>
  <c r="L416" i="1" s="1"/>
  <c r="X416" i="1"/>
  <c r="Y416" i="1"/>
  <c r="Z416" i="1"/>
  <c r="AA416" i="1"/>
  <c r="AC416" i="1"/>
  <c r="AD416" i="1"/>
  <c r="AE416" i="1"/>
  <c r="AF416" i="1"/>
  <c r="AH416" i="1"/>
  <c r="AI416" i="1"/>
  <c r="AJ416" i="1"/>
  <c r="AK416" i="1"/>
  <c r="AM416" i="1"/>
  <c r="E417" i="1"/>
  <c r="H417" i="1" s="1"/>
  <c r="F417" i="1"/>
  <c r="G417" i="1" s="1"/>
  <c r="J417" i="1"/>
  <c r="L417" i="1"/>
  <c r="X417" i="1"/>
  <c r="AH417" i="1" s="1"/>
  <c r="Y417" i="1"/>
  <c r="Z417" i="1"/>
  <c r="AJ417" i="1" s="1"/>
  <c r="AA417" i="1"/>
  <c r="AK417" i="1" s="1"/>
  <c r="AC417" i="1"/>
  <c r="AD417" i="1"/>
  <c r="AE417" i="1"/>
  <c r="AF417" i="1"/>
  <c r="AI417" i="1"/>
  <c r="AM417" i="1"/>
  <c r="E418" i="1"/>
  <c r="H418" i="1" s="1"/>
  <c r="F418" i="1"/>
  <c r="G418" i="1" s="1"/>
  <c r="J418" i="1"/>
  <c r="L418" i="1" s="1"/>
  <c r="X418" i="1"/>
  <c r="Y418" i="1"/>
  <c r="AI418" i="1" s="1"/>
  <c r="Z418" i="1"/>
  <c r="AA418" i="1"/>
  <c r="AC418" i="1"/>
  <c r="AD418" i="1"/>
  <c r="AE418" i="1"/>
  <c r="AH418" i="1"/>
  <c r="AJ418" i="1"/>
  <c r="AM418" i="1"/>
  <c r="E419" i="1"/>
  <c r="F419" i="1"/>
  <c r="G419" i="1" s="1"/>
  <c r="J419" i="1"/>
  <c r="L419" i="1" s="1"/>
  <c r="X419" i="1"/>
  <c r="Y419" i="1"/>
  <c r="Z419" i="1"/>
  <c r="AA419" i="1"/>
  <c r="AC419" i="1"/>
  <c r="AD419" i="1"/>
  <c r="AE419" i="1"/>
  <c r="AF419" i="1"/>
  <c r="AH419" i="1"/>
  <c r="AI419" i="1"/>
  <c r="AJ419" i="1"/>
  <c r="AK419" i="1"/>
  <c r="AM419" i="1"/>
  <c r="E420" i="1"/>
  <c r="H420" i="1" s="1"/>
  <c r="F420" i="1"/>
  <c r="G420" i="1" s="1"/>
  <c r="J420" i="1"/>
  <c r="L420" i="1"/>
  <c r="X420" i="1"/>
  <c r="AH420" i="1" s="1"/>
  <c r="Y420" i="1"/>
  <c r="Z420" i="1"/>
  <c r="AJ420" i="1" s="1"/>
  <c r="AA420" i="1"/>
  <c r="AK420" i="1" s="1"/>
  <c r="AC420" i="1"/>
  <c r="AD420" i="1"/>
  <c r="AE420" i="1"/>
  <c r="AF420" i="1"/>
  <c r="AI420" i="1"/>
  <c r="AM420" i="1"/>
  <c r="E421" i="1"/>
  <c r="F421" i="1"/>
  <c r="G421" i="1" s="1"/>
  <c r="J421" i="1"/>
  <c r="L421" i="1" s="1"/>
  <c r="X421" i="1"/>
  <c r="Y421" i="1"/>
  <c r="Z421" i="1"/>
  <c r="AA421" i="1"/>
  <c r="AC421" i="1"/>
  <c r="AD421" i="1"/>
  <c r="AE421" i="1"/>
  <c r="AF421" i="1"/>
  <c r="AH421" i="1"/>
  <c r="AI421" i="1"/>
  <c r="AJ421" i="1"/>
  <c r="AK421" i="1"/>
  <c r="AM421" i="1"/>
  <c r="E422" i="1"/>
  <c r="H422" i="1" s="1"/>
  <c r="F422" i="1"/>
  <c r="G422" i="1"/>
  <c r="J422" i="1"/>
  <c r="L422" i="1"/>
  <c r="X422" i="1"/>
  <c r="Y422" i="1"/>
  <c r="AI422" i="1" s="1"/>
  <c r="Z422" i="1"/>
  <c r="AA422" i="1"/>
  <c r="AC422" i="1"/>
  <c r="AD422" i="1"/>
  <c r="AE422" i="1"/>
  <c r="AH422" i="1"/>
  <c r="AJ422" i="1"/>
  <c r="AM422" i="1"/>
  <c r="E423" i="1"/>
  <c r="F423" i="1"/>
  <c r="G423" i="1" s="1"/>
  <c r="H423" i="1"/>
  <c r="J423" i="1"/>
  <c r="L423" i="1"/>
  <c r="X423" i="1"/>
  <c r="Y423" i="1"/>
  <c r="Z423" i="1"/>
  <c r="AJ423" i="1" s="1"/>
  <c r="AA423" i="1"/>
  <c r="AK423" i="1" s="1"/>
  <c r="AC423" i="1"/>
  <c r="AD423" i="1"/>
  <c r="AE423" i="1"/>
  <c r="AF423" i="1"/>
  <c r="AH423" i="1"/>
  <c r="AI423" i="1"/>
  <c r="E424" i="1"/>
  <c r="F424" i="1"/>
  <c r="G424" i="1" s="1"/>
  <c r="J424" i="1"/>
  <c r="L424" i="1" s="1"/>
  <c r="X424" i="1"/>
  <c r="AH424" i="1" s="1"/>
  <c r="Y424" i="1"/>
  <c r="AI424" i="1" s="1"/>
  <c r="Z424" i="1"/>
  <c r="AA424" i="1"/>
  <c r="AF424" i="1" s="1"/>
  <c r="AC424" i="1"/>
  <c r="AD424" i="1"/>
  <c r="AE424" i="1"/>
  <c r="AJ424" i="1"/>
  <c r="AK424" i="1"/>
  <c r="N424" i="1" s="1"/>
  <c r="E425" i="1"/>
  <c r="F425" i="1"/>
  <c r="H425" i="1" s="1"/>
  <c r="G425" i="1"/>
  <c r="J425" i="1"/>
  <c r="L425" i="1" s="1"/>
  <c r="X425" i="1"/>
  <c r="AH425" i="1" s="1"/>
  <c r="Y425" i="1"/>
  <c r="AI425" i="1" s="1"/>
  <c r="Z425" i="1"/>
  <c r="AJ425" i="1" s="1"/>
  <c r="AA425" i="1"/>
  <c r="AF425" i="1" s="1"/>
  <c r="AC425" i="1"/>
  <c r="AD425" i="1"/>
  <c r="AE425" i="1"/>
  <c r="AK425" i="1"/>
  <c r="AM425" i="1"/>
  <c r="E426" i="1"/>
  <c r="F426" i="1"/>
  <c r="G426" i="1"/>
  <c r="J426" i="1"/>
  <c r="L426" i="1" s="1"/>
  <c r="X426" i="1"/>
  <c r="AH426" i="1" s="1"/>
  <c r="Y426" i="1"/>
  <c r="Z426" i="1"/>
  <c r="AA426" i="1"/>
  <c r="AC426" i="1"/>
  <c r="AD426" i="1"/>
  <c r="AE426" i="1"/>
  <c r="AI426" i="1"/>
  <c r="AJ426" i="1"/>
  <c r="AM426" i="1"/>
  <c r="E427" i="1"/>
  <c r="F427" i="1"/>
  <c r="G427" i="1" s="1"/>
  <c r="J427" i="1"/>
  <c r="L427" i="1" s="1"/>
  <c r="X427" i="1"/>
  <c r="Y427" i="1"/>
  <c r="Z427" i="1"/>
  <c r="AJ427" i="1" s="1"/>
  <c r="AA427" i="1"/>
  <c r="AC427" i="1"/>
  <c r="AD427" i="1"/>
  <c r="AE427" i="1"/>
  <c r="AF427" i="1"/>
  <c r="AH427" i="1"/>
  <c r="AI427" i="1"/>
  <c r="AK427" i="1"/>
  <c r="AM427" i="1"/>
  <c r="E428" i="1"/>
  <c r="F428" i="1"/>
  <c r="G428" i="1" s="1"/>
  <c r="J428" i="1"/>
  <c r="L428" i="1" s="1"/>
  <c r="X428" i="1"/>
  <c r="AH428" i="1" s="1"/>
  <c r="Y428" i="1"/>
  <c r="AI428" i="1" s="1"/>
  <c r="Z428" i="1"/>
  <c r="AA428" i="1"/>
  <c r="AF428" i="1" s="1"/>
  <c r="AC428" i="1"/>
  <c r="AD428" i="1"/>
  <c r="AE428" i="1"/>
  <c r="AJ428" i="1"/>
  <c r="AK428" i="1"/>
  <c r="E429" i="1"/>
  <c r="F429" i="1"/>
  <c r="G429" i="1"/>
  <c r="H429" i="1"/>
  <c r="J429" i="1"/>
  <c r="L429" i="1"/>
  <c r="X429" i="1"/>
  <c r="AH429" i="1" s="1"/>
  <c r="Y429" i="1"/>
  <c r="AI429" i="1" s="1"/>
  <c r="Z429" i="1"/>
  <c r="AA429" i="1"/>
  <c r="AF429" i="1" s="1"/>
  <c r="AC429" i="1"/>
  <c r="AD429" i="1"/>
  <c r="AE429" i="1"/>
  <c r="AJ429" i="1"/>
  <c r="AK429" i="1"/>
  <c r="E430" i="1"/>
  <c r="F430" i="1"/>
  <c r="G430" i="1"/>
  <c r="J430" i="1"/>
  <c r="L430" i="1"/>
  <c r="X430" i="1"/>
  <c r="Y430" i="1"/>
  <c r="Z430" i="1"/>
  <c r="AA430" i="1"/>
  <c r="AC430" i="1"/>
  <c r="AD430" i="1"/>
  <c r="AE430" i="1"/>
  <c r="AF430" i="1"/>
  <c r="AH430" i="1"/>
  <c r="AI430" i="1"/>
  <c r="AJ430" i="1"/>
  <c r="AK430" i="1"/>
  <c r="E431" i="1"/>
  <c r="F431" i="1"/>
  <c r="G431" i="1" s="1"/>
  <c r="J431" i="1"/>
  <c r="L431" i="1" s="1"/>
  <c r="X431" i="1"/>
  <c r="Y431" i="1"/>
  <c r="Z431" i="1"/>
  <c r="AA431" i="1"/>
  <c r="AC431" i="1"/>
  <c r="AD431" i="1"/>
  <c r="AE431" i="1"/>
  <c r="AF431" i="1"/>
  <c r="AH431" i="1"/>
  <c r="AI431" i="1"/>
  <c r="AJ431" i="1"/>
  <c r="AK431" i="1"/>
  <c r="AM431" i="1"/>
  <c r="E432" i="1"/>
  <c r="H432" i="1" s="1"/>
  <c r="F432" i="1"/>
  <c r="G432" i="1"/>
  <c r="J432" i="1"/>
  <c r="L432" i="1"/>
  <c r="X432" i="1"/>
  <c r="Y432" i="1"/>
  <c r="Z432" i="1"/>
  <c r="AA432" i="1"/>
  <c r="AC432" i="1"/>
  <c r="AD432" i="1"/>
  <c r="AE432" i="1"/>
  <c r="AF432" i="1"/>
  <c r="AH432" i="1"/>
  <c r="AI432" i="1"/>
  <c r="AJ432" i="1"/>
  <c r="AK432" i="1"/>
  <c r="AM432" i="1"/>
  <c r="E433" i="1"/>
  <c r="F433" i="1"/>
  <c r="G433" i="1" s="1"/>
  <c r="J433" i="1"/>
  <c r="L433" i="1" s="1"/>
  <c r="X433" i="1"/>
  <c r="Y433" i="1"/>
  <c r="Z433" i="1"/>
  <c r="AA433" i="1"/>
  <c r="AC433" i="1"/>
  <c r="AD433" i="1"/>
  <c r="AE433" i="1"/>
  <c r="AF433" i="1"/>
  <c r="AH433" i="1"/>
  <c r="AI433" i="1"/>
  <c r="AJ433" i="1"/>
  <c r="AK433" i="1"/>
  <c r="AM433" i="1"/>
  <c r="E434" i="1"/>
  <c r="F434" i="1"/>
  <c r="G434" i="1"/>
  <c r="J434" i="1"/>
  <c r="L434" i="1"/>
  <c r="X434" i="1"/>
  <c r="AH434" i="1" s="1"/>
  <c r="Y434" i="1"/>
  <c r="AI434" i="1" s="1"/>
  <c r="Z434" i="1"/>
  <c r="AA434" i="1"/>
  <c r="AC434" i="1"/>
  <c r="AD434" i="1"/>
  <c r="AE434" i="1"/>
  <c r="AJ434" i="1"/>
  <c r="AM434" i="1"/>
  <c r="E435" i="1"/>
  <c r="F435" i="1"/>
  <c r="G435" i="1" s="1"/>
  <c r="H435" i="1"/>
  <c r="J435" i="1"/>
  <c r="L435" i="1"/>
  <c r="X435" i="1"/>
  <c r="Y435" i="1"/>
  <c r="Z435" i="1"/>
  <c r="AJ435" i="1" s="1"/>
  <c r="AA435" i="1"/>
  <c r="AK435" i="1" s="1"/>
  <c r="AC435" i="1"/>
  <c r="AD435" i="1"/>
  <c r="AE435" i="1"/>
  <c r="AF435" i="1"/>
  <c r="AH435" i="1"/>
  <c r="AI435" i="1"/>
  <c r="AM435" i="1"/>
  <c r="E436" i="1"/>
  <c r="F436" i="1"/>
  <c r="G436" i="1" s="1"/>
  <c r="H436" i="1"/>
  <c r="J436" i="1"/>
  <c r="L436" i="1" s="1"/>
  <c r="X436" i="1"/>
  <c r="AH436" i="1" s="1"/>
  <c r="Y436" i="1"/>
  <c r="AI436" i="1" s="1"/>
  <c r="Z436" i="1"/>
  <c r="AJ436" i="1" s="1"/>
  <c r="AA436" i="1"/>
  <c r="AC436" i="1"/>
  <c r="AD436" i="1"/>
  <c r="AE436" i="1"/>
  <c r="E437" i="1"/>
  <c r="F437" i="1"/>
  <c r="G437" i="1" s="1"/>
  <c r="J437" i="1"/>
  <c r="L437" i="1" s="1"/>
  <c r="X437" i="1"/>
  <c r="Y437" i="1"/>
  <c r="AI437" i="1" s="1"/>
  <c r="Z437" i="1"/>
  <c r="AA437" i="1"/>
  <c r="AK437" i="1" s="1"/>
  <c r="AC437" i="1"/>
  <c r="AD437" i="1"/>
  <c r="AE437" i="1"/>
  <c r="AF437" i="1"/>
  <c r="AH437" i="1"/>
  <c r="AJ437" i="1"/>
  <c r="E438" i="1"/>
  <c r="F438" i="1"/>
  <c r="G438" i="1"/>
  <c r="J438" i="1"/>
  <c r="L438" i="1" s="1"/>
  <c r="X438" i="1"/>
  <c r="Y438" i="1"/>
  <c r="Z438" i="1"/>
  <c r="AA438" i="1"/>
  <c r="AC438" i="1"/>
  <c r="AE438" i="1"/>
  <c r="AH438" i="1"/>
  <c r="AJ438" i="1"/>
  <c r="E439" i="1"/>
  <c r="H439" i="1" s="1"/>
  <c r="F439" i="1"/>
  <c r="G439" i="1"/>
  <c r="J439" i="1"/>
  <c r="L439" i="1" s="1"/>
  <c r="X439" i="1"/>
  <c r="Y439" i="1"/>
  <c r="Z439" i="1"/>
  <c r="AA439" i="1"/>
  <c r="AC439" i="1"/>
  <c r="AD439" i="1"/>
  <c r="AE439" i="1"/>
  <c r="AF439" i="1"/>
  <c r="AH439" i="1"/>
  <c r="AI439" i="1"/>
  <c r="AJ439" i="1"/>
  <c r="AK439" i="1"/>
  <c r="E440" i="1"/>
  <c r="F440" i="1"/>
  <c r="G440" i="1" s="1"/>
  <c r="H440" i="1"/>
  <c r="J440" i="1"/>
  <c r="L440" i="1" s="1"/>
  <c r="X440" i="1"/>
  <c r="Y440" i="1"/>
  <c r="Z440" i="1"/>
  <c r="AJ440" i="1" s="1"/>
  <c r="AA440" i="1"/>
  <c r="AC440" i="1"/>
  <c r="AD440" i="1"/>
  <c r="AE440" i="1"/>
  <c r="AF440" i="1"/>
  <c r="AH440" i="1"/>
  <c r="AI440" i="1"/>
  <c r="AK440" i="1"/>
  <c r="E441" i="1"/>
  <c r="F441" i="1"/>
  <c r="G441" i="1" s="1"/>
  <c r="H441" i="1"/>
  <c r="J441" i="1"/>
  <c r="L441" i="1" s="1"/>
  <c r="X441" i="1"/>
  <c r="Y441" i="1"/>
  <c r="Z441" i="1"/>
  <c r="AA441" i="1"/>
  <c r="AC441" i="1"/>
  <c r="AD441" i="1"/>
  <c r="AE441" i="1"/>
  <c r="AF441" i="1"/>
  <c r="AH441" i="1"/>
  <c r="AI441" i="1"/>
  <c r="AJ441" i="1"/>
  <c r="AK441" i="1"/>
  <c r="E442" i="1"/>
  <c r="F442" i="1"/>
  <c r="G442" i="1" s="1"/>
  <c r="J442" i="1"/>
  <c r="L442" i="1" s="1"/>
  <c r="X442" i="1"/>
  <c r="Y442" i="1"/>
  <c r="AD442" i="1" s="1"/>
  <c r="Z442" i="1"/>
  <c r="AE442" i="1" s="1"/>
  <c r="AA442" i="1"/>
  <c r="AC442" i="1"/>
  <c r="AH442" i="1"/>
  <c r="AI442" i="1"/>
  <c r="AJ442" i="1"/>
  <c r="E443" i="1"/>
  <c r="F443" i="1"/>
  <c r="G443" i="1"/>
  <c r="J443" i="1"/>
  <c r="L443" i="1" s="1"/>
  <c r="X443" i="1"/>
  <c r="Y443" i="1"/>
  <c r="AI443" i="1" s="1"/>
  <c r="Z443" i="1"/>
  <c r="AE443" i="1" s="1"/>
  <c r="AA443" i="1"/>
  <c r="AC443" i="1"/>
  <c r="AD443" i="1"/>
  <c r="AH443" i="1"/>
  <c r="AJ443" i="1"/>
  <c r="E444" i="1"/>
  <c r="F444" i="1"/>
  <c r="G444" i="1" s="1"/>
  <c r="J444" i="1"/>
  <c r="L444" i="1" s="1"/>
  <c r="X444" i="1"/>
  <c r="AH444" i="1" s="1"/>
  <c r="Y444" i="1"/>
  <c r="Z444" i="1"/>
  <c r="AA444" i="1"/>
  <c r="AC444" i="1"/>
  <c r="AD444" i="1"/>
  <c r="AE444" i="1"/>
  <c r="AI444" i="1"/>
  <c r="AJ444" i="1"/>
  <c r="E445" i="1"/>
  <c r="H445" i="1" s="1"/>
  <c r="F445" i="1"/>
  <c r="G445" i="1"/>
  <c r="J445" i="1"/>
  <c r="L445" i="1" s="1"/>
  <c r="X445" i="1"/>
  <c r="Y445" i="1"/>
  <c r="Z445" i="1"/>
  <c r="AA445" i="1"/>
  <c r="AC445" i="1"/>
  <c r="AD445" i="1"/>
  <c r="AE445" i="1"/>
  <c r="AF445" i="1"/>
  <c r="AH445" i="1"/>
  <c r="AI445" i="1"/>
  <c r="AJ445" i="1"/>
  <c r="AK445" i="1"/>
  <c r="E446" i="1"/>
  <c r="F446" i="1"/>
  <c r="H446" i="1" s="1"/>
  <c r="G446" i="1"/>
  <c r="J446" i="1"/>
  <c r="L446" i="1"/>
  <c r="X446" i="1"/>
  <c r="AH446" i="1" s="1"/>
  <c r="Y446" i="1"/>
  <c r="Z446" i="1"/>
  <c r="AA446" i="1"/>
  <c r="AK446" i="1" s="1"/>
  <c r="AC446" i="1"/>
  <c r="AD446" i="1"/>
  <c r="AE446" i="1"/>
  <c r="AF446" i="1"/>
  <c r="AI446" i="1"/>
  <c r="AJ446" i="1"/>
  <c r="E447" i="1"/>
  <c r="F447" i="1"/>
  <c r="H447" i="1" s="1"/>
  <c r="G447" i="1"/>
  <c r="J447" i="1"/>
  <c r="L447" i="1" s="1"/>
  <c r="X447" i="1"/>
  <c r="AH447" i="1" s="1"/>
  <c r="Y447" i="1"/>
  <c r="AI447" i="1" s="1"/>
  <c r="Z447" i="1"/>
  <c r="AJ447" i="1" s="1"/>
  <c r="AA447" i="1"/>
  <c r="AF447" i="1" s="1"/>
  <c r="AC447" i="1"/>
  <c r="AD447" i="1"/>
  <c r="AE447" i="1"/>
  <c r="AK447" i="1"/>
  <c r="E448" i="1"/>
  <c r="H448" i="1" s="1"/>
  <c r="F448" i="1"/>
  <c r="G448" i="1" s="1"/>
  <c r="J448" i="1"/>
  <c r="L448" i="1"/>
  <c r="X448" i="1"/>
  <c r="Y448" i="1"/>
  <c r="Z448" i="1"/>
  <c r="AA448" i="1"/>
  <c r="AC448" i="1"/>
  <c r="AD448" i="1"/>
  <c r="AE448" i="1"/>
  <c r="AF448" i="1"/>
  <c r="AH448" i="1"/>
  <c r="AI448" i="1"/>
  <c r="AJ448" i="1"/>
  <c r="AK448" i="1"/>
  <c r="E449" i="1"/>
  <c r="F449" i="1"/>
  <c r="G449" i="1"/>
  <c r="J449" i="1"/>
  <c r="L449" i="1" s="1"/>
  <c r="X449" i="1"/>
  <c r="AH449" i="1" s="1"/>
  <c r="Y449" i="1"/>
  <c r="AI449" i="1" s="1"/>
  <c r="Z449" i="1"/>
  <c r="AA449" i="1"/>
  <c r="AK449" i="1" s="1"/>
  <c r="AC449" i="1"/>
  <c r="AD449" i="1"/>
  <c r="AE449" i="1"/>
  <c r="AF449" i="1"/>
  <c r="AJ449" i="1"/>
  <c r="E450" i="1"/>
  <c r="H450" i="1" s="1"/>
  <c r="F450" i="1"/>
  <c r="G450" i="1"/>
  <c r="J450" i="1"/>
  <c r="L450" i="1" s="1"/>
  <c r="X450" i="1"/>
  <c r="AH450" i="1" s="1"/>
  <c r="Y450" i="1"/>
  <c r="Z450" i="1"/>
  <c r="AJ450" i="1" s="1"/>
  <c r="AA450" i="1"/>
  <c r="AC450" i="1"/>
  <c r="AD450" i="1"/>
  <c r="AE450" i="1"/>
  <c r="AF450" i="1"/>
  <c r="AI450" i="1"/>
  <c r="AK450" i="1"/>
  <c r="N450" i="1" s="1"/>
  <c r="E451" i="1"/>
  <c r="H451" i="1" s="1"/>
  <c r="F451" i="1"/>
  <c r="G451" i="1" s="1"/>
  <c r="J451" i="1"/>
  <c r="L451" i="1" s="1"/>
  <c r="X451" i="1"/>
  <c r="AH451" i="1" s="1"/>
  <c r="Y451" i="1"/>
  <c r="Z451" i="1"/>
  <c r="AJ451" i="1" s="1"/>
  <c r="AA451" i="1"/>
  <c r="AF451" i="1" s="1"/>
  <c r="AC451" i="1"/>
  <c r="AD451" i="1"/>
  <c r="AE451" i="1"/>
  <c r="AI451" i="1"/>
  <c r="E452" i="1"/>
  <c r="F452" i="1"/>
  <c r="H452" i="1" s="1"/>
  <c r="J452" i="1"/>
  <c r="L452" i="1"/>
  <c r="X452" i="1"/>
  <c r="Y452" i="1"/>
  <c r="Z452" i="1"/>
  <c r="AA452" i="1"/>
  <c r="AC452" i="1"/>
  <c r="AD452" i="1"/>
  <c r="AE452" i="1"/>
  <c r="AF452" i="1"/>
  <c r="AH452" i="1"/>
  <c r="AI452" i="1"/>
  <c r="AJ452" i="1"/>
  <c r="AK452" i="1"/>
  <c r="E453" i="1"/>
  <c r="F453" i="1"/>
  <c r="G453" i="1" s="1"/>
  <c r="J453" i="1"/>
  <c r="L453" i="1" s="1"/>
  <c r="X453" i="1"/>
  <c r="AH453" i="1" s="1"/>
  <c r="Y453" i="1"/>
  <c r="AI453" i="1" s="1"/>
  <c r="Z453" i="1"/>
  <c r="AA453" i="1"/>
  <c r="AK453" i="1" s="1"/>
  <c r="AC453" i="1"/>
  <c r="AD453" i="1"/>
  <c r="AE453" i="1"/>
  <c r="AF453" i="1"/>
  <c r="AJ453" i="1"/>
  <c r="E454" i="1"/>
  <c r="H454" i="1" s="1"/>
  <c r="F454" i="1"/>
  <c r="G454" i="1" s="1"/>
  <c r="J454" i="1"/>
  <c r="L454" i="1" s="1"/>
  <c r="X454" i="1"/>
  <c r="AH454" i="1" s="1"/>
  <c r="Y454" i="1"/>
  <c r="Z454" i="1"/>
  <c r="AA454" i="1"/>
  <c r="AC454" i="1"/>
  <c r="AE454" i="1"/>
  <c r="AF454" i="1"/>
  <c r="AJ454" i="1"/>
  <c r="AK454" i="1"/>
  <c r="E455" i="1"/>
  <c r="F455" i="1"/>
  <c r="G455" i="1"/>
  <c r="H455" i="1"/>
  <c r="J455" i="1"/>
  <c r="L455" i="1" s="1"/>
  <c r="X455" i="1"/>
  <c r="Y455" i="1"/>
  <c r="AI455" i="1" s="1"/>
  <c r="Z455" i="1"/>
  <c r="AJ455" i="1" s="1"/>
  <c r="AA455" i="1"/>
  <c r="AK455" i="1" s="1"/>
  <c r="AC455" i="1"/>
  <c r="AD455" i="1"/>
  <c r="AE455" i="1"/>
  <c r="AF455" i="1"/>
  <c r="AH455" i="1"/>
  <c r="E456" i="1"/>
  <c r="H456" i="1" s="1"/>
  <c r="F456" i="1"/>
  <c r="G456" i="1" s="1"/>
  <c r="J456" i="1"/>
  <c r="L456" i="1" s="1"/>
  <c r="X456" i="1"/>
  <c r="AH456" i="1" s="1"/>
  <c r="Y456" i="1"/>
  <c r="AI456" i="1" s="1"/>
  <c r="Z456" i="1"/>
  <c r="AA456" i="1"/>
  <c r="AC456" i="1"/>
  <c r="AD456" i="1"/>
  <c r="AE456" i="1"/>
  <c r="AF456" i="1"/>
  <c r="AJ456" i="1"/>
  <c r="AK456" i="1"/>
  <c r="E457" i="1"/>
  <c r="F457" i="1"/>
  <c r="G457" i="1"/>
  <c r="J457" i="1"/>
  <c r="L457" i="1" s="1"/>
  <c r="X457" i="1"/>
  <c r="Y457" i="1"/>
  <c r="Z457" i="1"/>
  <c r="AA457" i="1"/>
  <c r="AC457" i="1"/>
  <c r="AD457" i="1"/>
  <c r="AE457" i="1"/>
  <c r="AF457" i="1"/>
  <c r="AH457" i="1"/>
  <c r="AI457" i="1"/>
  <c r="AJ457" i="1"/>
  <c r="AK457" i="1"/>
  <c r="E458" i="1"/>
  <c r="F458" i="1"/>
  <c r="G458" i="1" s="1"/>
  <c r="H458" i="1"/>
  <c r="J458" i="1"/>
  <c r="L458" i="1" s="1"/>
  <c r="X458" i="1"/>
  <c r="AH458" i="1" s="1"/>
  <c r="Y458" i="1"/>
  <c r="Z458" i="1"/>
  <c r="AA458" i="1"/>
  <c r="AC458" i="1"/>
  <c r="AF458" i="1"/>
  <c r="AK458" i="1"/>
  <c r="E459" i="1"/>
  <c r="H459" i="1" s="1"/>
  <c r="F459" i="1"/>
  <c r="G459" i="1" s="1"/>
  <c r="J459" i="1"/>
  <c r="L459" i="1"/>
  <c r="X459" i="1"/>
  <c r="Y459" i="1"/>
  <c r="Z459" i="1"/>
  <c r="AA459" i="1"/>
  <c r="AK459" i="1" s="1"/>
  <c r="AC459" i="1"/>
  <c r="AD459" i="1"/>
  <c r="AH459" i="1"/>
  <c r="AI459" i="1"/>
  <c r="E460" i="1"/>
  <c r="F460" i="1"/>
  <c r="G460" i="1" s="1"/>
  <c r="H460" i="1"/>
  <c r="J460" i="1"/>
  <c r="L460" i="1"/>
  <c r="X460" i="1"/>
  <c r="Y460" i="1"/>
  <c r="Z460" i="1"/>
  <c r="AJ460" i="1" s="1"/>
  <c r="AA460" i="1"/>
  <c r="AK460" i="1" s="1"/>
  <c r="AC460" i="1"/>
  <c r="AD460" i="1"/>
  <c r="AE460" i="1"/>
  <c r="AF460" i="1"/>
  <c r="AH460" i="1"/>
  <c r="AI460" i="1"/>
  <c r="E461" i="1"/>
  <c r="H461" i="1" s="1"/>
  <c r="F461" i="1"/>
  <c r="G461" i="1" s="1"/>
  <c r="J461" i="1"/>
  <c r="L461" i="1"/>
  <c r="X461" i="1"/>
  <c r="Y461" i="1"/>
  <c r="Z461" i="1"/>
  <c r="AA461" i="1"/>
  <c r="AC461" i="1"/>
  <c r="AD461" i="1"/>
  <c r="AE461" i="1"/>
  <c r="AF461" i="1"/>
  <c r="AH461" i="1"/>
  <c r="AI461" i="1"/>
  <c r="AJ461" i="1"/>
  <c r="AK461" i="1"/>
  <c r="E462" i="1"/>
  <c r="F462" i="1"/>
  <c r="G462" i="1" s="1"/>
  <c r="J462" i="1"/>
  <c r="L462" i="1" s="1"/>
  <c r="X462" i="1"/>
  <c r="AH462" i="1" s="1"/>
  <c r="Y462" i="1"/>
  <c r="Z462" i="1"/>
  <c r="AE462" i="1" s="1"/>
  <c r="AA462" i="1"/>
  <c r="AC462" i="1"/>
  <c r="AJ462" i="1"/>
  <c r="E463" i="1"/>
  <c r="H463" i="1" s="1"/>
  <c r="F463" i="1"/>
  <c r="G463" i="1" s="1"/>
  <c r="J463" i="1"/>
  <c r="L463" i="1"/>
  <c r="X463" i="1"/>
  <c r="AH463" i="1" s="1"/>
  <c r="Y463" i="1"/>
  <c r="Z463" i="1"/>
  <c r="AE463" i="1" s="1"/>
  <c r="AA463" i="1"/>
  <c r="AC463" i="1"/>
  <c r="AD463" i="1"/>
  <c r="AI463" i="1"/>
  <c r="AJ463" i="1"/>
  <c r="E464" i="1"/>
  <c r="F464" i="1"/>
  <c r="G464" i="1" s="1"/>
  <c r="J464" i="1"/>
  <c r="L464" i="1" s="1"/>
  <c r="X464" i="1"/>
  <c r="Y464" i="1"/>
  <c r="Z464" i="1"/>
  <c r="AA464" i="1"/>
  <c r="AC464" i="1"/>
  <c r="AD464" i="1"/>
  <c r="AE464" i="1"/>
  <c r="AF464" i="1"/>
  <c r="AH464" i="1"/>
  <c r="AI464" i="1"/>
  <c r="AJ464" i="1"/>
  <c r="AK464" i="1"/>
  <c r="E465" i="1"/>
  <c r="F465" i="1"/>
  <c r="J465" i="1"/>
  <c r="L465" i="1"/>
  <c r="X465" i="1"/>
  <c r="AH465" i="1" s="1"/>
  <c r="Y465" i="1"/>
  <c r="Z465" i="1"/>
  <c r="AJ465" i="1" s="1"/>
  <c r="AA465" i="1"/>
  <c r="AK465" i="1" s="1"/>
  <c r="N465" i="1" s="1"/>
  <c r="AC465" i="1"/>
  <c r="AD465" i="1"/>
  <c r="AE465" i="1"/>
  <c r="AF465" i="1"/>
  <c r="AI465" i="1"/>
  <c r="E466" i="1"/>
  <c r="F466" i="1"/>
  <c r="J466" i="1"/>
  <c r="L466" i="1" s="1"/>
  <c r="X466" i="1"/>
  <c r="AH466" i="1" s="1"/>
  <c r="Y466" i="1"/>
  <c r="Z466" i="1"/>
  <c r="AJ466" i="1" s="1"/>
  <c r="AA466" i="1"/>
  <c r="AK466" i="1" s="1"/>
  <c r="AC466" i="1"/>
  <c r="AD466" i="1"/>
  <c r="AE466" i="1"/>
  <c r="AF466" i="1"/>
  <c r="AI466" i="1"/>
  <c r="E467" i="1"/>
  <c r="H467" i="1" s="1"/>
  <c r="F467" i="1"/>
  <c r="G467" i="1" s="1"/>
  <c r="J467" i="1"/>
  <c r="L467" i="1"/>
  <c r="X467" i="1"/>
  <c r="AH467" i="1" s="1"/>
  <c r="Y467" i="1"/>
  <c r="Z467" i="1"/>
  <c r="AA467" i="1"/>
  <c r="AC467" i="1"/>
  <c r="AD467" i="1"/>
  <c r="AE467" i="1"/>
  <c r="AI467" i="1"/>
  <c r="AJ467" i="1"/>
  <c r="E468" i="1"/>
  <c r="F468" i="1"/>
  <c r="H468" i="1" s="1"/>
  <c r="J468" i="1"/>
  <c r="L468" i="1" s="1"/>
  <c r="X468" i="1"/>
  <c r="Y468" i="1"/>
  <c r="Z468" i="1"/>
  <c r="AA468" i="1"/>
  <c r="AC468" i="1"/>
  <c r="AD468" i="1"/>
  <c r="AE468" i="1"/>
  <c r="AF468" i="1"/>
  <c r="AH468" i="1"/>
  <c r="AI468" i="1"/>
  <c r="AJ468" i="1"/>
  <c r="AK468" i="1"/>
  <c r="E469" i="1"/>
  <c r="H469" i="1" s="1"/>
  <c r="F469" i="1"/>
  <c r="G469" i="1"/>
  <c r="J469" i="1"/>
  <c r="L469" i="1" s="1"/>
  <c r="X469" i="1"/>
  <c r="AH469" i="1" s="1"/>
  <c r="Y469" i="1"/>
  <c r="AI469" i="1" s="1"/>
  <c r="Z469" i="1"/>
  <c r="AJ469" i="1" s="1"/>
  <c r="AA469" i="1"/>
  <c r="AC469" i="1"/>
  <c r="AD469" i="1"/>
  <c r="AE469" i="1"/>
  <c r="AF469" i="1"/>
  <c r="AK469" i="1"/>
  <c r="E470" i="1"/>
  <c r="F470" i="1"/>
  <c r="G470" i="1" s="1"/>
  <c r="J470" i="1"/>
  <c r="L470" i="1" s="1"/>
  <c r="X470" i="1"/>
  <c r="Y470" i="1"/>
  <c r="Z470" i="1"/>
  <c r="AJ470" i="1" s="1"/>
  <c r="AA470" i="1"/>
  <c r="AF470" i="1" s="1"/>
  <c r="AC470" i="1"/>
  <c r="AE470" i="1"/>
  <c r="AH470" i="1"/>
  <c r="AK470" i="1"/>
  <c r="E471" i="1"/>
  <c r="H471" i="1" s="1"/>
  <c r="F471" i="1"/>
  <c r="G471" i="1" s="1"/>
  <c r="J471" i="1"/>
  <c r="L471" i="1" s="1"/>
  <c r="X471" i="1"/>
  <c r="Y471" i="1"/>
  <c r="AI471" i="1" s="1"/>
  <c r="Z471" i="1"/>
  <c r="AJ471" i="1" s="1"/>
  <c r="AA471" i="1"/>
  <c r="AK471" i="1" s="1"/>
  <c r="AC471" i="1"/>
  <c r="AD471" i="1"/>
  <c r="AE471" i="1"/>
  <c r="AF471" i="1"/>
  <c r="AH471" i="1"/>
  <c r="E472" i="1"/>
  <c r="F472" i="1"/>
  <c r="G472" i="1"/>
  <c r="J472" i="1"/>
  <c r="L472" i="1" s="1"/>
  <c r="X472" i="1"/>
  <c r="AH472" i="1" s="1"/>
  <c r="Y472" i="1"/>
  <c r="AI472" i="1" s="1"/>
  <c r="Z472" i="1"/>
  <c r="AJ472" i="1" s="1"/>
  <c r="AA472" i="1"/>
  <c r="AC472" i="1"/>
  <c r="AD472" i="1"/>
  <c r="AE472" i="1"/>
  <c r="AF472" i="1"/>
  <c r="AK472" i="1"/>
  <c r="E473" i="1"/>
  <c r="H473" i="1" s="1"/>
  <c r="F473" i="1"/>
  <c r="G473" i="1" s="1"/>
  <c r="J473" i="1"/>
  <c r="L473" i="1" s="1"/>
  <c r="X473" i="1"/>
  <c r="Y473" i="1"/>
  <c r="Z473" i="1"/>
  <c r="AA473" i="1"/>
  <c r="AC473" i="1"/>
  <c r="AD473" i="1"/>
  <c r="AE473" i="1"/>
  <c r="AF473" i="1"/>
  <c r="AH473" i="1"/>
  <c r="AI473" i="1"/>
  <c r="AJ473" i="1"/>
  <c r="AK473" i="1"/>
  <c r="E474" i="1"/>
  <c r="H474" i="1" s="1"/>
  <c r="F474" i="1"/>
  <c r="G474" i="1" s="1"/>
  <c r="J474" i="1"/>
  <c r="L474" i="1"/>
  <c r="X474" i="1"/>
  <c r="AH474" i="1" s="1"/>
  <c r="Y474" i="1"/>
  <c r="AD474" i="1" s="1"/>
  <c r="Z474" i="1"/>
  <c r="AA474" i="1"/>
  <c r="AK474" i="1" s="1"/>
  <c r="AC474" i="1"/>
  <c r="AI474" i="1"/>
  <c r="E475" i="1"/>
  <c r="F475" i="1"/>
  <c r="G475" i="1" s="1"/>
  <c r="H475" i="1"/>
  <c r="J475" i="1"/>
  <c r="L475" i="1" s="1"/>
  <c r="X475" i="1"/>
  <c r="AH475" i="1" s="1"/>
  <c r="Y475" i="1"/>
  <c r="AI475" i="1" s="1"/>
  <c r="Z475" i="1"/>
  <c r="AA475" i="1"/>
  <c r="AC475" i="1"/>
  <c r="AD475" i="1"/>
  <c r="AF475" i="1"/>
  <c r="AK475" i="1"/>
  <c r="E476" i="1"/>
  <c r="H476" i="1" s="1"/>
  <c r="F476" i="1"/>
  <c r="G476" i="1" s="1"/>
  <c r="J476" i="1"/>
  <c r="L476" i="1" s="1"/>
  <c r="X476" i="1"/>
  <c r="Y476" i="1"/>
  <c r="Z476" i="1"/>
  <c r="AJ476" i="1" s="1"/>
  <c r="AA476" i="1"/>
  <c r="AC476" i="1"/>
  <c r="AD476" i="1"/>
  <c r="AE476" i="1"/>
  <c r="AF476" i="1"/>
  <c r="AH476" i="1"/>
  <c r="AI476" i="1"/>
  <c r="AK476" i="1"/>
  <c r="E477" i="1"/>
  <c r="H477" i="1" s="1"/>
  <c r="F477" i="1"/>
  <c r="G477" i="1" s="1"/>
  <c r="J477" i="1"/>
  <c r="L477" i="1" s="1"/>
  <c r="X477" i="1"/>
  <c r="Y477" i="1"/>
  <c r="Z477" i="1"/>
  <c r="AA477" i="1"/>
  <c r="AC477" i="1"/>
  <c r="AD477" i="1"/>
  <c r="AE477" i="1"/>
  <c r="AF477" i="1"/>
  <c r="AH477" i="1"/>
  <c r="AI477" i="1"/>
  <c r="AJ477" i="1"/>
  <c r="AK477" i="1"/>
  <c r="E478" i="1"/>
  <c r="F478" i="1"/>
  <c r="G478" i="1" s="1"/>
  <c r="J478" i="1"/>
  <c r="L478" i="1" s="1"/>
  <c r="X478" i="1"/>
  <c r="AH478" i="1" s="1"/>
  <c r="Y478" i="1"/>
  <c r="AD478" i="1" s="1"/>
  <c r="Z478" i="1"/>
  <c r="AE478" i="1" s="1"/>
  <c r="AA478" i="1"/>
  <c r="AC478" i="1"/>
  <c r="AI478" i="1"/>
  <c r="AJ478" i="1"/>
  <c r="E479" i="1"/>
  <c r="F479" i="1"/>
  <c r="G479" i="1"/>
  <c r="J479" i="1"/>
  <c r="L479" i="1" s="1"/>
  <c r="X479" i="1"/>
  <c r="Y479" i="1"/>
  <c r="AI479" i="1" s="1"/>
  <c r="Z479" i="1"/>
  <c r="AE479" i="1" s="1"/>
  <c r="AA479" i="1"/>
  <c r="AC479" i="1"/>
  <c r="AD479" i="1"/>
  <c r="AH479" i="1"/>
  <c r="E480" i="1"/>
  <c r="F480" i="1"/>
  <c r="G480" i="1" s="1"/>
  <c r="J480" i="1"/>
  <c r="L480" i="1" s="1"/>
  <c r="X480" i="1"/>
  <c r="Y480" i="1"/>
  <c r="Z480" i="1"/>
  <c r="AA480" i="1"/>
  <c r="AC480" i="1"/>
  <c r="AD480" i="1"/>
  <c r="AE480" i="1"/>
  <c r="AF480" i="1"/>
  <c r="AH480" i="1"/>
  <c r="AI480" i="1"/>
  <c r="AJ480" i="1"/>
  <c r="AK480" i="1"/>
  <c r="E481" i="1"/>
  <c r="F481" i="1"/>
  <c r="J481" i="1"/>
  <c r="L481" i="1" s="1"/>
  <c r="X481" i="1"/>
  <c r="AH481" i="1" s="1"/>
  <c r="Y481" i="1"/>
  <c r="AI481" i="1" s="1"/>
  <c r="Z481" i="1"/>
  <c r="AJ481" i="1" s="1"/>
  <c r="AA481" i="1"/>
  <c r="AC481" i="1"/>
  <c r="AD481" i="1"/>
  <c r="AE481" i="1"/>
  <c r="AF481" i="1"/>
  <c r="AK481" i="1"/>
  <c r="E482" i="1"/>
  <c r="F482" i="1"/>
  <c r="J482" i="1"/>
  <c r="L482" i="1"/>
  <c r="X482" i="1"/>
  <c r="AH482" i="1" s="1"/>
  <c r="Y482" i="1"/>
  <c r="Z482" i="1"/>
  <c r="AA482" i="1"/>
  <c r="AK482" i="1" s="1"/>
  <c r="AC482" i="1"/>
  <c r="AD482" i="1"/>
  <c r="AI482" i="1"/>
  <c r="E483" i="1"/>
  <c r="F483" i="1"/>
  <c r="J483" i="1"/>
  <c r="L483" i="1" s="1"/>
  <c r="X483" i="1"/>
  <c r="AH483" i="1" s="1"/>
  <c r="Y483" i="1"/>
  <c r="Z483" i="1"/>
  <c r="AA483" i="1"/>
  <c r="AK483" i="1" s="1"/>
  <c r="AC483" i="1"/>
  <c r="AD483" i="1"/>
  <c r="AF483" i="1"/>
  <c r="AI483" i="1"/>
  <c r="E484" i="1"/>
  <c r="F484" i="1"/>
  <c r="J484" i="1"/>
  <c r="L484" i="1" s="1"/>
  <c r="X484" i="1"/>
  <c r="Y484" i="1"/>
  <c r="Z484" i="1"/>
  <c r="AA484" i="1"/>
  <c r="AC484" i="1"/>
  <c r="AD484" i="1"/>
  <c r="AE484" i="1"/>
  <c r="AF484" i="1"/>
  <c r="AH484" i="1"/>
  <c r="AI484" i="1"/>
  <c r="AJ484" i="1"/>
  <c r="AK484" i="1"/>
  <c r="E485" i="1"/>
  <c r="F485" i="1"/>
  <c r="G485" i="1" s="1"/>
  <c r="J485" i="1"/>
  <c r="L485" i="1" s="1"/>
  <c r="X485" i="1"/>
  <c r="Y485" i="1"/>
  <c r="AI485" i="1" s="1"/>
  <c r="Z485" i="1"/>
  <c r="AA485" i="1"/>
  <c r="AK485" i="1" s="1"/>
  <c r="AC485" i="1"/>
  <c r="AD485" i="1"/>
  <c r="AE485" i="1"/>
  <c r="AF485" i="1"/>
  <c r="AH485" i="1"/>
  <c r="AJ485" i="1"/>
  <c r="E486" i="1"/>
  <c r="H486" i="1" s="1"/>
  <c r="F486" i="1"/>
  <c r="G486" i="1"/>
  <c r="J486" i="1"/>
  <c r="L486" i="1" s="1"/>
  <c r="X486" i="1"/>
  <c r="Y486" i="1"/>
  <c r="Z486" i="1"/>
  <c r="AA486" i="1"/>
  <c r="AC486" i="1"/>
  <c r="AD486" i="1"/>
  <c r="AE486" i="1"/>
  <c r="AF486" i="1"/>
  <c r="AH486" i="1"/>
  <c r="AI486" i="1"/>
  <c r="AJ486" i="1"/>
  <c r="AK486" i="1"/>
  <c r="E487" i="1"/>
  <c r="H487" i="1" s="1"/>
  <c r="F487" i="1"/>
  <c r="G487" i="1" s="1"/>
  <c r="J487" i="1"/>
  <c r="L487" i="1" s="1"/>
  <c r="X487" i="1"/>
  <c r="AH487" i="1" s="1"/>
  <c r="Y487" i="1"/>
  <c r="Z487" i="1"/>
  <c r="AE487" i="1" s="1"/>
  <c r="AA487" i="1"/>
  <c r="AK487" i="1" s="1"/>
  <c r="AC487" i="1"/>
  <c r="AD487" i="1"/>
  <c r="AF487" i="1"/>
  <c r="AI487" i="1"/>
  <c r="E488" i="1"/>
  <c r="F488" i="1"/>
  <c r="G488" i="1" s="1"/>
  <c r="J488" i="1"/>
  <c r="L488" i="1"/>
  <c r="X488" i="1"/>
  <c r="AH488" i="1" s="1"/>
  <c r="Y488" i="1"/>
  <c r="Z488" i="1"/>
  <c r="AJ488" i="1" s="1"/>
  <c r="AA488" i="1"/>
  <c r="AC488" i="1"/>
  <c r="AD488" i="1"/>
  <c r="AE488" i="1"/>
  <c r="AF488" i="1"/>
  <c r="AI488" i="1"/>
  <c r="AK488" i="1"/>
  <c r="E489" i="1"/>
  <c r="F489" i="1"/>
  <c r="G489" i="1" s="1"/>
  <c r="H489" i="1"/>
  <c r="J489" i="1"/>
  <c r="L489" i="1" s="1"/>
  <c r="X489" i="1"/>
  <c r="Y489" i="1"/>
  <c r="Z489" i="1"/>
  <c r="AA489" i="1"/>
  <c r="AC489" i="1"/>
  <c r="AD489" i="1"/>
  <c r="AE489" i="1"/>
  <c r="AF489" i="1"/>
  <c r="AH489" i="1"/>
  <c r="AI489" i="1"/>
  <c r="AJ489" i="1"/>
  <c r="AK489" i="1"/>
  <c r="E490" i="1"/>
  <c r="F490" i="1"/>
  <c r="G490" i="1" s="1"/>
  <c r="J490" i="1"/>
  <c r="L490" i="1" s="1"/>
  <c r="X490" i="1"/>
  <c r="Y490" i="1"/>
  <c r="Z490" i="1"/>
  <c r="AJ490" i="1" s="1"/>
  <c r="AA490" i="1"/>
  <c r="AF490" i="1" s="1"/>
  <c r="AC490" i="1"/>
  <c r="AE490" i="1"/>
  <c r="AH490" i="1"/>
  <c r="E491" i="1"/>
  <c r="F491" i="1"/>
  <c r="G491" i="1" s="1"/>
  <c r="J491" i="1"/>
  <c r="L491" i="1" s="1"/>
  <c r="X491" i="1"/>
  <c r="Y491" i="1"/>
  <c r="Z491" i="1"/>
  <c r="AA491" i="1"/>
  <c r="AC491" i="1"/>
  <c r="AD491" i="1"/>
  <c r="AE491" i="1"/>
  <c r="AF491" i="1"/>
  <c r="AH491" i="1"/>
  <c r="AI491" i="1"/>
  <c r="AJ491" i="1"/>
  <c r="AK491" i="1"/>
  <c r="E492" i="1"/>
  <c r="F492" i="1"/>
  <c r="J492" i="1"/>
  <c r="L492" i="1" s="1"/>
  <c r="X492" i="1"/>
  <c r="AH492" i="1" s="1"/>
  <c r="Y492" i="1"/>
  <c r="AI492" i="1" s="1"/>
  <c r="Z492" i="1"/>
  <c r="AJ492" i="1" s="1"/>
  <c r="AA492" i="1"/>
  <c r="AC492" i="1"/>
  <c r="AD492" i="1"/>
  <c r="AE492" i="1"/>
  <c r="AF492" i="1"/>
  <c r="AK492" i="1"/>
  <c r="E493" i="1"/>
  <c r="F493" i="1"/>
  <c r="J493" i="1"/>
  <c r="L493" i="1"/>
  <c r="X493" i="1"/>
  <c r="Y493" i="1"/>
  <c r="Z493" i="1"/>
  <c r="AA493" i="1"/>
  <c r="AC493" i="1"/>
  <c r="AD493" i="1"/>
  <c r="AE493" i="1"/>
  <c r="AF493" i="1"/>
  <c r="AH493" i="1"/>
  <c r="AI493" i="1"/>
  <c r="AJ493" i="1"/>
  <c r="AK493" i="1"/>
  <c r="E494" i="1"/>
  <c r="H494" i="1" s="1"/>
  <c r="F494" i="1"/>
  <c r="G494" i="1"/>
  <c r="J494" i="1"/>
  <c r="L494" i="1" s="1"/>
  <c r="X494" i="1"/>
  <c r="AH494" i="1" s="1"/>
  <c r="Y494" i="1"/>
  <c r="AD494" i="1" s="1"/>
  <c r="Z494" i="1"/>
  <c r="AE494" i="1" s="1"/>
  <c r="AA494" i="1"/>
  <c r="AC494" i="1"/>
  <c r="AJ494" i="1"/>
  <c r="E495" i="1"/>
  <c r="H495" i="1" s="1"/>
  <c r="F495" i="1"/>
  <c r="G495" i="1"/>
  <c r="J495" i="1"/>
  <c r="L495" i="1" s="1"/>
  <c r="X495" i="1"/>
  <c r="Y495" i="1"/>
  <c r="AI495" i="1" s="1"/>
  <c r="Z495" i="1"/>
  <c r="AA495" i="1"/>
  <c r="AC495" i="1"/>
  <c r="AD495" i="1"/>
  <c r="AE495" i="1"/>
  <c r="AH495" i="1"/>
  <c r="AJ495" i="1"/>
  <c r="E496" i="1"/>
  <c r="F496" i="1"/>
  <c r="G496" i="1"/>
  <c r="J496" i="1"/>
  <c r="L496" i="1" s="1"/>
  <c r="X496" i="1"/>
  <c r="Y496" i="1"/>
  <c r="Z496" i="1"/>
  <c r="AA496" i="1"/>
  <c r="AC496" i="1"/>
  <c r="AD496" i="1"/>
  <c r="AE496" i="1"/>
  <c r="AF496" i="1"/>
  <c r="AH496" i="1"/>
  <c r="AI496" i="1"/>
  <c r="AJ496" i="1"/>
  <c r="AK496" i="1"/>
  <c r="E497" i="1"/>
  <c r="F497" i="1"/>
  <c r="G497" i="1" s="1"/>
  <c r="H497" i="1"/>
  <c r="J497" i="1"/>
  <c r="L497" i="1" s="1"/>
  <c r="X497" i="1"/>
  <c r="AH497" i="1" s="1"/>
  <c r="Y497" i="1"/>
  <c r="Z497" i="1"/>
  <c r="AJ497" i="1" s="1"/>
  <c r="AA497" i="1"/>
  <c r="AC497" i="1"/>
  <c r="AD497" i="1"/>
  <c r="AE497" i="1"/>
  <c r="AF497" i="1"/>
  <c r="AI497" i="1"/>
  <c r="AK497" i="1"/>
  <c r="E498" i="1"/>
  <c r="F498" i="1"/>
  <c r="G498" i="1" s="1"/>
  <c r="H498" i="1"/>
  <c r="J498" i="1"/>
  <c r="L498" i="1" s="1"/>
  <c r="X498" i="1"/>
  <c r="Y498" i="1"/>
  <c r="Z498" i="1"/>
  <c r="AA498" i="1"/>
  <c r="AC498" i="1"/>
  <c r="AD498" i="1"/>
  <c r="AE498" i="1"/>
  <c r="AF498" i="1"/>
  <c r="AH498" i="1"/>
  <c r="AI498" i="1"/>
  <c r="AJ498" i="1"/>
  <c r="AK498" i="1"/>
  <c r="E499" i="1"/>
  <c r="F499" i="1"/>
  <c r="G499" i="1" s="1"/>
  <c r="J499" i="1"/>
  <c r="L499" i="1" s="1"/>
  <c r="X499" i="1"/>
  <c r="AH499" i="1" s="1"/>
  <c r="Y499" i="1"/>
  <c r="AI499" i="1" s="1"/>
  <c r="Z499" i="1"/>
  <c r="AJ499" i="1" s="1"/>
  <c r="AA499" i="1"/>
  <c r="AF499" i="1" s="1"/>
  <c r="AC499" i="1"/>
  <c r="AD499" i="1"/>
  <c r="AE499" i="1"/>
  <c r="E500" i="1"/>
  <c r="H500" i="1" s="1"/>
  <c r="F500" i="1"/>
  <c r="G500" i="1" s="1"/>
  <c r="J500" i="1"/>
  <c r="L500" i="1" s="1"/>
  <c r="X500" i="1"/>
  <c r="Y500" i="1"/>
  <c r="Z500" i="1"/>
  <c r="AA500" i="1"/>
  <c r="AC500" i="1"/>
  <c r="AD500" i="1"/>
  <c r="AE500" i="1"/>
  <c r="AF500" i="1"/>
  <c r="AH500" i="1"/>
  <c r="AI500" i="1"/>
  <c r="AJ500" i="1"/>
  <c r="AK500" i="1"/>
  <c r="E501" i="1"/>
  <c r="F501" i="1"/>
  <c r="J501" i="1"/>
  <c r="L501" i="1"/>
  <c r="X501" i="1"/>
  <c r="AH501" i="1" s="1"/>
  <c r="Y501" i="1"/>
  <c r="Z501" i="1"/>
  <c r="AJ501" i="1" s="1"/>
  <c r="AA501" i="1"/>
  <c r="AC501" i="1"/>
  <c r="AD501" i="1"/>
  <c r="AE501" i="1"/>
  <c r="AF501" i="1"/>
  <c r="AI501" i="1"/>
  <c r="AK501" i="1"/>
  <c r="E502" i="1"/>
  <c r="F502" i="1"/>
  <c r="J502" i="1"/>
  <c r="L502" i="1" s="1"/>
  <c r="X502" i="1"/>
  <c r="AH502" i="1" s="1"/>
  <c r="Y502" i="1"/>
  <c r="Z502" i="1"/>
  <c r="AA502" i="1"/>
  <c r="AK502" i="1" s="1"/>
  <c r="AC502" i="1"/>
  <c r="AD502" i="1"/>
  <c r="AF502" i="1"/>
  <c r="AI502" i="1"/>
  <c r="E503" i="1"/>
  <c r="F503" i="1"/>
  <c r="J503" i="1"/>
  <c r="L503" i="1" s="1"/>
  <c r="X503" i="1"/>
  <c r="AH503" i="1" s="1"/>
  <c r="Y503" i="1"/>
  <c r="AI503" i="1" s="1"/>
  <c r="Z503" i="1"/>
  <c r="AA503" i="1"/>
  <c r="AC503" i="1"/>
  <c r="AD503" i="1"/>
  <c r="AF503" i="1"/>
  <c r="AK503" i="1"/>
  <c r="E504" i="1"/>
  <c r="F504" i="1"/>
  <c r="J504" i="1"/>
  <c r="L504" i="1"/>
  <c r="X504" i="1"/>
  <c r="AH504" i="1" s="1"/>
  <c r="Y504" i="1"/>
  <c r="Z504" i="1"/>
  <c r="AJ504" i="1" s="1"/>
  <c r="AA504" i="1"/>
  <c r="AC504" i="1"/>
  <c r="AD504" i="1"/>
  <c r="AE504" i="1"/>
  <c r="AF504" i="1"/>
  <c r="AI504" i="1"/>
  <c r="AK504" i="1"/>
  <c r="E505" i="1"/>
  <c r="F505" i="1"/>
  <c r="J505" i="1"/>
  <c r="L505" i="1" s="1"/>
  <c r="X505" i="1"/>
  <c r="Y505" i="1"/>
  <c r="Z505" i="1"/>
  <c r="AA505" i="1"/>
  <c r="AC505" i="1"/>
  <c r="AD505" i="1"/>
  <c r="AE505" i="1"/>
  <c r="AF505" i="1"/>
  <c r="AH505" i="1"/>
  <c r="AI505" i="1"/>
  <c r="AJ505" i="1"/>
  <c r="AK505" i="1"/>
  <c r="E506" i="1"/>
  <c r="F506" i="1"/>
  <c r="G506" i="1"/>
  <c r="J506" i="1"/>
  <c r="L506" i="1" s="1"/>
  <c r="X506" i="1"/>
  <c r="Y506" i="1"/>
  <c r="AD506" i="1" s="1"/>
  <c r="Z506" i="1"/>
  <c r="AJ506" i="1" s="1"/>
  <c r="AA506" i="1"/>
  <c r="AC506" i="1"/>
  <c r="AH506" i="1"/>
  <c r="E507" i="1"/>
  <c r="F507" i="1"/>
  <c r="G507" i="1"/>
  <c r="J507" i="1"/>
  <c r="L507" i="1" s="1"/>
  <c r="X507" i="1"/>
  <c r="Y507" i="1"/>
  <c r="Z507" i="1"/>
  <c r="AA507" i="1"/>
  <c r="AC507" i="1"/>
  <c r="AD507" i="1"/>
  <c r="AE507" i="1"/>
  <c r="AF507" i="1"/>
  <c r="AH507" i="1"/>
  <c r="AI507" i="1"/>
  <c r="AJ507" i="1"/>
  <c r="AK507" i="1"/>
  <c r="E508" i="1"/>
  <c r="F508" i="1"/>
  <c r="G508" i="1" s="1"/>
  <c r="H508" i="1"/>
  <c r="J508" i="1"/>
  <c r="L508" i="1" s="1"/>
  <c r="X508" i="1"/>
  <c r="AH508" i="1" s="1"/>
  <c r="Y508" i="1"/>
  <c r="AI508" i="1" s="1"/>
  <c r="Z508" i="1"/>
  <c r="AJ508" i="1" s="1"/>
  <c r="AA508" i="1"/>
  <c r="AC508" i="1"/>
  <c r="AD508" i="1"/>
  <c r="AE508" i="1"/>
  <c r="AF508" i="1"/>
  <c r="AK508" i="1"/>
  <c r="E509" i="1"/>
  <c r="H509" i="1" s="1"/>
  <c r="F509" i="1"/>
  <c r="G509" i="1" s="1"/>
  <c r="J509" i="1"/>
  <c r="L509" i="1" s="1"/>
  <c r="X509" i="1"/>
  <c r="Y509" i="1"/>
  <c r="Z509" i="1"/>
  <c r="AA509" i="1"/>
  <c r="AC509" i="1"/>
  <c r="AD509" i="1"/>
  <c r="AE509" i="1"/>
  <c r="AF509" i="1"/>
  <c r="AH509" i="1"/>
  <c r="AI509" i="1"/>
  <c r="AJ509" i="1"/>
  <c r="AK509" i="1"/>
  <c r="E510" i="1"/>
  <c r="F510" i="1"/>
  <c r="G510" i="1"/>
  <c r="J510" i="1"/>
  <c r="L510" i="1" s="1"/>
  <c r="X510" i="1"/>
  <c r="Y510" i="1"/>
  <c r="Z510" i="1"/>
  <c r="AJ510" i="1" s="1"/>
  <c r="AA510" i="1"/>
  <c r="AF510" i="1" s="1"/>
  <c r="AC510" i="1"/>
  <c r="AH510" i="1"/>
  <c r="E511" i="1"/>
  <c r="F511" i="1"/>
  <c r="G511" i="1"/>
  <c r="J511" i="1"/>
  <c r="L511" i="1" s="1"/>
  <c r="X511" i="1"/>
  <c r="Y511" i="1"/>
  <c r="AI511" i="1" s="1"/>
  <c r="Z511" i="1"/>
  <c r="AJ511" i="1" s="1"/>
  <c r="AA511" i="1"/>
  <c r="AF511" i="1" s="1"/>
  <c r="AC511" i="1"/>
  <c r="AD511" i="1"/>
  <c r="AE511" i="1"/>
  <c r="AH511" i="1"/>
  <c r="E512" i="1"/>
  <c r="F512" i="1"/>
  <c r="G512" i="1" s="1"/>
  <c r="J512" i="1"/>
  <c r="L512" i="1" s="1"/>
  <c r="X512" i="1"/>
  <c r="Y512" i="1"/>
  <c r="Z512" i="1"/>
  <c r="AA512" i="1"/>
  <c r="AC512" i="1"/>
  <c r="AD512" i="1"/>
  <c r="AE512" i="1"/>
  <c r="AF512" i="1"/>
  <c r="AH512" i="1"/>
  <c r="AI512" i="1"/>
  <c r="AJ512" i="1"/>
  <c r="AK512" i="1"/>
  <c r="E513" i="1"/>
  <c r="F513" i="1"/>
  <c r="J513" i="1"/>
  <c r="L513" i="1" s="1"/>
  <c r="X513" i="1"/>
  <c r="AH513" i="1" s="1"/>
  <c r="Y513" i="1"/>
  <c r="AI513" i="1" s="1"/>
  <c r="Z513" i="1"/>
  <c r="AJ513" i="1" s="1"/>
  <c r="AA513" i="1"/>
  <c r="AC513" i="1"/>
  <c r="AD513" i="1"/>
  <c r="AE513" i="1"/>
  <c r="AF513" i="1"/>
  <c r="AK513" i="1"/>
  <c r="E514" i="1"/>
  <c r="F514" i="1"/>
  <c r="J514" i="1"/>
  <c r="L514" i="1"/>
  <c r="X514" i="1"/>
  <c r="AH514" i="1" s="1"/>
  <c r="Y514" i="1"/>
  <c r="Z514" i="1"/>
  <c r="AA514" i="1"/>
  <c r="AK514" i="1" s="1"/>
  <c r="AC514" i="1"/>
  <c r="AD514" i="1"/>
  <c r="AI514" i="1"/>
  <c r="E515" i="1"/>
  <c r="F515" i="1"/>
  <c r="J515" i="1"/>
  <c r="L515" i="1" s="1"/>
  <c r="X515" i="1"/>
  <c r="AH515" i="1" s="1"/>
  <c r="Y515" i="1"/>
  <c r="Z515" i="1"/>
  <c r="AA515" i="1"/>
  <c r="AK515" i="1" s="1"/>
  <c r="AC515" i="1"/>
  <c r="AD515" i="1"/>
  <c r="AF515" i="1"/>
  <c r="AI515" i="1"/>
  <c r="E516" i="1"/>
  <c r="F516" i="1"/>
  <c r="G516" i="1" s="1"/>
  <c r="J516" i="1"/>
  <c r="L516" i="1"/>
  <c r="X516" i="1"/>
  <c r="Y516" i="1"/>
  <c r="Z516" i="1"/>
  <c r="AA516" i="1"/>
  <c r="AC516" i="1"/>
  <c r="AD516" i="1"/>
  <c r="AE516" i="1"/>
  <c r="AF516" i="1"/>
  <c r="AH516" i="1"/>
  <c r="AI516" i="1"/>
  <c r="AJ516" i="1"/>
  <c r="AK516" i="1"/>
  <c r="E517" i="1"/>
  <c r="H517" i="1" s="1"/>
  <c r="F517" i="1"/>
  <c r="G517" i="1" s="1"/>
  <c r="J517" i="1"/>
  <c r="L517" i="1" s="1"/>
  <c r="X517" i="1"/>
  <c r="Y517" i="1"/>
  <c r="AI517" i="1" s="1"/>
  <c r="Z517" i="1"/>
  <c r="AA517" i="1"/>
  <c r="AK517" i="1" s="1"/>
  <c r="AC517" i="1"/>
  <c r="AD517" i="1"/>
  <c r="AE517" i="1"/>
  <c r="AF517" i="1"/>
  <c r="AH517" i="1"/>
  <c r="AJ517" i="1"/>
  <c r="E518" i="1"/>
  <c r="F518" i="1"/>
  <c r="G518" i="1"/>
  <c r="J518" i="1"/>
  <c r="L518" i="1" s="1"/>
  <c r="X518" i="1"/>
  <c r="Y518" i="1"/>
  <c r="Z518" i="1"/>
  <c r="AJ518" i="1" s="1"/>
  <c r="AA518" i="1"/>
  <c r="AC518" i="1"/>
  <c r="AH518" i="1"/>
  <c r="E519" i="1"/>
  <c r="F519" i="1"/>
  <c r="G519" i="1"/>
  <c r="J519" i="1"/>
  <c r="L519" i="1" s="1"/>
  <c r="X519" i="1"/>
  <c r="Y519" i="1"/>
  <c r="AI519" i="1" s="1"/>
  <c r="Z519" i="1"/>
  <c r="AJ519" i="1" s="1"/>
  <c r="AA519" i="1"/>
  <c r="AC519" i="1"/>
  <c r="AD519" i="1"/>
  <c r="AE519" i="1"/>
  <c r="AH519" i="1"/>
  <c r="E520" i="1"/>
  <c r="F520" i="1"/>
  <c r="G520" i="1" s="1"/>
  <c r="J520" i="1"/>
  <c r="L520" i="1" s="1"/>
  <c r="X520" i="1"/>
  <c r="AH520" i="1" s="1"/>
  <c r="Y520" i="1"/>
  <c r="AI520" i="1" s="1"/>
  <c r="Z520" i="1"/>
  <c r="AJ520" i="1" s="1"/>
  <c r="AA520" i="1"/>
  <c r="AC520" i="1"/>
  <c r="AD520" i="1"/>
  <c r="AE520" i="1"/>
  <c r="E521" i="1"/>
  <c r="H521" i="1" s="1"/>
  <c r="F521" i="1"/>
  <c r="G521" i="1" s="1"/>
  <c r="J521" i="1"/>
  <c r="L521" i="1" s="1"/>
  <c r="X521" i="1"/>
  <c r="Y521" i="1"/>
  <c r="Z521" i="1"/>
  <c r="AA521" i="1"/>
  <c r="AC521" i="1"/>
  <c r="AD521" i="1"/>
  <c r="AE521" i="1"/>
  <c r="AF521" i="1"/>
  <c r="AH521" i="1"/>
  <c r="AI521" i="1"/>
  <c r="AJ521" i="1"/>
  <c r="AK521" i="1"/>
  <c r="E522" i="1"/>
  <c r="H522" i="1" s="1"/>
  <c r="F522" i="1"/>
  <c r="G522" i="1" s="1"/>
  <c r="J522" i="1"/>
  <c r="L522" i="1"/>
  <c r="X522" i="1"/>
  <c r="AH522" i="1" s="1"/>
  <c r="Y522" i="1"/>
  <c r="Z522" i="1"/>
  <c r="AA522" i="1"/>
  <c r="AK522" i="1" s="1"/>
  <c r="AC522" i="1"/>
  <c r="AD522" i="1"/>
  <c r="AI522" i="1"/>
  <c r="E523" i="1"/>
  <c r="F523" i="1"/>
  <c r="G523" i="1" s="1"/>
  <c r="H523" i="1"/>
  <c r="J523" i="1"/>
  <c r="L523" i="1" s="1"/>
  <c r="X523" i="1"/>
  <c r="Y523" i="1"/>
  <c r="Z523" i="1"/>
  <c r="AA523" i="1"/>
  <c r="AC523" i="1"/>
  <c r="AD523" i="1"/>
  <c r="AE523" i="1"/>
  <c r="AF523" i="1"/>
  <c r="AH523" i="1"/>
  <c r="AI523" i="1"/>
  <c r="AJ523" i="1"/>
  <c r="AK523" i="1"/>
  <c r="E524" i="1"/>
  <c r="F524" i="1"/>
  <c r="G524" i="1" s="1"/>
  <c r="J524" i="1"/>
  <c r="L524" i="1" s="1"/>
  <c r="X524" i="1"/>
  <c r="AH524" i="1" s="1"/>
  <c r="Y524" i="1"/>
  <c r="AI524" i="1" s="1"/>
  <c r="Z524" i="1"/>
  <c r="AJ524" i="1" s="1"/>
  <c r="AA524" i="1"/>
  <c r="AC524" i="1"/>
  <c r="AD524" i="1"/>
  <c r="AE524" i="1"/>
  <c r="E525" i="1"/>
  <c r="H525" i="1" s="1"/>
  <c r="F525" i="1"/>
  <c r="G525" i="1" s="1"/>
  <c r="J525" i="1"/>
  <c r="L525" i="1" s="1"/>
  <c r="X525" i="1"/>
  <c r="Y525" i="1"/>
  <c r="Z525" i="1"/>
  <c r="AA525" i="1"/>
  <c r="AC525" i="1"/>
  <c r="AD525" i="1"/>
  <c r="AE525" i="1"/>
  <c r="AF525" i="1"/>
  <c r="AH525" i="1"/>
  <c r="AI525" i="1"/>
  <c r="AJ525" i="1"/>
  <c r="AK525" i="1"/>
  <c r="E526" i="1"/>
  <c r="F526" i="1"/>
  <c r="G526" i="1" s="1"/>
  <c r="J526" i="1"/>
  <c r="L526" i="1"/>
  <c r="X526" i="1"/>
  <c r="AH526" i="1" s="1"/>
  <c r="Y526" i="1"/>
  <c r="AI526" i="1" s="1"/>
  <c r="Z526" i="1"/>
  <c r="AA526" i="1"/>
  <c r="AF526" i="1" s="1"/>
  <c r="AC526" i="1"/>
  <c r="AD526" i="1"/>
  <c r="AK526" i="1"/>
  <c r="E527" i="1"/>
  <c r="F527" i="1"/>
  <c r="G527" i="1" s="1"/>
  <c r="J527" i="1"/>
  <c r="L527" i="1"/>
  <c r="X527" i="1"/>
  <c r="AH527" i="1" s="1"/>
  <c r="Y527" i="1"/>
  <c r="Z527" i="1"/>
  <c r="AA527" i="1"/>
  <c r="AK527" i="1" s="1"/>
  <c r="AC527" i="1"/>
  <c r="AD527" i="1"/>
  <c r="AI527" i="1"/>
  <c r="E528" i="1"/>
  <c r="F528" i="1"/>
  <c r="G528" i="1" s="1"/>
  <c r="H528" i="1"/>
  <c r="J528" i="1"/>
  <c r="L528" i="1" s="1"/>
  <c r="X528" i="1"/>
  <c r="AH528" i="1" s="1"/>
  <c r="Y528" i="1"/>
  <c r="AI528" i="1" s="1"/>
  <c r="Z528" i="1"/>
  <c r="AJ528" i="1" s="1"/>
  <c r="AA528" i="1"/>
  <c r="AC528" i="1"/>
  <c r="AD528" i="1"/>
  <c r="AE528" i="1"/>
  <c r="AF528" i="1"/>
  <c r="AK528" i="1"/>
  <c r="J529" i="1"/>
  <c r="L529" i="1" s="1"/>
  <c r="X529" i="1"/>
  <c r="AH529" i="1" s="1"/>
  <c r="Y529" i="1"/>
  <c r="Z529" i="1"/>
  <c r="AJ529" i="1" s="1"/>
  <c r="AA529" i="1"/>
  <c r="AC529" i="1"/>
  <c r="AD529" i="1"/>
  <c r="AE529" i="1"/>
  <c r="AF529" i="1"/>
  <c r="AI529" i="1"/>
  <c r="AK529" i="1"/>
  <c r="J530" i="1"/>
  <c r="L530" i="1"/>
  <c r="X530" i="1"/>
  <c r="Y530" i="1"/>
  <c r="Z530" i="1"/>
  <c r="AA530" i="1"/>
  <c r="AC530" i="1"/>
  <c r="AD530" i="1"/>
  <c r="AE530" i="1"/>
  <c r="AF530" i="1"/>
  <c r="AH530" i="1"/>
  <c r="AI530" i="1"/>
  <c r="AJ530" i="1"/>
  <c r="AK530" i="1"/>
  <c r="J531" i="1"/>
  <c r="L531" i="1" s="1"/>
  <c r="X531" i="1"/>
  <c r="Y531" i="1"/>
  <c r="AI531" i="1" s="1"/>
  <c r="Z531" i="1"/>
  <c r="AA531" i="1"/>
  <c r="AC531" i="1"/>
  <c r="AD531" i="1"/>
  <c r="AE531" i="1"/>
  <c r="AH531" i="1"/>
  <c r="AJ531" i="1"/>
  <c r="J532" i="1"/>
  <c r="L532" i="1" s="1"/>
  <c r="X532" i="1"/>
  <c r="Y532" i="1"/>
  <c r="Z532" i="1"/>
  <c r="AA532" i="1"/>
  <c r="AC532" i="1"/>
  <c r="AD532" i="1"/>
  <c r="AE532" i="1"/>
  <c r="AF532" i="1"/>
  <c r="AH532" i="1"/>
  <c r="AI532" i="1"/>
  <c r="AJ532" i="1"/>
  <c r="AK532" i="1"/>
  <c r="J533" i="1"/>
  <c r="L533" i="1"/>
  <c r="X533" i="1"/>
  <c r="Y533" i="1"/>
  <c r="Z533" i="1"/>
  <c r="AA533" i="1"/>
  <c r="AC533" i="1"/>
  <c r="AD533" i="1"/>
  <c r="AE533" i="1"/>
  <c r="AF533" i="1"/>
  <c r="AH533" i="1"/>
  <c r="AI533" i="1"/>
  <c r="AJ533" i="1"/>
  <c r="AK533" i="1"/>
  <c r="J534" i="1"/>
  <c r="L534" i="1" s="1"/>
  <c r="X534" i="1"/>
  <c r="Y534" i="1"/>
  <c r="Z534" i="1"/>
  <c r="AJ534" i="1" s="1"/>
  <c r="AA534" i="1"/>
  <c r="AC534" i="1"/>
  <c r="AH534" i="1"/>
  <c r="J535" i="1"/>
  <c r="L535" i="1" s="1"/>
  <c r="X535" i="1"/>
  <c r="AH535" i="1" s="1"/>
  <c r="Y535" i="1"/>
  <c r="AI535" i="1" s="1"/>
  <c r="Z535" i="1"/>
  <c r="AJ535" i="1" s="1"/>
  <c r="AA535" i="1"/>
  <c r="AC535" i="1"/>
  <c r="AD535" i="1"/>
  <c r="AE535" i="1"/>
  <c r="J536" i="1"/>
  <c r="L536" i="1" s="1"/>
  <c r="X536" i="1"/>
  <c r="Y536" i="1"/>
  <c r="AI536" i="1" s="1"/>
  <c r="Z536" i="1"/>
  <c r="AA536" i="1"/>
  <c r="AC536" i="1"/>
  <c r="AD536" i="1"/>
  <c r="AE536" i="1"/>
  <c r="AH536" i="1"/>
  <c r="AJ536" i="1"/>
  <c r="J537" i="1"/>
  <c r="L537" i="1" s="1"/>
  <c r="X537" i="1"/>
  <c r="Y537" i="1"/>
  <c r="Z537" i="1"/>
  <c r="AA537" i="1"/>
  <c r="AC537" i="1"/>
  <c r="AD537" i="1"/>
  <c r="AE537" i="1"/>
  <c r="AF537" i="1"/>
  <c r="AH537" i="1"/>
  <c r="AI537" i="1"/>
  <c r="AJ537" i="1"/>
  <c r="AK537" i="1"/>
  <c r="J538" i="1"/>
  <c r="L538" i="1"/>
  <c r="X538" i="1"/>
  <c r="AH538" i="1" s="1"/>
  <c r="Y538" i="1"/>
  <c r="Z538" i="1"/>
  <c r="AA538" i="1"/>
  <c r="AK538" i="1" s="1"/>
  <c r="AC538" i="1"/>
  <c r="AD538" i="1"/>
  <c r="AI538" i="1"/>
  <c r="J539" i="1"/>
  <c r="L539" i="1"/>
  <c r="X539" i="1"/>
  <c r="Y539" i="1"/>
  <c r="Z539" i="1"/>
  <c r="AA539" i="1"/>
  <c r="AC539" i="1"/>
  <c r="AD539" i="1"/>
  <c r="AE539" i="1"/>
  <c r="AF539" i="1"/>
  <c r="AH539" i="1"/>
  <c r="AI539" i="1"/>
  <c r="AJ539" i="1"/>
  <c r="AK539" i="1"/>
  <c r="J540" i="1"/>
  <c r="L540" i="1" s="1"/>
  <c r="X540" i="1"/>
  <c r="Y540" i="1"/>
  <c r="AI540" i="1" s="1"/>
  <c r="Z540" i="1"/>
  <c r="AA540" i="1"/>
  <c r="AC540" i="1"/>
  <c r="AD540" i="1"/>
  <c r="AE540" i="1"/>
  <c r="AH540" i="1"/>
  <c r="AJ540" i="1"/>
  <c r="J541" i="1"/>
  <c r="L541" i="1" s="1"/>
  <c r="X541" i="1"/>
  <c r="Y541" i="1"/>
  <c r="Z541" i="1"/>
  <c r="AA541" i="1"/>
  <c r="AC541" i="1"/>
  <c r="AD541" i="1"/>
  <c r="AE541" i="1"/>
  <c r="AF541" i="1"/>
  <c r="AH541" i="1"/>
  <c r="AI541" i="1"/>
  <c r="AJ541" i="1"/>
  <c r="AK541" i="1"/>
  <c r="J542" i="1"/>
  <c r="L542" i="1"/>
  <c r="X542" i="1"/>
  <c r="AH542" i="1" s="1"/>
  <c r="Y542" i="1"/>
  <c r="Z542" i="1"/>
  <c r="AJ542" i="1" s="1"/>
  <c r="AA542" i="1"/>
  <c r="AK542" i="1" s="1"/>
  <c r="AC542" i="1"/>
  <c r="AD542" i="1"/>
  <c r="AE542" i="1"/>
  <c r="AF542" i="1"/>
  <c r="AI542" i="1"/>
  <c r="J543" i="1"/>
  <c r="L543" i="1"/>
  <c r="X543" i="1"/>
  <c r="Y543" i="1"/>
  <c r="Z543" i="1"/>
  <c r="AA543" i="1"/>
  <c r="AC543" i="1"/>
  <c r="AD543" i="1"/>
  <c r="AE543" i="1"/>
  <c r="AF543" i="1"/>
  <c r="AH543" i="1"/>
  <c r="AI543" i="1"/>
  <c r="AJ543" i="1"/>
  <c r="AK543" i="1"/>
  <c r="J544" i="1"/>
  <c r="L544" i="1" s="1"/>
  <c r="X544" i="1"/>
  <c r="Y544" i="1"/>
  <c r="AI544" i="1" s="1"/>
  <c r="Z544" i="1"/>
  <c r="AJ544" i="1" s="1"/>
  <c r="AA544" i="1"/>
  <c r="AF544" i="1" s="1"/>
  <c r="AC544" i="1"/>
  <c r="AD544" i="1"/>
  <c r="AE544" i="1"/>
  <c r="AH544" i="1"/>
  <c r="J545" i="1"/>
  <c r="L545" i="1" s="1"/>
  <c r="X545" i="1"/>
  <c r="Y545" i="1"/>
  <c r="AI545" i="1" s="1"/>
  <c r="Z545" i="1"/>
  <c r="AJ545" i="1" s="1"/>
  <c r="AA545" i="1"/>
  <c r="AK545" i="1" s="1"/>
  <c r="AC545" i="1"/>
  <c r="AD545" i="1"/>
  <c r="AE545" i="1"/>
  <c r="AF545" i="1"/>
  <c r="AH545" i="1"/>
  <c r="J546" i="1"/>
  <c r="L546" i="1" s="1"/>
  <c r="X546" i="1"/>
  <c r="Y546" i="1"/>
  <c r="Z546" i="1"/>
  <c r="AA546" i="1"/>
  <c r="AC546" i="1"/>
  <c r="AD546" i="1"/>
  <c r="AE546" i="1"/>
  <c r="AF546" i="1"/>
  <c r="AH546" i="1"/>
  <c r="AI546" i="1"/>
  <c r="AJ546" i="1"/>
  <c r="AK546" i="1"/>
  <c r="J547" i="1"/>
  <c r="L547" i="1" s="1"/>
  <c r="X547" i="1"/>
  <c r="AH547" i="1" s="1"/>
  <c r="Y547" i="1"/>
  <c r="AI547" i="1" s="1"/>
  <c r="Z547" i="1"/>
  <c r="AA547" i="1"/>
  <c r="AC547" i="1"/>
  <c r="AD547" i="1"/>
  <c r="AF547" i="1"/>
  <c r="AK547" i="1"/>
  <c r="J548" i="1"/>
  <c r="L548" i="1" s="1"/>
  <c r="X548" i="1"/>
  <c r="Y548" i="1"/>
  <c r="Z548" i="1"/>
  <c r="AA548" i="1"/>
  <c r="AC548" i="1"/>
  <c r="AD548" i="1"/>
  <c r="AE548" i="1"/>
  <c r="AF548" i="1"/>
  <c r="AH548" i="1"/>
  <c r="AI548" i="1"/>
  <c r="AJ548" i="1"/>
  <c r="AK548" i="1"/>
  <c r="J549" i="1"/>
  <c r="L549" i="1" s="1"/>
  <c r="X549" i="1"/>
  <c r="Y549" i="1"/>
  <c r="Z549" i="1"/>
  <c r="AA549" i="1"/>
  <c r="AK549" i="1" s="1"/>
  <c r="AC549" i="1"/>
  <c r="AD549" i="1"/>
  <c r="AE549" i="1"/>
  <c r="AF549" i="1"/>
  <c r="AH549" i="1"/>
  <c r="AI549" i="1"/>
  <c r="AJ549" i="1"/>
  <c r="J550" i="1"/>
  <c r="L550" i="1" s="1"/>
  <c r="X550" i="1"/>
  <c r="Y550" i="1"/>
  <c r="Z550" i="1"/>
  <c r="AA550" i="1"/>
  <c r="AC550" i="1"/>
  <c r="AD550" i="1"/>
  <c r="AE550" i="1"/>
  <c r="AF550" i="1"/>
  <c r="AH550" i="1"/>
  <c r="AI550" i="1"/>
  <c r="AJ550" i="1"/>
  <c r="AK550" i="1"/>
  <c r="J551" i="1"/>
  <c r="L551" i="1"/>
  <c r="X551" i="1"/>
  <c r="AH551" i="1" s="1"/>
  <c r="Y551" i="1"/>
  <c r="Z551" i="1"/>
  <c r="AE551" i="1" s="1"/>
  <c r="AA551" i="1"/>
  <c r="AK551" i="1" s="1"/>
  <c r="AC551" i="1"/>
  <c r="AD551" i="1"/>
  <c r="AI551" i="1"/>
  <c r="AJ551" i="1"/>
  <c r="J552" i="1"/>
  <c r="L552" i="1"/>
  <c r="X552" i="1"/>
  <c r="Y552" i="1"/>
  <c r="Z552" i="1"/>
  <c r="AA552" i="1"/>
  <c r="AC552" i="1"/>
  <c r="AD552" i="1"/>
  <c r="AE552" i="1"/>
  <c r="AF552" i="1"/>
  <c r="AH552" i="1"/>
  <c r="AI552" i="1"/>
  <c r="AJ552" i="1"/>
  <c r="AK552" i="1"/>
  <c r="J553" i="1"/>
  <c r="L553" i="1" s="1"/>
  <c r="X553" i="1"/>
  <c r="Y553" i="1"/>
  <c r="Z553" i="1"/>
  <c r="AA553" i="1"/>
  <c r="AC553" i="1"/>
  <c r="AD553" i="1"/>
  <c r="AE553" i="1"/>
  <c r="AF553" i="1"/>
  <c r="AH553" i="1"/>
  <c r="AI553" i="1"/>
  <c r="AJ553" i="1"/>
  <c r="AK553" i="1"/>
  <c r="J554" i="1"/>
  <c r="L554" i="1"/>
  <c r="X554" i="1"/>
  <c r="Y554" i="1"/>
  <c r="Z554" i="1"/>
  <c r="AA554" i="1"/>
  <c r="AC554" i="1"/>
  <c r="AD554" i="1"/>
  <c r="AE554" i="1"/>
  <c r="AF554" i="1"/>
  <c r="AH554" i="1"/>
  <c r="AI554" i="1"/>
  <c r="AJ554" i="1"/>
  <c r="AK554" i="1"/>
  <c r="J555" i="1"/>
  <c r="L555" i="1" s="1"/>
  <c r="X555" i="1"/>
  <c r="Y555" i="1"/>
  <c r="Z555" i="1"/>
  <c r="AA555" i="1"/>
  <c r="AC555" i="1"/>
  <c r="AD555" i="1"/>
  <c r="AE555" i="1"/>
  <c r="AF555" i="1"/>
  <c r="AH555" i="1"/>
  <c r="AI555" i="1"/>
  <c r="AJ555" i="1"/>
  <c r="AK555" i="1"/>
  <c r="J556" i="1"/>
  <c r="L556" i="1"/>
  <c r="X556" i="1"/>
  <c r="AH556" i="1" s="1"/>
  <c r="Y556" i="1"/>
  <c r="AI556" i="1" s="1"/>
  <c r="Z556" i="1"/>
  <c r="AA556" i="1"/>
  <c r="AF556" i="1" s="1"/>
  <c r="AC556" i="1"/>
  <c r="AD556" i="1"/>
  <c r="AE556" i="1"/>
  <c r="AJ556" i="1"/>
  <c r="AK556" i="1"/>
  <c r="J557" i="1"/>
  <c r="L557" i="1"/>
  <c r="X557" i="1"/>
  <c r="Y557" i="1"/>
  <c r="Z557" i="1"/>
  <c r="AA557" i="1"/>
  <c r="AC557" i="1"/>
  <c r="AD557" i="1"/>
  <c r="AE557" i="1"/>
  <c r="AF557" i="1"/>
  <c r="AH557" i="1"/>
  <c r="AI557" i="1"/>
  <c r="AJ557" i="1"/>
  <c r="AK557" i="1"/>
  <c r="J558" i="1"/>
  <c r="L558" i="1" s="1"/>
  <c r="X558" i="1"/>
  <c r="Y558" i="1"/>
  <c r="Z558" i="1"/>
  <c r="AA558" i="1"/>
  <c r="AC558" i="1"/>
  <c r="AD558" i="1"/>
  <c r="AE558" i="1"/>
  <c r="AF558" i="1"/>
  <c r="AH558" i="1"/>
  <c r="AI558" i="1"/>
  <c r="AJ558" i="1"/>
  <c r="AK558" i="1"/>
  <c r="J559" i="1"/>
  <c r="L559" i="1" s="1"/>
  <c r="X559" i="1"/>
  <c r="Y559" i="1"/>
  <c r="AI559" i="1" s="1"/>
  <c r="Z559" i="1"/>
  <c r="AA559" i="1"/>
  <c r="AK559" i="1" s="1"/>
  <c r="AC559" i="1"/>
  <c r="AD559" i="1"/>
  <c r="AF559" i="1"/>
  <c r="AH559" i="1"/>
  <c r="J560" i="1"/>
  <c r="L560" i="1" s="1"/>
  <c r="X560" i="1"/>
  <c r="Y560" i="1"/>
  <c r="Z560" i="1"/>
  <c r="AJ560" i="1" s="1"/>
  <c r="AA560" i="1"/>
  <c r="AC560" i="1"/>
  <c r="AD560" i="1"/>
  <c r="AE560" i="1"/>
  <c r="AF560" i="1"/>
  <c r="AH560" i="1"/>
  <c r="AI560" i="1"/>
  <c r="AK560" i="1"/>
  <c r="J561" i="1"/>
  <c r="L561" i="1" s="1"/>
  <c r="X561" i="1"/>
  <c r="Y561" i="1"/>
  <c r="Z561" i="1"/>
  <c r="AA561" i="1"/>
  <c r="AC561" i="1"/>
  <c r="AD561" i="1"/>
  <c r="AE561" i="1"/>
  <c r="AF561" i="1"/>
  <c r="AH561" i="1"/>
  <c r="AI561" i="1"/>
  <c r="AJ561" i="1"/>
  <c r="AK561" i="1"/>
  <c r="J562" i="1"/>
  <c r="L562" i="1" s="1"/>
  <c r="X562" i="1"/>
  <c r="Y562" i="1"/>
  <c r="Z562" i="1"/>
  <c r="AA562" i="1"/>
  <c r="AC562" i="1"/>
  <c r="AD562" i="1"/>
  <c r="AE562" i="1"/>
  <c r="AF562" i="1"/>
  <c r="AH562" i="1"/>
  <c r="AI562" i="1"/>
  <c r="AJ562" i="1"/>
  <c r="AK562" i="1"/>
  <c r="J563" i="1"/>
  <c r="L563" i="1"/>
  <c r="X563" i="1"/>
  <c r="Y563" i="1"/>
  <c r="Z563" i="1"/>
  <c r="AA563" i="1"/>
  <c r="AC563" i="1"/>
  <c r="AD563" i="1"/>
  <c r="AE563" i="1"/>
  <c r="AF563" i="1"/>
  <c r="AH563" i="1"/>
  <c r="AI563" i="1"/>
  <c r="AJ563" i="1"/>
  <c r="AK563" i="1"/>
  <c r="J564" i="1"/>
  <c r="L564" i="1" s="1"/>
  <c r="X564" i="1"/>
  <c r="Y564" i="1"/>
  <c r="Z564" i="1"/>
  <c r="AA564" i="1"/>
  <c r="AC564" i="1"/>
  <c r="AD564" i="1"/>
  <c r="AE564" i="1"/>
  <c r="AF564" i="1"/>
  <c r="AH564" i="1"/>
  <c r="AI564" i="1"/>
  <c r="AJ564" i="1"/>
  <c r="AK564" i="1"/>
  <c r="J565" i="1"/>
  <c r="L565" i="1" s="1"/>
  <c r="X565" i="1"/>
  <c r="Y565" i="1"/>
  <c r="Z565" i="1"/>
  <c r="AA565" i="1"/>
  <c r="AC565" i="1"/>
  <c r="AD565" i="1"/>
  <c r="AE565" i="1"/>
  <c r="AF565" i="1"/>
  <c r="AH565" i="1"/>
  <c r="AI565" i="1"/>
  <c r="AJ565" i="1"/>
  <c r="AK565" i="1"/>
  <c r="J566" i="1"/>
  <c r="L566" i="1" s="1"/>
  <c r="X566" i="1"/>
  <c r="Y566" i="1"/>
  <c r="Z566" i="1"/>
  <c r="AA566" i="1"/>
  <c r="AC566" i="1"/>
  <c r="AD566" i="1"/>
  <c r="AE566" i="1"/>
  <c r="AF566" i="1"/>
  <c r="AH566" i="1"/>
  <c r="AI566" i="1"/>
  <c r="AJ566" i="1"/>
  <c r="AK566" i="1"/>
  <c r="J567" i="1"/>
  <c r="L567" i="1" s="1"/>
  <c r="X567" i="1"/>
  <c r="AH567" i="1" s="1"/>
  <c r="Y567" i="1"/>
  <c r="Z567" i="1"/>
  <c r="AE567" i="1" s="1"/>
  <c r="AA567" i="1"/>
  <c r="AK567" i="1" s="1"/>
  <c r="AC567" i="1"/>
  <c r="AD567" i="1"/>
  <c r="AF567" i="1"/>
  <c r="AI567" i="1"/>
  <c r="J568" i="1"/>
  <c r="L568" i="1" s="1"/>
  <c r="X568" i="1"/>
  <c r="AH568" i="1" s="1"/>
  <c r="Y568" i="1"/>
  <c r="Z568" i="1"/>
  <c r="AJ568" i="1" s="1"/>
  <c r="AA568" i="1"/>
  <c r="AF568" i="1" s="1"/>
  <c r="AC568" i="1"/>
  <c r="AD568" i="1"/>
  <c r="AE568" i="1"/>
  <c r="AI568" i="1"/>
  <c r="J569" i="1"/>
  <c r="L569" i="1" s="1"/>
  <c r="X569" i="1"/>
  <c r="Y569" i="1"/>
  <c r="Z569" i="1"/>
  <c r="AA569" i="1"/>
  <c r="AC569" i="1"/>
  <c r="AD569" i="1"/>
  <c r="AE569" i="1"/>
  <c r="AF569" i="1"/>
  <c r="AH569" i="1"/>
  <c r="AI569" i="1"/>
  <c r="AJ569" i="1"/>
  <c r="AK569" i="1"/>
  <c r="J570" i="1"/>
  <c r="L570" i="1" s="1"/>
  <c r="X570" i="1"/>
  <c r="Y570" i="1"/>
  <c r="Z570" i="1"/>
  <c r="AA570" i="1"/>
  <c r="AC570" i="1"/>
  <c r="AD570" i="1"/>
  <c r="AE570" i="1"/>
  <c r="AF570" i="1"/>
  <c r="AH570" i="1"/>
  <c r="AI570" i="1"/>
  <c r="AJ570" i="1"/>
  <c r="AK570" i="1"/>
  <c r="J571" i="1"/>
  <c r="L571" i="1" s="1"/>
  <c r="X571" i="1"/>
  <c r="Y571" i="1"/>
  <c r="Z571" i="1"/>
  <c r="AA571" i="1"/>
  <c r="AC571" i="1"/>
  <c r="AD571" i="1"/>
  <c r="AE571" i="1"/>
  <c r="AF571" i="1"/>
  <c r="AH571" i="1"/>
  <c r="AI571" i="1"/>
  <c r="AJ571" i="1"/>
  <c r="AK571" i="1"/>
  <c r="J572" i="1"/>
  <c r="L572" i="1" s="1"/>
  <c r="X572" i="1"/>
  <c r="Y572" i="1"/>
  <c r="Z572" i="1"/>
  <c r="AA572" i="1"/>
  <c r="AC572" i="1"/>
  <c r="AD572" i="1"/>
  <c r="AE572" i="1"/>
  <c r="AF572" i="1"/>
  <c r="AH572" i="1"/>
  <c r="AI572" i="1"/>
  <c r="AJ572" i="1"/>
  <c r="AK572" i="1"/>
  <c r="J573" i="1"/>
  <c r="L573" i="1" s="1"/>
  <c r="X573" i="1"/>
  <c r="Y573" i="1"/>
  <c r="Z573" i="1"/>
  <c r="AA573" i="1"/>
  <c r="AC573" i="1"/>
  <c r="AD573" i="1"/>
  <c r="AE573" i="1"/>
  <c r="AF573" i="1"/>
  <c r="AH573" i="1"/>
  <c r="AI573" i="1"/>
  <c r="AJ573" i="1"/>
  <c r="AK573" i="1"/>
  <c r="J574" i="1"/>
  <c r="L574" i="1" s="1"/>
  <c r="X574" i="1"/>
  <c r="AH574" i="1" s="1"/>
  <c r="Y574" i="1"/>
  <c r="Z574" i="1"/>
  <c r="AA574" i="1"/>
  <c r="AF574" i="1" s="1"/>
  <c r="AC574" i="1"/>
  <c r="AE574" i="1"/>
  <c r="AJ574" i="1"/>
  <c r="AK574" i="1"/>
  <c r="J575" i="1"/>
  <c r="L575" i="1" s="1"/>
  <c r="X575" i="1"/>
  <c r="Y575" i="1"/>
  <c r="AI575" i="1" s="1"/>
  <c r="Z575" i="1"/>
  <c r="AA575" i="1"/>
  <c r="AK575" i="1" s="1"/>
  <c r="AC575" i="1"/>
  <c r="AD575" i="1"/>
  <c r="AE575" i="1"/>
  <c r="AF575" i="1"/>
  <c r="AH575" i="1"/>
  <c r="AJ575" i="1"/>
  <c r="J576" i="1"/>
  <c r="L576" i="1" s="1"/>
  <c r="X576" i="1"/>
  <c r="AH576" i="1" s="1"/>
  <c r="Y576" i="1"/>
  <c r="AI576" i="1" s="1"/>
  <c r="Z576" i="1"/>
  <c r="AJ576" i="1" s="1"/>
  <c r="AA576" i="1"/>
  <c r="AK576" i="1" s="1"/>
  <c r="AC576" i="1"/>
  <c r="AD576" i="1"/>
  <c r="AE576" i="1"/>
  <c r="AF576" i="1"/>
  <c r="J577" i="1"/>
  <c r="L577" i="1" s="1"/>
  <c r="X577" i="1"/>
  <c r="Y577" i="1"/>
  <c r="Z577" i="1"/>
  <c r="AA577" i="1"/>
  <c r="AC577" i="1"/>
  <c r="AD577" i="1"/>
  <c r="AE577" i="1"/>
  <c r="AF577" i="1"/>
  <c r="AH577" i="1"/>
  <c r="AI577" i="1"/>
  <c r="AJ577" i="1"/>
  <c r="AK577" i="1"/>
  <c r="N577" i="1" s="1"/>
  <c r="J578" i="1"/>
  <c r="L578" i="1" s="1"/>
  <c r="X578" i="1"/>
  <c r="Y578" i="1"/>
  <c r="Z578" i="1"/>
  <c r="AA578" i="1"/>
  <c r="AC578" i="1"/>
  <c r="AD578" i="1"/>
  <c r="AE578" i="1"/>
  <c r="AF578" i="1"/>
  <c r="AH578" i="1"/>
  <c r="AI578" i="1"/>
  <c r="AJ578" i="1"/>
  <c r="AK578" i="1"/>
  <c r="J579" i="1"/>
  <c r="L579" i="1" s="1"/>
  <c r="X579" i="1"/>
  <c r="AH579" i="1" s="1"/>
  <c r="Y579" i="1"/>
  <c r="AI579" i="1" s="1"/>
  <c r="Z579" i="1"/>
  <c r="AA579" i="1"/>
  <c r="AC579" i="1"/>
  <c r="AD579" i="1"/>
  <c r="AE579" i="1"/>
  <c r="AJ579" i="1"/>
  <c r="J580" i="1"/>
  <c r="L580" i="1" s="1"/>
  <c r="X580" i="1"/>
  <c r="Y580" i="1"/>
  <c r="Z580" i="1"/>
  <c r="AA580" i="1"/>
  <c r="AC580" i="1"/>
  <c r="AD580" i="1"/>
  <c r="AE580" i="1"/>
  <c r="AF580" i="1"/>
  <c r="AH580" i="1"/>
  <c r="AI580" i="1"/>
  <c r="AJ580" i="1"/>
  <c r="AK580" i="1"/>
  <c r="J581" i="1"/>
  <c r="L581" i="1"/>
  <c r="X581" i="1"/>
  <c r="AH581" i="1" s="1"/>
  <c r="Y581" i="1"/>
  <c r="Z581" i="1"/>
  <c r="AA581" i="1"/>
  <c r="AC581" i="1"/>
  <c r="AD581" i="1"/>
  <c r="AE581" i="1"/>
  <c r="AF581" i="1"/>
  <c r="AI581" i="1"/>
  <c r="AJ581" i="1"/>
  <c r="AK581" i="1"/>
  <c r="J582" i="1"/>
  <c r="L582" i="1" s="1"/>
  <c r="X582" i="1"/>
  <c r="Y582" i="1"/>
  <c r="Z582" i="1"/>
  <c r="AA582" i="1"/>
  <c r="AC582" i="1"/>
  <c r="AD582" i="1"/>
  <c r="AE582" i="1"/>
  <c r="AF582" i="1"/>
  <c r="AH582" i="1"/>
  <c r="AI582" i="1"/>
  <c r="AJ582" i="1"/>
  <c r="AK582" i="1"/>
  <c r="J583" i="1"/>
  <c r="L583" i="1" s="1"/>
  <c r="X583" i="1"/>
  <c r="Y583" i="1"/>
  <c r="Z583" i="1"/>
  <c r="AA583" i="1"/>
  <c r="AC583" i="1"/>
  <c r="AD583" i="1"/>
  <c r="AE583" i="1"/>
  <c r="AF583" i="1"/>
  <c r="AH583" i="1"/>
  <c r="AI583" i="1"/>
  <c r="AJ583" i="1"/>
  <c r="AK583" i="1"/>
  <c r="J584" i="1"/>
  <c r="L584" i="1"/>
  <c r="X584" i="1"/>
  <c r="Y584" i="1"/>
  <c r="Z584" i="1"/>
  <c r="AJ584" i="1" s="1"/>
  <c r="AA584" i="1"/>
  <c r="AK584" i="1" s="1"/>
  <c r="AC584" i="1"/>
  <c r="AD584" i="1"/>
  <c r="AE584" i="1"/>
  <c r="AF584" i="1"/>
  <c r="AH584" i="1"/>
  <c r="AI584" i="1"/>
  <c r="J585" i="1"/>
  <c r="L585" i="1" s="1"/>
  <c r="X585" i="1"/>
  <c r="Y585" i="1"/>
  <c r="Z585" i="1"/>
  <c r="AA585" i="1"/>
  <c r="AC585" i="1"/>
  <c r="AD585" i="1"/>
  <c r="AE585" i="1"/>
  <c r="AF585" i="1"/>
  <c r="AH585" i="1"/>
  <c r="AI585" i="1"/>
  <c r="AJ585" i="1"/>
  <c r="AK585" i="1"/>
  <c r="J586" i="1"/>
  <c r="L586" i="1" s="1"/>
  <c r="X586" i="1"/>
  <c r="Y586" i="1"/>
  <c r="Z586" i="1"/>
  <c r="AA586" i="1"/>
  <c r="AC586" i="1"/>
  <c r="AD586" i="1"/>
  <c r="AE586" i="1"/>
  <c r="AF586" i="1"/>
  <c r="AH586" i="1"/>
  <c r="AI586" i="1"/>
  <c r="AJ586" i="1"/>
  <c r="AK586" i="1"/>
  <c r="J587" i="1"/>
  <c r="L587" i="1"/>
  <c r="X587" i="1"/>
  <c r="Y587" i="1"/>
  <c r="Z587" i="1"/>
  <c r="AA587" i="1"/>
  <c r="AC587" i="1"/>
  <c r="AD587" i="1"/>
  <c r="AE587" i="1"/>
  <c r="AF587" i="1"/>
  <c r="AH587" i="1"/>
  <c r="AI587" i="1"/>
  <c r="AJ587" i="1"/>
  <c r="AK587" i="1"/>
  <c r="J588" i="1"/>
  <c r="L588" i="1" s="1"/>
  <c r="X588" i="1"/>
  <c r="AH588" i="1" s="1"/>
  <c r="Y588" i="1"/>
  <c r="AI588" i="1" s="1"/>
  <c r="Z588" i="1"/>
  <c r="AA588" i="1"/>
  <c r="AK588" i="1" s="1"/>
  <c r="AC588" i="1"/>
  <c r="AD588" i="1"/>
  <c r="AE588" i="1"/>
  <c r="AF588" i="1"/>
  <c r="AJ588" i="1"/>
  <c r="J589" i="1"/>
  <c r="L589" i="1" s="1"/>
  <c r="X589" i="1"/>
  <c r="Y589" i="1"/>
  <c r="Z589" i="1"/>
  <c r="AA589" i="1"/>
  <c r="AC589" i="1"/>
  <c r="AD589" i="1"/>
  <c r="AE589" i="1"/>
  <c r="AF589" i="1"/>
  <c r="AH589" i="1"/>
  <c r="AI589" i="1"/>
  <c r="AJ589" i="1"/>
  <c r="AK589" i="1"/>
  <c r="J590" i="1"/>
  <c r="L590" i="1" s="1"/>
  <c r="X590" i="1"/>
  <c r="Y590" i="1"/>
  <c r="Z590" i="1"/>
  <c r="AA590" i="1"/>
  <c r="AC590" i="1"/>
  <c r="AD590" i="1"/>
  <c r="AE590" i="1"/>
  <c r="AF590" i="1"/>
  <c r="AH590" i="1"/>
  <c r="AI590" i="1"/>
  <c r="AJ590" i="1"/>
  <c r="AK590" i="1"/>
  <c r="J591" i="1"/>
  <c r="L591" i="1" s="1"/>
  <c r="X591" i="1"/>
  <c r="Y591" i="1"/>
  <c r="AI591" i="1" s="1"/>
  <c r="Z591" i="1"/>
  <c r="AJ591" i="1" s="1"/>
  <c r="AA591" i="1"/>
  <c r="AC591" i="1"/>
  <c r="AD591" i="1"/>
  <c r="AE591" i="1"/>
  <c r="AH591" i="1"/>
  <c r="J592" i="1"/>
  <c r="L592" i="1" s="1"/>
  <c r="X592" i="1"/>
  <c r="Y592" i="1"/>
  <c r="Z592" i="1"/>
  <c r="AA592" i="1"/>
  <c r="AC592" i="1"/>
  <c r="AD592" i="1"/>
  <c r="AE592" i="1"/>
  <c r="AF592" i="1"/>
  <c r="AH592" i="1"/>
  <c r="AI592" i="1"/>
  <c r="AJ592" i="1"/>
  <c r="AK592" i="1"/>
  <c r="J593" i="1"/>
  <c r="L593" i="1" s="1"/>
  <c r="X593" i="1"/>
  <c r="Y593" i="1"/>
  <c r="Z593" i="1"/>
  <c r="AA593" i="1"/>
  <c r="AC593" i="1"/>
  <c r="AD593" i="1"/>
  <c r="AE593" i="1"/>
  <c r="AF593" i="1"/>
  <c r="AH593" i="1"/>
  <c r="AI593" i="1"/>
  <c r="AJ593" i="1"/>
  <c r="AK593" i="1"/>
  <c r="J594" i="1"/>
  <c r="L594" i="1" s="1"/>
  <c r="X594" i="1"/>
  <c r="Y594" i="1"/>
  <c r="Z594" i="1"/>
  <c r="AA594" i="1"/>
  <c r="AC594" i="1"/>
  <c r="AD594" i="1"/>
  <c r="AE594" i="1"/>
  <c r="AF594" i="1"/>
  <c r="AH594" i="1"/>
  <c r="AI594" i="1"/>
  <c r="AJ594" i="1"/>
  <c r="AK594" i="1"/>
  <c r="J595" i="1"/>
  <c r="L595" i="1" s="1"/>
  <c r="X595" i="1"/>
  <c r="Y595" i="1"/>
  <c r="Z595" i="1"/>
  <c r="AA595" i="1"/>
  <c r="AK595" i="1" s="1"/>
  <c r="AC595" i="1"/>
  <c r="AD595" i="1"/>
  <c r="AH595" i="1"/>
  <c r="AI595" i="1"/>
  <c r="J596" i="1"/>
  <c r="L596" i="1"/>
  <c r="X596" i="1"/>
  <c r="Y596" i="1"/>
  <c r="Z596" i="1"/>
  <c r="AA596" i="1"/>
  <c r="AC596" i="1"/>
  <c r="AD596" i="1"/>
  <c r="AE596" i="1"/>
  <c r="AF596" i="1"/>
  <c r="AH596" i="1"/>
  <c r="AI596" i="1"/>
  <c r="AJ596" i="1"/>
  <c r="AK596" i="1"/>
  <c r="J597" i="1"/>
  <c r="L597" i="1" s="1"/>
  <c r="X597" i="1"/>
  <c r="Y597" i="1"/>
  <c r="Z597" i="1"/>
  <c r="AA597" i="1"/>
  <c r="AC597" i="1"/>
  <c r="AD597" i="1"/>
  <c r="AE597" i="1"/>
  <c r="AF597" i="1"/>
  <c r="AH597" i="1"/>
  <c r="AI597" i="1"/>
  <c r="AJ597" i="1"/>
  <c r="AK597" i="1"/>
  <c r="J598" i="1"/>
  <c r="L598" i="1"/>
  <c r="X598" i="1"/>
  <c r="Y598" i="1"/>
  <c r="Z598" i="1"/>
  <c r="AA598" i="1"/>
  <c r="AC598" i="1"/>
  <c r="AD598" i="1"/>
  <c r="AE598" i="1"/>
  <c r="AF598" i="1"/>
  <c r="AH598" i="1"/>
  <c r="AI598" i="1"/>
  <c r="AJ598" i="1"/>
  <c r="AK598" i="1"/>
  <c r="J599" i="1"/>
  <c r="L599" i="1" s="1"/>
  <c r="X599" i="1"/>
  <c r="Y599" i="1"/>
  <c r="Z599" i="1"/>
  <c r="AA599" i="1"/>
  <c r="AC599" i="1"/>
  <c r="AD599" i="1"/>
  <c r="AE599" i="1"/>
  <c r="AF599" i="1"/>
  <c r="AH599" i="1"/>
  <c r="AI599" i="1"/>
  <c r="AJ599" i="1"/>
  <c r="AK599" i="1"/>
  <c r="J600" i="1"/>
  <c r="L600" i="1"/>
  <c r="X600" i="1"/>
  <c r="Y600" i="1"/>
  <c r="Z600" i="1"/>
  <c r="AJ600" i="1" s="1"/>
  <c r="AA600" i="1"/>
  <c r="AK600" i="1" s="1"/>
  <c r="AC600" i="1"/>
  <c r="AD600" i="1"/>
  <c r="AE600" i="1"/>
  <c r="AF600" i="1"/>
  <c r="AH600" i="1"/>
  <c r="AI600" i="1"/>
  <c r="J601" i="1"/>
  <c r="L601" i="1" s="1"/>
  <c r="X601" i="1"/>
  <c r="Y601" i="1"/>
  <c r="Z601" i="1"/>
  <c r="AA601" i="1"/>
  <c r="AC601" i="1"/>
  <c r="AD601" i="1"/>
  <c r="AE601" i="1"/>
  <c r="AF601" i="1"/>
  <c r="AH601" i="1"/>
  <c r="AI601" i="1"/>
  <c r="AJ601" i="1"/>
  <c r="AK601" i="1"/>
  <c r="J602" i="1"/>
  <c r="L602" i="1" s="1"/>
  <c r="X602" i="1"/>
  <c r="Y602" i="1"/>
  <c r="Z602" i="1"/>
  <c r="AA602" i="1"/>
  <c r="AC602" i="1"/>
  <c r="AD602" i="1"/>
  <c r="AE602" i="1"/>
  <c r="AF602" i="1"/>
  <c r="AH602" i="1"/>
  <c r="AI602" i="1"/>
  <c r="AJ602" i="1"/>
  <c r="AK602" i="1"/>
  <c r="N602" i="1" s="1"/>
  <c r="J603" i="1"/>
  <c r="L603" i="1" s="1"/>
  <c r="X603" i="1"/>
  <c r="Y603" i="1"/>
  <c r="Z603" i="1"/>
  <c r="AA603" i="1"/>
  <c r="AC603" i="1"/>
  <c r="AD603" i="1"/>
  <c r="AE603" i="1"/>
  <c r="AF603" i="1"/>
  <c r="AH603" i="1"/>
  <c r="AI603" i="1"/>
  <c r="AJ603" i="1"/>
  <c r="AK603" i="1"/>
  <c r="J604" i="1"/>
  <c r="L604" i="1" s="1"/>
  <c r="X604" i="1"/>
  <c r="AH604" i="1" s="1"/>
  <c r="Y604" i="1"/>
  <c r="AI604" i="1" s="1"/>
  <c r="Z604" i="1"/>
  <c r="AA604" i="1"/>
  <c r="AC604" i="1"/>
  <c r="AD604" i="1"/>
  <c r="AE604" i="1"/>
  <c r="AF604" i="1"/>
  <c r="AJ604" i="1"/>
  <c r="AK604" i="1"/>
  <c r="J605" i="1"/>
  <c r="L605" i="1" s="1"/>
  <c r="X605" i="1"/>
  <c r="Y605" i="1"/>
  <c r="Z605" i="1"/>
  <c r="AA605" i="1"/>
  <c r="AC605" i="1"/>
  <c r="AD605" i="1"/>
  <c r="AE605" i="1"/>
  <c r="AF605" i="1"/>
  <c r="AH605" i="1"/>
  <c r="AI605" i="1"/>
  <c r="AJ605" i="1"/>
  <c r="AK605" i="1"/>
  <c r="J606" i="1"/>
  <c r="L606" i="1" s="1"/>
  <c r="X606" i="1"/>
  <c r="AH606" i="1" s="1"/>
  <c r="Y606" i="1"/>
  <c r="Z606" i="1"/>
  <c r="AA606" i="1"/>
  <c r="AF606" i="1" s="1"/>
  <c r="AC606" i="1"/>
  <c r="AD606" i="1"/>
  <c r="AI606" i="1"/>
  <c r="AK606" i="1"/>
  <c r="J607" i="1"/>
  <c r="L607" i="1"/>
  <c r="X607" i="1"/>
  <c r="Y607" i="1"/>
  <c r="Z607" i="1"/>
  <c r="AA607" i="1"/>
  <c r="AC607" i="1"/>
  <c r="AD607" i="1"/>
  <c r="AE607" i="1"/>
  <c r="AF607" i="1"/>
  <c r="AH607" i="1"/>
  <c r="AI607" i="1"/>
  <c r="AJ607" i="1"/>
  <c r="AK607" i="1"/>
  <c r="J608" i="1"/>
  <c r="L608" i="1" s="1"/>
  <c r="X608" i="1"/>
  <c r="Y608" i="1"/>
  <c r="Z608" i="1"/>
  <c r="AA608" i="1"/>
  <c r="AC608" i="1"/>
  <c r="AD608" i="1"/>
  <c r="AE608" i="1"/>
  <c r="AF608" i="1"/>
  <c r="AH608" i="1"/>
  <c r="AI608" i="1"/>
  <c r="AJ608" i="1"/>
  <c r="AK608" i="1"/>
  <c r="J609" i="1"/>
  <c r="L609" i="1"/>
  <c r="X609" i="1"/>
  <c r="Y609" i="1"/>
  <c r="Z609" i="1"/>
  <c r="AA609" i="1"/>
  <c r="AC609" i="1"/>
  <c r="AD609" i="1"/>
  <c r="AE609" i="1"/>
  <c r="AF609" i="1"/>
  <c r="AH609" i="1"/>
  <c r="AI609" i="1"/>
  <c r="AJ609" i="1"/>
  <c r="AK609" i="1"/>
  <c r="J610" i="1"/>
  <c r="L610" i="1" s="1"/>
  <c r="X610" i="1"/>
  <c r="Y610" i="1"/>
  <c r="Z610" i="1"/>
  <c r="AA610" i="1"/>
  <c r="AC610" i="1"/>
  <c r="AD610" i="1"/>
  <c r="AE610" i="1"/>
  <c r="AF610" i="1"/>
  <c r="AH610" i="1"/>
  <c r="AI610" i="1"/>
  <c r="AJ610" i="1"/>
  <c r="AK610" i="1"/>
  <c r="J611" i="1"/>
  <c r="L611" i="1" s="1"/>
  <c r="X611" i="1"/>
  <c r="AH611" i="1" s="1"/>
  <c r="Y611" i="1"/>
  <c r="AI611" i="1" s="1"/>
  <c r="Z611" i="1"/>
  <c r="AA611" i="1"/>
  <c r="AC611" i="1"/>
  <c r="AD611" i="1"/>
  <c r="AF611" i="1"/>
  <c r="AK611" i="1"/>
  <c r="J612" i="1"/>
  <c r="L612" i="1" s="1"/>
  <c r="X612" i="1"/>
  <c r="Y612" i="1"/>
  <c r="Z612" i="1"/>
  <c r="AA612" i="1"/>
  <c r="AC612" i="1"/>
  <c r="AD612" i="1"/>
  <c r="AE612" i="1"/>
  <c r="AF612" i="1"/>
  <c r="AH612" i="1"/>
  <c r="AI612" i="1"/>
  <c r="AJ612" i="1"/>
  <c r="AK612" i="1"/>
  <c r="J613" i="1"/>
  <c r="L613" i="1" s="1"/>
  <c r="X613" i="1"/>
  <c r="Y613" i="1"/>
  <c r="Z613" i="1"/>
  <c r="AA613" i="1"/>
  <c r="AK613" i="1" s="1"/>
  <c r="AC613" i="1"/>
  <c r="AD613" i="1"/>
  <c r="AE613" i="1"/>
  <c r="AF613" i="1"/>
  <c r="AH613" i="1"/>
  <c r="AI613" i="1"/>
  <c r="AJ613" i="1"/>
  <c r="J614" i="1"/>
  <c r="L614" i="1" s="1"/>
  <c r="X614" i="1"/>
  <c r="Y614" i="1"/>
  <c r="Z614" i="1"/>
  <c r="AA614" i="1"/>
  <c r="AC614" i="1"/>
  <c r="AD614" i="1"/>
  <c r="AE614" i="1"/>
  <c r="AF614" i="1"/>
  <c r="AH614" i="1"/>
  <c r="AI614" i="1"/>
  <c r="AJ614" i="1"/>
  <c r="AK614" i="1"/>
  <c r="J615" i="1"/>
  <c r="L615" i="1"/>
  <c r="X615" i="1"/>
  <c r="AH615" i="1" s="1"/>
  <c r="Y615" i="1"/>
  <c r="Z615" i="1"/>
  <c r="AE615" i="1" s="1"/>
  <c r="AA615" i="1"/>
  <c r="AK615" i="1" s="1"/>
  <c r="AC615" i="1"/>
  <c r="AD615" i="1"/>
  <c r="AI615" i="1"/>
  <c r="AJ615" i="1"/>
  <c r="J616" i="1"/>
  <c r="L616" i="1"/>
  <c r="X616" i="1"/>
  <c r="Y616" i="1"/>
  <c r="Z616" i="1"/>
  <c r="AA616" i="1"/>
  <c r="AC616" i="1"/>
  <c r="AD616" i="1"/>
  <c r="AE616" i="1"/>
  <c r="AF616" i="1"/>
  <c r="AH616" i="1"/>
  <c r="AI616" i="1"/>
  <c r="AJ616" i="1"/>
  <c r="AK616" i="1"/>
  <c r="J617" i="1"/>
  <c r="L617" i="1" s="1"/>
  <c r="X617" i="1"/>
  <c r="Y617" i="1"/>
  <c r="Z617" i="1"/>
  <c r="AA617" i="1"/>
  <c r="AC617" i="1"/>
  <c r="AD617" i="1"/>
  <c r="AE617" i="1"/>
  <c r="AF617" i="1"/>
  <c r="AH617" i="1"/>
  <c r="AI617" i="1"/>
  <c r="AJ617" i="1"/>
  <c r="AK617" i="1"/>
  <c r="J618" i="1"/>
  <c r="L618" i="1"/>
  <c r="X618" i="1"/>
  <c r="Y618" i="1"/>
  <c r="Z618" i="1"/>
  <c r="AA618" i="1"/>
  <c r="AC618" i="1"/>
  <c r="AD618" i="1"/>
  <c r="AE618" i="1"/>
  <c r="AF618" i="1"/>
  <c r="AH618" i="1"/>
  <c r="AI618" i="1"/>
  <c r="AJ618" i="1"/>
  <c r="AK618" i="1"/>
  <c r="J619" i="1"/>
  <c r="L619" i="1" s="1"/>
  <c r="X619" i="1"/>
  <c r="Y619" i="1"/>
  <c r="Z619" i="1"/>
  <c r="AA619" i="1"/>
  <c r="AC619" i="1"/>
  <c r="AD619" i="1"/>
  <c r="AE619" i="1"/>
  <c r="AF619" i="1"/>
  <c r="AH619" i="1"/>
  <c r="AI619" i="1"/>
  <c r="AJ619" i="1"/>
  <c r="AK619" i="1"/>
  <c r="J620" i="1"/>
  <c r="L620" i="1"/>
  <c r="X620" i="1"/>
  <c r="Y620" i="1"/>
  <c r="Z620" i="1"/>
  <c r="AA620" i="1"/>
  <c r="AC620" i="1"/>
  <c r="AD620" i="1"/>
  <c r="AE620" i="1"/>
  <c r="AF620" i="1"/>
  <c r="AH620" i="1"/>
  <c r="AI620" i="1"/>
  <c r="AJ620" i="1"/>
  <c r="AK620" i="1"/>
  <c r="J621" i="1"/>
  <c r="L621" i="1" s="1"/>
  <c r="X621" i="1"/>
  <c r="Y621" i="1"/>
  <c r="Z621" i="1"/>
  <c r="AA621" i="1"/>
  <c r="AC621" i="1"/>
  <c r="AD621" i="1"/>
  <c r="AE621" i="1"/>
  <c r="AF621" i="1"/>
  <c r="AH621" i="1"/>
  <c r="AI621" i="1"/>
  <c r="AJ621" i="1"/>
  <c r="AK621" i="1"/>
  <c r="J622" i="1"/>
  <c r="L622" i="1" s="1"/>
  <c r="X622" i="1"/>
  <c r="Y622" i="1"/>
  <c r="Z622" i="1"/>
  <c r="AA622" i="1"/>
  <c r="AC622" i="1"/>
  <c r="AD622" i="1"/>
  <c r="AE622" i="1"/>
  <c r="AF622" i="1"/>
  <c r="AH622" i="1"/>
  <c r="AI622" i="1"/>
  <c r="AJ622" i="1"/>
  <c r="AK622" i="1"/>
  <c r="J623" i="1"/>
  <c r="L623" i="1"/>
  <c r="X623" i="1"/>
  <c r="Y623" i="1"/>
  <c r="Z623" i="1"/>
  <c r="AA623" i="1"/>
  <c r="AC623" i="1"/>
  <c r="AD623" i="1"/>
  <c r="AE623" i="1"/>
  <c r="AF623" i="1"/>
  <c r="AH623" i="1"/>
  <c r="AI623" i="1"/>
  <c r="AJ623" i="1"/>
  <c r="AK623" i="1"/>
  <c r="J624" i="1"/>
  <c r="L624" i="1" s="1"/>
  <c r="X624" i="1"/>
  <c r="AH624" i="1" s="1"/>
  <c r="Y624" i="1"/>
  <c r="AI624" i="1" s="1"/>
  <c r="Z624" i="1"/>
  <c r="AJ624" i="1" s="1"/>
  <c r="AA624" i="1"/>
  <c r="AF624" i="1" s="1"/>
  <c r="AC624" i="1"/>
  <c r="AD624" i="1"/>
  <c r="AE624" i="1"/>
  <c r="AK624" i="1"/>
  <c r="J625" i="1"/>
  <c r="L625" i="1" s="1"/>
  <c r="X625" i="1"/>
  <c r="Y625" i="1"/>
  <c r="Z625" i="1"/>
  <c r="AA625" i="1"/>
  <c r="AC625" i="1"/>
  <c r="AD625" i="1"/>
  <c r="AE625" i="1"/>
  <c r="AF625" i="1"/>
  <c r="AH625" i="1"/>
  <c r="AI625" i="1"/>
  <c r="AJ625" i="1"/>
  <c r="AK625" i="1"/>
  <c r="J626" i="1"/>
  <c r="L626" i="1" s="1"/>
  <c r="X626" i="1"/>
  <c r="Y626" i="1"/>
  <c r="Z626" i="1"/>
  <c r="AA626" i="1"/>
  <c r="AC626" i="1"/>
  <c r="AD626" i="1"/>
  <c r="AE626" i="1"/>
  <c r="AF626" i="1"/>
  <c r="AH626" i="1"/>
  <c r="AI626" i="1"/>
  <c r="AJ626" i="1"/>
  <c r="AK626" i="1"/>
  <c r="J627" i="1"/>
  <c r="L627" i="1" s="1"/>
  <c r="X627" i="1"/>
  <c r="Y627" i="1"/>
  <c r="Z627" i="1"/>
  <c r="AA627" i="1"/>
  <c r="AC627" i="1"/>
  <c r="AD627" i="1"/>
  <c r="AE627" i="1"/>
  <c r="AF627" i="1"/>
  <c r="AH627" i="1"/>
  <c r="AI627" i="1"/>
  <c r="AJ627" i="1"/>
  <c r="AK627" i="1"/>
  <c r="J628" i="1"/>
  <c r="L628" i="1" s="1"/>
  <c r="X628" i="1"/>
  <c r="Y628" i="1"/>
  <c r="Z628" i="1"/>
  <c r="AA628" i="1"/>
  <c r="AC628" i="1"/>
  <c r="AD628" i="1"/>
  <c r="AE628" i="1"/>
  <c r="AF628" i="1"/>
  <c r="AH628" i="1"/>
  <c r="AI628" i="1"/>
  <c r="AJ628" i="1"/>
  <c r="AK628" i="1"/>
  <c r="J629" i="1"/>
  <c r="L629" i="1"/>
  <c r="X629" i="1"/>
  <c r="Y629" i="1"/>
  <c r="Z629" i="1"/>
  <c r="AA629" i="1"/>
  <c r="AC629" i="1"/>
  <c r="AD629" i="1"/>
  <c r="AE629" i="1"/>
  <c r="AF629" i="1"/>
  <c r="AH629" i="1"/>
  <c r="AI629" i="1"/>
  <c r="AJ629" i="1"/>
  <c r="AK629" i="1"/>
  <c r="J630" i="1"/>
  <c r="L630" i="1" s="1"/>
  <c r="X630" i="1"/>
  <c r="Y630" i="1"/>
  <c r="Z630" i="1"/>
  <c r="AA630" i="1"/>
  <c r="AC630" i="1"/>
  <c r="AD630" i="1"/>
  <c r="AE630" i="1"/>
  <c r="AF630" i="1"/>
  <c r="AH630" i="1"/>
  <c r="AI630" i="1"/>
  <c r="AJ630" i="1"/>
  <c r="AK630" i="1"/>
  <c r="J631" i="1"/>
  <c r="L631" i="1" s="1"/>
  <c r="X631" i="1"/>
  <c r="Y631" i="1"/>
  <c r="AI631" i="1" s="1"/>
  <c r="Z631" i="1"/>
  <c r="AA631" i="1"/>
  <c r="AK631" i="1" s="1"/>
  <c r="AC631" i="1"/>
  <c r="AD631" i="1"/>
  <c r="AF631" i="1"/>
  <c r="AH631" i="1"/>
  <c r="J632" i="1"/>
  <c r="L632" i="1" s="1"/>
  <c r="X632" i="1"/>
  <c r="Y632" i="1"/>
  <c r="Z632" i="1"/>
  <c r="AJ632" i="1" s="1"/>
  <c r="AA632" i="1"/>
  <c r="AC632" i="1"/>
  <c r="AD632" i="1"/>
  <c r="AE632" i="1"/>
  <c r="AF632" i="1"/>
  <c r="AH632" i="1"/>
  <c r="AI632" i="1"/>
  <c r="AK632" i="1"/>
  <c r="J633" i="1"/>
  <c r="L633" i="1" s="1"/>
  <c r="X633" i="1"/>
  <c r="Y633" i="1"/>
  <c r="Z633" i="1"/>
  <c r="AA633" i="1"/>
  <c r="AC633" i="1"/>
  <c r="AD633" i="1"/>
  <c r="AE633" i="1"/>
  <c r="AF633" i="1"/>
  <c r="AH633" i="1"/>
  <c r="AI633" i="1"/>
  <c r="AJ633" i="1"/>
  <c r="AK633" i="1"/>
  <c r="J634" i="1"/>
  <c r="L634" i="1" s="1"/>
  <c r="X634" i="1"/>
  <c r="Y634" i="1"/>
  <c r="Z634" i="1"/>
  <c r="AA634" i="1"/>
  <c r="AC634" i="1"/>
  <c r="AD634" i="1"/>
  <c r="AE634" i="1"/>
  <c r="AF634" i="1"/>
  <c r="AH634" i="1"/>
  <c r="AI634" i="1"/>
  <c r="AJ634" i="1"/>
  <c r="AK634" i="1"/>
  <c r="J635" i="1"/>
  <c r="L635" i="1"/>
  <c r="X635" i="1"/>
  <c r="Y635" i="1"/>
  <c r="Z635" i="1"/>
  <c r="AA635" i="1"/>
  <c r="AC635" i="1"/>
  <c r="AD635" i="1"/>
  <c r="AE635" i="1"/>
  <c r="AF635" i="1"/>
  <c r="AH635" i="1"/>
  <c r="AI635" i="1"/>
  <c r="AJ635" i="1"/>
  <c r="AK635" i="1"/>
  <c r="J636" i="1"/>
  <c r="L636" i="1" s="1"/>
  <c r="X636" i="1"/>
  <c r="Y636" i="1"/>
  <c r="Z636" i="1"/>
  <c r="AA636" i="1"/>
  <c r="AC636" i="1"/>
  <c r="AD636" i="1"/>
  <c r="AE636" i="1"/>
  <c r="AF636" i="1"/>
  <c r="AH636" i="1"/>
  <c r="AI636" i="1"/>
  <c r="AJ636" i="1"/>
  <c r="AK636" i="1"/>
  <c r="J637" i="1"/>
  <c r="L637" i="1" s="1"/>
  <c r="X637" i="1"/>
  <c r="Y637" i="1"/>
  <c r="Z637" i="1"/>
  <c r="AA637" i="1"/>
  <c r="AC637" i="1"/>
  <c r="AD637" i="1"/>
  <c r="AE637" i="1"/>
  <c r="AF637" i="1"/>
  <c r="AH637" i="1"/>
  <c r="AI637" i="1"/>
  <c r="AJ637" i="1"/>
  <c r="AK637" i="1"/>
  <c r="J638" i="1"/>
  <c r="L638" i="1" s="1"/>
  <c r="X638" i="1"/>
  <c r="AH638" i="1" s="1"/>
  <c r="Y638" i="1"/>
  <c r="AD638" i="1" s="1"/>
  <c r="Z638" i="1"/>
  <c r="AA638" i="1"/>
  <c r="AC638" i="1"/>
  <c r="AE638" i="1"/>
  <c r="AJ638" i="1"/>
  <c r="J639" i="1"/>
  <c r="L639" i="1" s="1"/>
  <c r="X639" i="1"/>
  <c r="Y639" i="1"/>
  <c r="Z639" i="1"/>
  <c r="AA639" i="1"/>
  <c r="AC639" i="1"/>
  <c r="AD639" i="1"/>
  <c r="AE639" i="1"/>
  <c r="AF639" i="1"/>
  <c r="AH639" i="1"/>
  <c r="AI639" i="1"/>
  <c r="AJ639" i="1"/>
  <c r="AK639" i="1"/>
  <c r="J640" i="1"/>
  <c r="L640" i="1"/>
  <c r="X640" i="1"/>
  <c r="Y640" i="1"/>
  <c r="Z640" i="1"/>
  <c r="AA640" i="1"/>
  <c r="AC640" i="1"/>
  <c r="AD640" i="1"/>
  <c r="AE640" i="1"/>
  <c r="AF640" i="1"/>
  <c r="AH640" i="1"/>
  <c r="AI640" i="1"/>
  <c r="AJ640" i="1"/>
  <c r="AK640" i="1"/>
  <c r="J641" i="1"/>
  <c r="L641" i="1" s="1"/>
  <c r="X641" i="1"/>
  <c r="Y641" i="1"/>
  <c r="Z641" i="1"/>
  <c r="AA641" i="1"/>
  <c r="AC641" i="1"/>
  <c r="AD641" i="1"/>
  <c r="AE641" i="1"/>
  <c r="AF641" i="1"/>
  <c r="AH641" i="1"/>
  <c r="AI641" i="1"/>
  <c r="AJ641" i="1"/>
  <c r="AK641" i="1"/>
  <c r="N641" i="1" s="1"/>
  <c r="J642" i="1"/>
  <c r="L642" i="1" s="1"/>
  <c r="X642" i="1"/>
  <c r="Y642" i="1"/>
  <c r="Z642" i="1"/>
  <c r="AA642" i="1"/>
  <c r="AC642" i="1"/>
  <c r="AD642" i="1"/>
  <c r="AE642" i="1"/>
  <c r="AF642" i="1"/>
  <c r="AH642" i="1"/>
  <c r="AI642" i="1"/>
  <c r="AJ642" i="1"/>
  <c r="AK642" i="1"/>
  <c r="J643" i="1"/>
  <c r="L643" i="1" s="1"/>
  <c r="X643" i="1"/>
  <c r="Y643" i="1"/>
  <c r="Z643" i="1"/>
  <c r="AA643" i="1"/>
  <c r="AC643" i="1"/>
  <c r="AD643" i="1"/>
  <c r="AE643" i="1"/>
  <c r="AF643" i="1"/>
  <c r="AH643" i="1"/>
  <c r="AI643" i="1"/>
  <c r="AJ643" i="1"/>
  <c r="AK643" i="1"/>
  <c r="J644" i="1"/>
  <c r="L644" i="1"/>
  <c r="X644" i="1"/>
  <c r="Y644" i="1"/>
  <c r="Z644" i="1"/>
  <c r="AA644" i="1"/>
  <c r="AC644" i="1"/>
  <c r="AD644" i="1"/>
  <c r="AE644" i="1"/>
  <c r="AF644" i="1"/>
  <c r="AH644" i="1"/>
  <c r="AI644" i="1"/>
  <c r="AJ644" i="1"/>
  <c r="AK644" i="1"/>
  <c r="N644" i="1" s="1"/>
  <c r="J645" i="1"/>
  <c r="L645" i="1" s="1"/>
  <c r="X645" i="1"/>
  <c r="AH645" i="1" s="1"/>
  <c r="Y645" i="1"/>
  <c r="AI645" i="1" s="1"/>
  <c r="Z645" i="1"/>
  <c r="AJ645" i="1" s="1"/>
  <c r="AA645" i="1"/>
  <c r="AC645" i="1"/>
  <c r="AD645" i="1"/>
  <c r="AE645" i="1"/>
  <c r="AF645" i="1"/>
  <c r="AK645" i="1"/>
  <c r="J646" i="1"/>
  <c r="L646" i="1" s="1"/>
  <c r="X646" i="1"/>
  <c r="AH646" i="1" s="1"/>
  <c r="Y646" i="1"/>
  <c r="AI646" i="1" s="1"/>
  <c r="Z646" i="1"/>
  <c r="AJ646" i="1" s="1"/>
  <c r="AA646" i="1"/>
  <c r="AC646" i="1"/>
  <c r="AD646" i="1"/>
  <c r="AE646" i="1"/>
  <c r="AF646" i="1"/>
  <c r="M646" i="1" s="1"/>
  <c r="AK646" i="1"/>
  <c r="N646" i="1" s="1"/>
  <c r="J647" i="1"/>
  <c r="L647" i="1" s="1"/>
  <c r="X647" i="1"/>
  <c r="AH647" i="1" s="1"/>
  <c r="Y647" i="1"/>
  <c r="AI647" i="1" s="1"/>
  <c r="Z647" i="1"/>
  <c r="AA647" i="1"/>
  <c r="AK647" i="1" s="1"/>
  <c r="N647" i="1" s="1"/>
  <c r="AC647" i="1"/>
  <c r="AD647" i="1"/>
  <c r="AE647" i="1"/>
  <c r="AF647" i="1"/>
  <c r="M647" i="1" s="1"/>
  <c r="AJ647" i="1"/>
  <c r="J648" i="1"/>
  <c r="L648" i="1" s="1"/>
  <c r="X648" i="1"/>
  <c r="AH648" i="1" s="1"/>
  <c r="Y648" i="1"/>
  <c r="AI648" i="1" s="1"/>
  <c r="Z648" i="1"/>
  <c r="AA648" i="1"/>
  <c r="AK648" i="1" s="1"/>
  <c r="N648" i="1" s="1"/>
  <c r="AC648" i="1"/>
  <c r="AD648" i="1"/>
  <c r="AE648" i="1"/>
  <c r="AF648" i="1"/>
  <c r="M648" i="1" s="1"/>
  <c r="AJ648" i="1"/>
  <c r="J649" i="1"/>
  <c r="L649" i="1" s="1"/>
  <c r="X649" i="1"/>
  <c r="AH649" i="1" s="1"/>
  <c r="Y649" i="1"/>
  <c r="AI649" i="1" s="1"/>
  <c r="Z649" i="1"/>
  <c r="AJ649" i="1" s="1"/>
  <c r="AA649" i="1"/>
  <c r="AK649" i="1" s="1"/>
  <c r="N649" i="1" s="1"/>
  <c r="AC649" i="1"/>
  <c r="AD649" i="1"/>
  <c r="AE649" i="1"/>
  <c r="AF649" i="1"/>
  <c r="M649" i="1" s="1"/>
  <c r="J650" i="1"/>
  <c r="L650" i="1"/>
  <c r="X650" i="1"/>
  <c r="AH650" i="1" s="1"/>
  <c r="Y650" i="1"/>
  <c r="AI650" i="1" s="1"/>
  <c r="Z650" i="1"/>
  <c r="AJ650" i="1" s="1"/>
  <c r="AA650" i="1"/>
  <c r="AK650" i="1" s="1"/>
  <c r="N650" i="1" s="1"/>
  <c r="AC650" i="1"/>
  <c r="AD650" i="1"/>
  <c r="AE650" i="1"/>
  <c r="AF650" i="1"/>
  <c r="M650" i="1" s="1"/>
  <c r="J651" i="1"/>
  <c r="L651" i="1"/>
  <c r="X651" i="1"/>
  <c r="AH651" i="1" s="1"/>
  <c r="Y651" i="1"/>
  <c r="AI651" i="1" s="1"/>
  <c r="Z651" i="1"/>
  <c r="AA651" i="1"/>
  <c r="AK651" i="1" s="1"/>
  <c r="N651" i="1" s="1"/>
  <c r="AC651" i="1"/>
  <c r="AD651" i="1"/>
  <c r="AE651" i="1"/>
  <c r="AF651" i="1"/>
  <c r="M651" i="1" s="1"/>
  <c r="AJ651" i="1"/>
  <c r="J652" i="1"/>
  <c r="L652" i="1"/>
  <c r="X652" i="1"/>
  <c r="AH652" i="1" s="1"/>
  <c r="Y652" i="1"/>
  <c r="AI652" i="1" s="1"/>
  <c r="Z652" i="1"/>
  <c r="AA652" i="1"/>
  <c r="AK652" i="1" s="1"/>
  <c r="N652" i="1" s="1"/>
  <c r="AC652" i="1"/>
  <c r="AD652" i="1"/>
  <c r="AE652" i="1"/>
  <c r="AF652" i="1"/>
  <c r="M652" i="1" s="1"/>
  <c r="AJ652" i="1"/>
  <c r="J653" i="1"/>
  <c r="L653" i="1" s="1"/>
  <c r="X653" i="1"/>
  <c r="AH653" i="1" s="1"/>
  <c r="Y653" i="1"/>
  <c r="AI653" i="1" s="1"/>
  <c r="Z653" i="1"/>
  <c r="AJ653" i="1" s="1"/>
  <c r="AA653" i="1"/>
  <c r="AK653" i="1" s="1"/>
  <c r="N653" i="1" s="1"/>
  <c r="AC653" i="1"/>
  <c r="AD653" i="1"/>
  <c r="AE653" i="1"/>
  <c r="AF653" i="1"/>
  <c r="M653" i="1" s="1"/>
  <c r="J654" i="1"/>
  <c r="L654" i="1" s="1"/>
  <c r="X654" i="1"/>
  <c r="AH654" i="1" s="1"/>
  <c r="Y654" i="1"/>
  <c r="AI654" i="1" s="1"/>
  <c r="Z654" i="1"/>
  <c r="AJ654" i="1" s="1"/>
  <c r="AA654" i="1"/>
  <c r="AK654" i="1" s="1"/>
  <c r="N654" i="1" s="1"/>
  <c r="AC654" i="1"/>
  <c r="AD654" i="1"/>
  <c r="AE654" i="1"/>
  <c r="AF654" i="1"/>
  <c r="M654" i="1" s="1"/>
  <c r="J655" i="1"/>
  <c r="L655" i="1"/>
  <c r="X655" i="1"/>
  <c r="AH655" i="1" s="1"/>
  <c r="Y655" i="1"/>
  <c r="AI655" i="1" s="1"/>
  <c r="Z655" i="1"/>
  <c r="AA655" i="1"/>
  <c r="AK655" i="1" s="1"/>
  <c r="N655" i="1" s="1"/>
  <c r="AC655" i="1"/>
  <c r="AD655" i="1"/>
  <c r="AE655" i="1"/>
  <c r="AF655" i="1"/>
  <c r="M655" i="1" s="1"/>
  <c r="AJ655" i="1"/>
  <c r="J656" i="1"/>
  <c r="L656" i="1"/>
  <c r="X656" i="1"/>
  <c r="AH656" i="1" s="1"/>
  <c r="Y656" i="1"/>
  <c r="AI656" i="1" s="1"/>
  <c r="Z656" i="1"/>
  <c r="AA656" i="1"/>
  <c r="AK656" i="1" s="1"/>
  <c r="N656" i="1" s="1"/>
  <c r="AC656" i="1"/>
  <c r="AD656" i="1"/>
  <c r="AE656" i="1"/>
  <c r="AF656" i="1"/>
  <c r="M656" i="1" s="1"/>
  <c r="AJ656" i="1"/>
  <c r="J657" i="1"/>
  <c r="L657" i="1" s="1"/>
  <c r="X657" i="1"/>
  <c r="AH657" i="1" s="1"/>
  <c r="Y657" i="1"/>
  <c r="AI657" i="1" s="1"/>
  <c r="Z657" i="1"/>
  <c r="AJ657" i="1" s="1"/>
  <c r="AA657" i="1"/>
  <c r="AK657" i="1" s="1"/>
  <c r="N657" i="1" s="1"/>
  <c r="AC657" i="1"/>
  <c r="AD657" i="1"/>
  <c r="AE657" i="1"/>
  <c r="AF657" i="1"/>
  <c r="M657" i="1" s="1"/>
  <c r="J658" i="1"/>
  <c r="L658" i="1" s="1"/>
  <c r="X658" i="1"/>
  <c r="AH658" i="1" s="1"/>
  <c r="Y658" i="1"/>
  <c r="AI658" i="1" s="1"/>
  <c r="Z658" i="1"/>
  <c r="AJ658" i="1" s="1"/>
  <c r="AA658" i="1"/>
  <c r="AK658" i="1" s="1"/>
  <c r="N658" i="1" s="1"/>
  <c r="AC658" i="1"/>
  <c r="AD658" i="1"/>
  <c r="AE658" i="1"/>
  <c r="AF658" i="1"/>
  <c r="M658" i="1" s="1"/>
  <c r="J659" i="1"/>
  <c r="L659" i="1"/>
  <c r="X659" i="1"/>
  <c r="AH659" i="1" s="1"/>
  <c r="Y659" i="1"/>
  <c r="AI659" i="1" s="1"/>
  <c r="Z659" i="1"/>
  <c r="AA659" i="1"/>
  <c r="AK659" i="1" s="1"/>
  <c r="N659" i="1" s="1"/>
  <c r="AC659" i="1"/>
  <c r="AD659" i="1"/>
  <c r="AE659" i="1"/>
  <c r="AF659" i="1"/>
  <c r="M659" i="1" s="1"/>
  <c r="AJ659" i="1"/>
  <c r="J660" i="1"/>
  <c r="L660" i="1"/>
  <c r="X660" i="1"/>
  <c r="AH660" i="1" s="1"/>
  <c r="Y660" i="1"/>
  <c r="AI660" i="1" s="1"/>
  <c r="Z660" i="1"/>
  <c r="AA660" i="1"/>
  <c r="AK660" i="1" s="1"/>
  <c r="N660" i="1" s="1"/>
  <c r="AC660" i="1"/>
  <c r="AD660" i="1"/>
  <c r="AE660" i="1"/>
  <c r="AF660" i="1"/>
  <c r="M660" i="1" s="1"/>
  <c r="AJ660" i="1"/>
  <c r="J661" i="1"/>
  <c r="L661" i="1" s="1"/>
  <c r="X661" i="1"/>
  <c r="AH661" i="1" s="1"/>
  <c r="Y661" i="1"/>
  <c r="AI661" i="1" s="1"/>
  <c r="Z661" i="1"/>
  <c r="AJ661" i="1" s="1"/>
  <c r="AA661" i="1"/>
  <c r="AK661" i="1" s="1"/>
  <c r="N661" i="1" s="1"/>
  <c r="AC661" i="1"/>
  <c r="AD661" i="1"/>
  <c r="AE661" i="1"/>
  <c r="AF661" i="1"/>
  <c r="M661" i="1" s="1"/>
  <c r="J662" i="1"/>
  <c r="L662" i="1"/>
  <c r="X662" i="1"/>
  <c r="AH662" i="1" s="1"/>
  <c r="Y662" i="1"/>
  <c r="AI662" i="1" s="1"/>
  <c r="Z662" i="1"/>
  <c r="AJ662" i="1" s="1"/>
  <c r="AA662" i="1"/>
  <c r="AK662" i="1" s="1"/>
  <c r="N662" i="1" s="1"/>
  <c r="AC662" i="1"/>
  <c r="AD662" i="1"/>
  <c r="AE662" i="1"/>
  <c r="AF662" i="1"/>
  <c r="M662" i="1" s="1"/>
  <c r="J663" i="1"/>
  <c r="L663" i="1"/>
  <c r="X663" i="1"/>
  <c r="AH663" i="1" s="1"/>
  <c r="Y663" i="1"/>
  <c r="AI663" i="1" s="1"/>
  <c r="Z663" i="1"/>
  <c r="AA663" i="1"/>
  <c r="AK663" i="1" s="1"/>
  <c r="N663" i="1" s="1"/>
  <c r="AC663" i="1"/>
  <c r="AD663" i="1"/>
  <c r="AE663" i="1"/>
  <c r="AF663" i="1"/>
  <c r="M663" i="1" s="1"/>
  <c r="AJ663" i="1"/>
  <c r="J664" i="1"/>
  <c r="L664" i="1"/>
  <c r="X664" i="1"/>
  <c r="AH664" i="1" s="1"/>
  <c r="Y664" i="1"/>
  <c r="AI664" i="1" s="1"/>
  <c r="Z664" i="1"/>
  <c r="AA664" i="1"/>
  <c r="AK664" i="1" s="1"/>
  <c r="N664" i="1" s="1"/>
  <c r="AC664" i="1"/>
  <c r="AD664" i="1"/>
  <c r="AE664" i="1"/>
  <c r="AF664" i="1"/>
  <c r="M664" i="1" s="1"/>
  <c r="AJ664" i="1"/>
  <c r="J665" i="1"/>
  <c r="L665" i="1" s="1"/>
  <c r="X665" i="1"/>
  <c r="AH665" i="1" s="1"/>
  <c r="Y665" i="1"/>
  <c r="AI665" i="1" s="1"/>
  <c r="Z665" i="1"/>
  <c r="AJ665" i="1" s="1"/>
  <c r="AA665" i="1"/>
  <c r="AK665" i="1" s="1"/>
  <c r="N665" i="1" s="1"/>
  <c r="AC665" i="1"/>
  <c r="AD665" i="1"/>
  <c r="AE665" i="1"/>
  <c r="AF665" i="1"/>
  <c r="M665" i="1" s="1"/>
  <c r="J666" i="1"/>
  <c r="L666" i="1"/>
  <c r="X666" i="1"/>
  <c r="AH666" i="1" s="1"/>
  <c r="Y666" i="1"/>
  <c r="AI666" i="1" s="1"/>
  <c r="Z666" i="1"/>
  <c r="AJ666" i="1" s="1"/>
  <c r="AA666" i="1"/>
  <c r="AK666" i="1" s="1"/>
  <c r="N666" i="1" s="1"/>
  <c r="AC666" i="1"/>
  <c r="AD666" i="1"/>
  <c r="AE666" i="1"/>
  <c r="AF666" i="1"/>
  <c r="M666" i="1" s="1"/>
  <c r="J667" i="1"/>
  <c r="L667" i="1"/>
  <c r="X667" i="1"/>
  <c r="AH667" i="1" s="1"/>
  <c r="Y667" i="1"/>
  <c r="AI667" i="1" s="1"/>
  <c r="Z667" i="1"/>
  <c r="AA667" i="1"/>
  <c r="AK667" i="1" s="1"/>
  <c r="N667" i="1" s="1"/>
  <c r="AC667" i="1"/>
  <c r="AD667" i="1"/>
  <c r="AE667" i="1"/>
  <c r="AF667" i="1"/>
  <c r="M667" i="1" s="1"/>
  <c r="AJ667" i="1"/>
  <c r="J668" i="1"/>
  <c r="L668" i="1"/>
  <c r="X668" i="1"/>
  <c r="AH668" i="1" s="1"/>
  <c r="Y668" i="1"/>
  <c r="AI668" i="1" s="1"/>
  <c r="Z668" i="1"/>
  <c r="AA668" i="1"/>
  <c r="AK668" i="1" s="1"/>
  <c r="N668" i="1" s="1"/>
  <c r="AC668" i="1"/>
  <c r="AD668" i="1"/>
  <c r="AE668" i="1"/>
  <c r="AF668" i="1"/>
  <c r="M668" i="1" s="1"/>
  <c r="AJ668" i="1"/>
  <c r="J669" i="1"/>
  <c r="L669" i="1" s="1"/>
  <c r="X669" i="1"/>
  <c r="AH669" i="1" s="1"/>
  <c r="Y669" i="1"/>
  <c r="AI669" i="1" s="1"/>
  <c r="Z669" i="1"/>
  <c r="AJ669" i="1" s="1"/>
  <c r="AA669" i="1"/>
  <c r="AK669" i="1" s="1"/>
  <c r="N669" i="1" s="1"/>
  <c r="AC669" i="1"/>
  <c r="AD669" i="1"/>
  <c r="AE669" i="1"/>
  <c r="AF669" i="1"/>
  <c r="M669" i="1" s="1"/>
  <c r="J670" i="1"/>
  <c r="L670" i="1"/>
  <c r="X670" i="1"/>
  <c r="AH670" i="1" s="1"/>
  <c r="Y670" i="1"/>
  <c r="AI670" i="1" s="1"/>
  <c r="Z670" i="1"/>
  <c r="AJ670" i="1" s="1"/>
  <c r="AA670" i="1"/>
  <c r="AK670" i="1" s="1"/>
  <c r="N670" i="1" s="1"/>
  <c r="AC670" i="1"/>
  <c r="AD670" i="1"/>
  <c r="AE670" i="1"/>
  <c r="AF670" i="1"/>
  <c r="M670" i="1" s="1"/>
  <c r="J671" i="1"/>
  <c r="L671" i="1"/>
  <c r="X671" i="1"/>
  <c r="AH671" i="1" s="1"/>
  <c r="Y671" i="1"/>
  <c r="AI671" i="1" s="1"/>
  <c r="Z671" i="1"/>
  <c r="AA671" i="1"/>
  <c r="AK671" i="1" s="1"/>
  <c r="N671" i="1" s="1"/>
  <c r="AC671" i="1"/>
  <c r="AD671" i="1"/>
  <c r="AE671" i="1"/>
  <c r="AF671" i="1"/>
  <c r="M671" i="1" s="1"/>
  <c r="AJ671" i="1"/>
  <c r="J672" i="1"/>
  <c r="L672" i="1" s="1"/>
  <c r="X672" i="1"/>
  <c r="AH672" i="1" s="1"/>
  <c r="Y672" i="1"/>
  <c r="AI672" i="1" s="1"/>
  <c r="Z672" i="1"/>
  <c r="AA672" i="1"/>
  <c r="AK672" i="1" s="1"/>
  <c r="N672" i="1" s="1"/>
  <c r="AC672" i="1"/>
  <c r="AD672" i="1"/>
  <c r="AE672" i="1"/>
  <c r="AF672" i="1"/>
  <c r="M672" i="1" s="1"/>
  <c r="AJ672" i="1"/>
  <c r="J673" i="1"/>
  <c r="L673" i="1" s="1"/>
  <c r="X673" i="1"/>
  <c r="AH673" i="1" s="1"/>
  <c r="Y673" i="1"/>
  <c r="AI673" i="1" s="1"/>
  <c r="Z673" i="1"/>
  <c r="AJ673" i="1" s="1"/>
  <c r="AA673" i="1"/>
  <c r="AK673" i="1" s="1"/>
  <c r="N673" i="1" s="1"/>
  <c r="AC673" i="1"/>
  <c r="AD673" i="1"/>
  <c r="AE673" i="1"/>
  <c r="AF673" i="1"/>
  <c r="M673" i="1" s="1"/>
  <c r="J674" i="1"/>
  <c r="L674" i="1"/>
  <c r="X674" i="1"/>
  <c r="AH674" i="1" s="1"/>
  <c r="Y674" i="1"/>
  <c r="AI674" i="1" s="1"/>
  <c r="Z674" i="1"/>
  <c r="AJ674" i="1" s="1"/>
  <c r="AA674" i="1"/>
  <c r="AK674" i="1" s="1"/>
  <c r="N674" i="1" s="1"/>
  <c r="AC674" i="1"/>
  <c r="AD674" i="1"/>
  <c r="AE674" i="1"/>
  <c r="AF674" i="1"/>
  <c r="M674" i="1" s="1"/>
  <c r="J675" i="1"/>
  <c r="L675" i="1"/>
  <c r="X675" i="1"/>
  <c r="AH675" i="1" s="1"/>
  <c r="Y675" i="1"/>
  <c r="AI675" i="1" s="1"/>
  <c r="Z675" i="1"/>
  <c r="AA675" i="1"/>
  <c r="AK675" i="1" s="1"/>
  <c r="N675" i="1" s="1"/>
  <c r="AC675" i="1"/>
  <c r="AD675" i="1"/>
  <c r="AE675" i="1"/>
  <c r="AF675" i="1"/>
  <c r="M675" i="1" s="1"/>
  <c r="AJ675" i="1"/>
  <c r="J676" i="1"/>
  <c r="L676" i="1" s="1"/>
  <c r="X676" i="1"/>
  <c r="AH676" i="1" s="1"/>
  <c r="Y676" i="1"/>
  <c r="AI676" i="1" s="1"/>
  <c r="Z676" i="1"/>
  <c r="AA676" i="1"/>
  <c r="AK676" i="1" s="1"/>
  <c r="N676" i="1" s="1"/>
  <c r="AC676" i="1"/>
  <c r="AD676" i="1"/>
  <c r="AE676" i="1"/>
  <c r="AF676" i="1"/>
  <c r="M676" i="1" s="1"/>
  <c r="AJ676" i="1"/>
  <c r="J677" i="1"/>
  <c r="L677" i="1" s="1"/>
  <c r="X677" i="1"/>
  <c r="AH677" i="1" s="1"/>
  <c r="Y677" i="1"/>
  <c r="AI677" i="1" s="1"/>
  <c r="Z677" i="1"/>
  <c r="AJ677" i="1" s="1"/>
  <c r="AA677" i="1"/>
  <c r="AK677" i="1" s="1"/>
  <c r="N677" i="1" s="1"/>
  <c r="AC677" i="1"/>
  <c r="AD677" i="1"/>
  <c r="AE677" i="1"/>
  <c r="AF677" i="1"/>
  <c r="M677" i="1" s="1"/>
  <c r="J678" i="1"/>
  <c r="L678" i="1"/>
  <c r="X678" i="1"/>
  <c r="AH678" i="1" s="1"/>
  <c r="Y678" i="1"/>
  <c r="AI678" i="1" s="1"/>
  <c r="Z678" i="1"/>
  <c r="AJ678" i="1" s="1"/>
  <c r="AA678" i="1"/>
  <c r="AK678" i="1" s="1"/>
  <c r="N678" i="1" s="1"/>
  <c r="AC678" i="1"/>
  <c r="AD678" i="1"/>
  <c r="AE678" i="1"/>
  <c r="AF678" i="1"/>
  <c r="M678" i="1" s="1"/>
  <c r="J679" i="1"/>
  <c r="L679" i="1"/>
  <c r="X679" i="1"/>
  <c r="AH679" i="1" s="1"/>
  <c r="Y679" i="1"/>
  <c r="AI679" i="1" s="1"/>
  <c r="Z679" i="1"/>
  <c r="AA679" i="1"/>
  <c r="AK679" i="1" s="1"/>
  <c r="N679" i="1" s="1"/>
  <c r="AC679" i="1"/>
  <c r="AD679" i="1"/>
  <c r="AE679" i="1"/>
  <c r="AF679" i="1"/>
  <c r="M679" i="1" s="1"/>
  <c r="AJ679" i="1"/>
  <c r="J680" i="1"/>
  <c r="L680" i="1" s="1"/>
  <c r="X680" i="1"/>
  <c r="AH680" i="1" s="1"/>
  <c r="Y680" i="1"/>
  <c r="AI680" i="1" s="1"/>
  <c r="Z680" i="1"/>
  <c r="AA680" i="1"/>
  <c r="AK680" i="1" s="1"/>
  <c r="N680" i="1" s="1"/>
  <c r="AC680" i="1"/>
  <c r="AD680" i="1"/>
  <c r="AE680" i="1"/>
  <c r="AF680" i="1"/>
  <c r="M680" i="1" s="1"/>
  <c r="AJ680" i="1"/>
  <c r="J681" i="1"/>
  <c r="L681" i="1" s="1"/>
  <c r="X681" i="1"/>
  <c r="AH681" i="1" s="1"/>
  <c r="Y681" i="1"/>
  <c r="AI681" i="1" s="1"/>
  <c r="Z681" i="1"/>
  <c r="AJ681" i="1" s="1"/>
  <c r="AA681" i="1"/>
  <c r="AK681" i="1" s="1"/>
  <c r="N681" i="1" s="1"/>
  <c r="AC681" i="1"/>
  <c r="AD681" i="1"/>
  <c r="AE681" i="1"/>
  <c r="AF681" i="1"/>
  <c r="M681" i="1" s="1"/>
  <c r="J682" i="1"/>
  <c r="L682" i="1"/>
  <c r="X682" i="1"/>
  <c r="AH682" i="1" s="1"/>
  <c r="Y682" i="1"/>
  <c r="AI682" i="1" s="1"/>
  <c r="Z682" i="1"/>
  <c r="AJ682" i="1" s="1"/>
  <c r="AA682" i="1"/>
  <c r="AK682" i="1" s="1"/>
  <c r="N682" i="1" s="1"/>
  <c r="AC682" i="1"/>
  <c r="AD682" i="1"/>
  <c r="AE682" i="1"/>
  <c r="AF682" i="1"/>
  <c r="M682" i="1" s="1"/>
  <c r="J683" i="1"/>
  <c r="L683" i="1"/>
  <c r="X683" i="1"/>
  <c r="AH683" i="1" s="1"/>
  <c r="Y683" i="1"/>
  <c r="AI683" i="1" s="1"/>
  <c r="Z683" i="1"/>
  <c r="AA683" i="1"/>
  <c r="AK683" i="1" s="1"/>
  <c r="N683" i="1" s="1"/>
  <c r="AC683" i="1"/>
  <c r="AD683" i="1"/>
  <c r="AE683" i="1"/>
  <c r="AF683" i="1"/>
  <c r="M683" i="1" s="1"/>
  <c r="AJ683" i="1"/>
  <c r="J684" i="1"/>
  <c r="L684" i="1"/>
  <c r="X684" i="1"/>
  <c r="AH684" i="1" s="1"/>
  <c r="Y684" i="1"/>
  <c r="AI684" i="1" s="1"/>
  <c r="Z684" i="1"/>
  <c r="AA684" i="1"/>
  <c r="AK684" i="1" s="1"/>
  <c r="N684" i="1" s="1"/>
  <c r="AC684" i="1"/>
  <c r="AD684" i="1"/>
  <c r="AE684" i="1"/>
  <c r="AF684" i="1"/>
  <c r="M684" i="1" s="1"/>
  <c r="AJ684" i="1"/>
  <c r="J685" i="1"/>
  <c r="L685" i="1" s="1"/>
  <c r="X685" i="1"/>
  <c r="AH685" i="1" s="1"/>
  <c r="Y685" i="1"/>
  <c r="AI685" i="1" s="1"/>
  <c r="Z685" i="1"/>
  <c r="AJ685" i="1" s="1"/>
  <c r="AA685" i="1"/>
  <c r="AK685" i="1" s="1"/>
  <c r="N685" i="1" s="1"/>
  <c r="AC685" i="1"/>
  <c r="AD685" i="1"/>
  <c r="AE685" i="1"/>
  <c r="AF685" i="1"/>
  <c r="M685" i="1" s="1"/>
  <c r="J686" i="1"/>
  <c r="L686" i="1" s="1"/>
  <c r="X686" i="1"/>
  <c r="AH686" i="1" s="1"/>
  <c r="Y686" i="1"/>
  <c r="AI686" i="1" s="1"/>
  <c r="Z686" i="1"/>
  <c r="AJ686" i="1" s="1"/>
  <c r="AA686" i="1"/>
  <c r="AK686" i="1" s="1"/>
  <c r="N686" i="1" s="1"/>
  <c r="AC686" i="1"/>
  <c r="AD686" i="1"/>
  <c r="AE686" i="1"/>
  <c r="AF686" i="1"/>
  <c r="M686" i="1" s="1"/>
  <c r="J687" i="1"/>
  <c r="L687" i="1"/>
  <c r="X687" i="1"/>
  <c r="AH687" i="1" s="1"/>
  <c r="Y687" i="1"/>
  <c r="AI687" i="1" s="1"/>
  <c r="Z687" i="1"/>
  <c r="AA687" i="1"/>
  <c r="AK687" i="1" s="1"/>
  <c r="N687" i="1" s="1"/>
  <c r="AC687" i="1"/>
  <c r="AD687" i="1"/>
  <c r="AE687" i="1"/>
  <c r="AF687" i="1"/>
  <c r="M687" i="1" s="1"/>
  <c r="AJ687" i="1"/>
  <c r="J688" i="1"/>
  <c r="L688" i="1"/>
  <c r="X688" i="1"/>
  <c r="AH688" i="1" s="1"/>
  <c r="Y688" i="1"/>
  <c r="AI688" i="1" s="1"/>
  <c r="Z688" i="1"/>
  <c r="AA688" i="1"/>
  <c r="AK688" i="1" s="1"/>
  <c r="N688" i="1" s="1"/>
  <c r="AC688" i="1"/>
  <c r="AD688" i="1"/>
  <c r="AE688" i="1"/>
  <c r="AF688" i="1"/>
  <c r="M688" i="1" s="1"/>
  <c r="AJ688" i="1"/>
  <c r="J689" i="1"/>
  <c r="L689" i="1" s="1"/>
  <c r="X689" i="1"/>
  <c r="AH689" i="1" s="1"/>
  <c r="Y689" i="1"/>
  <c r="AI689" i="1" s="1"/>
  <c r="Z689" i="1"/>
  <c r="AJ689" i="1" s="1"/>
  <c r="AA689" i="1"/>
  <c r="AK689" i="1" s="1"/>
  <c r="N689" i="1" s="1"/>
  <c r="AC689" i="1"/>
  <c r="AD689" i="1"/>
  <c r="AE689" i="1"/>
  <c r="AF689" i="1"/>
  <c r="M689" i="1" s="1"/>
  <c r="J690" i="1"/>
  <c r="L690" i="1"/>
  <c r="X690" i="1"/>
  <c r="AH690" i="1" s="1"/>
  <c r="Y690" i="1"/>
  <c r="AI690" i="1" s="1"/>
  <c r="Z690" i="1"/>
  <c r="AJ690" i="1" s="1"/>
  <c r="AA690" i="1"/>
  <c r="AK690" i="1" s="1"/>
  <c r="N690" i="1" s="1"/>
  <c r="AC690" i="1"/>
  <c r="AD690" i="1"/>
  <c r="AE690" i="1"/>
  <c r="AF690" i="1"/>
  <c r="M690" i="1" s="1"/>
  <c r="J691" i="1"/>
  <c r="L691" i="1"/>
  <c r="X691" i="1"/>
  <c r="AH691" i="1" s="1"/>
  <c r="Y691" i="1"/>
  <c r="AI691" i="1" s="1"/>
  <c r="Z691" i="1"/>
  <c r="AA691" i="1"/>
  <c r="AK691" i="1" s="1"/>
  <c r="N691" i="1" s="1"/>
  <c r="AC691" i="1"/>
  <c r="AD691" i="1"/>
  <c r="AE691" i="1"/>
  <c r="AF691" i="1"/>
  <c r="M691" i="1" s="1"/>
  <c r="AJ691" i="1"/>
  <c r="J692" i="1"/>
  <c r="L692" i="1"/>
  <c r="X692" i="1"/>
  <c r="AH692" i="1" s="1"/>
  <c r="Y692" i="1"/>
  <c r="AI692" i="1" s="1"/>
  <c r="Z692" i="1"/>
  <c r="AA692" i="1"/>
  <c r="AK692" i="1" s="1"/>
  <c r="N692" i="1" s="1"/>
  <c r="AC692" i="1"/>
  <c r="AD692" i="1"/>
  <c r="AE692" i="1"/>
  <c r="AF692" i="1"/>
  <c r="M692" i="1" s="1"/>
  <c r="AJ692" i="1"/>
  <c r="J693" i="1"/>
  <c r="L693" i="1" s="1"/>
  <c r="X693" i="1"/>
  <c r="AH693" i="1" s="1"/>
  <c r="Y693" i="1"/>
  <c r="AI693" i="1" s="1"/>
  <c r="Z693" i="1"/>
  <c r="AJ693" i="1" s="1"/>
  <c r="AA693" i="1"/>
  <c r="AK693" i="1" s="1"/>
  <c r="N693" i="1" s="1"/>
  <c r="AC693" i="1"/>
  <c r="AD693" i="1"/>
  <c r="AE693" i="1"/>
  <c r="AF693" i="1"/>
  <c r="M693" i="1" s="1"/>
  <c r="J694" i="1"/>
  <c r="L694" i="1"/>
  <c r="X694" i="1"/>
  <c r="AH694" i="1" s="1"/>
  <c r="Y694" i="1"/>
  <c r="AI694" i="1" s="1"/>
  <c r="Z694" i="1"/>
  <c r="AJ694" i="1" s="1"/>
  <c r="AA694" i="1"/>
  <c r="AK694" i="1" s="1"/>
  <c r="N694" i="1" s="1"/>
  <c r="AC694" i="1"/>
  <c r="AD694" i="1"/>
  <c r="AE694" i="1"/>
  <c r="AF694" i="1"/>
  <c r="M694" i="1" s="1"/>
  <c r="J695" i="1"/>
  <c r="L695" i="1"/>
  <c r="X695" i="1"/>
  <c r="AH695" i="1" s="1"/>
  <c r="Y695" i="1"/>
  <c r="AI695" i="1" s="1"/>
  <c r="Z695" i="1"/>
  <c r="AA695" i="1"/>
  <c r="AK695" i="1" s="1"/>
  <c r="N695" i="1" s="1"/>
  <c r="AC695" i="1"/>
  <c r="AD695" i="1"/>
  <c r="AE695" i="1"/>
  <c r="AF695" i="1"/>
  <c r="M695" i="1" s="1"/>
  <c r="AJ695" i="1"/>
  <c r="J696" i="1"/>
  <c r="L696" i="1"/>
  <c r="X696" i="1"/>
  <c r="AH696" i="1" s="1"/>
  <c r="Y696" i="1"/>
  <c r="AI696" i="1" s="1"/>
  <c r="Z696" i="1"/>
  <c r="AA696" i="1"/>
  <c r="AK696" i="1" s="1"/>
  <c r="N696" i="1" s="1"/>
  <c r="AC696" i="1"/>
  <c r="AD696" i="1"/>
  <c r="AE696" i="1"/>
  <c r="AF696" i="1"/>
  <c r="M696" i="1" s="1"/>
  <c r="AJ696" i="1"/>
  <c r="J697" i="1"/>
  <c r="L697" i="1" s="1"/>
  <c r="X697" i="1"/>
  <c r="AH697" i="1" s="1"/>
  <c r="Y697" i="1"/>
  <c r="AI697" i="1" s="1"/>
  <c r="Z697" i="1"/>
  <c r="AJ697" i="1" s="1"/>
  <c r="AA697" i="1"/>
  <c r="AK697" i="1" s="1"/>
  <c r="N697" i="1" s="1"/>
  <c r="AC697" i="1"/>
  <c r="AD697" i="1"/>
  <c r="AE697" i="1"/>
  <c r="AF697" i="1"/>
  <c r="M697" i="1" s="1"/>
  <c r="J698" i="1"/>
  <c r="L698" i="1"/>
  <c r="X698" i="1"/>
  <c r="AH698" i="1" s="1"/>
  <c r="Y698" i="1"/>
  <c r="AI698" i="1" s="1"/>
  <c r="Z698" i="1"/>
  <c r="AJ698" i="1" s="1"/>
  <c r="AA698" i="1"/>
  <c r="AK698" i="1" s="1"/>
  <c r="N698" i="1" s="1"/>
  <c r="AC698" i="1"/>
  <c r="AD698" i="1"/>
  <c r="AE698" i="1"/>
  <c r="AF698" i="1"/>
  <c r="M698" i="1" s="1"/>
  <c r="J699" i="1"/>
  <c r="L699" i="1"/>
  <c r="X699" i="1"/>
  <c r="AH699" i="1" s="1"/>
  <c r="Y699" i="1"/>
  <c r="AI699" i="1" s="1"/>
  <c r="Z699" i="1"/>
  <c r="AA699" i="1"/>
  <c r="AK699" i="1" s="1"/>
  <c r="N699" i="1" s="1"/>
  <c r="AC699" i="1"/>
  <c r="AD699" i="1"/>
  <c r="AE699" i="1"/>
  <c r="AF699" i="1"/>
  <c r="M699" i="1" s="1"/>
  <c r="AJ699" i="1"/>
  <c r="J700" i="1"/>
  <c r="L700" i="1"/>
  <c r="X700" i="1"/>
  <c r="AH700" i="1" s="1"/>
  <c r="Y700" i="1"/>
  <c r="AI700" i="1" s="1"/>
  <c r="Z700" i="1"/>
  <c r="AA700" i="1"/>
  <c r="AK700" i="1" s="1"/>
  <c r="N700" i="1" s="1"/>
  <c r="AC700" i="1"/>
  <c r="AD700" i="1"/>
  <c r="AE700" i="1"/>
  <c r="AF700" i="1"/>
  <c r="M700" i="1" s="1"/>
  <c r="AJ700" i="1"/>
  <c r="J701" i="1"/>
  <c r="L701" i="1" s="1"/>
  <c r="X701" i="1"/>
  <c r="AH701" i="1" s="1"/>
  <c r="Y701" i="1"/>
  <c r="AI701" i="1" s="1"/>
  <c r="Z701" i="1"/>
  <c r="AJ701" i="1" s="1"/>
  <c r="AA701" i="1"/>
  <c r="AK701" i="1" s="1"/>
  <c r="N701" i="1" s="1"/>
  <c r="AC701" i="1"/>
  <c r="AD701" i="1"/>
  <c r="AE701" i="1"/>
  <c r="AF701" i="1"/>
  <c r="M701" i="1" s="1"/>
  <c r="J702" i="1"/>
  <c r="L702" i="1" s="1"/>
  <c r="X702" i="1"/>
  <c r="AH702" i="1" s="1"/>
  <c r="Y702" i="1"/>
  <c r="AI702" i="1" s="1"/>
  <c r="Z702" i="1"/>
  <c r="AJ702" i="1" s="1"/>
  <c r="AA702" i="1"/>
  <c r="AK702" i="1" s="1"/>
  <c r="N702" i="1" s="1"/>
  <c r="AC702" i="1"/>
  <c r="AD702" i="1"/>
  <c r="AE702" i="1"/>
  <c r="AF702" i="1"/>
  <c r="M702" i="1" s="1"/>
  <c r="J703" i="1"/>
  <c r="L703" i="1"/>
  <c r="X703" i="1"/>
  <c r="AH703" i="1" s="1"/>
  <c r="Y703" i="1"/>
  <c r="AI703" i="1" s="1"/>
  <c r="Z703" i="1"/>
  <c r="AA703" i="1"/>
  <c r="AK703" i="1" s="1"/>
  <c r="N703" i="1" s="1"/>
  <c r="AC703" i="1"/>
  <c r="AD703" i="1"/>
  <c r="AE703" i="1"/>
  <c r="AF703" i="1"/>
  <c r="M703" i="1" s="1"/>
  <c r="AJ703" i="1"/>
  <c r="J704" i="1"/>
  <c r="L704" i="1"/>
  <c r="X704" i="1"/>
  <c r="AH704" i="1" s="1"/>
  <c r="Y704" i="1"/>
  <c r="AI704" i="1" s="1"/>
  <c r="Z704" i="1"/>
  <c r="AA704" i="1"/>
  <c r="AK704" i="1" s="1"/>
  <c r="N704" i="1" s="1"/>
  <c r="AC704" i="1"/>
  <c r="AD704" i="1"/>
  <c r="AE704" i="1"/>
  <c r="AF704" i="1"/>
  <c r="M704" i="1" s="1"/>
  <c r="AJ704" i="1"/>
  <c r="J705" i="1"/>
  <c r="L705" i="1" s="1"/>
  <c r="X705" i="1"/>
  <c r="AH705" i="1" s="1"/>
  <c r="Y705" i="1"/>
  <c r="AI705" i="1" s="1"/>
  <c r="Z705" i="1"/>
  <c r="AJ705" i="1" s="1"/>
  <c r="AA705" i="1"/>
  <c r="AK705" i="1" s="1"/>
  <c r="N705" i="1" s="1"/>
  <c r="AC705" i="1"/>
  <c r="AD705" i="1"/>
  <c r="AE705" i="1"/>
  <c r="AF705" i="1"/>
  <c r="M705" i="1" s="1"/>
  <c r="J706" i="1"/>
  <c r="L706" i="1"/>
  <c r="X706" i="1"/>
  <c r="AH706" i="1" s="1"/>
  <c r="Y706" i="1"/>
  <c r="AI706" i="1" s="1"/>
  <c r="Z706" i="1"/>
  <c r="AJ706" i="1" s="1"/>
  <c r="AA706" i="1"/>
  <c r="AK706" i="1" s="1"/>
  <c r="N706" i="1" s="1"/>
  <c r="AC706" i="1"/>
  <c r="AD706" i="1"/>
  <c r="AE706" i="1"/>
  <c r="AF706" i="1"/>
  <c r="M706" i="1" s="1"/>
  <c r="J707" i="1"/>
  <c r="L707" i="1"/>
  <c r="X707" i="1"/>
  <c r="AH707" i="1" s="1"/>
  <c r="Y707" i="1"/>
  <c r="AI707" i="1" s="1"/>
  <c r="Z707" i="1"/>
  <c r="AA707" i="1"/>
  <c r="AK707" i="1" s="1"/>
  <c r="N707" i="1" s="1"/>
  <c r="AC707" i="1"/>
  <c r="AD707" i="1"/>
  <c r="AE707" i="1"/>
  <c r="AF707" i="1"/>
  <c r="M707" i="1" s="1"/>
  <c r="AJ707" i="1"/>
  <c r="J708" i="1"/>
  <c r="L708" i="1" s="1"/>
  <c r="X708" i="1"/>
  <c r="AH708" i="1" s="1"/>
  <c r="Y708" i="1"/>
  <c r="AI708" i="1" s="1"/>
  <c r="Z708" i="1"/>
  <c r="AA708" i="1"/>
  <c r="AK708" i="1" s="1"/>
  <c r="N708" i="1" s="1"/>
  <c r="AC708" i="1"/>
  <c r="AD708" i="1"/>
  <c r="AE708" i="1"/>
  <c r="AF708" i="1"/>
  <c r="M708" i="1" s="1"/>
  <c r="AJ708" i="1"/>
  <c r="J709" i="1"/>
  <c r="L709" i="1"/>
  <c r="X709" i="1"/>
  <c r="AH709" i="1" s="1"/>
  <c r="Y709" i="1"/>
  <c r="AI709" i="1" s="1"/>
  <c r="Z709" i="1"/>
  <c r="AA709" i="1"/>
  <c r="AK709" i="1" s="1"/>
  <c r="N709" i="1" s="1"/>
  <c r="AC709" i="1"/>
  <c r="AD709" i="1"/>
  <c r="AE709" i="1"/>
  <c r="AF709" i="1"/>
  <c r="M709" i="1" s="1"/>
  <c r="AJ709" i="1"/>
  <c r="J710" i="1"/>
  <c r="L710" i="1"/>
  <c r="X710" i="1"/>
  <c r="AH710" i="1" s="1"/>
  <c r="Y710" i="1"/>
  <c r="AI710" i="1" s="1"/>
  <c r="Z710" i="1"/>
  <c r="AA710" i="1"/>
  <c r="AK710" i="1" s="1"/>
  <c r="N710" i="1" s="1"/>
  <c r="AC710" i="1"/>
  <c r="AD710" i="1"/>
  <c r="AE710" i="1"/>
  <c r="AF710" i="1"/>
  <c r="M710" i="1" s="1"/>
  <c r="AJ710" i="1"/>
  <c r="J711" i="1"/>
  <c r="L711" i="1"/>
  <c r="X711" i="1"/>
  <c r="AH711" i="1" s="1"/>
  <c r="Y711" i="1"/>
  <c r="AI711" i="1" s="1"/>
  <c r="Z711" i="1"/>
  <c r="AA711" i="1"/>
  <c r="AK711" i="1" s="1"/>
  <c r="N711" i="1" s="1"/>
  <c r="AC711" i="1"/>
  <c r="AD711" i="1"/>
  <c r="AE711" i="1"/>
  <c r="AF711" i="1"/>
  <c r="M711" i="1" s="1"/>
  <c r="AJ711" i="1"/>
  <c r="J712" i="1"/>
  <c r="L712" i="1"/>
  <c r="X712" i="1"/>
  <c r="AH712" i="1" s="1"/>
  <c r="Y712" i="1"/>
  <c r="AI712" i="1" s="1"/>
  <c r="Z712" i="1"/>
  <c r="AA712" i="1"/>
  <c r="AK712" i="1" s="1"/>
  <c r="N712" i="1" s="1"/>
  <c r="AC712" i="1"/>
  <c r="AD712" i="1"/>
  <c r="AE712" i="1"/>
  <c r="AF712" i="1"/>
  <c r="M712" i="1" s="1"/>
  <c r="AJ712" i="1"/>
  <c r="J713" i="1"/>
  <c r="L713" i="1"/>
  <c r="X713" i="1"/>
  <c r="AH713" i="1" s="1"/>
  <c r="Y713" i="1"/>
  <c r="AI713" i="1" s="1"/>
  <c r="Z713" i="1"/>
  <c r="AA713" i="1"/>
  <c r="AK713" i="1" s="1"/>
  <c r="N713" i="1" s="1"/>
  <c r="AC713" i="1"/>
  <c r="AD713" i="1"/>
  <c r="AE713" i="1"/>
  <c r="AF713" i="1"/>
  <c r="M713" i="1" s="1"/>
  <c r="AJ713" i="1"/>
  <c r="J714" i="1"/>
  <c r="L714" i="1"/>
  <c r="X714" i="1"/>
  <c r="AH714" i="1" s="1"/>
  <c r="Y714" i="1"/>
  <c r="AI714" i="1" s="1"/>
  <c r="Z714" i="1"/>
  <c r="AA714" i="1"/>
  <c r="AK714" i="1" s="1"/>
  <c r="N714" i="1" s="1"/>
  <c r="AC714" i="1"/>
  <c r="AD714" i="1"/>
  <c r="AE714" i="1"/>
  <c r="AF714" i="1"/>
  <c r="M714" i="1" s="1"/>
  <c r="AJ714" i="1"/>
  <c r="J715" i="1"/>
  <c r="L715" i="1"/>
  <c r="X715" i="1"/>
  <c r="AH715" i="1" s="1"/>
  <c r="Y715" i="1"/>
  <c r="AI715" i="1" s="1"/>
  <c r="Z715" i="1"/>
  <c r="AA715" i="1"/>
  <c r="AK715" i="1" s="1"/>
  <c r="N715" i="1" s="1"/>
  <c r="AC715" i="1"/>
  <c r="AD715" i="1"/>
  <c r="AE715" i="1"/>
  <c r="AF715" i="1"/>
  <c r="M715" i="1" s="1"/>
  <c r="AJ715" i="1"/>
  <c r="J716" i="1"/>
  <c r="L716" i="1"/>
  <c r="X716" i="1"/>
  <c r="AH716" i="1" s="1"/>
  <c r="Y716" i="1"/>
  <c r="AI716" i="1" s="1"/>
  <c r="Z716" i="1"/>
  <c r="AA716" i="1"/>
  <c r="AK716" i="1" s="1"/>
  <c r="N716" i="1" s="1"/>
  <c r="AC716" i="1"/>
  <c r="AD716" i="1"/>
  <c r="AE716" i="1"/>
  <c r="AF716" i="1"/>
  <c r="M716" i="1" s="1"/>
  <c r="AJ716" i="1"/>
  <c r="J717" i="1"/>
  <c r="L717" i="1"/>
  <c r="X717" i="1"/>
  <c r="AH717" i="1" s="1"/>
  <c r="Y717" i="1"/>
  <c r="AI717" i="1" s="1"/>
  <c r="Z717" i="1"/>
  <c r="AA717" i="1"/>
  <c r="AK717" i="1" s="1"/>
  <c r="N717" i="1" s="1"/>
  <c r="AC717" i="1"/>
  <c r="AD717" i="1"/>
  <c r="AE717" i="1"/>
  <c r="AF717" i="1"/>
  <c r="M717" i="1" s="1"/>
  <c r="AJ717" i="1"/>
  <c r="J718" i="1"/>
  <c r="L718" i="1"/>
  <c r="X718" i="1"/>
  <c r="AH718" i="1" s="1"/>
  <c r="Y718" i="1"/>
  <c r="AI718" i="1" s="1"/>
  <c r="Z718" i="1"/>
  <c r="AA718" i="1"/>
  <c r="AK718" i="1" s="1"/>
  <c r="N718" i="1" s="1"/>
  <c r="AC718" i="1"/>
  <c r="AD718" i="1"/>
  <c r="AE718" i="1"/>
  <c r="AF718" i="1"/>
  <c r="M718" i="1" s="1"/>
  <c r="AJ718" i="1"/>
  <c r="J719" i="1"/>
  <c r="L719" i="1"/>
  <c r="X719" i="1"/>
  <c r="AH719" i="1" s="1"/>
  <c r="Y719" i="1"/>
  <c r="AI719" i="1" s="1"/>
  <c r="Z719" i="1"/>
  <c r="AA719" i="1"/>
  <c r="AK719" i="1" s="1"/>
  <c r="N719" i="1" s="1"/>
  <c r="AC719" i="1"/>
  <c r="AD719" i="1"/>
  <c r="AE719" i="1"/>
  <c r="AF719" i="1"/>
  <c r="M719" i="1" s="1"/>
  <c r="AJ719" i="1"/>
  <c r="J720" i="1"/>
  <c r="L720" i="1"/>
  <c r="X720" i="1"/>
  <c r="AH720" i="1" s="1"/>
  <c r="Y720" i="1"/>
  <c r="AI720" i="1" s="1"/>
  <c r="Z720" i="1"/>
  <c r="AA720" i="1"/>
  <c r="AK720" i="1" s="1"/>
  <c r="N720" i="1" s="1"/>
  <c r="AC720" i="1"/>
  <c r="AD720" i="1"/>
  <c r="AE720" i="1"/>
  <c r="AF720" i="1"/>
  <c r="M720" i="1" s="1"/>
  <c r="AJ720" i="1"/>
  <c r="J721" i="1"/>
  <c r="L721" i="1"/>
  <c r="X721" i="1"/>
  <c r="AH721" i="1" s="1"/>
  <c r="Y721" i="1"/>
  <c r="AI721" i="1" s="1"/>
  <c r="Z721" i="1"/>
  <c r="AA721" i="1"/>
  <c r="AK721" i="1" s="1"/>
  <c r="N721" i="1" s="1"/>
  <c r="AC721" i="1"/>
  <c r="AD721" i="1"/>
  <c r="AE721" i="1"/>
  <c r="AF721" i="1"/>
  <c r="M721" i="1" s="1"/>
  <c r="AJ721" i="1"/>
  <c r="J722" i="1"/>
  <c r="L722" i="1"/>
  <c r="X722" i="1"/>
  <c r="AH722" i="1" s="1"/>
  <c r="Y722" i="1"/>
  <c r="AI722" i="1" s="1"/>
  <c r="Z722" i="1"/>
  <c r="AA722" i="1"/>
  <c r="AK722" i="1" s="1"/>
  <c r="N722" i="1" s="1"/>
  <c r="AC722" i="1"/>
  <c r="AD722" i="1"/>
  <c r="AE722" i="1"/>
  <c r="AF722" i="1"/>
  <c r="M722" i="1" s="1"/>
  <c r="AJ722" i="1"/>
  <c r="J723" i="1"/>
  <c r="L723" i="1"/>
  <c r="X723" i="1"/>
  <c r="AH723" i="1" s="1"/>
  <c r="Y723" i="1"/>
  <c r="AI723" i="1" s="1"/>
  <c r="Z723" i="1"/>
  <c r="AA723" i="1"/>
  <c r="AK723" i="1" s="1"/>
  <c r="N723" i="1" s="1"/>
  <c r="AC723" i="1"/>
  <c r="AD723" i="1"/>
  <c r="AE723" i="1"/>
  <c r="AF723" i="1"/>
  <c r="M723" i="1" s="1"/>
  <c r="AJ723" i="1"/>
  <c r="J724" i="1"/>
  <c r="L724" i="1"/>
  <c r="X724" i="1"/>
  <c r="AH724" i="1" s="1"/>
  <c r="Y724" i="1"/>
  <c r="AI724" i="1" s="1"/>
  <c r="Z724" i="1"/>
  <c r="AA724" i="1"/>
  <c r="AK724" i="1" s="1"/>
  <c r="N724" i="1" s="1"/>
  <c r="AC724" i="1"/>
  <c r="AD724" i="1"/>
  <c r="AE724" i="1"/>
  <c r="AF724" i="1"/>
  <c r="M724" i="1" s="1"/>
  <c r="AJ724" i="1"/>
  <c r="J725" i="1"/>
  <c r="L725" i="1"/>
  <c r="X725" i="1"/>
  <c r="AH725" i="1" s="1"/>
  <c r="Y725" i="1"/>
  <c r="AI725" i="1" s="1"/>
  <c r="Z725" i="1"/>
  <c r="AA725" i="1"/>
  <c r="AK725" i="1" s="1"/>
  <c r="N725" i="1" s="1"/>
  <c r="AC725" i="1"/>
  <c r="AD725" i="1"/>
  <c r="AE725" i="1"/>
  <c r="AF725" i="1"/>
  <c r="M725" i="1" s="1"/>
  <c r="AJ725" i="1"/>
  <c r="J726" i="1"/>
  <c r="L726" i="1"/>
  <c r="X726" i="1"/>
  <c r="AH726" i="1" s="1"/>
  <c r="Y726" i="1"/>
  <c r="AI726" i="1" s="1"/>
  <c r="Z726" i="1"/>
  <c r="AA726" i="1"/>
  <c r="AK726" i="1" s="1"/>
  <c r="N726" i="1" s="1"/>
  <c r="AC726" i="1"/>
  <c r="AD726" i="1"/>
  <c r="AE726" i="1"/>
  <c r="AF726" i="1"/>
  <c r="M726" i="1" s="1"/>
  <c r="AJ726" i="1"/>
  <c r="J727" i="1"/>
  <c r="L727" i="1"/>
  <c r="X727" i="1"/>
  <c r="AH727" i="1" s="1"/>
  <c r="Y727" i="1"/>
  <c r="AI727" i="1" s="1"/>
  <c r="Z727" i="1"/>
  <c r="AA727" i="1"/>
  <c r="AK727" i="1" s="1"/>
  <c r="N727" i="1" s="1"/>
  <c r="AC727" i="1"/>
  <c r="AD727" i="1"/>
  <c r="AE727" i="1"/>
  <c r="AF727" i="1"/>
  <c r="M727" i="1" s="1"/>
  <c r="AJ727" i="1"/>
  <c r="J728" i="1"/>
  <c r="L728" i="1"/>
  <c r="X728" i="1"/>
  <c r="AH728" i="1" s="1"/>
  <c r="Y728" i="1"/>
  <c r="AI728" i="1" s="1"/>
  <c r="Z728" i="1"/>
  <c r="AA728" i="1"/>
  <c r="AK728" i="1" s="1"/>
  <c r="N728" i="1" s="1"/>
  <c r="AC728" i="1"/>
  <c r="AD728" i="1"/>
  <c r="AE728" i="1"/>
  <c r="AF728" i="1"/>
  <c r="M728" i="1" s="1"/>
  <c r="AJ728" i="1"/>
  <c r="J729" i="1"/>
  <c r="L729" i="1"/>
  <c r="X729" i="1"/>
  <c r="AH729" i="1" s="1"/>
  <c r="Y729" i="1"/>
  <c r="AI729" i="1" s="1"/>
  <c r="Z729" i="1"/>
  <c r="AA729" i="1"/>
  <c r="AK729" i="1" s="1"/>
  <c r="N729" i="1" s="1"/>
  <c r="AC729" i="1"/>
  <c r="AD729" i="1"/>
  <c r="AE729" i="1"/>
  <c r="AF729" i="1"/>
  <c r="M729" i="1" s="1"/>
  <c r="AJ729" i="1"/>
  <c r="J730" i="1"/>
  <c r="L730" i="1"/>
  <c r="X730" i="1"/>
  <c r="AH730" i="1" s="1"/>
  <c r="Y730" i="1"/>
  <c r="AI730" i="1" s="1"/>
  <c r="Z730" i="1"/>
  <c r="AA730" i="1"/>
  <c r="AK730" i="1" s="1"/>
  <c r="N730" i="1" s="1"/>
  <c r="AC730" i="1"/>
  <c r="AD730" i="1"/>
  <c r="AE730" i="1"/>
  <c r="AF730" i="1"/>
  <c r="M730" i="1" s="1"/>
  <c r="AJ730" i="1"/>
  <c r="J731" i="1"/>
  <c r="L731" i="1"/>
  <c r="X731" i="1"/>
  <c r="AH731" i="1" s="1"/>
  <c r="Y731" i="1"/>
  <c r="AI731" i="1" s="1"/>
  <c r="Z731" i="1"/>
  <c r="AA731" i="1"/>
  <c r="AK731" i="1" s="1"/>
  <c r="N731" i="1" s="1"/>
  <c r="AC731" i="1"/>
  <c r="AD731" i="1"/>
  <c r="AE731" i="1"/>
  <c r="AF731" i="1"/>
  <c r="M731" i="1" s="1"/>
  <c r="AJ731" i="1"/>
  <c r="J732" i="1"/>
  <c r="L732" i="1"/>
  <c r="X732" i="1"/>
  <c r="AH732" i="1" s="1"/>
  <c r="Y732" i="1"/>
  <c r="AI732" i="1" s="1"/>
  <c r="Z732" i="1"/>
  <c r="AA732" i="1"/>
  <c r="AK732" i="1" s="1"/>
  <c r="N732" i="1" s="1"/>
  <c r="AC732" i="1"/>
  <c r="AD732" i="1"/>
  <c r="AE732" i="1"/>
  <c r="AF732" i="1"/>
  <c r="M732" i="1" s="1"/>
  <c r="AJ732" i="1"/>
  <c r="J733" i="1"/>
  <c r="L733" i="1"/>
  <c r="X733" i="1"/>
  <c r="AH733" i="1" s="1"/>
  <c r="Y733" i="1"/>
  <c r="AI733" i="1" s="1"/>
  <c r="Z733" i="1"/>
  <c r="AA733" i="1"/>
  <c r="AK733" i="1" s="1"/>
  <c r="N733" i="1" s="1"/>
  <c r="AC733" i="1"/>
  <c r="AD733" i="1"/>
  <c r="AE733" i="1"/>
  <c r="AF733" i="1"/>
  <c r="M733" i="1" s="1"/>
  <c r="AJ733" i="1"/>
  <c r="J734" i="1"/>
  <c r="L734" i="1"/>
  <c r="X734" i="1"/>
  <c r="AH734" i="1" s="1"/>
  <c r="Y734" i="1"/>
  <c r="AI734" i="1" s="1"/>
  <c r="Z734" i="1"/>
  <c r="AA734" i="1"/>
  <c r="AK734" i="1" s="1"/>
  <c r="N734" i="1" s="1"/>
  <c r="AC734" i="1"/>
  <c r="AD734" i="1"/>
  <c r="AE734" i="1"/>
  <c r="AF734" i="1"/>
  <c r="M734" i="1" s="1"/>
  <c r="AJ734" i="1"/>
  <c r="J735" i="1"/>
  <c r="L735" i="1"/>
  <c r="X735" i="1"/>
  <c r="AH735" i="1" s="1"/>
  <c r="Y735" i="1"/>
  <c r="AI735" i="1" s="1"/>
  <c r="Z735" i="1"/>
  <c r="AA735" i="1"/>
  <c r="AK735" i="1" s="1"/>
  <c r="N735" i="1" s="1"/>
  <c r="AC735" i="1"/>
  <c r="AD735" i="1"/>
  <c r="AE735" i="1"/>
  <c r="AF735" i="1"/>
  <c r="M735" i="1" s="1"/>
  <c r="AJ735" i="1"/>
  <c r="J736" i="1"/>
  <c r="L736" i="1"/>
  <c r="X736" i="1"/>
  <c r="AH736" i="1" s="1"/>
  <c r="Y736" i="1"/>
  <c r="AI736" i="1" s="1"/>
  <c r="Z736" i="1"/>
  <c r="AA736" i="1"/>
  <c r="AK736" i="1" s="1"/>
  <c r="N736" i="1" s="1"/>
  <c r="AC736" i="1"/>
  <c r="AD736" i="1"/>
  <c r="AE736" i="1"/>
  <c r="AF736" i="1"/>
  <c r="M736" i="1" s="1"/>
  <c r="AJ736" i="1"/>
  <c r="J737" i="1"/>
  <c r="L737" i="1"/>
  <c r="X737" i="1"/>
  <c r="AH737" i="1" s="1"/>
  <c r="Y737" i="1"/>
  <c r="AI737" i="1" s="1"/>
  <c r="Z737" i="1"/>
  <c r="AA737" i="1"/>
  <c r="AK737" i="1" s="1"/>
  <c r="N737" i="1" s="1"/>
  <c r="AC737" i="1"/>
  <c r="AD737" i="1"/>
  <c r="AE737" i="1"/>
  <c r="AF737" i="1"/>
  <c r="M737" i="1" s="1"/>
  <c r="AJ737" i="1"/>
  <c r="J738" i="1"/>
  <c r="L738" i="1"/>
  <c r="X738" i="1"/>
  <c r="AH738" i="1" s="1"/>
  <c r="Y738" i="1"/>
  <c r="AI738" i="1" s="1"/>
  <c r="Z738" i="1"/>
  <c r="AA738" i="1"/>
  <c r="AK738" i="1" s="1"/>
  <c r="N738" i="1" s="1"/>
  <c r="AC738" i="1"/>
  <c r="AD738" i="1"/>
  <c r="AE738" i="1"/>
  <c r="AF738" i="1"/>
  <c r="M738" i="1" s="1"/>
  <c r="AJ738" i="1"/>
  <c r="J739" i="1"/>
  <c r="L739" i="1"/>
  <c r="X739" i="1"/>
  <c r="AH739" i="1" s="1"/>
  <c r="Y739" i="1"/>
  <c r="AI739" i="1" s="1"/>
  <c r="Z739" i="1"/>
  <c r="AA739" i="1"/>
  <c r="AK739" i="1" s="1"/>
  <c r="N739" i="1" s="1"/>
  <c r="AC739" i="1"/>
  <c r="AD739" i="1"/>
  <c r="AE739" i="1"/>
  <c r="AF739" i="1"/>
  <c r="M739" i="1" s="1"/>
  <c r="AJ739" i="1"/>
  <c r="J740" i="1"/>
  <c r="L740" i="1"/>
  <c r="X740" i="1"/>
  <c r="AH740" i="1" s="1"/>
  <c r="Y740" i="1"/>
  <c r="AI740" i="1" s="1"/>
  <c r="Z740" i="1"/>
  <c r="AA740" i="1"/>
  <c r="AK740" i="1" s="1"/>
  <c r="N740" i="1" s="1"/>
  <c r="AC740" i="1"/>
  <c r="AD740" i="1"/>
  <c r="AE740" i="1"/>
  <c r="AF740" i="1"/>
  <c r="M740" i="1" s="1"/>
  <c r="AJ740" i="1"/>
  <c r="J741" i="1"/>
  <c r="L741" i="1"/>
  <c r="X741" i="1"/>
  <c r="AH741" i="1" s="1"/>
  <c r="Y741" i="1"/>
  <c r="AI741" i="1" s="1"/>
  <c r="Z741" i="1"/>
  <c r="AA741" i="1"/>
  <c r="AK741" i="1" s="1"/>
  <c r="N741" i="1" s="1"/>
  <c r="AC741" i="1"/>
  <c r="AD741" i="1"/>
  <c r="AE741" i="1"/>
  <c r="AF741" i="1"/>
  <c r="M741" i="1" s="1"/>
  <c r="AJ741" i="1"/>
  <c r="J742" i="1"/>
  <c r="L742" i="1"/>
  <c r="X742" i="1"/>
  <c r="AH742" i="1" s="1"/>
  <c r="Y742" i="1"/>
  <c r="AI742" i="1" s="1"/>
  <c r="Z742" i="1"/>
  <c r="AA742" i="1"/>
  <c r="AK742" i="1" s="1"/>
  <c r="N742" i="1" s="1"/>
  <c r="AC742" i="1"/>
  <c r="AD742" i="1"/>
  <c r="AE742" i="1"/>
  <c r="AF742" i="1"/>
  <c r="M742" i="1" s="1"/>
  <c r="AJ742" i="1"/>
  <c r="J743" i="1"/>
  <c r="L743" i="1"/>
  <c r="X743" i="1"/>
  <c r="AH743" i="1" s="1"/>
  <c r="Y743" i="1"/>
  <c r="AI743" i="1" s="1"/>
  <c r="Z743" i="1"/>
  <c r="AA743" i="1"/>
  <c r="AK743" i="1" s="1"/>
  <c r="N743" i="1" s="1"/>
  <c r="AC743" i="1"/>
  <c r="AD743" i="1"/>
  <c r="AE743" i="1"/>
  <c r="AF743" i="1"/>
  <c r="M743" i="1" s="1"/>
  <c r="AJ743" i="1"/>
  <c r="J744" i="1"/>
  <c r="L744" i="1"/>
  <c r="X744" i="1"/>
  <c r="AH744" i="1" s="1"/>
  <c r="Y744" i="1"/>
  <c r="AI744" i="1" s="1"/>
  <c r="Z744" i="1"/>
  <c r="AA744" i="1"/>
  <c r="AK744" i="1" s="1"/>
  <c r="N744" i="1" s="1"/>
  <c r="AC744" i="1"/>
  <c r="AD744" i="1"/>
  <c r="AE744" i="1"/>
  <c r="AF744" i="1"/>
  <c r="M744" i="1" s="1"/>
  <c r="AJ744" i="1"/>
  <c r="J745" i="1"/>
  <c r="L745" i="1"/>
  <c r="X745" i="1"/>
  <c r="AH745" i="1" s="1"/>
  <c r="Y745" i="1"/>
  <c r="AI745" i="1" s="1"/>
  <c r="Z745" i="1"/>
  <c r="AA745" i="1"/>
  <c r="AK745" i="1" s="1"/>
  <c r="N745" i="1" s="1"/>
  <c r="AC745" i="1"/>
  <c r="AD745" i="1"/>
  <c r="AE745" i="1"/>
  <c r="AF745" i="1"/>
  <c r="M745" i="1" s="1"/>
  <c r="AJ745" i="1"/>
  <c r="J746" i="1"/>
  <c r="L746" i="1"/>
  <c r="X746" i="1"/>
  <c r="AH746" i="1" s="1"/>
  <c r="Y746" i="1"/>
  <c r="AI746" i="1" s="1"/>
  <c r="Z746" i="1"/>
  <c r="AA746" i="1"/>
  <c r="AK746" i="1" s="1"/>
  <c r="N746" i="1" s="1"/>
  <c r="AC746" i="1"/>
  <c r="AD746" i="1"/>
  <c r="AE746" i="1"/>
  <c r="AF746" i="1"/>
  <c r="M746" i="1" s="1"/>
  <c r="AJ746" i="1"/>
  <c r="J747" i="1"/>
  <c r="L747" i="1"/>
  <c r="X747" i="1"/>
  <c r="AH747" i="1" s="1"/>
  <c r="Y747" i="1"/>
  <c r="AI747" i="1" s="1"/>
  <c r="Z747" i="1"/>
  <c r="AA747" i="1"/>
  <c r="AK747" i="1" s="1"/>
  <c r="N747" i="1" s="1"/>
  <c r="AC747" i="1"/>
  <c r="AD747" i="1"/>
  <c r="AE747" i="1"/>
  <c r="AF747" i="1"/>
  <c r="M747" i="1" s="1"/>
  <c r="AJ747" i="1"/>
  <c r="J748" i="1"/>
  <c r="L748" i="1"/>
  <c r="X748" i="1"/>
  <c r="AH748" i="1" s="1"/>
  <c r="Y748" i="1"/>
  <c r="AI748" i="1" s="1"/>
  <c r="Z748" i="1"/>
  <c r="AA748" i="1"/>
  <c r="AK748" i="1" s="1"/>
  <c r="N748" i="1" s="1"/>
  <c r="AC748" i="1"/>
  <c r="AD748" i="1"/>
  <c r="AE748" i="1"/>
  <c r="AF748" i="1"/>
  <c r="M748" i="1" s="1"/>
  <c r="AJ748" i="1"/>
  <c r="J749" i="1"/>
  <c r="L749" i="1"/>
  <c r="X749" i="1"/>
  <c r="AH749" i="1" s="1"/>
  <c r="Y749" i="1"/>
  <c r="AI749" i="1" s="1"/>
  <c r="Z749" i="1"/>
  <c r="AA749" i="1"/>
  <c r="AK749" i="1" s="1"/>
  <c r="N749" i="1" s="1"/>
  <c r="AC749" i="1"/>
  <c r="AD749" i="1"/>
  <c r="AE749" i="1"/>
  <c r="AF749" i="1"/>
  <c r="M749" i="1" s="1"/>
  <c r="AJ749" i="1"/>
  <c r="J750" i="1"/>
  <c r="L750" i="1"/>
  <c r="X750" i="1"/>
  <c r="AH750" i="1" s="1"/>
  <c r="Y750" i="1"/>
  <c r="AI750" i="1" s="1"/>
  <c r="Z750" i="1"/>
  <c r="AA750" i="1"/>
  <c r="AK750" i="1" s="1"/>
  <c r="N750" i="1" s="1"/>
  <c r="AC750" i="1"/>
  <c r="AD750" i="1"/>
  <c r="AE750" i="1"/>
  <c r="AF750" i="1"/>
  <c r="M750" i="1" s="1"/>
  <c r="AJ750" i="1"/>
  <c r="J751" i="1"/>
  <c r="L751" i="1"/>
  <c r="X751" i="1"/>
  <c r="AH751" i="1" s="1"/>
  <c r="Y751" i="1"/>
  <c r="AI751" i="1" s="1"/>
  <c r="Z751" i="1"/>
  <c r="AA751" i="1"/>
  <c r="AK751" i="1" s="1"/>
  <c r="N751" i="1" s="1"/>
  <c r="AC751" i="1"/>
  <c r="AD751" i="1"/>
  <c r="AE751" i="1"/>
  <c r="AF751" i="1"/>
  <c r="M751" i="1" s="1"/>
  <c r="AJ751" i="1"/>
  <c r="J752" i="1"/>
  <c r="L752" i="1"/>
  <c r="X752" i="1"/>
  <c r="AH752" i="1" s="1"/>
  <c r="Y752" i="1"/>
  <c r="AI752" i="1" s="1"/>
  <c r="Z752" i="1"/>
  <c r="AA752" i="1"/>
  <c r="AK752" i="1" s="1"/>
  <c r="N752" i="1" s="1"/>
  <c r="AC752" i="1"/>
  <c r="AD752" i="1"/>
  <c r="AE752" i="1"/>
  <c r="AF752" i="1"/>
  <c r="M752" i="1" s="1"/>
  <c r="AJ752" i="1"/>
  <c r="J753" i="1"/>
  <c r="L753" i="1"/>
  <c r="X753" i="1"/>
  <c r="AH753" i="1" s="1"/>
  <c r="Y753" i="1"/>
  <c r="AI753" i="1" s="1"/>
  <c r="Z753" i="1"/>
  <c r="AA753" i="1"/>
  <c r="AK753" i="1" s="1"/>
  <c r="N753" i="1" s="1"/>
  <c r="AC753" i="1"/>
  <c r="AD753" i="1"/>
  <c r="AE753" i="1"/>
  <c r="AF753" i="1"/>
  <c r="M753" i="1" s="1"/>
  <c r="AJ753" i="1"/>
  <c r="J754" i="1"/>
  <c r="L754" i="1"/>
  <c r="X754" i="1"/>
  <c r="AH754" i="1" s="1"/>
  <c r="Y754" i="1"/>
  <c r="AI754" i="1" s="1"/>
  <c r="Z754" i="1"/>
  <c r="AA754" i="1"/>
  <c r="AK754" i="1" s="1"/>
  <c r="N754" i="1" s="1"/>
  <c r="AC754" i="1"/>
  <c r="AD754" i="1"/>
  <c r="AE754" i="1"/>
  <c r="AF754" i="1"/>
  <c r="M754" i="1" s="1"/>
  <c r="AJ754" i="1"/>
  <c r="J755" i="1"/>
  <c r="L755" i="1"/>
  <c r="X755" i="1"/>
  <c r="AH755" i="1" s="1"/>
  <c r="Y755" i="1"/>
  <c r="AI755" i="1" s="1"/>
  <c r="Z755" i="1"/>
  <c r="AA755" i="1"/>
  <c r="AK755" i="1" s="1"/>
  <c r="N755" i="1" s="1"/>
  <c r="AC755" i="1"/>
  <c r="AD755" i="1"/>
  <c r="AE755" i="1"/>
  <c r="AF755" i="1"/>
  <c r="M755" i="1" s="1"/>
  <c r="AJ755" i="1"/>
  <c r="J756" i="1"/>
  <c r="L756" i="1"/>
  <c r="X756" i="1"/>
  <c r="AH756" i="1" s="1"/>
  <c r="Y756" i="1"/>
  <c r="AI756" i="1" s="1"/>
  <c r="Z756" i="1"/>
  <c r="AA756" i="1"/>
  <c r="AK756" i="1" s="1"/>
  <c r="N756" i="1" s="1"/>
  <c r="AC756" i="1"/>
  <c r="AD756" i="1"/>
  <c r="AE756" i="1"/>
  <c r="AF756" i="1"/>
  <c r="M756" i="1" s="1"/>
  <c r="AJ756" i="1"/>
  <c r="J757" i="1"/>
  <c r="L757" i="1"/>
  <c r="X757" i="1"/>
  <c r="AH757" i="1" s="1"/>
  <c r="Y757" i="1"/>
  <c r="AI757" i="1" s="1"/>
  <c r="Z757" i="1"/>
  <c r="AA757" i="1"/>
  <c r="AK757" i="1" s="1"/>
  <c r="N757" i="1" s="1"/>
  <c r="AC757" i="1"/>
  <c r="AD757" i="1"/>
  <c r="AE757" i="1"/>
  <c r="AF757" i="1"/>
  <c r="M757" i="1" s="1"/>
  <c r="AJ757" i="1"/>
  <c r="J758" i="1"/>
  <c r="L758" i="1"/>
  <c r="X758" i="1"/>
  <c r="AH758" i="1" s="1"/>
  <c r="Y758" i="1"/>
  <c r="AI758" i="1" s="1"/>
  <c r="Z758" i="1"/>
  <c r="AA758" i="1"/>
  <c r="AK758" i="1" s="1"/>
  <c r="N758" i="1" s="1"/>
  <c r="AC758" i="1"/>
  <c r="AD758" i="1"/>
  <c r="AE758" i="1"/>
  <c r="AF758" i="1"/>
  <c r="M758" i="1" s="1"/>
  <c r="AJ758" i="1"/>
  <c r="J759" i="1"/>
  <c r="L759" i="1"/>
  <c r="X759" i="1"/>
  <c r="AH759" i="1" s="1"/>
  <c r="Y759" i="1"/>
  <c r="AI759" i="1" s="1"/>
  <c r="Z759" i="1"/>
  <c r="AA759" i="1"/>
  <c r="AK759" i="1" s="1"/>
  <c r="N759" i="1" s="1"/>
  <c r="AC759" i="1"/>
  <c r="AD759" i="1"/>
  <c r="AE759" i="1"/>
  <c r="AF759" i="1"/>
  <c r="M759" i="1" s="1"/>
  <c r="AJ759" i="1"/>
  <c r="J760" i="1"/>
  <c r="L760" i="1"/>
  <c r="X760" i="1"/>
  <c r="AH760" i="1" s="1"/>
  <c r="Y760" i="1"/>
  <c r="AI760" i="1" s="1"/>
  <c r="Z760" i="1"/>
  <c r="AA760" i="1"/>
  <c r="AK760" i="1" s="1"/>
  <c r="N760" i="1" s="1"/>
  <c r="AC760" i="1"/>
  <c r="AD760" i="1"/>
  <c r="AE760" i="1"/>
  <c r="AF760" i="1"/>
  <c r="M760" i="1" s="1"/>
  <c r="AJ760" i="1"/>
  <c r="J761" i="1"/>
  <c r="L761" i="1"/>
  <c r="X761" i="1"/>
  <c r="AH761" i="1" s="1"/>
  <c r="Y761" i="1"/>
  <c r="AI761" i="1" s="1"/>
  <c r="Z761" i="1"/>
  <c r="AA761" i="1"/>
  <c r="AK761" i="1" s="1"/>
  <c r="N761" i="1" s="1"/>
  <c r="AC761" i="1"/>
  <c r="AD761" i="1"/>
  <c r="AE761" i="1"/>
  <c r="AF761" i="1"/>
  <c r="M761" i="1" s="1"/>
  <c r="AJ761" i="1"/>
  <c r="J762" i="1"/>
  <c r="L762" i="1"/>
  <c r="X762" i="1"/>
  <c r="AH762" i="1" s="1"/>
  <c r="Y762" i="1"/>
  <c r="AI762" i="1" s="1"/>
  <c r="Z762" i="1"/>
  <c r="AA762" i="1"/>
  <c r="AK762" i="1" s="1"/>
  <c r="N762" i="1" s="1"/>
  <c r="AC762" i="1"/>
  <c r="AD762" i="1"/>
  <c r="AE762" i="1"/>
  <c r="AF762" i="1"/>
  <c r="M762" i="1" s="1"/>
  <c r="AJ762" i="1"/>
  <c r="J763" i="1"/>
  <c r="L763" i="1"/>
  <c r="X763" i="1"/>
  <c r="AH763" i="1" s="1"/>
  <c r="Y763" i="1"/>
  <c r="AI763" i="1" s="1"/>
  <c r="Z763" i="1"/>
  <c r="AA763" i="1"/>
  <c r="AK763" i="1" s="1"/>
  <c r="N763" i="1" s="1"/>
  <c r="AC763" i="1"/>
  <c r="AD763" i="1"/>
  <c r="AE763" i="1"/>
  <c r="AF763" i="1"/>
  <c r="M763" i="1" s="1"/>
  <c r="AJ763" i="1"/>
  <c r="J764" i="1"/>
  <c r="L764" i="1"/>
  <c r="X764" i="1"/>
  <c r="AH764" i="1" s="1"/>
  <c r="Y764" i="1"/>
  <c r="AI764" i="1" s="1"/>
  <c r="Z764" i="1"/>
  <c r="AA764" i="1"/>
  <c r="AK764" i="1" s="1"/>
  <c r="N764" i="1" s="1"/>
  <c r="AC764" i="1"/>
  <c r="AD764" i="1"/>
  <c r="AE764" i="1"/>
  <c r="AF764" i="1"/>
  <c r="M764" i="1" s="1"/>
  <c r="AJ764" i="1"/>
  <c r="J765" i="1"/>
  <c r="L765" i="1"/>
  <c r="X765" i="1"/>
  <c r="AH765" i="1" s="1"/>
  <c r="Y765" i="1"/>
  <c r="AI765" i="1" s="1"/>
  <c r="Z765" i="1"/>
  <c r="AA765" i="1"/>
  <c r="AK765" i="1" s="1"/>
  <c r="N765" i="1" s="1"/>
  <c r="AC765" i="1"/>
  <c r="AD765" i="1"/>
  <c r="AE765" i="1"/>
  <c r="AF765" i="1"/>
  <c r="M765" i="1" s="1"/>
  <c r="AJ765" i="1"/>
  <c r="J766" i="1"/>
  <c r="L766" i="1"/>
  <c r="X766" i="1"/>
  <c r="AH766" i="1" s="1"/>
  <c r="Y766" i="1"/>
  <c r="AI766" i="1" s="1"/>
  <c r="Z766" i="1"/>
  <c r="AA766" i="1"/>
  <c r="AK766" i="1" s="1"/>
  <c r="N766" i="1" s="1"/>
  <c r="AC766" i="1"/>
  <c r="AD766" i="1"/>
  <c r="AE766" i="1"/>
  <c r="AF766" i="1"/>
  <c r="M766" i="1" s="1"/>
  <c r="AJ766" i="1"/>
  <c r="J767" i="1"/>
  <c r="L767" i="1"/>
  <c r="X767" i="1"/>
  <c r="AH767" i="1" s="1"/>
  <c r="Y767" i="1"/>
  <c r="AI767" i="1" s="1"/>
  <c r="Z767" i="1"/>
  <c r="AA767" i="1"/>
  <c r="AK767" i="1" s="1"/>
  <c r="N767" i="1" s="1"/>
  <c r="AC767" i="1"/>
  <c r="AD767" i="1"/>
  <c r="AE767" i="1"/>
  <c r="AF767" i="1"/>
  <c r="M767" i="1" s="1"/>
  <c r="AJ767" i="1"/>
  <c r="J768" i="1"/>
  <c r="L768" i="1"/>
  <c r="X768" i="1"/>
  <c r="AH768" i="1" s="1"/>
  <c r="Y768" i="1"/>
  <c r="AI768" i="1" s="1"/>
  <c r="Z768" i="1"/>
  <c r="AA768" i="1"/>
  <c r="AK768" i="1" s="1"/>
  <c r="N768" i="1" s="1"/>
  <c r="AC768" i="1"/>
  <c r="AD768" i="1"/>
  <c r="AE768" i="1"/>
  <c r="AF768" i="1"/>
  <c r="M768" i="1" s="1"/>
  <c r="AJ768" i="1"/>
  <c r="J769" i="1"/>
  <c r="L769" i="1"/>
  <c r="X769" i="1"/>
  <c r="AH769" i="1" s="1"/>
  <c r="Y769" i="1"/>
  <c r="AI769" i="1" s="1"/>
  <c r="Z769" i="1"/>
  <c r="AA769" i="1"/>
  <c r="AK769" i="1" s="1"/>
  <c r="N769" i="1" s="1"/>
  <c r="AC769" i="1"/>
  <c r="AD769" i="1"/>
  <c r="AE769" i="1"/>
  <c r="AF769" i="1"/>
  <c r="M769" i="1" s="1"/>
  <c r="AJ769" i="1"/>
  <c r="J770" i="1"/>
  <c r="L770" i="1"/>
  <c r="X770" i="1"/>
  <c r="AH770" i="1" s="1"/>
  <c r="Y770" i="1"/>
  <c r="AI770" i="1" s="1"/>
  <c r="Z770" i="1"/>
  <c r="AA770" i="1"/>
  <c r="AK770" i="1" s="1"/>
  <c r="N770" i="1" s="1"/>
  <c r="AC770" i="1"/>
  <c r="AD770" i="1"/>
  <c r="AE770" i="1"/>
  <c r="AF770" i="1"/>
  <c r="M770" i="1" s="1"/>
  <c r="AJ770" i="1"/>
  <c r="J771" i="1"/>
  <c r="L771" i="1"/>
  <c r="X771" i="1"/>
  <c r="AH771" i="1" s="1"/>
  <c r="Y771" i="1"/>
  <c r="AI771" i="1" s="1"/>
  <c r="Z771" i="1"/>
  <c r="AJ771" i="1" s="1"/>
  <c r="AA771" i="1"/>
  <c r="AK771" i="1" s="1"/>
  <c r="N771" i="1" s="1"/>
  <c r="AC771" i="1"/>
  <c r="AD771" i="1"/>
  <c r="AE771" i="1"/>
  <c r="AF771" i="1"/>
  <c r="M771" i="1" s="1"/>
  <c r="J772" i="1"/>
  <c r="L772" i="1" s="1"/>
  <c r="X772" i="1"/>
  <c r="AH772" i="1" s="1"/>
  <c r="Y772" i="1"/>
  <c r="AI772" i="1" s="1"/>
  <c r="Z772" i="1"/>
  <c r="AJ772" i="1" s="1"/>
  <c r="AA772" i="1"/>
  <c r="AK772" i="1" s="1"/>
  <c r="N772" i="1" s="1"/>
  <c r="AC772" i="1"/>
  <c r="AD772" i="1"/>
  <c r="AE772" i="1"/>
  <c r="AF772" i="1"/>
  <c r="M772" i="1" s="1"/>
  <c r="J773" i="1"/>
  <c r="L773" i="1"/>
  <c r="X773" i="1"/>
  <c r="AH773" i="1" s="1"/>
  <c r="Y773" i="1"/>
  <c r="AI773" i="1" s="1"/>
  <c r="Z773" i="1"/>
  <c r="AJ773" i="1" s="1"/>
  <c r="AA773" i="1"/>
  <c r="AK773" i="1" s="1"/>
  <c r="N773" i="1" s="1"/>
  <c r="AC773" i="1"/>
  <c r="AD773" i="1"/>
  <c r="AE773" i="1"/>
  <c r="AF773" i="1"/>
  <c r="M773" i="1" s="1"/>
  <c r="J774" i="1"/>
  <c r="L774" i="1"/>
  <c r="X774" i="1"/>
  <c r="AH774" i="1" s="1"/>
  <c r="Y774" i="1"/>
  <c r="AI774" i="1" s="1"/>
  <c r="Z774" i="1"/>
  <c r="AJ774" i="1" s="1"/>
  <c r="AA774" i="1"/>
  <c r="AK774" i="1" s="1"/>
  <c r="N774" i="1" s="1"/>
  <c r="AC774" i="1"/>
  <c r="AD774" i="1"/>
  <c r="AE774" i="1"/>
  <c r="AF774" i="1"/>
  <c r="M774" i="1" s="1"/>
  <c r="J775" i="1"/>
  <c r="L775" i="1"/>
  <c r="X775" i="1"/>
  <c r="AH775" i="1" s="1"/>
  <c r="Y775" i="1"/>
  <c r="AI775" i="1" s="1"/>
  <c r="Z775" i="1"/>
  <c r="AJ775" i="1" s="1"/>
  <c r="AA775" i="1"/>
  <c r="AK775" i="1" s="1"/>
  <c r="N775" i="1" s="1"/>
  <c r="AC775" i="1"/>
  <c r="AD775" i="1"/>
  <c r="AE775" i="1"/>
  <c r="AF775" i="1"/>
  <c r="M775" i="1" s="1"/>
  <c r="J776" i="1"/>
  <c r="L776" i="1"/>
  <c r="X776" i="1"/>
  <c r="AH776" i="1" s="1"/>
  <c r="Y776" i="1"/>
  <c r="Z776" i="1"/>
  <c r="AJ776" i="1" s="1"/>
  <c r="AA776" i="1"/>
  <c r="AK776" i="1" s="1"/>
  <c r="N776" i="1" s="1"/>
  <c r="AC776" i="1"/>
  <c r="AD776" i="1"/>
  <c r="AE776" i="1"/>
  <c r="AF776" i="1"/>
  <c r="M776" i="1" s="1"/>
  <c r="AI776" i="1"/>
  <c r="J777" i="1"/>
  <c r="L777" i="1"/>
  <c r="X777" i="1"/>
  <c r="AH777" i="1" s="1"/>
  <c r="Y777" i="1"/>
  <c r="Z777" i="1"/>
  <c r="AA777" i="1"/>
  <c r="AK777" i="1" s="1"/>
  <c r="N777" i="1" s="1"/>
  <c r="AC777" i="1"/>
  <c r="AD777" i="1"/>
  <c r="AE777" i="1"/>
  <c r="AF777" i="1"/>
  <c r="M777" i="1" s="1"/>
  <c r="AI777" i="1"/>
  <c r="AJ777" i="1"/>
  <c r="J778" i="1"/>
  <c r="L778" i="1"/>
  <c r="X778" i="1"/>
  <c r="AH778" i="1" s="1"/>
  <c r="Y778" i="1"/>
  <c r="Z778" i="1"/>
  <c r="AA778" i="1"/>
  <c r="AK778" i="1" s="1"/>
  <c r="N778" i="1" s="1"/>
  <c r="AC778" i="1"/>
  <c r="AD778" i="1"/>
  <c r="AE778" i="1"/>
  <c r="AF778" i="1"/>
  <c r="M778" i="1" s="1"/>
  <c r="AI778" i="1"/>
  <c r="AJ778" i="1"/>
  <c r="J779" i="1"/>
  <c r="L779" i="1"/>
  <c r="X779" i="1"/>
  <c r="AH779" i="1" s="1"/>
  <c r="Y779" i="1"/>
  <c r="Z779" i="1"/>
  <c r="AJ779" i="1" s="1"/>
  <c r="AA779" i="1"/>
  <c r="AK779" i="1" s="1"/>
  <c r="N779" i="1" s="1"/>
  <c r="AC779" i="1"/>
  <c r="AD779" i="1"/>
  <c r="AE779" i="1"/>
  <c r="AF779" i="1"/>
  <c r="M779" i="1" s="1"/>
  <c r="AI779" i="1"/>
  <c r="J780" i="1"/>
  <c r="L780" i="1" s="1"/>
  <c r="X780" i="1"/>
  <c r="AH780" i="1" s="1"/>
  <c r="Y780" i="1"/>
  <c r="AI780" i="1" s="1"/>
  <c r="Z780" i="1"/>
  <c r="AJ780" i="1" s="1"/>
  <c r="AA780" i="1"/>
  <c r="AK780" i="1" s="1"/>
  <c r="N780" i="1" s="1"/>
  <c r="AC780" i="1"/>
  <c r="AD780" i="1"/>
  <c r="AE780" i="1"/>
  <c r="AF780" i="1"/>
  <c r="M780" i="1" s="1"/>
  <c r="J781" i="1"/>
  <c r="L781" i="1"/>
  <c r="X781" i="1"/>
  <c r="AH781" i="1" s="1"/>
  <c r="Y781" i="1"/>
  <c r="AI781" i="1" s="1"/>
  <c r="Z781" i="1"/>
  <c r="AJ781" i="1" s="1"/>
  <c r="AA781" i="1"/>
  <c r="AK781" i="1" s="1"/>
  <c r="N781" i="1" s="1"/>
  <c r="AC781" i="1"/>
  <c r="AD781" i="1"/>
  <c r="AE781" i="1"/>
  <c r="AF781" i="1"/>
  <c r="M781" i="1" s="1"/>
  <c r="J782" i="1"/>
  <c r="L782" i="1" s="1"/>
  <c r="X782" i="1"/>
  <c r="AH782" i="1" s="1"/>
  <c r="Y782" i="1"/>
  <c r="AI782" i="1" s="1"/>
  <c r="Z782" i="1"/>
  <c r="AJ782" i="1" s="1"/>
  <c r="AA782" i="1"/>
  <c r="AK782" i="1" s="1"/>
  <c r="N782" i="1" s="1"/>
  <c r="AC782" i="1"/>
  <c r="AD782" i="1"/>
  <c r="AE782" i="1"/>
  <c r="AF782" i="1"/>
  <c r="M782" i="1" s="1"/>
  <c r="J783" i="1"/>
  <c r="L783" i="1"/>
  <c r="X783" i="1"/>
  <c r="AH783" i="1" s="1"/>
  <c r="Y783" i="1"/>
  <c r="AI783" i="1" s="1"/>
  <c r="Z783" i="1"/>
  <c r="AJ783" i="1" s="1"/>
  <c r="AA783" i="1"/>
  <c r="AK783" i="1" s="1"/>
  <c r="N783" i="1" s="1"/>
  <c r="AC783" i="1"/>
  <c r="AD783" i="1"/>
  <c r="AE783" i="1"/>
  <c r="AF783" i="1"/>
  <c r="M783" i="1" s="1"/>
  <c r="J784" i="1"/>
  <c r="L784" i="1"/>
  <c r="X784" i="1"/>
  <c r="AH784" i="1" s="1"/>
  <c r="Y784" i="1"/>
  <c r="Z784" i="1"/>
  <c r="AJ784" i="1" s="1"/>
  <c r="AA784" i="1"/>
  <c r="AK784" i="1" s="1"/>
  <c r="N784" i="1" s="1"/>
  <c r="AC784" i="1"/>
  <c r="AD784" i="1"/>
  <c r="AE784" i="1"/>
  <c r="AF784" i="1"/>
  <c r="M784" i="1" s="1"/>
  <c r="AI784" i="1"/>
  <c r="J785" i="1"/>
  <c r="L785" i="1"/>
  <c r="X785" i="1"/>
  <c r="AH785" i="1" s="1"/>
  <c r="Y785" i="1"/>
  <c r="Z785" i="1"/>
  <c r="AA785" i="1"/>
  <c r="AK785" i="1" s="1"/>
  <c r="N785" i="1" s="1"/>
  <c r="AC785" i="1"/>
  <c r="AD785" i="1"/>
  <c r="AE785" i="1"/>
  <c r="AF785" i="1"/>
  <c r="M785" i="1" s="1"/>
  <c r="AI785" i="1"/>
  <c r="AJ785" i="1"/>
  <c r="J786" i="1"/>
  <c r="L786" i="1"/>
  <c r="X786" i="1"/>
  <c r="AH786" i="1" s="1"/>
  <c r="Y786" i="1"/>
  <c r="Z786" i="1"/>
  <c r="AA786" i="1"/>
  <c r="AK786" i="1" s="1"/>
  <c r="N786" i="1" s="1"/>
  <c r="AC786" i="1"/>
  <c r="AD786" i="1"/>
  <c r="AE786" i="1"/>
  <c r="AF786" i="1"/>
  <c r="M786" i="1" s="1"/>
  <c r="AI786" i="1"/>
  <c r="AJ786" i="1"/>
  <c r="J787" i="1"/>
  <c r="L787" i="1"/>
  <c r="X787" i="1"/>
  <c r="AH787" i="1" s="1"/>
  <c r="Y787" i="1"/>
  <c r="Z787" i="1"/>
  <c r="AJ787" i="1" s="1"/>
  <c r="AA787" i="1"/>
  <c r="AC787" i="1"/>
  <c r="AD787" i="1"/>
  <c r="AE787" i="1"/>
  <c r="AF787" i="1"/>
  <c r="M787" i="1" s="1"/>
  <c r="AI787" i="1"/>
  <c r="AK787" i="1"/>
  <c r="N787" i="1" s="1"/>
  <c r="J788" i="1"/>
  <c r="L788" i="1"/>
  <c r="X788" i="1"/>
  <c r="AH788" i="1" s="1"/>
  <c r="Y788" i="1"/>
  <c r="Z788" i="1"/>
  <c r="AA788" i="1"/>
  <c r="AK788" i="1" s="1"/>
  <c r="N788" i="1" s="1"/>
  <c r="AC788" i="1"/>
  <c r="AD788" i="1"/>
  <c r="AE788" i="1"/>
  <c r="AF788" i="1"/>
  <c r="M788" i="1" s="1"/>
  <c r="AI788" i="1"/>
  <c r="AJ788" i="1"/>
  <c r="J789" i="1"/>
  <c r="L789" i="1"/>
  <c r="X789" i="1"/>
  <c r="AH789" i="1" s="1"/>
  <c r="Y789" i="1"/>
  <c r="Z789" i="1"/>
  <c r="AJ789" i="1" s="1"/>
  <c r="AA789" i="1"/>
  <c r="AK789" i="1" s="1"/>
  <c r="N789" i="1" s="1"/>
  <c r="AC789" i="1"/>
  <c r="AD789" i="1"/>
  <c r="AE789" i="1"/>
  <c r="AF789" i="1"/>
  <c r="M789" i="1" s="1"/>
  <c r="AI789" i="1"/>
  <c r="J790" i="1"/>
  <c r="L790" i="1"/>
  <c r="X790" i="1"/>
  <c r="AH790" i="1" s="1"/>
  <c r="Y790" i="1"/>
  <c r="Z790" i="1"/>
  <c r="AA790" i="1"/>
  <c r="AK790" i="1" s="1"/>
  <c r="N790" i="1" s="1"/>
  <c r="AC790" i="1"/>
  <c r="AD790" i="1"/>
  <c r="AE790" i="1"/>
  <c r="AF790" i="1"/>
  <c r="M790" i="1" s="1"/>
  <c r="AI790" i="1"/>
  <c r="AJ790" i="1"/>
  <c r="J791" i="1"/>
  <c r="L791" i="1"/>
  <c r="X791" i="1"/>
  <c r="AH791" i="1" s="1"/>
  <c r="Y791" i="1"/>
  <c r="Z791" i="1"/>
  <c r="AJ791" i="1" s="1"/>
  <c r="AA791" i="1"/>
  <c r="AC791" i="1"/>
  <c r="AD791" i="1"/>
  <c r="AE791" i="1"/>
  <c r="AF791" i="1"/>
  <c r="M791" i="1" s="1"/>
  <c r="AI791" i="1"/>
  <c r="AK791" i="1"/>
  <c r="N791" i="1" s="1"/>
  <c r="J792" i="1"/>
  <c r="L792" i="1"/>
  <c r="X792" i="1"/>
  <c r="AH792" i="1" s="1"/>
  <c r="Y792" i="1"/>
  <c r="Z792" i="1"/>
  <c r="AA792" i="1"/>
  <c r="AK792" i="1" s="1"/>
  <c r="N792" i="1" s="1"/>
  <c r="AC792" i="1"/>
  <c r="AD792" i="1"/>
  <c r="AE792" i="1"/>
  <c r="AF792" i="1"/>
  <c r="M792" i="1" s="1"/>
  <c r="AI792" i="1"/>
  <c r="AJ792" i="1"/>
  <c r="J793" i="1"/>
  <c r="L793" i="1"/>
  <c r="X793" i="1"/>
  <c r="AH793" i="1" s="1"/>
  <c r="Y793" i="1"/>
  <c r="Z793" i="1"/>
  <c r="AJ793" i="1" s="1"/>
  <c r="AA793" i="1"/>
  <c r="AK793" i="1" s="1"/>
  <c r="N793" i="1" s="1"/>
  <c r="AC793" i="1"/>
  <c r="AD793" i="1"/>
  <c r="AE793" i="1"/>
  <c r="AF793" i="1"/>
  <c r="M793" i="1" s="1"/>
  <c r="AI793" i="1"/>
  <c r="J794" i="1"/>
  <c r="L794" i="1"/>
  <c r="X794" i="1"/>
  <c r="AH794" i="1" s="1"/>
  <c r="Y794" i="1"/>
  <c r="Z794" i="1"/>
  <c r="AA794" i="1"/>
  <c r="AK794" i="1" s="1"/>
  <c r="N794" i="1" s="1"/>
  <c r="AC794" i="1"/>
  <c r="AD794" i="1"/>
  <c r="AE794" i="1"/>
  <c r="AF794" i="1"/>
  <c r="M794" i="1" s="1"/>
  <c r="AI794" i="1"/>
  <c r="AJ794" i="1"/>
  <c r="J795" i="1"/>
  <c r="L795" i="1"/>
  <c r="X795" i="1"/>
  <c r="AH795" i="1" s="1"/>
  <c r="Y795" i="1"/>
  <c r="Z795" i="1"/>
  <c r="AJ795" i="1" s="1"/>
  <c r="AA795" i="1"/>
  <c r="AC795" i="1"/>
  <c r="AD795" i="1"/>
  <c r="AE795" i="1"/>
  <c r="AF795" i="1"/>
  <c r="M795" i="1" s="1"/>
  <c r="AI795" i="1"/>
  <c r="AK795" i="1"/>
  <c r="N795" i="1" s="1"/>
  <c r="J796" i="1"/>
  <c r="L796" i="1"/>
  <c r="X796" i="1"/>
  <c r="AH796" i="1" s="1"/>
  <c r="Y796" i="1"/>
  <c r="Z796" i="1"/>
  <c r="AA796" i="1"/>
  <c r="AK796" i="1" s="1"/>
  <c r="N796" i="1" s="1"/>
  <c r="AC796" i="1"/>
  <c r="AD796" i="1"/>
  <c r="AE796" i="1"/>
  <c r="AF796" i="1"/>
  <c r="M796" i="1" s="1"/>
  <c r="AI796" i="1"/>
  <c r="AJ796" i="1"/>
  <c r="J797" i="1"/>
  <c r="L797" i="1"/>
  <c r="X797" i="1"/>
  <c r="AH797" i="1" s="1"/>
  <c r="Y797" i="1"/>
  <c r="Z797" i="1"/>
  <c r="AJ797" i="1" s="1"/>
  <c r="AA797" i="1"/>
  <c r="AK797" i="1" s="1"/>
  <c r="N797" i="1" s="1"/>
  <c r="AC797" i="1"/>
  <c r="AD797" i="1"/>
  <c r="AE797" i="1"/>
  <c r="AF797" i="1"/>
  <c r="M797" i="1" s="1"/>
  <c r="AI797" i="1"/>
  <c r="J798" i="1"/>
  <c r="L798" i="1"/>
  <c r="X798" i="1"/>
  <c r="AH798" i="1" s="1"/>
  <c r="Y798" i="1"/>
  <c r="Z798" i="1"/>
  <c r="AA798" i="1"/>
  <c r="AK798" i="1" s="1"/>
  <c r="N798" i="1" s="1"/>
  <c r="AC798" i="1"/>
  <c r="AD798" i="1"/>
  <c r="AE798" i="1"/>
  <c r="AF798" i="1"/>
  <c r="M798" i="1" s="1"/>
  <c r="AI798" i="1"/>
  <c r="AJ798" i="1"/>
  <c r="J799" i="1"/>
  <c r="L799" i="1"/>
  <c r="X799" i="1"/>
  <c r="AH799" i="1" s="1"/>
  <c r="Y799" i="1"/>
  <c r="Z799" i="1"/>
  <c r="AJ799" i="1" s="1"/>
  <c r="AA799" i="1"/>
  <c r="AC799" i="1"/>
  <c r="AD799" i="1"/>
  <c r="AE799" i="1"/>
  <c r="AF799" i="1"/>
  <c r="M799" i="1" s="1"/>
  <c r="AI799" i="1"/>
  <c r="AK799" i="1"/>
  <c r="N799" i="1" s="1"/>
  <c r="J800" i="1"/>
  <c r="L800" i="1"/>
  <c r="X800" i="1"/>
  <c r="AH800" i="1" s="1"/>
  <c r="Y800" i="1"/>
  <c r="Z800" i="1"/>
  <c r="AA800" i="1"/>
  <c r="AK800" i="1" s="1"/>
  <c r="N800" i="1" s="1"/>
  <c r="AC800" i="1"/>
  <c r="AD800" i="1"/>
  <c r="AE800" i="1"/>
  <c r="AF800" i="1"/>
  <c r="M800" i="1" s="1"/>
  <c r="AI800" i="1"/>
  <c r="AJ800" i="1"/>
  <c r="J801" i="1"/>
  <c r="L801" i="1"/>
  <c r="X801" i="1"/>
  <c r="AH801" i="1" s="1"/>
  <c r="Y801" i="1"/>
  <c r="Z801" i="1"/>
  <c r="AJ801" i="1" s="1"/>
  <c r="AA801" i="1"/>
  <c r="AK801" i="1" s="1"/>
  <c r="N801" i="1" s="1"/>
  <c r="AC801" i="1"/>
  <c r="AD801" i="1"/>
  <c r="AE801" i="1"/>
  <c r="AF801" i="1"/>
  <c r="M801" i="1" s="1"/>
  <c r="AI801" i="1"/>
  <c r="J802" i="1"/>
  <c r="L802" i="1"/>
  <c r="X802" i="1"/>
  <c r="AH802" i="1" s="1"/>
  <c r="Y802" i="1"/>
  <c r="Z802" i="1"/>
  <c r="AA802" i="1"/>
  <c r="AK802" i="1" s="1"/>
  <c r="N802" i="1" s="1"/>
  <c r="AC802" i="1"/>
  <c r="AD802" i="1"/>
  <c r="AE802" i="1"/>
  <c r="AF802" i="1"/>
  <c r="M802" i="1" s="1"/>
  <c r="AI802" i="1"/>
  <c r="AJ802" i="1"/>
  <c r="J803" i="1"/>
  <c r="L803" i="1"/>
  <c r="X803" i="1"/>
  <c r="AH803" i="1" s="1"/>
  <c r="Y803" i="1"/>
  <c r="Z803" i="1"/>
  <c r="AJ803" i="1" s="1"/>
  <c r="AA803" i="1"/>
  <c r="AC803" i="1"/>
  <c r="AD803" i="1"/>
  <c r="AE803" i="1"/>
  <c r="AF803" i="1"/>
  <c r="M803" i="1" s="1"/>
  <c r="AI803" i="1"/>
  <c r="AK803" i="1"/>
  <c r="N803" i="1" s="1"/>
  <c r="J804" i="1"/>
  <c r="L804" i="1"/>
  <c r="X804" i="1"/>
  <c r="AH804" i="1" s="1"/>
  <c r="Y804" i="1"/>
  <c r="Z804" i="1"/>
  <c r="AA804" i="1"/>
  <c r="AK804" i="1" s="1"/>
  <c r="N804" i="1" s="1"/>
  <c r="AC804" i="1"/>
  <c r="AD804" i="1"/>
  <c r="AE804" i="1"/>
  <c r="AF804" i="1"/>
  <c r="M804" i="1" s="1"/>
  <c r="AI804" i="1"/>
  <c r="AJ804" i="1"/>
  <c r="J805" i="1"/>
  <c r="L805" i="1"/>
  <c r="X805" i="1"/>
  <c r="AH805" i="1" s="1"/>
  <c r="Y805" i="1"/>
  <c r="Z805" i="1"/>
  <c r="AJ805" i="1" s="1"/>
  <c r="AA805" i="1"/>
  <c r="AK805" i="1" s="1"/>
  <c r="N805" i="1" s="1"/>
  <c r="AC805" i="1"/>
  <c r="AD805" i="1"/>
  <c r="AE805" i="1"/>
  <c r="AF805" i="1"/>
  <c r="M805" i="1" s="1"/>
  <c r="AI805" i="1"/>
  <c r="J806" i="1"/>
  <c r="L806" i="1"/>
  <c r="X806" i="1"/>
  <c r="AH806" i="1" s="1"/>
  <c r="Y806" i="1"/>
  <c r="Z806" i="1"/>
  <c r="AJ806" i="1" s="1"/>
  <c r="AA806" i="1"/>
  <c r="AK806" i="1" s="1"/>
  <c r="N806" i="1" s="1"/>
  <c r="AC806" i="1"/>
  <c r="AD806" i="1"/>
  <c r="AE806" i="1"/>
  <c r="AF806" i="1"/>
  <c r="M806" i="1" s="1"/>
  <c r="AI806" i="1"/>
  <c r="J807" i="1"/>
  <c r="L807" i="1"/>
  <c r="X807" i="1"/>
  <c r="AH807" i="1" s="1"/>
  <c r="Y807" i="1"/>
  <c r="AI807" i="1" s="1"/>
  <c r="Z807" i="1"/>
  <c r="AJ807" i="1" s="1"/>
  <c r="AA807" i="1"/>
  <c r="AC807" i="1"/>
  <c r="AD807" i="1"/>
  <c r="AE807" i="1"/>
  <c r="AF807" i="1"/>
  <c r="M807" i="1" s="1"/>
  <c r="AK807" i="1"/>
  <c r="N807" i="1" s="1"/>
  <c r="J808" i="1"/>
  <c r="L808" i="1"/>
  <c r="X808" i="1"/>
  <c r="AH808" i="1" s="1"/>
  <c r="Y808" i="1"/>
  <c r="AI808" i="1" s="1"/>
  <c r="Z808" i="1"/>
  <c r="AA808" i="1"/>
  <c r="AK808" i="1" s="1"/>
  <c r="N808" i="1" s="1"/>
  <c r="AC808" i="1"/>
  <c r="AD808" i="1"/>
  <c r="AE808" i="1"/>
  <c r="AF808" i="1"/>
  <c r="M808" i="1" s="1"/>
  <c r="AJ808" i="1"/>
  <c r="J809" i="1"/>
  <c r="L809" i="1" s="1"/>
  <c r="X809" i="1"/>
  <c r="AH809" i="1" s="1"/>
  <c r="Y809" i="1"/>
  <c r="Z809" i="1"/>
  <c r="AJ809" i="1" s="1"/>
  <c r="AA809" i="1"/>
  <c r="AC809" i="1"/>
  <c r="AD809" i="1"/>
  <c r="AE809" i="1"/>
  <c r="AF809" i="1"/>
  <c r="M809" i="1" s="1"/>
  <c r="AI809" i="1"/>
  <c r="AK809" i="1"/>
  <c r="N809" i="1" s="1"/>
  <c r="J810" i="1"/>
  <c r="L810" i="1" s="1"/>
  <c r="X810" i="1"/>
  <c r="AH810" i="1" s="1"/>
  <c r="Y810" i="1"/>
  <c r="AI810" i="1" s="1"/>
  <c r="Z810" i="1"/>
  <c r="AJ810" i="1" s="1"/>
  <c r="AA810" i="1"/>
  <c r="AC810" i="1"/>
  <c r="AD810" i="1"/>
  <c r="AE810" i="1"/>
  <c r="AF810" i="1"/>
  <c r="M810" i="1" s="1"/>
  <c r="AK810" i="1"/>
  <c r="N810" i="1" s="1"/>
  <c r="J811" i="1"/>
  <c r="L811" i="1"/>
  <c r="X811" i="1"/>
  <c r="AH811" i="1" s="1"/>
  <c r="Y811" i="1"/>
  <c r="AI811" i="1" s="1"/>
  <c r="Z811" i="1"/>
  <c r="AJ811" i="1" s="1"/>
  <c r="AA811" i="1"/>
  <c r="AC811" i="1"/>
  <c r="AD811" i="1"/>
  <c r="AE811" i="1"/>
  <c r="AF811" i="1"/>
  <c r="M811" i="1" s="1"/>
  <c r="AK811" i="1"/>
  <c r="N811" i="1" s="1"/>
  <c r="J812" i="1"/>
  <c r="L812" i="1"/>
  <c r="X812" i="1"/>
  <c r="AH812" i="1" s="1"/>
  <c r="Y812" i="1"/>
  <c r="AI812" i="1" s="1"/>
  <c r="Z812" i="1"/>
  <c r="AA812" i="1"/>
  <c r="AK812" i="1" s="1"/>
  <c r="N812" i="1" s="1"/>
  <c r="AC812" i="1"/>
  <c r="AD812" i="1"/>
  <c r="AE812" i="1"/>
  <c r="AF812" i="1"/>
  <c r="M812" i="1" s="1"/>
  <c r="AJ812" i="1"/>
  <c r="J813" i="1"/>
  <c r="L813" i="1" s="1"/>
  <c r="X813" i="1"/>
  <c r="AH813" i="1" s="1"/>
  <c r="Y813" i="1"/>
  <c r="Z813" i="1"/>
  <c r="AJ813" i="1" s="1"/>
  <c r="AA813" i="1"/>
  <c r="AC813" i="1"/>
  <c r="AD813" i="1"/>
  <c r="AE813" i="1"/>
  <c r="AF813" i="1"/>
  <c r="M813" i="1" s="1"/>
  <c r="AI813" i="1"/>
  <c r="AK813" i="1"/>
  <c r="N813" i="1" s="1"/>
  <c r="J814" i="1"/>
  <c r="L814" i="1" s="1"/>
  <c r="X814" i="1"/>
  <c r="AH814" i="1" s="1"/>
  <c r="Y814" i="1"/>
  <c r="AI814" i="1" s="1"/>
  <c r="Z814" i="1"/>
  <c r="AA814" i="1"/>
  <c r="AC814" i="1"/>
  <c r="AD814" i="1"/>
  <c r="AE814" i="1"/>
  <c r="AF814" i="1"/>
  <c r="M814" i="1" s="1"/>
  <c r="AJ814" i="1"/>
  <c r="AK814" i="1"/>
  <c r="N814" i="1" s="1"/>
  <c r="J815" i="1"/>
  <c r="L815" i="1"/>
  <c r="X815" i="1"/>
  <c r="AH815" i="1" s="1"/>
  <c r="Y815" i="1"/>
  <c r="Z815" i="1"/>
  <c r="AJ815" i="1" s="1"/>
  <c r="AA815" i="1"/>
  <c r="AK815" i="1" s="1"/>
  <c r="N815" i="1" s="1"/>
  <c r="AC815" i="1"/>
  <c r="AD815" i="1"/>
  <c r="AE815" i="1"/>
  <c r="AF815" i="1"/>
  <c r="M815" i="1" s="1"/>
  <c r="AI815" i="1"/>
  <c r="J816" i="1"/>
  <c r="L816" i="1"/>
  <c r="X816" i="1"/>
  <c r="AH816" i="1" s="1"/>
  <c r="Y816" i="1"/>
  <c r="Z816" i="1"/>
  <c r="AA816" i="1"/>
  <c r="AK816" i="1" s="1"/>
  <c r="N816" i="1" s="1"/>
  <c r="AC816" i="1"/>
  <c r="AD816" i="1"/>
  <c r="AE816" i="1"/>
  <c r="AF816" i="1"/>
  <c r="M816" i="1" s="1"/>
  <c r="AI816" i="1"/>
  <c r="AJ816" i="1"/>
  <c r="J817" i="1"/>
  <c r="L817" i="1"/>
  <c r="X817" i="1"/>
  <c r="AH817" i="1" s="1"/>
  <c r="Y817" i="1"/>
  <c r="Z817" i="1"/>
  <c r="AJ817" i="1" s="1"/>
  <c r="AA817" i="1"/>
  <c r="AK817" i="1" s="1"/>
  <c r="N817" i="1" s="1"/>
  <c r="AC817" i="1"/>
  <c r="AD817" i="1"/>
  <c r="AE817" i="1"/>
  <c r="AF817" i="1"/>
  <c r="M817" i="1" s="1"/>
  <c r="AI817" i="1"/>
  <c r="J818" i="1"/>
  <c r="L818" i="1"/>
  <c r="X818" i="1"/>
  <c r="AH818" i="1" s="1"/>
  <c r="Y818" i="1"/>
  <c r="Z818" i="1"/>
  <c r="AA818" i="1"/>
  <c r="AK818" i="1" s="1"/>
  <c r="N818" i="1" s="1"/>
  <c r="AC818" i="1"/>
  <c r="AD818" i="1"/>
  <c r="AE818" i="1"/>
  <c r="AF818" i="1"/>
  <c r="M818" i="1" s="1"/>
  <c r="AI818" i="1"/>
  <c r="AJ818" i="1"/>
  <c r="J819" i="1"/>
  <c r="L819" i="1"/>
  <c r="X819" i="1"/>
  <c r="AH819" i="1" s="1"/>
  <c r="Y819" i="1"/>
  <c r="Z819" i="1"/>
  <c r="AJ819" i="1" s="1"/>
  <c r="AA819" i="1"/>
  <c r="AK819" i="1" s="1"/>
  <c r="N819" i="1" s="1"/>
  <c r="AC819" i="1"/>
  <c r="AD819" i="1"/>
  <c r="AE819" i="1"/>
  <c r="AF819" i="1"/>
  <c r="M819" i="1" s="1"/>
  <c r="AI819" i="1"/>
  <c r="J820" i="1"/>
  <c r="L820" i="1"/>
  <c r="X820" i="1"/>
  <c r="AH820" i="1" s="1"/>
  <c r="Y820" i="1"/>
  <c r="Z820" i="1"/>
  <c r="AA820" i="1"/>
  <c r="AK820" i="1" s="1"/>
  <c r="N820" i="1" s="1"/>
  <c r="AC820" i="1"/>
  <c r="AD820" i="1"/>
  <c r="AE820" i="1"/>
  <c r="AF820" i="1"/>
  <c r="M820" i="1" s="1"/>
  <c r="AI820" i="1"/>
  <c r="AJ820" i="1"/>
  <c r="J821" i="1"/>
  <c r="L821" i="1"/>
  <c r="X821" i="1"/>
  <c r="AH821" i="1" s="1"/>
  <c r="Y821" i="1"/>
  <c r="Z821" i="1"/>
  <c r="AJ821" i="1" s="1"/>
  <c r="AA821" i="1"/>
  <c r="AK821" i="1" s="1"/>
  <c r="N821" i="1" s="1"/>
  <c r="AC821" i="1"/>
  <c r="AD821" i="1"/>
  <c r="AE821" i="1"/>
  <c r="AF821" i="1"/>
  <c r="M821" i="1" s="1"/>
  <c r="AI821" i="1"/>
  <c r="J822" i="1"/>
  <c r="L822" i="1"/>
  <c r="X822" i="1"/>
  <c r="AH822" i="1" s="1"/>
  <c r="Y822" i="1"/>
  <c r="Z822" i="1"/>
  <c r="AJ822" i="1" s="1"/>
  <c r="AA822" i="1"/>
  <c r="AK822" i="1" s="1"/>
  <c r="N822" i="1" s="1"/>
  <c r="AC822" i="1"/>
  <c r="AD822" i="1"/>
  <c r="AE822" i="1"/>
  <c r="AF822" i="1"/>
  <c r="M822" i="1" s="1"/>
  <c r="AI822" i="1"/>
  <c r="J823" i="1"/>
  <c r="L823" i="1"/>
  <c r="X823" i="1"/>
  <c r="AH823" i="1" s="1"/>
  <c r="Y823" i="1"/>
  <c r="AI823" i="1" s="1"/>
  <c r="Z823" i="1"/>
  <c r="AJ823" i="1" s="1"/>
  <c r="AA823" i="1"/>
  <c r="AC823" i="1"/>
  <c r="AD823" i="1"/>
  <c r="AE823" i="1"/>
  <c r="AF823" i="1"/>
  <c r="M823" i="1" s="1"/>
  <c r="AK823" i="1"/>
  <c r="N823" i="1" s="1"/>
  <c r="J824" i="1"/>
  <c r="L824" i="1"/>
  <c r="X824" i="1"/>
  <c r="AH824" i="1" s="1"/>
  <c r="Y824" i="1"/>
  <c r="AI824" i="1" s="1"/>
  <c r="Z824" i="1"/>
  <c r="AA824" i="1"/>
  <c r="AK824" i="1" s="1"/>
  <c r="N824" i="1" s="1"/>
  <c r="AC824" i="1"/>
  <c r="AD824" i="1"/>
  <c r="AE824" i="1"/>
  <c r="AF824" i="1"/>
  <c r="M824" i="1" s="1"/>
  <c r="AJ824" i="1"/>
  <c r="J825" i="1"/>
  <c r="L825" i="1" s="1"/>
  <c r="X825" i="1"/>
  <c r="AH825" i="1" s="1"/>
  <c r="Y825" i="1"/>
  <c r="Z825" i="1"/>
  <c r="AJ825" i="1" s="1"/>
  <c r="AA825" i="1"/>
  <c r="AC825" i="1"/>
  <c r="AD825" i="1"/>
  <c r="AE825" i="1"/>
  <c r="AF825" i="1"/>
  <c r="M825" i="1" s="1"/>
  <c r="AI825" i="1"/>
  <c r="AK825" i="1"/>
  <c r="N825" i="1" s="1"/>
  <c r="J826" i="1"/>
  <c r="L826" i="1" s="1"/>
  <c r="X826" i="1"/>
  <c r="AH826" i="1" s="1"/>
  <c r="Y826" i="1"/>
  <c r="AI826" i="1" s="1"/>
  <c r="Z826" i="1"/>
  <c r="AJ826" i="1" s="1"/>
  <c r="AA826" i="1"/>
  <c r="AC826" i="1"/>
  <c r="AD826" i="1"/>
  <c r="AE826" i="1"/>
  <c r="AF826" i="1"/>
  <c r="M826" i="1" s="1"/>
  <c r="AK826" i="1"/>
  <c r="N826" i="1" s="1"/>
  <c r="J827" i="1"/>
  <c r="L827" i="1"/>
  <c r="X827" i="1"/>
  <c r="AH827" i="1" s="1"/>
  <c r="Y827" i="1"/>
  <c r="AI827" i="1" s="1"/>
  <c r="Z827" i="1"/>
  <c r="AJ827" i="1" s="1"/>
  <c r="AA827" i="1"/>
  <c r="AC827" i="1"/>
  <c r="AD827" i="1"/>
  <c r="AE827" i="1"/>
  <c r="AF827" i="1"/>
  <c r="M827" i="1" s="1"/>
  <c r="AK827" i="1"/>
  <c r="N827" i="1" s="1"/>
  <c r="J828" i="1"/>
  <c r="L828" i="1"/>
  <c r="X828" i="1"/>
  <c r="AH828" i="1" s="1"/>
  <c r="Y828" i="1"/>
  <c r="AI828" i="1" s="1"/>
  <c r="Z828" i="1"/>
  <c r="AA828" i="1"/>
  <c r="AK828" i="1" s="1"/>
  <c r="N828" i="1" s="1"/>
  <c r="AC828" i="1"/>
  <c r="AD828" i="1"/>
  <c r="AE828" i="1"/>
  <c r="AF828" i="1"/>
  <c r="M828" i="1" s="1"/>
  <c r="AJ828" i="1"/>
  <c r="J829" i="1"/>
  <c r="L829" i="1" s="1"/>
  <c r="X829" i="1"/>
  <c r="AH829" i="1" s="1"/>
  <c r="Y829" i="1"/>
  <c r="Z829" i="1"/>
  <c r="AJ829" i="1" s="1"/>
  <c r="AA829" i="1"/>
  <c r="AC829" i="1"/>
  <c r="AD829" i="1"/>
  <c r="AE829" i="1"/>
  <c r="AF829" i="1"/>
  <c r="M829" i="1" s="1"/>
  <c r="AI829" i="1"/>
  <c r="AK829" i="1"/>
  <c r="N829" i="1" s="1"/>
  <c r="J830" i="1"/>
  <c r="L830" i="1" s="1"/>
  <c r="X830" i="1"/>
  <c r="AH830" i="1" s="1"/>
  <c r="Y830" i="1"/>
  <c r="AI830" i="1" s="1"/>
  <c r="Z830" i="1"/>
  <c r="AA830" i="1"/>
  <c r="AC830" i="1"/>
  <c r="AD830" i="1"/>
  <c r="AE830" i="1"/>
  <c r="AF830" i="1"/>
  <c r="M830" i="1" s="1"/>
  <c r="AJ830" i="1"/>
  <c r="AK830" i="1"/>
  <c r="N830" i="1" s="1"/>
  <c r="J831" i="1"/>
  <c r="L831" i="1"/>
  <c r="X831" i="1"/>
  <c r="AH831" i="1" s="1"/>
  <c r="Y831" i="1"/>
  <c r="Z831" i="1"/>
  <c r="AJ831" i="1" s="1"/>
  <c r="AA831" i="1"/>
  <c r="AK831" i="1" s="1"/>
  <c r="N831" i="1" s="1"/>
  <c r="AC831" i="1"/>
  <c r="AD831" i="1"/>
  <c r="AE831" i="1"/>
  <c r="AF831" i="1"/>
  <c r="M831" i="1" s="1"/>
  <c r="AI831" i="1"/>
  <c r="J832" i="1"/>
  <c r="L832" i="1"/>
  <c r="X832" i="1"/>
  <c r="AH832" i="1" s="1"/>
  <c r="Y832" i="1"/>
  <c r="Z832" i="1"/>
  <c r="AA832" i="1"/>
  <c r="AK832" i="1" s="1"/>
  <c r="N832" i="1" s="1"/>
  <c r="AC832" i="1"/>
  <c r="AD832" i="1"/>
  <c r="AE832" i="1"/>
  <c r="AF832" i="1"/>
  <c r="M832" i="1" s="1"/>
  <c r="AI832" i="1"/>
  <c r="AJ832" i="1"/>
  <c r="J833" i="1"/>
  <c r="L833" i="1"/>
  <c r="X833" i="1"/>
  <c r="AH833" i="1" s="1"/>
  <c r="Y833" i="1"/>
  <c r="Z833" i="1"/>
  <c r="AJ833" i="1" s="1"/>
  <c r="AA833" i="1"/>
  <c r="AK833" i="1" s="1"/>
  <c r="N833" i="1" s="1"/>
  <c r="AC833" i="1"/>
  <c r="AD833" i="1"/>
  <c r="AE833" i="1"/>
  <c r="AF833" i="1"/>
  <c r="M833" i="1" s="1"/>
  <c r="AI833" i="1"/>
  <c r="J834" i="1"/>
  <c r="L834" i="1"/>
  <c r="X834" i="1"/>
  <c r="AH834" i="1" s="1"/>
  <c r="Y834" i="1"/>
  <c r="Z834" i="1"/>
  <c r="AA834" i="1"/>
  <c r="AK834" i="1" s="1"/>
  <c r="N834" i="1" s="1"/>
  <c r="AC834" i="1"/>
  <c r="AD834" i="1"/>
  <c r="AE834" i="1"/>
  <c r="AF834" i="1"/>
  <c r="M834" i="1" s="1"/>
  <c r="AI834" i="1"/>
  <c r="AJ834" i="1"/>
  <c r="J835" i="1"/>
  <c r="L835" i="1"/>
  <c r="X835" i="1"/>
  <c r="AH835" i="1" s="1"/>
  <c r="Y835" i="1"/>
  <c r="Z835" i="1"/>
  <c r="AJ835" i="1" s="1"/>
  <c r="AA835" i="1"/>
  <c r="AK835" i="1" s="1"/>
  <c r="N835" i="1" s="1"/>
  <c r="AC835" i="1"/>
  <c r="AD835" i="1"/>
  <c r="AE835" i="1"/>
  <c r="AF835" i="1"/>
  <c r="M835" i="1" s="1"/>
  <c r="AI835" i="1"/>
  <c r="J836" i="1"/>
  <c r="L836" i="1"/>
  <c r="X836" i="1"/>
  <c r="AH836" i="1" s="1"/>
  <c r="Y836" i="1"/>
  <c r="Z836" i="1"/>
  <c r="AA836" i="1"/>
  <c r="AK836" i="1" s="1"/>
  <c r="N836" i="1" s="1"/>
  <c r="AC836" i="1"/>
  <c r="AD836" i="1"/>
  <c r="AE836" i="1"/>
  <c r="AF836" i="1"/>
  <c r="M836" i="1" s="1"/>
  <c r="AI836" i="1"/>
  <c r="AJ836" i="1"/>
  <c r="J837" i="1"/>
  <c r="L837" i="1"/>
  <c r="X837" i="1"/>
  <c r="AH837" i="1" s="1"/>
  <c r="Y837" i="1"/>
  <c r="Z837" i="1"/>
  <c r="AJ837" i="1" s="1"/>
  <c r="AA837" i="1"/>
  <c r="AK837" i="1" s="1"/>
  <c r="N837" i="1" s="1"/>
  <c r="AC837" i="1"/>
  <c r="AD837" i="1"/>
  <c r="AE837" i="1"/>
  <c r="AF837" i="1"/>
  <c r="M837" i="1" s="1"/>
  <c r="AI837" i="1"/>
  <c r="X838" i="1"/>
  <c r="Y838" i="1"/>
  <c r="Z838" i="1"/>
  <c r="AA838" i="1"/>
  <c r="AC838" i="1"/>
  <c r="AD838" i="1"/>
  <c r="AE838" i="1"/>
  <c r="AF838" i="1"/>
  <c r="AH838" i="1"/>
  <c r="AI838" i="1"/>
  <c r="AJ838" i="1"/>
  <c r="AK838" i="1"/>
  <c r="X839" i="1"/>
  <c r="Y839" i="1"/>
  <c r="Z839" i="1"/>
  <c r="AA839" i="1"/>
  <c r="AC839" i="1"/>
  <c r="AD839" i="1"/>
  <c r="AE839" i="1"/>
  <c r="AF839" i="1"/>
  <c r="AH839" i="1"/>
  <c r="AI839" i="1"/>
  <c r="AJ839" i="1"/>
  <c r="AK839" i="1"/>
  <c r="J840" i="1"/>
  <c r="L840" i="1" s="1"/>
  <c r="X840" i="1"/>
  <c r="Y840" i="1"/>
  <c r="Z840" i="1"/>
  <c r="AA840" i="1"/>
  <c r="AC840" i="1"/>
  <c r="AD840" i="1"/>
  <c r="AE840" i="1"/>
  <c r="AF840" i="1"/>
  <c r="AH840" i="1"/>
  <c r="AI840" i="1"/>
  <c r="AJ840" i="1"/>
  <c r="AK840" i="1"/>
  <c r="J841" i="1"/>
  <c r="L841" i="1" s="1"/>
  <c r="X841" i="1"/>
  <c r="Y841" i="1"/>
  <c r="Z841" i="1"/>
  <c r="AA841" i="1"/>
  <c r="AC841" i="1"/>
  <c r="AD841" i="1"/>
  <c r="AE841" i="1"/>
  <c r="AF841" i="1"/>
  <c r="AH841" i="1"/>
  <c r="AI841" i="1"/>
  <c r="AJ841" i="1"/>
  <c r="AK841" i="1"/>
  <c r="J842" i="1"/>
  <c r="L842" i="1" s="1"/>
  <c r="X842" i="1"/>
  <c r="Y842" i="1"/>
  <c r="Z842" i="1"/>
  <c r="AA842" i="1"/>
  <c r="AC842" i="1"/>
  <c r="AD842" i="1"/>
  <c r="AE842" i="1"/>
  <c r="AF842" i="1"/>
  <c r="AH842" i="1"/>
  <c r="N842" i="1" s="1"/>
  <c r="AI842" i="1"/>
  <c r="AJ842" i="1"/>
  <c r="AK842" i="1"/>
  <c r="J843" i="1"/>
  <c r="L843" i="1" s="1"/>
  <c r="X843" i="1"/>
  <c r="Y843" i="1"/>
  <c r="Z843" i="1"/>
  <c r="AA843" i="1"/>
  <c r="AC843" i="1"/>
  <c r="AD843" i="1"/>
  <c r="AE843" i="1"/>
  <c r="AF843" i="1"/>
  <c r="AH843" i="1"/>
  <c r="AI843" i="1"/>
  <c r="N843" i="1" s="1"/>
  <c r="AJ843" i="1"/>
  <c r="AK843" i="1"/>
  <c r="J844" i="1"/>
  <c r="L844" i="1" s="1"/>
  <c r="X844" i="1"/>
  <c r="Y844" i="1"/>
  <c r="Z844" i="1"/>
  <c r="AA844" i="1"/>
  <c r="AC844" i="1"/>
  <c r="AD844" i="1"/>
  <c r="AE844" i="1"/>
  <c r="AF844" i="1"/>
  <c r="AH844" i="1"/>
  <c r="AI844" i="1"/>
  <c r="AJ844" i="1"/>
  <c r="AK844" i="1"/>
  <c r="J845" i="1"/>
  <c r="L845" i="1" s="1"/>
  <c r="X845" i="1"/>
  <c r="Y845" i="1"/>
  <c r="Z845" i="1"/>
  <c r="AA845" i="1"/>
  <c r="AC845" i="1"/>
  <c r="AD845" i="1"/>
  <c r="AE845" i="1"/>
  <c r="AF845" i="1"/>
  <c r="AH845" i="1"/>
  <c r="AI845" i="1"/>
  <c r="AJ845" i="1"/>
  <c r="AK845" i="1"/>
  <c r="J846" i="1"/>
  <c r="L846" i="1" s="1"/>
  <c r="X846" i="1"/>
  <c r="Y846" i="1"/>
  <c r="Z846" i="1"/>
  <c r="AA846" i="1"/>
  <c r="AC846" i="1"/>
  <c r="AD846" i="1"/>
  <c r="AE846" i="1"/>
  <c r="AF846" i="1"/>
  <c r="AH846" i="1"/>
  <c r="AI846" i="1"/>
  <c r="AJ846" i="1"/>
  <c r="AK846" i="1"/>
  <c r="J847" i="1"/>
  <c r="L847" i="1" s="1"/>
  <c r="X847" i="1"/>
  <c r="Y847" i="1"/>
  <c r="Z847" i="1"/>
  <c r="AA847" i="1"/>
  <c r="AC847" i="1"/>
  <c r="AD847" i="1"/>
  <c r="AE847" i="1"/>
  <c r="AF847" i="1"/>
  <c r="AH847" i="1"/>
  <c r="N847" i="1" s="1"/>
  <c r="AI847" i="1"/>
  <c r="AJ847" i="1"/>
  <c r="AK847" i="1"/>
  <c r="J848" i="1"/>
  <c r="L848" i="1" s="1"/>
  <c r="X848" i="1"/>
  <c r="Y848" i="1"/>
  <c r="Z848" i="1"/>
  <c r="AA848" i="1"/>
  <c r="AC848" i="1"/>
  <c r="AD848" i="1"/>
  <c r="AE848" i="1"/>
  <c r="AF848" i="1"/>
  <c r="AH848" i="1"/>
  <c r="AI848" i="1"/>
  <c r="AJ848" i="1"/>
  <c r="AK848" i="1"/>
  <c r="J849" i="1"/>
  <c r="L849" i="1" s="1"/>
  <c r="X849" i="1"/>
  <c r="Y849" i="1"/>
  <c r="Z849" i="1"/>
  <c r="AA849" i="1"/>
  <c r="AC849" i="1"/>
  <c r="AD849" i="1"/>
  <c r="AE849" i="1"/>
  <c r="AF849" i="1"/>
  <c r="AH849" i="1"/>
  <c r="AI849" i="1"/>
  <c r="AJ849" i="1"/>
  <c r="AK849" i="1"/>
  <c r="J850" i="1"/>
  <c r="L850" i="1"/>
  <c r="X850" i="1"/>
  <c r="Y850" i="1"/>
  <c r="Z850" i="1"/>
  <c r="AA850" i="1"/>
  <c r="AC850" i="1"/>
  <c r="AD850" i="1"/>
  <c r="AE850" i="1"/>
  <c r="AF850" i="1"/>
  <c r="AH850" i="1"/>
  <c r="AI850" i="1"/>
  <c r="N850" i="1" s="1"/>
  <c r="AJ850" i="1"/>
  <c r="AK850" i="1"/>
  <c r="J851" i="1"/>
  <c r="L851" i="1" s="1"/>
  <c r="X851" i="1"/>
  <c r="Y851" i="1"/>
  <c r="Z851" i="1"/>
  <c r="AA851" i="1"/>
  <c r="AC851" i="1"/>
  <c r="AD851" i="1"/>
  <c r="AE851" i="1"/>
  <c r="AF851" i="1"/>
  <c r="AH851" i="1"/>
  <c r="AI851" i="1"/>
  <c r="AJ851" i="1"/>
  <c r="AK851" i="1"/>
  <c r="J852" i="1"/>
  <c r="L852" i="1" s="1"/>
  <c r="X852" i="1"/>
  <c r="Y852" i="1"/>
  <c r="Z852" i="1"/>
  <c r="AA852" i="1"/>
  <c r="AC852" i="1"/>
  <c r="AD852" i="1"/>
  <c r="AE852" i="1"/>
  <c r="AF852" i="1"/>
  <c r="AH852" i="1"/>
  <c r="AI852" i="1"/>
  <c r="AJ852" i="1"/>
  <c r="AK852" i="1"/>
  <c r="J853" i="1"/>
  <c r="L853" i="1" s="1"/>
  <c r="X853" i="1"/>
  <c r="Y853" i="1"/>
  <c r="AI853" i="1" s="1"/>
  <c r="Z853" i="1"/>
  <c r="AA853" i="1"/>
  <c r="AF853" i="1" s="1"/>
  <c r="AC853" i="1"/>
  <c r="AD853" i="1"/>
  <c r="AH853" i="1"/>
  <c r="J854" i="1"/>
  <c r="L854" i="1" s="1"/>
  <c r="X854" i="1"/>
  <c r="Y854" i="1"/>
  <c r="Z854" i="1"/>
  <c r="AA854" i="1"/>
  <c r="AC854" i="1"/>
  <c r="AD854" i="1"/>
  <c r="AE854" i="1"/>
  <c r="AF854" i="1"/>
  <c r="AH854" i="1"/>
  <c r="AI854" i="1"/>
  <c r="AJ854" i="1"/>
  <c r="AK854" i="1"/>
  <c r="J855" i="1"/>
  <c r="L855" i="1" s="1"/>
  <c r="X855" i="1"/>
  <c r="AH855" i="1" s="1"/>
  <c r="Y855" i="1"/>
  <c r="AI855" i="1" s="1"/>
  <c r="Z855" i="1"/>
  <c r="AJ855" i="1" s="1"/>
  <c r="AA855" i="1"/>
  <c r="AC855" i="1"/>
  <c r="AD855" i="1"/>
  <c r="AE855" i="1"/>
  <c r="J856" i="1"/>
  <c r="L856" i="1"/>
  <c r="N856" i="1"/>
  <c r="X856" i="1"/>
  <c r="Y856" i="1"/>
  <c r="Z856" i="1"/>
  <c r="AA856" i="1"/>
  <c r="AC856" i="1"/>
  <c r="AD856" i="1"/>
  <c r="AE856" i="1"/>
  <c r="AF856" i="1"/>
  <c r="AH856" i="1"/>
  <c r="AI856" i="1"/>
  <c r="AJ856" i="1"/>
  <c r="AK856" i="1"/>
  <c r="J857" i="1"/>
  <c r="L857" i="1" s="1"/>
  <c r="X857" i="1"/>
  <c r="AH857" i="1" s="1"/>
  <c r="Y857" i="1"/>
  <c r="AI857" i="1" s="1"/>
  <c r="Z857" i="1"/>
  <c r="AJ857" i="1" s="1"/>
  <c r="AA857" i="1"/>
  <c r="AC857" i="1"/>
  <c r="AD857" i="1"/>
  <c r="AE857" i="1"/>
  <c r="AF857" i="1"/>
  <c r="AK857" i="1"/>
  <c r="J858" i="1"/>
  <c r="L858" i="1" s="1"/>
  <c r="X858" i="1"/>
  <c r="Y858" i="1"/>
  <c r="Z858" i="1"/>
  <c r="AA858" i="1"/>
  <c r="AC858" i="1"/>
  <c r="AD858" i="1"/>
  <c r="AE858" i="1"/>
  <c r="AF858" i="1"/>
  <c r="AH858" i="1"/>
  <c r="AI858" i="1"/>
  <c r="AJ858" i="1"/>
  <c r="AK858" i="1"/>
  <c r="J859" i="1"/>
  <c r="L859" i="1" s="1"/>
  <c r="X859" i="1"/>
  <c r="Y859" i="1"/>
  <c r="Z859" i="1"/>
  <c r="AA859" i="1"/>
  <c r="AC859" i="1"/>
  <c r="AD859" i="1"/>
  <c r="AE859" i="1"/>
  <c r="AF859" i="1"/>
  <c r="AH859" i="1"/>
  <c r="AI859" i="1"/>
  <c r="AJ859" i="1"/>
  <c r="AK859" i="1"/>
  <c r="J860" i="1"/>
  <c r="L860" i="1" s="1"/>
  <c r="X860" i="1"/>
  <c r="Y860" i="1"/>
  <c r="Z860" i="1"/>
  <c r="AA860" i="1"/>
  <c r="AC860" i="1"/>
  <c r="AD860" i="1"/>
  <c r="AE860" i="1"/>
  <c r="AF860" i="1"/>
  <c r="AH860" i="1"/>
  <c r="AI860" i="1"/>
  <c r="AJ860" i="1"/>
  <c r="AK860" i="1"/>
  <c r="J861" i="1"/>
  <c r="L861" i="1"/>
  <c r="X861" i="1"/>
  <c r="Y861" i="1"/>
  <c r="Z861" i="1"/>
  <c r="AA861" i="1"/>
  <c r="AC861" i="1"/>
  <c r="AD861" i="1"/>
  <c r="AE861" i="1"/>
  <c r="AF861" i="1"/>
  <c r="AH861" i="1"/>
  <c r="AI861" i="1"/>
  <c r="AJ861" i="1"/>
  <c r="AK861" i="1"/>
  <c r="O4" i="2"/>
  <c r="E8" i="2"/>
  <c r="G8" i="2"/>
  <c r="U8" i="2"/>
  <c r="E9" i="2"/>
  <c r="G9" i="2"/>
  <c r="J9" i="2"/>
  <c r="K9" i="2"/>
  <c r="U9" i="2"/>
  <c r="E10" i="2"/>
  <c r="G10" i="2"/>
  <c r="U10" i="2"/>
  <c r="E11" i="2"/>
  <c r="G11" i="2"/>
  <c r="J11" i="2"/>
  <c r="K11" i="2"/>
  <c r="U11" i="2"/>
  <c r="E12" i="2"/>
  <c r="G12" i="2"/>
  <c r="U12" i="2"/>
  <c r="E13" i="2"/>
  <c r="G13" i="2"/>
  <c r="J13" i="2"/>
  <c r="K13" i="2"/>
  <c r="U13" i="2"/>
  <c r="E14" i="2"/>
  <c r="G14" i="2"/>
  <c r="U14" i="2"/>
  <c r="E15" i="2"/>
  <c r="G15" i="2"/>
  <c r="J15" i="2"/>
  <c r="K15" i="2"/>
  <c r="U15" i="2"/>
  <c r="E16" i="2"/>
  <c r="G16" i="2"/>
  <c r="J16" i="2"/>
  <c r="K16" i="2"/>
  <c r="U16" i="2"/>
  <c r="E17" i="2"/>
  <c r="G17" i="2"/>
  <c r="J17" i="2"/>
  <c r="K17" i="2"/>
  <c r="U17" i="2"/>
  <c r="E18" i="2"/>
  <c r="G18" i="2"/>
  <c r="J18" i="2"/>
  <c r="K18" i="2"/>
  <c r="U18" i="2"/>
  <c r="E19" i="2"/>
  <c r="G19" i="2"/>
  <c r="J19" i="2"/>
  <c r="K19" i="2"/>
  <c r="U19" i="2"/>
  <c r="E20" i="2"/>
  <c r="G20" i="2"/>
  <c r="J20" i="2"/>
  <c r="K20" i="2"/>
  <c r="U20" i="2"/>
  <c r="D3" i="5"/>
  <c r="E3" i="5"/>
  <c r="I3" i="5"/>
  <c r="H3" i="5" s="1"/>
  <c r="G3" i="5" s="1"/>
  <c r="D4" i="5"/>
  <c r="E4" i="5"/>
  <c r="I4" i="5"/>
  <c r="H4" i="5" s="1"/>
  <c r="G4" i="5" s="1"/>
  <c r="F4" i="5" s="1"/>
  <c r="K4" i="5"/>
  <c r="K5" i="5" s="1"/>
  <c r="K6" i="5" s="1"/>
  <c r="K7" i="5" s="1"/>
  <c r="K8" i="5" s="1"/>
  <c r="D5" i="5"/>
  <c r="E5" i="5"/>
  <c r="F5" i="5"/>
  <c r="I5" i="5"/>
  <c r="H5" i="5" s="1"/>
  <c r="G5" i="5" s="1"/>
  <c r="D6" i="5"/>
  <c r="E6" i="5"/>
  <c r="I6" i="5"/>
  <c r="H6" i="5" s="1"/>
  <c r="G6" i="5" s="1"/>
  <c r="D7" i="5"/>
  <c r="E7" i="5"/>
  <c r="I7" i="5"/>
  <c r="H7" i="5" s="1"/>
  <c r="G7" i="5" s="1"/>
  <c r="F7" i="5" s="1"/>
  <c r="D8" i="5"/>
  <c r="E8" i="5"/>
  <c r="I8" i="5"/>
  <c r="H8" i="5" s="1"/>
  <c r="G8" i="5" s="1"/>
  <c r="F8" i="5" s="1"/>
  <c r="D9" i="5"/>
  <c r="E9" i="5"/>
  <c r="I9" i="5"/>
  <c r="H9" i="5" s="1"/>
  <c r="G9" i="5" s="1"/>
  <c r="D10" i="5"/>
  <c r="E10" i="5"/>
  <c r="I10" i="5"/>
  <c r="H10" i="5" s="1"/>
  <c r="G10" i="5" s="1"/>
  <c r="F10" i="5" s="1"/>
  <c r="D11" i="5"/>
  <c r="E11" i="5"/>
  <c r="I11" i="5"/>
  <c r="H11" i="5" s="1"/>
  <c r="G11" i="5" s="1"/>
  <c r="F11" i="5" s="1"/>
  <c r="D12" i="5"/>
  <c r="E12" i="5"/>
  <c r="I12" i="5"/>
  <c r="H12" i="5" s="1"/>
  <c r="G12" i="5" s="1"/>
  <c r="D13" i="5"/>
  <c r="E13" i="5"/>
  <c r="F13" i="5"/>
  <c r="I13" i="5"/>
  <c r="H13" i="5" s="1"/>
  <c r="G13" i="5" s="1"/>
  <c r="D14" i="5"/>
  <c r="E14" i="5"/>
  <c r="I14" i="5"/>
  <c r="H14" i="5" s="1"/>
  <c r="G14" i="5" s="1"/>
  <c r="F14" i="5" s="1"/>
  <c r="D15" i="5"/>
  <c r="E15" i="5"/>
  <c r="I15" i="5"/>
  <c r="H15" i="5" s="1"/>
  <c r="G15" i="5" s="1"/>
  <c r="D16" i="5"/>
  <c r="E16" i="5"/>
  <c r="I16" i="5"/>
  <c r="H16" i="5" s="1"/>
  <c r="G16" i="5" s="1"/>
  <c r="F16" i="5" s="1"/>
  <c r="D17" i="5"/>
  <c r="E17" i="5"/>
  <c r="F17" i="5"/>
  <c r="I17" i="5"/>
  <c r="H17" i="5" s="1"/>
  <c r="G17" i="5" s="1"/>
  <c r="D18" i="5"/>
  <c r="E18" i="5"/>
  <c r="I18" i="5"/>
  <c r="H18" i="5" s="1"/>
  <c r="G18" i="5" s="1"/>
  <c r="D19" i="5"/>
  <c r="E19" i="5"/>
  <c r="I19" i="5"/>
  <c r="H19" i="5" s="1"/>
  <c r="G19" i="5" s="1"/>
  <c r="F19" i="5" s="1"/>
  <c r="D20" i="5"/>
  <c r="E20" i="5"/>
  <c r="I20" i="5"/>
  <c r="H20" i="5" s="1"/>
  <c r="G20" i="5" s="1"/>
  <c r="F20" i="5" s="1"/>
  <c r="D21" i="5"/>
  <c r="E21" i="5"/>
  <c r="I21" i="5"/>
  <c r="H21" i="5" s="1"/>
  <c r="G21" i="5" s="1"/>
  <c r="D22" i="5"/>
  <c r="E22" i="5"/>
  <c r="I22" i="5"/>
  <c r="H22" i="5" s="1"/>
  <c r="G22" i="5" s="1"/>
  <c r="F22" i="5" s="1"/>
  <c r="D23" i="5"/>
  <c r="E23" i="5"/>
  <c r="I23" i="5"/>
  <c r="H23" i="5" s="1"/>
  <c r="G23" i="5" s="1"/>
  <c r="F23" i="5" s="1"/>
  <c r="D24" i="5"/>
  <c r="E24" i="5"/>
  <c r="I24" i="5"/>
  <c r="H24" i="5" s="1"/>
  <c r="G24" i="5" s="1"/>
  <c r="D25" i="5"/>
  <c r="E25" i="5"/>
  <c r="I25" i="5"/>
  <c r="H25" i="5" s="1"/>
  <c r="G25" i="5" s="1"/>
  <c r="F25" i="5" s="1"/>
  <c r="D26" i="5"/>
  <c r="E26" i="5"/>
  <c r="I26" i="5"/>
  <c r="H26" i="5" s="1"/>
  <c r="G26" i="5" s="1"/>
  <c r="F26" i="5" s="1"/>
  <c r="D27" i="5"/>
  <c r="E27" i="5"/>
  <c r="I27" i="5"/>
  <c r="H27" i="5" s="1"/>
  <c r="G27" i="5" s="1"/>
  <c r="F27" i="5" s="1"/>
  <c r="D28" i="5"/>
  <c r="E28" i="5"/>
  <c r="I28" i="5"/>
  <c r="H28" i="5" s="1"/>
  <c r="G28" i="5" s="1"/>
  <c r="F28" i="5" s="1"/>
  <c r="D29" i="5"/>
  <c r="E29" i="5"/>
  <c r="I29" i="5"/>
  <c r="H29" i="5" s="1"/>
  <c r="G29" i="5" s="1"/>
  <c r="F29" i="5" s="1"/>
  <c r="D30" i="5"/>
  <c r="E30" i="5"/>
  <c r="I30" i="5"/>
  <c r="H30" i="5" s="1"/>
  <c r="G30" i="5" s="1"/>
  <c r="D31" i="5"/>
  <c r="E31" i="5"/>
  <c r="I31" i="5"/>
  <c r="H31" i="5" s="1"/>
  <c r="G31" i="5" s="1"/>
  <c r="F31" i="5" s="1"/>
  <c r="D32" i="5"/>
  <c r="E32" i="5"/>
  <c r="I32" i="5"/>
  <c r="H32" i="5" s="1"/>
  <c r="G32" i="5" s="1"/>
  <c r="F32" i="5" s="1"/>
  <c r="D33" i="5"/>
  <c r="E33" i="5"/>
  <c r="I33" i="5"/>
  <c r="H33" i="5" s="1"/>
  <c r="G33" i="5" s="1"/>
  <c r="D34" i="5"/>
  <c r="E34" i="5"/>
  <c r="I34" i="5"/>
  <c r="H34" i="5" s="1"/>
  <c r="G34" i="5" s="1"/>
  <c r="F34" i="5" s="1"/>
  <c r="D35" i="5"/>
  <c r="E35" i="5"/>
  <c r="I35" i="5"/>
  <c r="H35" i="5" s="1"/>
  <c r="G35" i="5" s="1"/>
  <c r="F35" i="5" s="1"/>
  <c r="D36" i="5"/>
  <c r="E36" i="5"/>
  <c r="I36" i="5"/>
  <c r="H36" i="5" s="1"/>
  <c r="G36" i="5" s="1"/>
  <c r="D37" i="5"/>
  <c r="E37" i="5"/>
  <c r="I37" i="5"/>
  <c r="H37" i="5" s="1"/>
  <c r="G37" i="5" s="1"/>
  <c r="F37" i="5" s="1"/>
  <c r="D38" i="5"/>
  <c r="E38" i="5"/>
  <c r="I38" i="5"/>
  <c r="H38" i="5" s="1"/>
  <c r="G38" i="5" s="1"/>
  <c r="F38" i="5" s="1"/>
  <c r="D39" i="5"/>
  <c r="E39" i="5"/>
  <c r="I39" i="5"/>
  <c r="H39" i="5" s="1"/>
  <c r="G39" i="5" s="1"/>
  <c r="F39" i="5" s="1"/>
  <c r="D40" i="5"/>
  <c r="E40" i="5"/>
  <c r="I40" i="5"/>
  <c r="H40" i="5" s="1"/>
  <c r="G40" i="5" s="1"/>
  <c r="F40" i="5" s="1"/>
  <c r="D41" i="5"/>
  <c r="E41" i="5"/>
  <c r="I41" i="5"/>
  <c r="H41" i="5" s="1"/>
  <c r="G41" i="5" s="1"/>
  <c r="F41" i="5" s="1"/>
  <c r="D42" i="5"/>
  <c r="E42" i="5"/>
  <c r="I42" i="5"/>
  <c r="H42" i="5" s="1"/>
  <c r="G42" i="5" s="1"/>
  <c r="D43" i="5"/>
  <c r="E43" i="5"/>
  <c r="I43" i="5"/>
  <c r="H43" i="5" s="1"/>
  <c r="G43" i="5" s="1"/>
  <c r="F43" i="5" s="1"/>
  <c r="D44" i="5"/>
  <c r="E44" i="5"/>
  <c r="I44" i="5"/>
  <c r="H44" i="5" s="1"/>
  <c r="G44" i="5" s="1"/>
  <c r="F44" i="5" s="1"/>
  <c r="D45" i="5"/>
  <c r="E45" i="5"/>
  <c r="I45" i="5"/>
  <c r="H45" i="5" s="1"/>
  <c r="G45" i="5" s="1"/>
  <c r="D46" i="5"/>
  <c r="E46" i="5"/>
  <c r="I46" i="5"/>
  <c r="H46" i="5" s="1"/>
  <c r="G46" i="5" s="1"/>
  <c r="F46" i="5" s="1"/>
  <c r="D47" i="5"/>
  <c r="E47" i="5"/>
  <c r="I47" i="5"/>
  <c r="H47" i="5" s="1"/>
  <c r="G47" i="5" s="1"/>
  <c r="F47" i="5" s="1"/>
  <c r="D48" i="5"/>
  <c r="E48" i="5"/>
  <c r="I48" i="5"/>
  <c r="H48" i="5" s="1"/>
  <c r="G48" i="5" s="1"/>
  <c r="D49" i="5"/>
  <c r="E49" i="5"/>
  <c r="I49" i="5"/>
  <c r="H49" i="5" s="1"/>
  <c r="G49" i="5" s="1"/>
  <c r="F49" i="5" s="1"/>
  <c r="D50" i="5"/>
  <c r="E50" i="5"/>
  <c r="I50" i="5"/>
  <c r="H50" i="5" s="1"/>
  <c r="G50" i="5" s="1"/>
  <c r="F50" i="5" s="1"/>
  <c r="D51" i="5"/>
  <c r="E51" i="5"/>
  <c r="I51" i="5"/>
  <c r="H51" i="5" s="1"/>
  <c r="G51" i="5" s="1"/>
  <c r="F51" i="5" s="1"/>
  <c r="D52" i="5"/>
  <c r="E52" i="5"/>
  <c r="I52" i="5"/>
  <c r="H52" i="5" s="1"/>
  <c r="G52" i="5" s="1"/>
  <c r="F52" i="5" s="1"/>
  <c r="D53" i="5"/>
  <c r="E53" i="5"/>
  <c r="I53" i="5"/>
  <c r="H53" i="5" s="1"/>
  <c r="G53" i="5" s="1"/>
  <c r="F53" i="5" s="1"/>
  <c r="D54" i="5"/>
  <c r="E54" i="5"/>
  <c r="I54" i="5"/>
  <c r="H54" i="5" s="1"/>
  <c r="G54" i="5" s="1"/>
  <c r="F54" i="5" s="1"/>
  <c r="D55" i="5"/>
  <c r="E55" i="5"/>
  <c r="I55" i="5"/>
  <c r="H55" i="5" s="1"/>
  <c r="G55" i="5" s="1"/>
  <c r="F55" i="5" s="1"/>
  <c r="D56" i="5"/>
  <c r="E56" i="5"/>
  <c r="I56" i="5"/>
  <c r="H56" i="5" s="1"/>
  <c r="G56" i="5" s="1"/>
  <c r="F56" i="5" s="1"/>
  <c r="D57" i="5"/>
  <c r="E57" i="5"/>
  <c r="I57" i="5"/>
  <c r="H57" i="5" s="1"/>
  <c r="G57" i="5" s="1"/>
  <c r="F57" i="5" s="1"/>
  <c r="D58" i="5"/>
  <c r="E58" i="5"/>
  <c r="I58" i="5"/>
  <c r="H58" i="5" s="1"/>
  <c r="G58" i="5" s="1"/>
  <c r="F58" i="5" s="1"/>
  <c r="D59" i="5"/>
  <c r="E59" i="5"/>
  <c r="I59" i="5"/>
  <c r="H59" i="5" s="1"/>
  <c r="G59" i="5" s="1"/>
  <c r="F59" i="5" s="1"/>
  <c r="D60" i="5"/>
  <c r="E60" i="5"/>
  <c r="I60" i="5"/>
  <c r="H60" i="5" s="1"/>
  <c r="G60" i="5" s="1"/>
  <c r="F60" i="5" s="1"/>
  <c r="D61" i="5"/>
  <c r="E61" i="5"/>
  <c r="I61" i="5"/>
  <c r="H61" i="5" s="1"/>
  <c r="G61" i="5" s="1"/>
  <c r="F61" i="5" s="1"/>
  <c r="D62" i="5"/>
  <c r="E62" i="5"/>
  <c r="I62" i="5"/>
  <c r="H62" i="5" s="1"/>
  <c r="G62" i="5" s="1"/>
  <c r="F62" i="5" s="1"/>
  <c r="D63" i="5"/>
  <c r="E63" i="5"/>
  <c r="I63" i="5"/>
  <c r="H63" i="5" s="1"/>
  <c r="G63" i="5" s="1"/>
  <c r="F63" i="5" s="1"/>
  <c r="D64" i="5"/>
  <c r="E64" i="5"/>
  <c r="I64" i="5"/>
  <c r="H64" i="5" s="1"/>
  <c r="G64" i="5" s="1"/>
  <c r="F64" i="5" s="1"/>
  <c r="D65" i="5"/>
  <c r="E65" i="5"/>
  <c r="I65" i="5"/>
  <c r="H65" i="5" s="1"/>
  <c r="G65" i="5" s="1"/>
  <c r="F65" i="5" s="1"/>
  <c r="D66" i="5"/>
  <c r="E66" i="5"/>
  <c r="I66" i="5"/>
  <c r="H66" i="5" s="1"/>
  <c r="G66" i="5" s="1"/>
  <c r="F66" i="5" s="1"/>
  <c r="D67" i="5"/>
  <c r="E67" i="5"/>
  <c r="I67" i="5"/>
  <c r="H67" i="5" s="1"/>
  <c r="G67" i="5" s="1"/>
  <c r="F67" i="5" s="1"/>
  <c r="D68" i="5"/>
  <c r="E68" i="5"/>
  <c r="I68" i="5"/>
  <c r="H68" i="5" s="1"/>
  <c r="G68" i="5" s="1"/>
  <c r="F68" i="5" s="1"/>
  <c r="D69" i="5"/>
  <c r="E69" i="5"/>
  <c r="I69" i="5"/>
  <c r="H69" i="5" s="1"/>
  <c r="G69" i="5" s="1"/>
  <c r="F69" i="5" s="1"/>
  <c r="D70" i="5"/>
  <c r="E70" i="5"/>
  <c r="I70" i="5"/>
  <c r="H70" i="5" s="1"/>
  <c r="G70" i="5" s="1"/>
  <c r="F70" i="5" s="1"/>
  <c r="D71" i="5"/>
  <c r="E71" i="5"/>
  <c r="I71" i="5"/>
  <c r="H71" i="5" s="1"/>
  <c r="G71" i="5" s="1"/>
  <c r="F71" i="5" s="1"/>
  <c r="D72" i="5"/>
  <c r="E72" i="5"/>
  <c r="I72" i="5"/>
  <c r="H72" i="5" s="1"/>
  <c r="G72" i="5" s="1"/>
  <c r="F72" i="5" s="1"/>
  <c r="D73" i="5"/>
  <c r="E73" i="5"/>
  <c r="I73" i="5"/>
  <c r="H73" i="5" s="1"/>
  <c r="G73" i="5" s="1"/>
  <c r="F73" i="5" s="1"/>
  <c r="D74" i="5"/>
  <c r="E74" i="5"/>
  <c r="I74" i="5"/>
  <c r="H74" i="5" s="1"/>
  <c r="G74" i="5" s="1"/>
  <c r="F74" i="5" s="1"/>
  <c r="D75" i="5"/>
  <c r="E75" i="5"/>
  <c r="I75" i="5"/>
  <c r="H75" i="5" s="1"/>
  <c r="G75" i="5" s="1"/>
  <c r="F75" i="5" s="1"/>
  <c r="D76" i="5"/>
  <c r="E76" i="5"/>
  <c r="I76" i="5"/>
  <c r="H76" i="5" s="1"/>
  <c r="G76" i="5" s="1"/>
  <c r="F76" i="5" s="1"/>
  <c r="D77" i="5"/>
  <c r="E77" i="5"/>
  <c r="I77" i="5"/>
  <c r="H77" i="5" s="1"/>
  <c r="G77" i="5" s="1"/>
  <c r="F77" i="5" s="1"/>
  <c r="D78" i="5"/>
  <c r="E78" i="5"/>
  <c r="I78" i="5"/>
  <c r="H78" i="5" s="1"/>
  <c r="G78" i="5" s="1"/>
  <c r="F78" i="5" s="1"/>
  <c r="D79" i="5"/>
  <c r="E79" i="5"/>
  <c r="I79" i="5"/>
  <c r="H79" i="5" s="1"/>
  <c r="G79" i="5" s="1"/>
  <c r="F79" i="5" s="1"/>
  <c r="D80" i="5"/>
  <c r="E80" i="5"/>
  <c r="I80" i="5"/>
  <c r="H80" i="5" s="1"/>
  <c r="G80" i="5" s="1"/>
  <c r="F80" i="5" s="1"/>
  <c r="D81" i="5"/>
  <c r="E81" i="5"/>
  <c r="I81" i="5"/>
  <c r="H81" i="5" s="1"/>
  <c r="G81" i="5" s="1"/>
  <c r="F81" i="5" s="1"/>
  <c r="D82" i="5"/>
  <c r="E82" i="5"/>
  <c r="I82" i="5"/>
  <c r="H82" i="5" s="1"/>
  <c r="G82" i="5" s="1"/>
  <c r="F82" i="5" s="1"/>
  <c r="D83" i="5"/>
  <c r="E83" i="5"/>
  <c r="I83" i="5"/>
  <c r="H83" i="5" s="1"/>
  <c r="G83" i="5" s="1"/>
  <c r="F83" i="5" s="1"/>
  <c r="D84" i="5"/>
  <c r="E84" i="5"/>
  <c r="I84" i="5"/>
  <c r="H84" i="5" s="1"/>
  <c r="G84" i="5" s="1"/>
  <c r="F84" i="5" s="1"/>
  <c r="D85" i="5"/>
  <c r="E85" i="5"/>
  <c r="I85" i="5"/>
  <c r="H85" i="5" s="1"/>
  <c r="G85" i="5" s="1"/>
  <c r="F85" i="5" s="1"/>
  <c r="D86" i="5"/>
  <c r="E86" i="5"/>
  <c r="I86" i="5"/>
  <c r="H86" i="5" s="1"/>
  <c r="G86" i="5" s="1"/>
  <c r="F86" i="5" s="1"/>
  <c r="D87" i="5"/>
  <c r="E87" i="5"/>
  <c r="I87" i="5"/>
  <c r="H87" i="5" s="1"/>
  <c r="G87" i="5" s="1"/>
  <c r="F87" i="5" s="1"/>
  <c r="D88" i="5"/>
  <c r="E88" i="5"/>
  <c r="I88" i="5"/>
  <c r="H88" i="5" s="1"/>
  <c r="G88" i="5" s="1"/>
  <c r="F88" i="5" s="1"/>
  <c r="D89" i="5"/>
  <c r="E89" i="5"/>
  <c r="I89" i="5"/>
  <c r="H89" i="5" s="1"/>
  <c r="G89" i="5" s="1"/>
  <c r="F89" i="5" s="1"/>
  <c r="D90" i="5"/>
  <c r="E90" i="5"/>
  <c r="I90" i="5"/>
  <c r="H90" i="5" s="1"/>
  <c r="G90" i="5" s="1"/>
  <c r="D91" i="5"/>
  <c r="E91" i="5"/>
  <c r="I91" i="5"/>
  <c r="H91" i="5" s="1"/>
  <c r="G91" i="5" s="1"/>
  <c r="F91" i="5" s="1"/>
  <c r="D92" i="5"/>
  <c r="E92" i="5"/>
  <c r="I92" i="5"/>
  <c r="H92" i="5" s="1"/>
  <c r="G92" i="5" s="1"/>
  <c r="F92" i="5" s="1"/>
  <c r="D93" i="5"/>
  <c r="E93" i="5"/>
  <c r="I93" i="5"/>
  <c r="H93" i="5" s="1"/>
  <c r="G93" i="5" s="1"/>
  <c r="F93" i="5" s="1"/>
  <c r="D94" i="5"/>
  <c r="E94" i="5"/>
  <c r="I94" i="5"/>
  <c r="H94" i="5" s="1"/>
  <c r="G94" i="5" s="1"/>
  <c r="F94" i="5" s="1"/>
  <c r="D95" i="5"/>
  <c r="E95" i="5"/>
  <c r="I95" i="5"/>
  <c r="H95" i="5" s="1"/>
  <c r="G95" i="5" s="1"/>
  <c r="F95" i="5" s="1"/>
  <c r="D96" i="5"/>
  <c r="E96" i="5"/>
  <c r="I96" i="5"/>
  <c r="H96" i="5" s="1"/>
  <c r="G96" i="5" s="1"/>
  <c r="F96" i="5" s="1"/>
  <c r="D97" i="5"/>
  <c r="E97" i="5"/>
  <c r="I97" i="5"/>
  <c r="H97" i="5" s="1"/>
  <c r="G97" i="5" s="1"/>
  <c r="F97" i="5" s="1"/>
  <c r="D98" i="5"/>
  <c r="E98" i="5"/>
  <c r="I98" i="5"/>
  <c r="H98" i="5" s="1"/>
  <c r="G98" i="5" s="1"/>
  <c r="F98" i="5" s="1"/>
  <c r="D99" i="5"/>
  <c r="E99" i="5"/>
  <c r="I99" i="5"/>
  <c r="H99" i="5" s="1"/>
  <c r="G99" i="5" s="1"/>
  <c r="F99" i="5" s="1"/>
  <c r="D100" i="5"/>
  <c r="E100" i="5"/>
  <c r="I100" i="5"/>
  <c r="H100" i="5" s="1"/>
  <c r="G100" i="5" s="1"/>
  <c r="F100" i="5" s="1"/>
  <c r="D101" i="5"/>
  <c r="E101" i="5"/>
  <c r="I101" i="5"/>
  <c r="H101" i="5" s="1"/>
  <c r="G101" i="5" s="1"/>
  <c r="F101" i="5" s="1"/>
  <c r="D102" i="5"/>
  <c r="E102" i="5"/>
  <c r="I102" i="5"/>
  <c r="H102" i="5" s="1"/>
  <c r="G102" i="5" s="1"/>
  <c r="F102" i="5" s="1"/>
  <c r="D103" i="5"/>
  <c r="E103" i="5"/>
  <c r="I103" i="5"/>
  <c r="H103" i="5" s="1"/>
  <c r="G103" i="5" s="1"/>
  <c r="F103" i="5" s="1"/>
  <c r="D104" i="5"/>
  <c r="E104" i="5"/>
  <c r="I104" i="5"/>
  <c r="H104" i="5" s="1"/>
  <c r="G104" i="5" s="1"/>
  <c r="F104" i="5" s="1"/>
  <c r="D105" i="5"/>
  <c r="E105" i="5"/>
  <c r="I105" i="5"/>
  <c r="H105" i="5" s="1"/>
  <c r="G105" i="5" s="1"/>
  <c r="F105" i="5" s="1"/>
  <c r="D106" i="5"/>
  <c r="E106" i="5"/>
  <c r="I106" i="5"/>
  <c r="H106" i="5" s="1"/>
  <c r="G106" i="5" s="1"/>
  <c r="F106" i="5" s="1"/>
  <c r="D107" i="5"/>
  <c r="E107" i="5"/>
  <c r="I107" i="5"/>
  <c r="H107" i="5" s="1"/>
  <c r="G107" i="5" s="1"/>
  <c r="F107" i="5" s="1"/>
  <c r="D108" i="5"/>
  <c r="E108" i="5"/>
  <c r="I108" i="5"/>
  <c r="H108" i="5" s="1"/>
  <c r="G108" i="5" s="1"/>
  <c r="F108" i="5" s="1"/>
  <c r="D109" i="5"/>
  <c r="E109" i="5"/>
  <c r="I109" i="5"/>
  <c r="H109" i="5" s="1"/>
  <c r="G109" i="5" s="1"/>
  <c r="F109" i="5" s="1"/>
  <c r="D110" i="5"/>
  <c r="E110" i="5"/>
  <c r="I110" i="5"/>
  <c r="H110" i="5" s="1"/>
  <c r="G110" i="5" s="1"/>
  <c r="F110" i="5" s="1"/>
  <c r="D111" i="5"/>
  <c r="E111" i="5"/>
  <c r="I111" i="5"/>
  <c r="H111" i="5" s="1"/>
  <c r="G111" i="5" s="1"/>
  <c r="F111" i="5" s="1"/>
  <c r="D112" i="5"/>
  <c r="E112" i="5"/>
  <c r="I112" i="5"/>
  <c r="H112" i="5" s="1"/>
  <c r="G112" i="5" s="1"/>
  <c r="F112" i="5" s="1"/>
  <c r="D113" i="5"/>
  <c r="E113" i="5"/>
  <c r="I113" i="5"/>
  <c r="H113" i="5" s="1"/>
  <c r="G113" i="5" s="1"/>
  <c r="F113" i="5" s="1"/>
  <c r="D114" i="5"/>
  <c r="E114" i="5"/>
  <c r="I114" i="5"/>
  <c r="H114" i="5" s="1"/>
  <c r="G114" i="5" s="1"/>
  <c r="F114" i="5" s="1"/>
  <c r="D115" i="5"/>
  <c r="E115" i="5"/>
  <c r="I115" i="5"/>
  <c r="H115" i="5" s="1"/>
  <c r="G115" i="5" s="1"/>
  <c r="F115" i="5" s="1"/>
  <c r="D116" i="5"/>
  <c r="E116" i="5"/>
  <c r="I116" i="5"/>
  <c r="H116" i="5" s="1"/>
  <c r="G116" i="5" s="1"/>
  <c r="F116" i="5" s="1"/>
  <c r="D117" i="5"/>
  <c r="E117" i="5"/>
  <c r="I117" i="5"/>
  <c r="H117" i="5" s="1"/>
  <c r="G117" i="5" s="1"/>
  <c r="F117" i="5" s="1"/>
  <c r="D118" i="5"/>
  <c r="E118" i="5"/>
  <c r="I118" i="5"/>
  <c r="H118" i="5" s="1"/>
  <c r="G118" i="5" s="1"/>
  <c r="F118" i="5" s="1"/>
  <c r="D119" i="5"/>
  <c r="E119" i="5"/>
  <c r="I119" i="5"/>
  <c r="H119" i="5" s="1"/>
  <c r="G119" i="5" s="1"/>
  <c r="F119" i="5" s="1"/>
  <c r="D120" i="5"/>
  <c r="E120" i="5"/>
  <c r="I120" i="5"/>
  <c r="H120" i="5" s="1"/>
  <c r="G120" i="5" s="1"/>
  <c r="F120" i="5" s="1"/>
  <c r="D121" i="5"/>
  <c r="E121" i="5"/>
  <c r="I121" i="5"/>
  <c r="H121" i="5" s="1"/>
  <c r="G121" i="5" s="1"/>
  <c r="F121" i="5" s="1"/>
  <c r="D122" i="5"/>
  <c r="E122" i="5"/>
  <c r="I122" i="5"/>
  <c r="H122" i="5" s="1"/>
  <c r="G122" i="5" s="1"/>
  <c r="F122" i="5" s="1"/>
  <c r="D123" i="5"/>
  <c r="E123" i="5"/>
  <c r="I123" i="5"/>
  <c r="H123" i="5" s="1"/>
  <c r="G123" i="5" s="1"/>
  <c r="F123" i="5" s="1"/>
  <c r="D124" i="5"/>
  <c r="E124" i="5"/>
  <c r="I124" i="5"/>
  <c r="H124" i="5" s="1"/>
  <c r="G124" i="5" s="1"/>
  <c r="F124" i="5" s="1"/>
  <c r="D125" i="5"/>
  <c r="E125" i="5"/>
  <c r="I125" i="5"/>
  <c r="H125" i="5" s="1"/>
  <c r="G125" i="5" s="1"/>
  <c r="F125" i="5" s="1"/>
  <c r="D126" i="5"/>
  <c r="E126" i="5"/>
  <c r="I126" i="5"/>
  <c r="H126" i="5" s="1"/>
  <c r="G126" i="5" s="1"/>
  <c r="F126" i="5" s="1"/>
  <c r="D127" i="5"/>
  <c r="E127" i="5"/>
  <c r="I127" i="5"/>
  <c r="H127" i="5" s="1"/>
  <c r="G127" i="5" s="1"/>
  <c r="F127" i="5" s="1"/>
  <c r="D128" i="5"/>
  <c r="E128" i="5"/>
  <c r="I128" i="5"/>
  <c r="H128" i="5" s="1"/>
  <c r="G128" i="5" s="1"/>
  <c r="F128" i="5" s="1"/>
  <c r="D129" i="5"/>
  <c r="E129" i="5"/>
  <c r="I129" i="5"/>
  <c r="H129" i="5" s="1"/>
  <c r="G129" i="5" s="1"/>
  <c r="D130" i="5"/>
  <c r="E130" i="5"/>
  <c r="I130" i="5"/>
  <c r="H130" i="5" s="1"/>
  <c r="G130" i="5" s="1"/>
  <c r="F130" i="5" s="1"/>
  <c r="D131" i="5"/>
  <c r="E131" i="5"/>
  <c r="I131" i="5"/>
  <c r="H131" i="5" s="1"/>
  <c r="G131" i="5" s="1"/>
  <c r="F131" i="5" s="1"/>
  <c r="D132" i="5"/>
  <c r="E132" i="5"/>
  <c r="I132" i="5"/>
  <c r="H132" i="5" s="1"/>
  <c r="G132" i="5" s="1"/>
  <c r="D133" i="5"/>
  <c r="E133" i="5"/>
  <c r="I133" i="5"/>
  <c r="H133" i="5" s="1"/>
  <c r="G133" i="5" s="1"/>
  <c r="F133" i="5" s="1"/>
  <c r="D134" i="5"/>
  <c r="E134" i="5"/>
  <c r="I134" i="5"/>
  <c r="H134" i="5" s="1"/>
  <c r="G134" i="5" s="1"/>
  <c r="F134" i="5" s="1"/>
  <c r="D135" i="5"/>
  <c r="E135" i="5"/>
  <c r="I135" i="5"/>
  <c r="H135" i="5" s="1"/>
  <c r="G135" i="5" s="1"/>
  <c r="D136" i="5"/>
  <c r="E136" i="5"/>
  <c r="I136" i="5"/>
  <c r="H136" i="5" s="1"/>
  <c r="G136" i="5" s="1"/>
  <c r="F136" i="5" s="1"/>
  <c r="D137" i="5"/>
  <c r="E137" i="5"/>
  <c r="I137" i="5"/>
  <c r="H137" i="5" s="1"/>
  <c r="G137" i="5" s="1"/>
  <c r="D138" i="5"/>
  <c r="E138" i="5"/>
  <c r="I138" i="5"/>
  <c r="H138" i="5" s="1"/>
  <c r="G138" i="5" s="1"/>
  <c r="F138" i="5" s="1"/>
  <c r="D139" i="5"/>
  <c r="E139" i="5"/>
  <c r="I139" i="5"/>
  <c r="H139" i="5" s="1"/>
  <c r="G139" i="5" s="1"/>
  <c r="D140" i="5"/>
  <c r="E140" i="5"/>
  <c r="I140" i="5"/>
  <c r="H140" i="5" s="1"/>
  <c r="G140" i="5" s="1"/>
  <c r="F140" i="5" s="1"/>
  <c r="D141" i="5"/>
  <c r="E141" i="5"/>
  <c r="I141" i="5"/>
  <c r="H141" i="5" s="1"/>
  <c r="G141" i="5" s="1"/>
  <c r="D142" i="5"/>
  <c r="E142" i="5"/>
  <c r="I142" i="5"/>
  <c r="H142" i="5" s="1"/>
  <c r="G142" i="5" s="1"/>
  <c r="F142" i="5" s="1"/>
  <c r="D143" i="5"/>
  <c r="E143" i="5"/>
  <c r="I143" i="5"/>
  <c r="H143" i="5" s="1"/>
  <c r="G143" i="5" s="1"/>
  <c r="D144" i="5"/>
  <c r="E144" i="5"/>
  <c r="I144" i="5"/>
  <c r="H144" i="5" s="1"/>
  <c r="G144" i="5" s="1"/>
  <c r="F144" i="5" s="1"/>
  <c r="D145" i="5"/>
  <c r="E145" i="5"/>
  <c r="I145" i="5"/>
  <c r="H145" i="5" s="1"/>
  <c r="G145" i="5" s="1"/>
  <c r="D146" i="5"/>
  <c r="E146" i="5"/>
  <c r="I146" i="5"/>
  <c r="H146" i="5" s="1"/>
  <c r="G146" i="5" s="1"/>
  <c r="F146" i="5" s="1"/>
  <c r="D147" i="5"/>
  <c r="E147" i="5"/>
  <c r="I147" i="5"/>
  <c r="H147" i="5" s="1"/>
  <c r="G147" i="5" s="1"/>
  <c r="D148" i="5"/>
  <c r="E148" i="5"/>
  <c r="I148" i="5"/>
  <c r="H148" i="5" s="1"/>
  <c r="G148" i="5" s="1"/>
  <c r="F148" i="5" s="1"/>
  <c r="D149" i="5"/>
  <c r="E149" i="5"/>
  <c r="I149" i="5"/>
  <c r="H149" i="5" s="1"/>
  <c r="G149" i="5" s="1"/>
  <c r="F149" i="5" s="1"/>
  <c r="D150" i="5"/>
  <c r="E150" i="5"/>
  <c r="I150" i="5"/>
  <c r="H150" i="5" s="1"/>
  <c r="G150" i="5" s="1"/>
  <c r="F150" i="5" s="1"/>
  <c r="D151" i="5"/>
  <c r="E151" i="5"/>
  <c r="I151" i="5"/>
  <c r="H151" i="5" s="1"/>
  <c r="G151" i="5" s="1"/>
  <c r="D152" i="5"/>
  <c r="E152" i="5"/>
  <c r="I152" i="5"/>
  <c r="H152" i="5" s="1"/>
  <c r="G152" i="5" s="1"/>
  <c r="F152" i="5" s="1"/>
  <c r="D153" i="5"/>
  <c r="E153" i="5"/>
  <c r="I153" i="5"/>
  <c r="H153" i="5" s="1"/>
  <c r="G153" i="5" s="1"/>
  <c r="F153" i="5" s="1"/>
  <c r="D154" i="5"/>
  <c r="E154" i="5"/>
  <c r="I154" i="5"/>
  <c r="H154" i="5" s="1"/>
  <c r="G154" i="5" s="1"/>
  <c r="F154" i="5" s="1"/>
  <c r="D155" i="5"/>
  <c r="E155" i="5"/>
  <c r="I155" i="5"/>
  <c r="H155" i="5" s="1"/>
  <c r="G155" i="5" s="1"/>
  <c r="D156" i="5"/>
  <c r="E156" i="5"/>
  <c r="I156" i="5"/>
  <c r="H156" i="5" s="1"/>
  <c r="G156" i="5" s="1"/>
  <c r="F156" i="5" s="1"/>
  <c r="D157" i="5"/>
  <c r="E157" i="5"/>
  <c r="I157" i="5"/>
  <c r="H157" i="5" s="1"/>
  <c r="G157" i="5" s="1"/>
  <c r="F157" i="5" s="1"/>
  <c r="D158" i="5"/>
  <c r="E158" i="5"/>
  <c r="I158" i="5"/>
  <c r="H158" i="5" s="1"/>
  <c r="G158" i="5" s="1"/>
  <c r="F158" i="5" s="1"/>
  <c r="D159" i="5"/>
  <c r="E159" i="5"/>
  <c r="I159" i="5"/>
  <c r="H159" i="5" s="1"/>
  <c r="G159" i="5" s="1"/>
  <c r="D160" i="5"/>
  <c r="E160" i="5"/>
  <c r="I160" i="5"/>
  <c r="H160" i="5" s="1"/>
  <c r="G160" i="5" s="1"/>
  <c r="F160" i="5" s="1"/>
  <c r="D161" i="5"/>
  <c r="E161" i="5"/>
  <c r="I161" i="5"/>
  <c r="H161" i="5" s="1"/>
  <c r="G161" i="5" s="1"/>
  <c r="F161" i="5" s="1"/>
  <c r="D162" i="5"/>
  <c r="E162" i="5"/>
  <c r="I162" i="5"/>
  <c r="H162" i="5" s="1"/>
  <c r="G162" i="5" s="1"/>
  <c r="F162" i="5" s="1"/>
  <c r="D163" i="5"/>
  <c r="E163" i="5"/>
  <c r="I163" i="5"/>
  <c r="H163" i="5" s="1"/>
  <c r="G163" i="5" s="1"/>
  <c r="F163" i="5" s="1"/>
  <c r="D164" i="5"/>
  <c r="E164" i="5"/>
  <c r="I164" i="5"/>
  <c r="H164" i="5" s="1"/>
  <c r="G164" i="5" s="1"/>
  <c r="F164" i="5" s="1"/>
  <c r="D165" i="5"/>
  <c r="E165" i="5"/>
  <c r="I165" i="5"/>
  <c r="H165" i="5" s="1"/>
  <c r="G165" i="5" s="1"/>
  <c r="D166" i="5"/>
  <c r="E166" i="5"/>
  <c r="I166" i="5"/>
  <c r="H166" i="5" s="1"/>
  <c r="G166" i="5" s="1"/>
  <c r="F166" i="5" s="1"/>
  <c r="D167" i="5"/>
  <c r="E167" i="5"/>
  <c r="I167" i="5"/>
  <c r="H167" i="5" s="1"/>
  <c r="G167" i="5" s="1"/>
  <c r="F167" i="5" s="1"/>
  <c r="D168" i="5"/>
  <c r="E168" i="5"/>
  <c r="I168" i="5"/>
  <c r="H168" i="5" s="1"/>
  <c r="G168" i="5" s="1"/>
  <c r="F168" i="5" s="1"/>
  <c r="D169" i="5"/>
  <c r="E169" i="5"/>
  <c r="I169" i="5"/>
  <c r="H169" i="5" s="1"/>
  <c r="G169" i="5" s="1"/>
  <c r="F169" i="5" s="1"/>
  <c r="D170" i="5"/>
  <c r="E170" i="5"/>
  <c r="I170" i="5"/>
  <c r="H170" i="5" s="1"/>
  <c r="G170" i="5" s="1"/>
  <c r="F170" i="5" s="1"/>
  <c r="D171" i="5"/>
  <c r="E171" i="5"/>
  <c r="I171" i="5"/>
  <c r="H171" i="5" s="1"/>
  <c r="G171" i="5" s="1"/>
  <c r="D172" i="5"/>
  <c r="E172" i="5"/>
  <c r="I172" i="5"/>
  <c r="H172" i="5" s="1"/>
  <c r="G172" i="5" s="1"/>
  <c r="F172" i="5" s="1"/>
  <c r="D173" i="5"/>
  <c r="E173" i="5"/>
  <c r="I173" i="5"/>
  <c r="H173" i="5" s="1"/>
  <c r="G173" i="5" s="1"/>
  <c r="F173" i="5" s="1"/>
  <c r="D174" i="5"/>
  <c r="E174" i="5"/>
  <c r="I174" i="5"/>
  <c r="H174" i="5" s="1"/>
  <c r="G174" i="5" s="1"/>
  <c r="F174" i="5" s="1"/>
  <c r="D175" i="5"/>
  <c r="E175" i="5"/>
  <c r="I175" i="5"/>
  <c r="H175" i="5" s="1"/>
  <c r="G175" i="5" s="1"/>
  <c r="F175" i="5" s="1"/>
  <c r="D176" i="5"/>
  <c r="E176" i="5"/>
  <c r="I176" i="5"/>
  <c r="H176" i="5" s="1"/>
  <c r="G176" i="5" s="1"/>
  <c r="F176" i="5" s="1"/>
  <c r="D177" i="5"/>
  <c r="E177" i="5"/>
  <c r="I177" i="5"/>
  <c r="H177" i="5" s="1"/>
  <c r="G177" i="5" s="1"/>
  <c r="D178" i="5"/>
  <c r="E178" i="5"/>
  <c r="I178" i="5"/>
  <c r="H178" i="5" s="1"/>
  <c r="G178" i="5" s="1"/>
  <c r="F178" i="5" s="1"/>
  <c r="D179" i="5"/>
  <c r="E179" i="5"/>
  <c r="I179" i="5"/>
  <c r="H179" i="5" s="1"/>
  <c r="G179" i="5" s="1"/>
  <c r="D180" i="5"/>
  <c r="E180" i="5"/>
  <c r="I180" i="5"/>
  <c r="H180" i="5" s="1"/>
  <c r="G180" i="5" s="1"/>
  <c r="F180" i="5" s="1"/>
  <c r="D181" i="5"/>
  <c r="E181" i="5"/>
  <c r="I181" i="5"/>
  <c r="H181" i="5" s="1"/>
  <c r="G181" i="5" s="1"/>
  <c r="D182" i="5"/>
  <c r="E182" i="5"/>
  <c r="I182" i="5"/>
  <c r="H182" i="5" s="1"/>
  <c r="G182" i="5" s="1"/>
  <c r="F182" i="5" s="1"/>
  <c r="D183" i="5"/>
  <c r="E183" i="5"/>
  <c r="I183" i="5"/>
  <c r="H183" i="5" s="1"/>
  <c r="G183" i="5" s="1"/>
  <c r="F183" i="5" s="1"/>
  <c r="D184" i="5"/>
  <c r="E184" i="5"/>
  <c r="I184" i="5"/>
  <c r="H184" i="5" s="1"/>
  <c r="G184" i="5" s="1"/>
  <c r="D185" i="5"/>
  <c r="E185" i="5"/>
  <c r="I185" i="5"/>
  <c r="H185" i="5" s="1"/>
  <c r="G185" i="5" s="1"/>
  <c r="F185" i="5" s="1"/>
  <c r="D186" i="5"/>
  <c r="E186" i="5"/>
  <c r="I186" i="5"/>
  <c r="H186" i="5" s="1"/>
  <c r="G186" i="5" s="1"/>
  <c r="F186" i="5" s="1"/>
  <c r="D187" i="5"/>
  <c r="E187" i="5"/>
  <c r="I187" i="5"/>
  <c r="H187" i="5" s="1"/>
  <c r="G187" i="5" s="1"/>
  <c r="D188" i="5"/>
  <c r="E188" i="5"/>
  <c r="I188" i="5"/>
  <c r="H188" i="5" s="1"/>
  <c r="G188" i="5" s="1"/>
  <c r="F188" i="5" s="1"/>
  <c r="D189" i="5"/>
  <c r="E189" i="5"/>
  <c r="I189" i="5"/>
  <c r="H189" i="5" s="1"/>
  <c r="G189" i="5" s="1"/>
  <c r="F189" i="5" s="1"/>
  <c r="D190" i="5"/>
  <c r="E190" i="5"/>
  <c r="I190" i="5"/>
  <c r="H190" i="5" s="1"/>
  <c r="G190" i="5" s="1"/>
  <c r="D191" i="5"/>
  <c r="E191" i="5"/>
  <c r="I191" i="5"/>
  <c r="H191" i="5" s="1"/>
  <c r="G191" i="5" s="1"/>
  <c r="F191" i="5" s="1"/>
  <c r="D192" i="5"/>
  <c r="E192" i="5"/>
  <c r="I192" i="5"/>
  <c r="H192" i="5" s="1"/>
  <c r="G192" i="5" s="1"/>
  <c r="F192" i="5" s="1"/>
  <c r="D193" i="5"/>
  <c r="E193" i="5"/>
  <c r="I193" i="5"/>
  <c r="H193" i="5" s="1"/>
  <c r="G193" i="5" s="1"/>
  <c r="D194" i="5"/>
  <c r="E194" i="5"/>
  <c r="I194" i="5"/>
  <c r="H194" i="5" s="1"/>
  <c r="G194" i="5" s="1"/>
  <c r="F194" i="5" s="1"/>
  <c r="D195" i="5"/>
  <c r="E195" i="5"/>
  <c r="I195" i="5"/>
  <c r="H195" i="5" s="1"/>
  <c r="G195" i="5" s="1"/>
  <c r="F195" i="5" s="1"/>
  <c r="D196" i="5"/>
  <c r="E196" i="5"/>
  <c r="I196" i="5"/>
  <c r="H196" i="5" s="1"/>
  <c r="G196" i="5" s="1"/>
  <c r="D197" i="5"/>
  <c r="E197" i="5"/>
  <c r="I197" i="5"/>
  <c r="H197" i="5" s="1"/>
  <c r="G197" i="5" s="1"/>
  <c r="F197" i="5" s="1"/>
  <c r="D198" i="5"/>
  <c r="E198" i="5"/>
  <c r="I198" i="5"/>
  <c r="H198" i="5" s="1"/>
  <c r="G198" i="5" s="1"/>
  <c r="F198" i="5" s="1"/>
  <c r="D199" i="5"/>
  <c r="E199" i="5"/>
  <c r="I199" i="5"/>
  <c r="H199" i="5" s="1"/>
  <c r="G199" i="5" s="1"/>
  <c r="D200" i="5"/>
  <c r="E200" i="5"/>
  <c r="I200" i="5"/>
  <c r="H200" i="5" s="1"/>
  <c r="G200" i="5" s="1"/>
  <c r="F200" i="5" s="1"/>
  <c r="D201" i="5"/>
  <c r="E201" i="5"/>
  <c r="I201" i="5"/>
  <c r="H201" i="5" s="1"/>
  <c r="G201" i="5" s="1"/>
  <c r="F201" i="5" s="1"/>
  <c r="D202" i="5"/>
  <c r="E202" i="5"/>
  <c r="I202" i="5"/>
  <c r="H202" i="5" s="1"/>
  <c r="G202" i="5" s="1"/>
  <c r="D203" i="5"/>
  <c r="E203" i="5"/>
  <c r="I203" i="5"/>
  <c r="H203" i="5" s="1"/>
  <c r="G203" i="5" s="1"/>
  <c r="F203" i="5" s="1"/>
  <c r="D204" i="5"/>
  <c r="E204" i="5"/>
  <c r="I204" i="5"/>
  <c r="H204" i="5" s="1"/>
  <c r="G204" i="5" s="1"/>
  <c r="F204" i="5" s="1"/>
  <c r="D205" i="5"/>
  <c r="E205" i="5"/>
  <c r="I205" i="5"/>
  <c r="H205" i="5" s="1"/>
  <c r="G205" i="5" s="1"/>
  <c r="F205" i="5" s="1"/>
  <c r="D206" i="5"/>
  <c r="E206" i="5"/>
  <c r="I206" i="5"/>
  <c r="H206" i="5" s="1"/>
  <c r="G206" i="5" s="1"/>
  <c r="F206" i="5" s="1"/>
  <c r="D207" i="5"/>
  <c r="E207" i="5"/>
  <c r="I207" i="5"/>
  <c r="H207" i="5" s="1"/>
  <c r="G207" i="5" s="1"/>
  <c r="F207" i="5" s="1"/>
  <c r="D208" i="5"/>
  <c r="E208" i="5"/>
  <c r="I208" i="5"/>
  <c r="H208" i="5" s="1"/>
  <c r="G208" i="5" s="1"/>
  <c r="F208" i="5" s="1"/>
  <c r="D209" i="5"/>
  <c r="E209" i="5"/>
  <c r="I209" i="5"/>
  <c r="H209" i="5" s="1"/>
  <c r="G209" i="5" s="1"/>
  <c r="F209" i="5" s="1"/>
  <c r="D210" i="5"/>
  <c r="E210" i="5"/>
  <c r="I210" i="5"/>
  <c r="H210" i="5" s="1"/>
  <c r="G210" i="5" s="1"/>
  <c r="F210" i="5" s="1"/>
  <c r="D211" i="5"/>
  <c r="E211" i="5"/>
  <c r="I211" i="5"/>
  <c r="H211" i="5" s="1"/>
  <c r="G211" i="5" s="1"/>
  <c r="F211" i="5" s="1"/>
  <c r="D212" i="5"/>
  <c r="E212" i="5"/>
  <c r="I212" i="5"/>
  <c r="H212" i="5" s="1"/>
  <c r="G212" i="5" s="1"/>
  <c r="F212" i="5" s="1"/>
  <c r="D213" i="5"/>
  <c r="E213" i="5"/>
  <c r="I213" i="5"/>
  <c r="H213" i="5" s="1"/>
  <c r="G213" i="5" s="1"/>
  <c r="F213" i="5" s="1"/>
  <c r="D214" i="5"/>
  <c r="E214" i="5"/>
  <c r="I214" i="5"/>
  <c r="H214" i="5" s="1"/>
  <c r="G214" i="5" s="1"/>
  <c r="F214" i="5" s="1"/>
  <c r="D215" i="5"/>
  <c r="E215" i="5"/>
  <c r="I215" i="5"/>
  <c r="H215" i="5" s="1"/>
  <c r="G215" i="5" s="1"/>
  <c r="F215" i="5" s="1"/>
  <c r="D216" i="5"/>
  <c r="E216" i="5"/>
  <c r="I216" i="5"/>
  <c r="H216" i="5" s="1"/>
  <c r="G216" i="5" s="1"/>
  <c r="F216" i="5" s="1"/>
  <c r="D217" i="5"/>
  <c r="E217" i="5"/>
  <c r="I217" i="5"/>
  <c r="H217" i="5" s="1"/>
  <c r="G217" i="5" s="1"/>
  <c r="F217" i="5" s="1"/>
  <c r="D218" i="5"/>
  <c r="E218" i="5"/>
  <c r="I218" i="5"/>
  <c r="H218" i="5" s="1"/>
  <c r="G218" i="5" s="1"/>
  <c r="F218" i="5" s="1"/>
  <c r="D219" i="5"/>
  <c r="E219" i="5"/>
  <c r="I219" i="5"/>
  <c r="H219" i="5" s="1"/>
  <c r="G219" i="5" s="1"/>
  <c r="F219" i="5" s="1"/>
  <c r="D220" i="5"/>
  <c r="E220" i="5"/>
  <c r="I220" i="5"/>
  <c r="H220" i="5" s="1"/>
  <c r="G220" i="5" s="1"/>
  <c r="F220" i="5" s="1"/>
  <c r="D221" i="5"/>
  <c r="E221" i="5"/>
  <c r="I221" i="5"/>
  <c r="H221" i="5" s="1"/>
  <c r="G221" i="5" s="1"/>
  <c r="F221" i="5" s="1"/>
  <c r="D222" i="5"/>
  <c r="E222" i="5"/>
  <c r="I222" i="5"/>
  <c r="H222" i="5" s="1"/>
  <c r="G222" i="5" s="1"/>
  <c r="F222" i="5" s="1"/>
  <c r="D223" i="5"/>
  <c r="E223" i="5"/>
  <c r="I223" i="5"/>
  <c r="H223" i="5" s="1"/>
  <c r="G223" i="5" s="1"/>
  <c r="F223" i="5" s="1"/>
  <c r="D224" i="5"/>
  <c r="E224" i="5"/>
  <c r="I224" i="5"/>
  <c r="H224" i="5" s="1"/>
  <c r="G224" i="5" s="1"/>
  <c r="F224" i="5" s="1"/>
  <c r="D225" i="5"/>
  <c r="E225" i="5"/>
  <c r="I225" i="5"/>
  <c r="H225" i="5" s="1"/>
  <c r="G225" i="5" s="1"/>
  <c r="F225" i="5" s="1"/>
  <c r="D226" i="5"/>
  <c r="E226" i="5"/>
  <c r="I226" i="5"/>
  <c r="H226" i="5" s="1"/>
  <c r="G226" i="5" s="1"/>
  <c r="F226" i="5" s="1"/>
  <c r="D227" i="5"/>
  <c r="E227" i="5"/>
  <c r="I227" i="5"/>
  <c r="H227" i="5" s="1"/>
  <c r="G227" i="5" s="1"/>
  <c r="D228" i="5"/>
  <c r="E228" i="5"/>
  <c r="I228" i="5"/>
  <c r="H228" i="5" s="1"/>
  <c r="G228" i="5" s="1"/>
  <c r="F228" i="5" s="1"/>
  <c r="D229" i="5"/>
  <c r="E229" i="5"/>
  <c r="I229" i="5"/>
  <c r="H229" i="5" s="1"/>
  <c r="G229" i="5" s="1"/>
  <c r="F229" i="5" s="1"/>
  <c r="D230" i="5"/>
  <c r="E230" i="5"/>
  <c r="I230" i="5"/>
  <c r="H230" i="5" s="1"/>
  <c r="G230" i="5" s="1"/>
  <c r="F230" i="5" s="1"/>
  <c r="D231" i="5"/>
  <c r="E231" i="5"/>
  <c r="I231" i="5"/>
  <c r="H231" i="5" s="1"/>
  <c r="G231" i="5" s="1"/>
  <c r="F231" i="5" s="1"/>
  <c r="D232" i="5"/>
  <c r="E232" i="5"/>
  <c r="I232" i="5"/>
  <c r="H232" i="5" s="1"/>
  <c r="G232" i="5" s="1"/>
  <c r="F232" i="5" s="1"/>
  <c r="D233" i="5"/>
  <c r="E233" i="5"/>
  <c r="I233" i="5"/>
  <c r="H233" i="5" s="1"/>
  <c r="G233" i="5" s="1"/>
  <c r="F233" i="5" s="1"/>
  <c r="D234" i="5"/>
  <c r="E234" i="5"/>
  <c r="I234" i="5"/>
  <c r="H234" i="5" s="1"/>
  <c r="G234" i="5" s="1"/>
  <c r="F234" i="5" s="1"/>
  <c r="D235" i="5"/>
  <c r="E235" i="5"/>
  <c r="I235" i="5"/>
  <c r="H235" i="5" s="1"/>
  <c r="G235" i="5" s="1"/>
  <c r="D236" i="5"/>
  <c r="E236" i="5"/>
  <c r="I236" i="5"/>
  <c r="H236" i="5" s="1"/>
  <c r="G236" i="5" s="1"/>
  <c r="F236" i="5" s="1"/>
  <c r="D237" i="5"/>
  <c r="E237" i="5"/>
  <c r="I237" i="5"/>
  <c r="H237" i="5" s="1"/>
  <c r="G237" i="5" s="1"/>
  <c r="D238" i="5"/>
  <c r="E238" i="5"/>
  <c r="I238" i="5"/>
  <c r="H238" i="5" s="1"/>
  <c r="G238" i="5" s="1"/>
  <c r="F238" i="5" s="1"/>
  <c r="D239" i="5"/>
  <c r="E239" i="5"/>
  <c r="I239" i="5"/>
  <c r="H239" i="5" s="1"/>
  <c r="G239" i="5" s="1"/>
  <c r="F239" i="5" s="1"/>
  <c r="D240" i="5"/>
  <c r="E240" i="5"/>
  <c r="I240" i="5"/>
  <c r="H240" i="5" s="1"/>
  <c r="G240" i="5" s="1"/>
  <c r="F240" i="5" s="1"/>
  <c r="D241" i="5"/>
  <c r="E241" i="5"/>
  <c r="I241" i="5"/>
  <c r="H241" i="5" s="1"/>
  <c r="G241" i="5" s="1"/>
  <c r="F241" i="5" s="1"/>
  <c r="D242" i="5"/>
  <c r="E242" i="5"/>
  <c r="I242" i="5"/>
  <c r="H242" i="5" s="1"/>
  <c r="G242" i="5" s="1"/>
  <c r="F242" i="5" s="1"/>
  <c r="D243" i="5"/>
  <c r="E243" i="5"/>
  <c r="I243" i="5"/>
  <c r="H243" i="5" s="1"/>
  <c r="G243" i="5" s="1"/>
  <c r="F243" i="5" s="1"/>
  <c r="D244" i="5"/>
  <c r="E244" i="5"/>
  <c r="I244" i="5"/>
  <c r="H244" i="5" s="1"/>
  <c r="G244" i="5" s="1"/>
  <c r="F244" i="5" s="1"/>
  <c r="D245" i="5"/>
  <c r="E245" i="5"/>
  <c r="I245" i="5"/>
  <c r="H245" i="5" s="1"/>
  <c r="G245" i="5" s="1"/>
  <c r="F245" i="5" s="1"/>
  <c r="D246" i="5"/>
  <c r="E246" i="5"/>
  <c r="I246" i="5"/>
  <c r="H246" i="5" s="1"/>
  <c r="G246" i="5" s="1"/>
  <c r="F246" i="5" s="1"/>
  <c r="D247" i="5"/>
  <c r="E247" i="5"/>
  <c r="I247" i="5"/>
  <c r="H247" i="5" s="1"/>
  <c r="G247" i="5" s="1"/>
  <c r="F247" i="5" s="1"/>
  <c r="D248" i="5"/>
  <c r="E248" i="5"/>
  <c r="I248" i="5"/>
  <c r="H248" i="5" s="1"/>
  <c r="G248" i="5" s="1"/>
  <c r="F248" i="5" s="1"/>
  <c r="D249" i="5"/>
  <c r="E249" i="5"/>
  <c r="I249" i="5"/>
  <c r="H249" i="5" s="1"/>
  <c r="G249" i="5" s="1"/>
  <c r="F249" i="5" s="1"/>
  <c r="D250" i="5"/>
  <c r="E250" i="5"/>
  <c r="I250" i="5"/>
  <c r="H250" i="5" s="1"/>
  <c r="G250" i="5" s="1"/>
  <c r="F250" i="5" s="1"/>
  <c r="D251" i="5"/>
  <c r="E251" i="5"/>
  <c r="I251" i="5"/>
  <c r="H251" i="5" s="1"/>
  <c r="G251" i="5" s="1"/>
  <c r="F251" i="5" s="1"/>
  <c r="D252" i="5"/>
  <c r="E252" i="5"/>
  <c r="I252" i="5"/>
  <c r="H252" i="5" s="1"/>
  <c r="G252" i="5" s="1"/>
  <c r="F252" i="5" s="1"/>
  <c r="D253" i="5"/>
  <c r="E253" i="5"/>
  <c r="I253" i="5"/>
  <c r="H253" i="5" s="1"/>
  <c r="G253" i="5" s="1"/>
  <c r="F253" i="5" s="1"/>
  <c r="D254" i="5"/>
  <c r="E254" i="5"/>
  <c r="I254" i="5"/>
  <c r="H254" i="5" s="1"/>
  <c r="G254" i="5" s="1"/>
  <c r="F254" i="5" s="1"/>
  <c r="D255" i="5"/>
  <c r="E255" i="5"/>
  <c r="I255" i="5"/>
  <c r="H255" i="5" s="1"/>
  <c r="G255" i="5" s="1"/>
  <c r="F255" i="5" s="1"/>
  <c r="D256" i="5"/>
  <c r="E256" i="5"/>
  <c r="I256" i="5"/>
  <c r="H256" i="5" s="1"/>
  <c r="G256" i="5" s="1"/>
  <c r="F256" i="5" s="1"/>
  <c r="D257" i="5"/>
  <c r="E257" i="5"/>
  <c r="I257" i="5"/>
  <c r="H257" i="5" s="1"/>
  <c r="G257" i="5" s="1"/>
  <c r="F257" i="5" s="1"/>
  <c r="D258" i="5"/>
  <c r="E258" i="5"/>
  <c r="I258" i="5"/>
  <c r="H258" i="5" s="1"/>
  <c r="G258" i="5" s="1"/>
  <c r="F258" i="5" s="1"/>
  <c r="D259" i="5"/>
  <c r="E259" i="5"/>
  <c r="I259" i="5"/>
  <c r="H259" i="5" s="1"/>
  <c r="G259" i="5" s="1"/>
  <c r="F259" i="5" s="1"/>
  <c r="D260" i="5"/>
  <c r="E260" i="5"/>
  <c r="I260" i="5"/>
  <c r="H260" i="5" s="1"/>
  <c r="G260" i="5" s="1"/>
  <c r="F260" i="5" s="1"/>
  <c r="D261" i="5"/>
  <c r="E261" i="5"/>
  <c r="I261" i="5"/>
  <c r="H261" i="5" s="1"/>
  <c r="G261" i="5" s="1"/>
  <c r="F261" i="5" s="1"/>
  <c r="D262" i="5"/>
  <c r="E262" i="5"/>
  <c r="I262" i="5"/>
  <c r="H262" i="5" s="1"/>
  <c r="G262" i="5" s="1"/>
  <c r="F262" i="5" s="1"/>
  <c r="D263" i="5"/>
  <c r="E263" i="5"/>
  <c r="I263" i="5"/>
  <c r="H263" i="5" s="1"/>
  <c r="G263" i="5" s="1"/>
  <c r="F263" i="5" s="1"/>
  <c r="D264" i="5"/>
  <c r="E264" i="5"/>
  <c r="I264" i="5"/>
  <c r="H264" i="5" s="1"/>
  <c r="G264" i="5" s="1"/>
  <c r="F264" i="5" s="1"/>
  <c r="D265" i="5"/>
  <c r="E265" i="5"/>
  <c r="I265" i="5"/>
  <c r="H265" i="5" s="1"/>
  <c r="G265" i="5" s="1"/>
  <c r="F265" i="5" s="1"/>
  <c r="D266" i="5"/>
  <c r="E266" i="5"/>
  <c r="I266" i="5"/>
  <c r="H266" i="5" s="1"/>
  <c r="G266" i="5" s="1"/>
  <c r="F266" i="5" s="1"/>
  <c r="D267" i="5"/>
  <c r="E267" i="5"/>
  <c r="I267" i="5"/>
  <c r="H267" i="5" s="1"/>
  <c r="G267" i="5" s="1"/>
  <c r="F267" i="5" s="1"/>
  <c r="D268" i="5"/>
  <c r="E268" i="5"/>
  <c r="I268" i="5"/>
  <c r="H268" i="5" s="1"/>
  <c r="G268" i="5" s="1"/>
  <c r="F268" i="5" s="1"/>
  <c r="D269" i="5"/>
  <c r="E269" i="5"/>
  <c r="I269" i="5"/>
  <c r="H269" i="5" s="1"/>
  <c r="G269" i="5" s="1"/>
  <c r="F269" i="5" s="1"/>
  <c r="D270" i="5"/>
  <c r="E270" i="5"/>
  <c r="I270" i="5"/>
  <c r="H270" i="5" s="1"/>
  <c r="G270" i="5" s="1"/>
  <c r="F270" i="5" s="1"/>
  <c r="D271" i="5"/>
  <c r="E271" i="5"/>
  <c r="I271" i="5"/>
  <c r="H271" i="5" s="1"/>
  <c r="G271" i="5" s="1"/>
  <c r="F271" i="5" s="1"/>
  <c r="D272" i="5"/>
  <c r="E272" i="5"/>
  <c r="I272" i="5"/>
  <c r="H272" i="5" s="1"/>
  <c r="G272" i="5" s="1"/>
  <c r="F272" i="5" s="1"/>
  <c r="D273" i="5"/>
  <c r="E273" i="5"/>
  <c r="I273" i="5"/>
  <c r="H273" i="5" s="1"/>
  <c r="G273" i="5" s="1"/>
  <c r="F273" i="5" s="1"/>
  <c r="D274" i="5"/>
  <c r="E274" i="5"/>
  <c r="I274" i="5"/>
  <c r="H274" i="5" s="1"/>
  <c r="G274" i="5" s="1"/>
  <c r="F274" i="5" s="1"/>
  <c r="D275" i="5"/>
  <c r="E275" i="5"/>
  <c r="I275" i="5"/>
  <c r="H275" i="5" s="1"/>
  <c r="G275" i="5" s="1"/>
  <c r="F275" i="5" s="1"/>
  <c r="D276" i="5"/>
  <c r="E276" i="5"/>
  <c r="I276" i="5"/>
  <c r="H276" i="5" s="1"/>
  <c r="G276" i="5" s="1"/>
  <c r="F276" i="5" s="1"/>
  <c r="D277" i="5"/>
  <c r="E277" i="5"/>
  <c r="I277" i="5"/>
  <c r="H277" i="5" s="1"/>
  <c r="G277" i="5" s="1"/>
  <c r="F277" i="5" s="1"/>
  <c r="D278" i="5"/>
  <c r="E278" i="5"/>
  <c r="I278" i="5"/>
  <c r="H278" i="5" s="1"/>
  <c r="G278" i="5" s="1"/>
  <c r="F278" i="5" s="1"/>
  <c r="D279" i="5"/>
  <c r="E279" i="5"/>
  <c r="I279" i="5"/>
  <c r="H279" i="5" s="1"/>
  <c r="G279" i="5" s="1"/>
  <c r="F279" i="5" s="1"/>
  <c r="D280" i="5"/>
  <c r="E280" i="5"/>
  <c r="I280" i="5"/>
  <c r="H280" i="5" s="1"/>
  <c r="G280" i="5" s="1"/>
  <c r="F280" i="5" s="1"/>
  <c r="D281" i="5"/>
  <c r="E281" i="5"/>
  <c r="I281" i="5"/>
  <c r="H281" i="5" s="1"/>
  <c r="G281" i="5" s="1"/>
  <c r="F281" i="5" s="1"/>
  <c r="D282" i="5"/>
  <c r="E282" i="5"/>
  <c r="I282" i="5"/>
  <c r="H282" i="5" s="1"/>
  <c r="G282" i="5" s="1"/>
  <c r="F282" i="5" s="1"/>
  <c r="D283" i="5"/>
  <c r="E283" i="5"/>
  <c r="I283" i="5"/>
  <c r="H283" i="5" s="1"/>
  <c r="G283" i="5" s="1"/>
  <c r="F283" i="5" s="1"/>
  <c r="D284" i="5"/>
  <c r="E284" i="5"/>
  <c r="I284" i="5"/>
  <c r="H284" i="5" s="1"/>
  <c r="G284" i="5" s="1"/>
  <c r="F284" i="5" s="1"/>
  <c r="D285" i="5"/>
  <c r="E285" i="5"/>
  <c r="I285" i="5"/>
  <c r="H285" i="5" s="1"/>
  <c r="G285" i="5" s="1"/>
  <c r="F285" i="5" s="1"/>
  <c r="D286" i="5"/>
  <c r="E286" i="5"/>
  <c r="I286" i="5"/>
  <c r="H286" i="5" s="1"/>
  <c r="G286" i="5" s="1"/>
  <c r="F286" i="5" s="1"/>
  <c r="D287" i="5"/>
  <c r="E287" i="5"/>
  <c r="I287" i="5"/>
  <c r="H287" i="5" s="1"/>
  <c r="G287" i="5" s="1"/>
  <c r="F287" i="5" s="1"/>
  <c r="D288" i="5"/>
  <c r="E288" i="5"/>
  <c r="I288" i="5"/>
  <c r="H288" i="5" s="1"/>
  <c r="G288" i="5" s="1"/>
  <c r="F288" i="5" s="1"/>
  <c r="D289" i="5"/>
  <c r="E289" i="5"/>
  <c r="I289" i="5"/>
  <c r="H289" i="5" s="1"/>
  <c r="G289" i="5" s="1"/>
  <c r="F289" i="5" s="1"/>
  <c r="D290" i="5"/>
  <c r="E290" i="5"/>
  <c r="I290" i="5"/>
  <c r="H290" i="5" s="1"/>
  <c r="G290" i="5" s="1"/>
  <c r="F290" i="5" s="1"/>
  <c r="D291" i="5"/>
  <c r="E291" i="5"/>
  <c r="I291" i="5"/>
  <c r="H291" i="5" s="1"/>
  <c r="G291" i="5" s="1"/>
  <c r="F291" i="5" s="1"/>
  <c r="D292" i="5"/>
  <c r="E292" i="5"/>
  <c r="I292" i="5"/>
  <c r="H292" i="5" s="1"/>
  <c r="G292" i="5" s="1"/>
  <c r="F292" i="5" s="1"/>
  <c r="D293" i="5"/>
  <c r="E293" i="5"/>
  <c r="I293" i="5"/>
  <c r="H293" i="5" s="1"/>
  <c r="G293" i="5" s="1"/>
  <c r="F293" i="5" s="1"/>
  <c r="D294" i="5"/>
  <c r="E294" i="5"/>
  <c r="I294" i="5"/>
  <c r="H294" i="5" s="1"/>
  <c r="G294" i="5" s="1"/>
  <c r="F294" i="5" s="1"/>
  <c r="D295" i="5"/>
  <c r="E295" i="5"/>
  <c r="I295" i="5"/>
  <c r="H295" i="5" s="1"/>
  <c r="G295" i="5" s="1"/>
  <c r="F295" i="5" s="1"/>
  <c r="D296" i="5"/>
  <c r="E296" i="5"/>
  <c r="I296" i="5"/>
  <c r="H296" i="5" s="1"/>
  <c r="G296" i="5" s="1"/>
  <c r="D297" i="5"/>
  <c r="E297" i="5"/>
  <c r="I297" i="5"/>
  <c r="H297" i="5" s="1"/>
  <c r="G297" i="5" s="1"/>
  <c r="F297" i="5" s="1"/>
  <c r="D298" i="5"/>
  <c r="E298" i="5"/>
  <c r="I298" i="5"/>
  <c r="H298" i="5" s="1"/>
  <c r="G298" i="5" s="1"/>
  <c r="F298" i="5" s="1"/>
  <c r="D299" i="5"/>
  <c r="E299" i="5"/>
  <c r="I299" i="5"/>
  <c r="H299" i="5" s="1"/>
  <c r="G299" i="5" s="1"/>
  <c r="F299" i="5" s="1"/>
  <c r="D300" i="5"/>
  <c r="E300" i="5"/>
  <c r="I300" i="5"/>
  <c r="H300" i="5" s="1"/>
  <c r="G300" i="5" s="1"/>
  <c r="F300" i="5" s="1"/>
  <c r="D301" i="5"/>
  <c r="E301" i="5"/>
  <c r="I301" i="5"/>
  <c r="H301" i="5" s="1"/>
  <c r="G301" i="5" s="1"/>
  <c r="D302" i="5"/>
  <c r="E302" i="5"/>
  <c r="I302" i="5"/>
  <c r="H302" i="5" s="1"/>
  <c r="G302" i="5" s="1"/>
  <c r="F302" i="5" s="1"/>
  <c r="D303" i="5"/>
  <c r="E303" i="5"/>
  <c r="I303" i="5"/>
  <c r="H303" i="5" s="1"/>
  <c r="G303" i="5" s="1"/>
  <c r="F303" i="5" s="1"/>
  <c r="D304" i="5"/>
  <c r="E304" i="5"/>
  <c r="I304" i="5"/>
  <c r="H304" i="5" s="1"/>
  <c r="G304" i="5" s="1"/>
  <c r="F304" i="5" s="1"/>
  <c r="D305" i="5"/>
  <c r="E305" i="5"/>
  <c r="I305" i="5"/>
  <c r="H305" i="5" s="1"/>
  <c r="G305" i="5" s="1"/>
  <c r="F305" i="5" s="1"/>
  <c r="D306" i="5"/>
  <c r="E306" i="5"/>
  <c r="I306" i="5"/>
  <c r="H306" i="5" s="1"/>
  <c r="G306" i="5" s="1"/>
  <c r="F306" i="5" s="1"/>
  <c r="D307" i="5"/>
  <c r="E307" i="5"/>
  <c r="I307" i="5"/>
  <c r="H307" i="5" s="1"/>
  <c r="G307" i="5" s="1"/>
  <c r="F307" i="5" s="1"/>
  <c r="D308" i="5"/>
  <c r="E308" i="5"/>
  <c r="I308" i="5"/>
  <c r="H308" i="5" s="1"/>
  <c r="G308" i="5" s="1"/>
  <c r="F308" i="5" s="1"/>
  <c r="D309" i="5"/>
  <c r="E309" i="5"/>
  <c r="I309" i="5"/>
  <c r="H309" i="5" s="1"/>
  <c r="G309" i="5" s="1"/>
  <c r="F309" i="5" s="1"/>
  <c r="D310" i="5"/>
  <c r="E310" i="5"/>
  <c r="I310" i="5"/>
  <c r="H310" i="5" s="1"/>
  <c r="G310" i="5" s="1"/>
  <c r="F310" i="5" s="1"/>
  <c r="D311" i="5"/>
  <c r="E311" i="5"/>
  <c r="I311" i="5"/>
  <c r="H311" i="5" s="1"/>
  <c r="G311" i="5" s="1"/>
  <c r="F311" i="5" s="1"/>
  <c r="D312" i="5"/>
  <c r="E312" i="5"/>
  <c r="I312" i="5"/>
  <c r="H312" i="5" s="1"/>
  <c r="G312" i="5" s="1"/>
  <c r="F312" i="5" s="1"/>
  <c r="D313" i="5"/>
  <c r="E313" i="5"/>
  <c r="I313" i="5"/>
  <c r="H313" i="5" s="1"/>
  <c r="G313" i="5" s="1"/>
  <c r="F313" i="5" s="1"/>
  <c r="D314" i="5"/>
  <c r="E314" i="5"/>
  <c r="I314" i="5"/>
  <c r="H314" i="5" s="1"/>
  <c r="G314" i="5" s="1"/>
  <c r="F314" i="5" s="1"/>
  <c r="D315" i="5"/>
  <c r="E315" i="5"/>
  <c r="I315" i="5"/>
  <c r="H315" i="5" s="1"/>
  <c r="G315" i="5" s="1"/>
  <c r="F315" i="5" s="1"/>
  <c r="D316" i="5"/>
  <c r="E316" i="5"/>
  <c r="I316" i="5"/>
  <c r="H316" i="5" s="1"/>
  <c r="G316" i="5" s="1"/>
  <c r="F316" i="5" s="1"/>
  <c r="D317" i="5"/>
  <c r="E317" i="5"/>
  <c r="I317" i="5"/>
  <c r="H317" i="5" s="1"/>
  <c r="G317" i="5" s="1"/>
  <c r="F317" i="5" s="1"/>
  <c r="D318" i="5"/>
  <c r="E318" i="5"/>
  <c r="I318" i="5"/>
  <c r="H318" i="5" s="1"/>
  <c r="G318" i="5" s="1"/>
  <c r="F318" i="5" s="1"/>
  <c r="D319" i="5"/>
  <c r="E319" i="5"/>
  <c r="I319" i="5"/>
  <c r="H319" i="5" s="1"/>
  <c r="G319" i="5" s="1"/>
  <c r="F319" i="5" s="1"/>
  <c r="D320" i="5"/>
  <c r="E320" i="5"/>
  <c r="I320" i="5"/>
  <c r="H320" i="5" s="1"/>
  <c r="G320" i="5" s="1"/>
  <c r="F320" i="5" s="1"/>
  <c r="D321" i="5"/>
  <c r="E321" i="5"/>
  <c r="I321" i="5"/>
  <c r="H321" i="5" s="1"/>
  <c r="G321" i="5" s="1"/>
  <c r="F321" i="5" s="1"/>
  <c r="D322" i="5"/>
  <c r="E322" i="5"/>
  <c r="I322" i="5"/>
  <c r="H322" i="5" s="1"/>
  <c r="G322" i="5" s="1"/>
  <c r="F322" i="5" s="1"/>
  <c r="D323" i="5"/>
  <c r="E323" i="5"/>
  <c r="I323" i="5"/>
  <c r="H323" i="5" s="1"/>
  <c r="G323" i="5" s="1"/>
  <c r="F323" i="5" s="1"/>
  <c r="D324" i="5"/>
  <c r="E324" i="5"/>
  <c r="I324" i="5"/>
  <c r="H324" i="5" s="1"/>
  <c r="G324" i="5" s="1"/>
  <c r="F324" i="5" s="1"/>
  <c r="D325" i="5"/>
  <c r="E325" i="5"/>
  <c r="I325" i="5"/>
  <c r="H325" i="5" s="1"/>
  <c r="G325" i="5" s="1"/>
  <c r="F325" i="5" s="1"/>
  <c r="D326" i="5"/>
  <c r="E326" i="5"/>
  <c r="I326" i="5"/>
  <c r="H326" i="5" s="1"/>
  <c r="G326" i="5" s="1"/>
  <c r="F326" i="5" s="1"/>
  <c r="D327" i="5"/>
  <c r="E327" i="5"/>
  <c r="I327" i="5"/>
  <c r="H327" i="5" s="1"/>
  <c r="G327" i="5" s="1"/>
  <c r="F327" i="5" s="1"/>
  <c r="D328" i="5"/>
  <c r="E328" i="5"/>
  <c r="I328" i="5"/>
  <c r="H328" i="5" s="1"/>
  <c r="G328" i="5" s="1"/>
  <c r="F328" i="5" s="1"/>
  <c r="D329" i="5"/>
  <c r="E329" i="5"/>
  <c r="I329" i="5"/>
  <c r="H329" i="5" s="1"/>
  <c r="G329" i="5" s="1"/>
  <c r="F329" i="5" s="1"/>
  <c r="D330" i="5"/>
  <c r="E330" i="5"/>
  <c r="I330" i="5"/>
  <c r="H330" i="5" s="1"/>
  <c r="G330" i="5" s="1"/>
  <c r="F330" i="5" s="1"/>
  <c r="D331" i="5"/>
  <c r="E331" i="5"/>
  <c r="I331" i="5"/>
  <c r="H331" i="5" s="1"/>
  <c r="G331" i="5" s="1"/>
  <c r="F331" i="5" s="1"/>
  <c r="D332" i="5"/>
  <c r="E332" i="5"/>
  <c r="I332" i="5"/>
  <c r="H332" i="5" s="1"/>
  <c r="G332" i="5" s="1"/>
  <c r="F332" i="5" s="1"/>
  <c r="D333" i="5"/>
  <c r="E333" i="5"/>
  <c r="I333" i="5"/>
  <c r="H333" i="5" s="1"/>
  <c r="G333" i="5" s="1"/>
  <c r="F333" i="5" s="1"/>
  <c r="D334" i="5"/>
  <c r="E334" i="5"/>
  <c r="I334" i="5"/>
  <c r="H334" i="5" s="1"/>
  <c r="G334" i="5" s="1"/>
  <c r="F334" i="5" s="1"/>
  <c r="D335" i="5"/>
  <c r="E335" i="5"/>
  <c r="I335" i="5"/>
  <c r="H335" i="5" s="1"/>
  <c r="G335" i="5" s="1"/>
  <c r="F335" i="5" s="1"/>
  <c r="D336" i="5"/>
  <c r="E336" i="5"/>
  <c r="I336" i="5"/>
  <c r="H336" i="5" s="1"/>
  <c r="G336" i="5" s="1"/>
  <c r="F336" i="5" s="1"/>
  <c r="D337" i="5"/>
  <c r="E337" i="5"/>
  <c r="I337" i="5"/>
  <c r="H337" i="5" s="1"/>
  <c r="G337" i="5" s="1"/>
  <c r="F337" i="5" s="1"/>
  <c r="D338" i="5"/>
  <c r="E338" i="5"/>
  <c r="I338" i="5"/>
  <c r="H338" i="5" s="1"/>
  <c r="G338" i="5" s="1"/>
  <c r="F338" i="5" s="1"/>
  <c r="D339" i="5"/>
  <c r="E339" i="5"/>
  <c r="I339" i="5"/>
  <c r="H339" i="5" s="1"/>
  <c r="G339" i="5" s="1"/>
  <c r="F339" i="5" s="1"/>
  <c r="D340" i="5"/>
  <c r="E340" i="5"/>
  <c r="I340" i="5"/>
  <c r="H340" i="5" s="1"/>
  <c r="G340" i="5" s="1"/>
  <c r="F340" i="5" s="1"/>
  <c r="D341" i="5"/>
  <c r="E341" i="5"/>
  <c r="I341" i="5"/>
  <c r="H341" i="5" s="1"/>
  <c r="G341" i="5" s="1"/>
  <c r="F341" i="5" s="1"/>
  <c r="D342" i="5"/>
  <c r="E342" i="5"/>
  <c r="I342" i="5"/>
  <c r="H342" i="5" s="1"/>
  <c r="G342" i="5" s="1"/>
  <c r="F342" i="5" s="1"/>
  <c r="D343" i="5"/>
  <c r="E343" i="5"/>
  <c r="I343" i="5"/>
  <c r="H343" i="5" s="1"/>
  <c r="G343" i="5" s="1"/>
  <c r="F343" i="5" s="1"/>
  <c r="D344" i="5"/>
  <c r="E344" i="5"/>
  <c r="I344" i="5"/>
  <c r="H344" i="5" s="1"/>
  <c r="G344" i="5" s="1"/>
  <c r="F344" i="5" s="1"/>
  <c r="D345" i="5"/>
  <c r="E345" i="5"/>
  <c r="I345" i="5"/>
  <c r="H345" i="5" s="1"/>
  <c r="G345" i="5" s="1"/>
  <c r="F345" i="5" s="1"/>
  <c r="D346" i="5"/>
  <c r="E346" i="5"/>
  <c r="I346" i="5"/>
  <c r="H346" i="5" s="1"/>
  <c r="G346" i="5" s="1"/>
  <c r="F346" i="5" s="1"/>
  <c r="D347" i="5"/>
  <c r="E347" i="5"/>
  <c r="I347" i="5"/>
  <c r="H347" i="5" s="1"/>
  <c r="G347" i="5" s="1"/>
  <c r="F347" i="5" s="1"/>
  <c r="D348" i="5"/>
  <c r="E348" i="5"/>
  <c r="I348" i="5"/>
  <c r="H348" i="5" s="1"/>
  <c r="G348" i="5" s="1"/>
  <c r="F348" i="5" s="1"/>
  <c r="D349" i="5"/>
  <c r="E349" i="5"/>
  <c r="I349" i="5"/>
  <c r="H349" i="5" s="1"/>
  <c r="G349" i="5" s="1"/>
  <c r="F349" i="5" s="1"/>
  <c r="D350" i="5"/>
  <c r="E350" i="5"/>
  <c r="I350" i="5"/>
  <c r="H350" i="5" s="1"/>
  <c r="G350" i="5" s="1"/>
  <c r="F350" i="5" s="1"/>
  <c r="D351" i="5"/>
  <c r="E351" i="5"/>
  <c r="I351" i="5"/>
  <c r="H351" i="5" s="1"/>
  <c r="G351" i="5" s="1"/>
  <c r="F351" i="5" s="1"/>
  <c r="D352" i="5"/>
  <c r="E352" i="5"/>
  <c r="I352" i="5"/>
  <c r="H352" i="5" s="1"/>
  <c r="G352" i="5" s="1"/>
  <c r="F352" i="5" s="1"/>
  <c r="D353" i="5"/>
  <c r="E353" i="5"/>
  <c r="I353" i="5"/>
  <c r="H353" i="5" s="1"/>
  <c r="G353" i="5" s="1"/>
  <c r="F353" i="5" s="1"/>
  <c r="D354" i="5"/>
  <c r="E354" i="5"/>
  <c r="I354" i="5"/>
  <c r="H354" i="5" s="1"/>
  <c r="G354" i="5" s="1"/>
  <c r="F354" i="5" s="1"/>
  <c r="D355" i="5"/>
  <c r="E355" i="5"/>
  <c r="I355" i="5"/>
  <c r="H355" i="5" s="1"/>
  <c r="G355" i="5" s="1"/>
  <c r="F355" i="5" s="1"/>
  <c r="D356" i="5"/>
  <c r="E356" i="5"/>
  <c r="I356" i="5"/>
  <c r="H356" i="5" s="1"/>
  <c r="G356" i="5" s="1"/>
  <c r="F356" i="5" s="1"/>
  <c r="D357" i="5"/>
  <c r="E357" i="5"/>
  <c r="I357" i="5"/>
  <c r="H357" i="5" s="1"/>
  <c r="G357" i="5" s="1"/>
  <c r="F357" i="5" s="1"/>
  <c r="D358" i="5"/>
  <c r="E358" i="5"/>
  <c r="I358" i="5"/>
  <c r="H358" i="5" s="1"/>
  <c r="G358" i="5" s="1"/>
  <c r="F358" i="5" s="1"/>
  <c r="D359" i="5"/>
  <c r="E359" i="5"/>
  <c r="I359" i="5"/>
  <c r="H359" i="5" s="1"/>
  <c r="G359" i="5" s="1"/>
  <c r="F359" i="5" s="1"/>
  <c r="D360" i="5"/>
  <c r="E360" i="5"/>
  <c r="I360" i="5"/>
  <c r="H360" i="5" s="1"/>
  <c r="G360" i="5" s="1"/>
  <c r="F360" i="5" s="1"/>
  <c r="D361" i="5"/>
  <c r="E361" i="5"/>
  <c r="I361" i="5"/>
  <c r="H361" i="5" s="1"/>
  <c r="G361" i="5" s="1"/>
  <c r="F361" i="5" s="1"/>
  <c r="D362" i="5"/>
  <c r="E362" i="5"/>
  <c r="I362" i="5"/>
  <c r="H362" i="5" s="1"/>
  <c r="G362" i="5" s="1"/>
  <c r="F362" i="5" s="1"/>
  <c r="D363" i="5"/>
  <c r="E363" i="5"/>
  <c r="I363" i="5"/>
  <c r="H363" i="5" s="1"/>
  <c r="G363" i="5" s="1"/>
  <c r="F363" i="5" s="1"/>
  <c r="D364" i="5"/>
  <c r="E364" i="5"/>
  <c r="I364" i="5"/>
  <c r="H364" i="5" s="1"/>
  <c r="G364" i="5" s="1"/>
  <c r="F364" i="5" s="1"/>
  <c r="D365" i="5"/>
  <c r="E365" i="5"/>
  <c r="I365" i="5"/>
  <c r="H365" i="5" s="1"/>
  <c r="G365" i="5" s="1"/>
  <c r="D366" i="5"/>
  <c r="E366" i="5"/>
  <c r="I366" i="5"/>
  <c r="H366" i="5" s="1"/>
  <c r="G366" i="5" s="1"/>
  <c r="F366" i="5" s="1"/>
  <c r="D367" i="5"/>
  <c r="E367" i="5"/>
  <c r="I367" i="5"/>
  <c r="H367" i="5" s="1"/>
  <c r="G367" i="5" s="1"/>
  <c r="F367" i="5" s="1"/>
  <c r="D368" i="5"/>
  <c r="E368" i="5"/>
  <c r="I368" i="5"/>
  <c r="H368" i="5" s="1"/>
  <c r="G368" i="5" s="1"/>
  <c r="F368" i="5" s="1"/>
  <c r="D369" i="5"/>
  <c r="E369" i="5"/>
  <c r="I369" i="5"/>
  <c r="H369" i="5" s="1"/>
  <c r="G369" i="5" s="1"/>
  <c r="F369" i="5" s="1"/>
  <c r="D370" i="5"/>
  <c r="E370" i="5"/>
  <c r="I370" i="5"/>
  <c r="H370" i="5" s="1"/>
  <c r="G370" i="5" s="1"/>
  <c r="F370" i="5" s="1"/>
  <c r="D371" i="5"/>
  <c r="E371" i="5"/>
  <c r="I371" i="5"/>
  <c r="H371" i="5" s="1"/>
  <c r="G371" i="5" s="1"/>
  <c r="F371" i="5" s="1"/>
  <c r="D372" i="5"/>
  <c r="E372" i="5"/>
  <c r="I372" i="5"/>
  <c r="H372" i="5" s="1"/>
  <c r="G372" i="5" s="1"/>
  <c r="F372" i="5" s="1"/>
  <c r="D373" i="5"/>
  <c r="E373" i="5"/>
  <c r="I373" i="5"/>
  <c r="H373" i="5" s="1"/>
  <c r="G373" i="5" s="1"/>
  <c r="F373" i="5" s="1"/>
  <c r="D374" i="5"/>
  <c r="E374" i="5"/>
  <c r="I374" i="5"/>
  <c r="H374" i="5" s="1"/>
  <c r="G374" i="5" s="1"/>
  <c r="F374" i="5" s="1"/>
  <c r="D375" i="5"/>
  <c r="E375" i="5"/>
  <c r="I375" i="5"/>
  <c r="H375" i="5" s="1"/>
  <c r="G375" i="5" s="1"/>
  <c r="F375" i="5" s="1"/>
  <c r="D376" i="5"/>
  <c r="E376" i="5"/>
  <c r="I376" i="5"/>
  <c r="H376" i="5" s="1"/>
  <c r="G376" i="5" s="1"/>
  <c r="F376" i="5" s="1"/>
  <c r="D377" i="5"/>
  <c r="E377" i="5"/>
  <c r="I377" i="5"/>
  <c r="H377" i="5" s="1"/>
  <c r="G377" i="5" s="1"/>
  <c r="D378" i="5"/>
  <c r="E378" i="5"/>
  <c r="I378" i="5"/>
  <c r="H378" i="5" s="1"/>
  <c r="G378" i="5" s="1"/>
  <c r="F378" i="5" s="1"/>
  <c r="D379" i="5"/>
  <c r="E379" i="5"/>
  <c r="I379" i="5"/>
  <c r="H379" i="5" s="1"/>
  <c r="G379" i="5" s="1"/>
  <c r="F379" i="5" s="1"/>
  <c r="D380" i="5"/>
  <c r="E380" i="5"/>
  <c r="I380" i="5"/>
  <c r="H380" i="5" s="1"/>
  <c r="G380" i="5" s="1"/>
  <c r="F380" i="5" s="1"/>
  <c r="D381" i="5"/>
  <c r="E381" i="5"/>
  <c r="I381" i="5"/>
  <c r="H381" i="5" s="1"/>
  <c r="G381" i="5" s="1"/>
  <c r="D382" i="5"/>
  <c r="E382" i="5"/>
  <c r="I382" i="5"/>
  <c r="H382" i="5" s="1"/>
  <c r="G382" i="5" s="1"/>
  <c r="M366" i="1"/>
  <c r="M279" i="1"/>
  <c r="M377" i="1"/>
  <c r="M374" i="1"/>
  <c r="M369" i="1"/>
  <c r="M361" i="1"/>
  <c r="M358" i="1"/>
  <c r="M355" i="1"/>
  <c r="M348" i="1"/>
  <c r="M343" i="1"/>
  <c r="M341" i="1"/>
  <c r="M337" i="1"/>
  <c r="M336" i="1"/>
  <c r="M333" i="1"/>
  <c r="M323" i="1"/>
  <c r="M313" i="1"/>
  <c r="M305" i="1"/>
  <c r="M294" i="1"/>
  <c r="M289" i="1"/>
  <c r="M286" i="1"/>
  <c r="M285" i="1"/>
  <c r="M281" i="1"/>
  <c r="M276" i="1"/>
  <c r="M271" i="1"/>
  <c r="M266" i="1"/>
  <c r="M261" i="1"/>
  <c r="M249" i="1"/>
  <c r="M243" i="1"/>
  <c r="M241" i="1"/>
  <c r="M239" i="1"/>
  <c r="M237" i="1"/>
  <c r="M235" i="1"/>
  <c r="M231" i="1"/>
  <c r="M224" i="1"/>
  <c r="M213" i="1"/>
  <c r="M212" i="1"/>
  <c r="M202" i="1"/>
  <c r="M199" i="1"/>
  <c r="M187" i="1"/>
  <c r="M179" i="1"/>
  <c r="M171" i="1"/>
  <c r="M163" i="1"/>
  <c r="M161" i="1"/>
  <c r="M160" i="1"/>
  <c r="M156" i="1"/>
  <c r="M153" i="1"/>
  <c r="M147" i="1"/>
  <c r="M142" i="1"/>
  <c r="M141" i="1"/>
  <c r="M133" i="1"/>
  <c r="M123" i="1"/>
  <c r="M122" i="1"/>
  <c r="M115" i="1"/>
  <c r="M111" i="1"/>
  <c r="M103" i="1"/>
  <c r="M95" i="1"/>
  <c r="M87" i="1"/>
  <c r="M86" i="1"/>
  <c r="M80" i="1"/>
  <c r="M77" i="1"/>
  <c r="M72" i="1"/>
  <c r="M69" i="1"/>
  <c r="M64" i="1"/>
  <c r="M56" i="1"/>
  <c r="M54" i="1"/>
  <c r="M53" i="1"/>
  <c r="M45" i="1"/>
  <c r="M38" i="1"/>
  <c r="M37" i="1"/>
  <c r="M29" i="1"/>
  <c r="M21" i="1"/>
  <c r="M13" i="1"/>
  <c r="M5" i="1"/>
  <c r="M318" i="1"/>
  <c r="M308" i="1"/>
  <c r="M621" i="1"/>
  <c r="M620" i="1"/>
  <c r="M566" i="1"/>
  <c r="M548" i="1"/>
  <c r="M523" i="1"/>
  <c r="M521" i="1"/>
  <c r="M516" i="1"/>
  <c r="M493" i="1"/>
  <c r="M431" i="1"/>
  <c r="M421" i="1"/>
  <c r="M399" i="1"/>
  <c r="M300" i="1"/>
  <c r="M219" i="1"/>
  <c r="AH20" i="9"/>
  <c r="I40" i="10" l="1"/>
  <c r="M10" i="12"/>
  <c r="M642" i="1"/>
  <c r="M641" i="1"/>
  <c r="M637" i="1"/>
  <c r="M598" i="1"/>
  <c r="M400" i="1"/>
  <c r="M378" i="1"/>
  <c r="M370" i="1"/>
  <c r="M362" i="1"/>
  <c r="M349" i="1"/>
  <c r="M309" i="1"/>
  <c r="M298" i="1"/>
  <c r="M290" i="1"/>
  <c r="M272" i="1"/>
  <c r="M267" i="1"/>
  <c r="M257" i="1"/>
  <c r="M252" i="1"/>
  <c r="M236" i="1"/>
  <c r="M234" i="1"/>
  <c r="M232" i="1"/>
  <c r="M226" i="1"/>
  <c r="M223" i="1"/>
  <c r="M197" i="1"/>
  <c r="M191" i="1"/>
  <c r="M183" i="1"/>
  <c r="M175" i="1"/>
  <c r="M167" i="1"/>
  <c r="M145" i="1"/>
  <c r="M107" i="1"/>
  <c r="M91" i="1"/>
  <c r="M88" i="1"/>
  <c r="M81" i="1"/>
  <c r="M73" i="1"/>
  <c r="M60" i="1"/>
  <c r="M414" i="1"/>
  <c r="M407" i="1"/>
  <c r="M382" i="1"/>
  <c r="M432" i="1"/>
  <c r="M419" i="1"/>
  <c r="M126" i="1"/>
  <c r="M612" i="1"/>
  <c r="M473" i="1"/>
  <c r="H29" i="10"/>
  <c r="HY16" i="4"/>
  <c r="HX16" i="4"/>
  <c r="HW16" i="4"/>
  <c r="HV16" i="4"/>
  <c r="HY12" i="4"/>
  <c r="HX12" i="4"/>
  <c r="HW12" i="4"/>
  <c r="HV12" i="4"/>
  <c r="H30" i="10"/>
  <c r="HY17" i="4"/>
  <c r="HX17" i="4"/>
  <c r="HW17" i="4"/>
  <c r="HV17" i="4"/>
  <c r="HY13" i="4"/>
  <c r="HX13" i="4"/>
  <c r="HW13" i="4"/>
  <c r="HV13" i="4"/>
  <c r="H31" i="10"/>
  <c r="HY18" i="4"/>
  <c r="HX18" i="4"/>
  <c r="HW18" i="4"/>
  <c r="HV18" i="4"/>
  <c r="H27" i="10"/>
  <c r="HY14" i="4"/>
  <c r="HX14" i="4"/>
  <c r="HW14" i="4"/>
  <c r="HV14" i="4"/>
  <c r="H32" i="10"/>
  <c r="HY19" i="4"/>
  <c r="HX19" i="4"/>
  <c r="HW19" i="4"/>
  <c r="HV19" i="4"/>
  <c r="H28" i="10"/>
  <c r="HY15" i="4"/>
  <c r="HX15" i="4"/>
  <c r="HW15" i="4"/>
  <c r="HV15" i="4"/>
  <c r="HY9" i="9"/>
  <c r="HX9" i="9"/>
  <c r="HW9" i="9"/>
  <c r="HV9" i="9"/>
  <c r="HY20" i="9"/>
  <c r="HX20" i="9"/>
  <c r="HW20" i="9"/>
  <c r="HV20" i="9"/>
  <c r="HY10" i="9"/>
  <c r="HV10" i="9"/>
  <c r="HX10" i="9"/>
  <c r="HW10" i="9"/>
  <c r="HY8" i="9"/>
  <c r="HX8" i="9"/>
  <c r="HW8" i="9"/>
  <c r="HV8" i="9"/>
  <c r="HY11" i="9"/>
  <c r="HX11" i="9"/>
  <c r="HW11" i="9"/>
  <c r="HV11" i="9"/>
  <c r="HY9" i="4"/>
  <c r="HX9" i="4"/>
  <c r="HW9" i="4"/>
  <c r="HV9" i="4"/>
  <c r="HX11" i="4"/>
  <c r="HY11" i="4"/>
  <c r="HW11" i="4"/>
  <c r="HV11" i="4"/>
  <c r="HX8" i="4"/>
  <c r="HW8" i="4"/>
  <c r="HY8" i="4"/>
  <c r="HV8" i="4"/>
  <c r="HY10" i="4"/>
  <c r="HX10" i="4"/>
  <c r="HW10" i="4"/>
  <c r="HV10" i="4"/>
  <c r="HY20" i="4"/>
  <c r="HX20" i="4"/>
  <c r="HV20" i="4"/>
  <c r="HW20" i="4"/>
  <c r="H26" i="10"/>
  <c r="H25" i="10"/>
  <c r="H24" i="10"/>
  <c r="H23" i="10"/>
  <c r="H33" i="10"/>
  <c r="EE10" i="9"/>
  <c r="FJ10" i="9"/>
  <c r="FO10" i="9"/>
  <c r="FP10" i="9"/>
  <c r="FQ10" i="9"/>
  <c r="EF10" i="9"/>
  <c r="EL10" i="9"/>
  <c r="EO10" i="9"/>
  <c r="EQ10" i="9"/>
  <c r="ES10" i="9"/>
  <c r="EX10" i="9"/>
  <c r="FA10" i="9"/>
  <c r="FD10" i="9"/>
  <c r="H22" i="10"/>
  <c r="H21" i="10"/>
  <c r="FC10" i="9"/>
  <c r="EI20" i="9"/>
  <c r="EU20" i="9"/>
  <c r="FE10" i="9"/>
  <c r="AS18" i="9"/>
  <c r="FG20" i="9"/>
  <c r="FS20" i="9"/>
  <c r="EG10" i="9"/>
  <c r="FM10" i="9"/>
  <c r="CL18" i="9"/>
  <c r="AS19" i="9"/>
  <c r="ER10" i="9"/>
  <c r="FV10" i="9"/>
  <c r="EJ20" i="9"/>
  <c r="EV20" i="9"/>
  <c r="FH20" i="9"/>
  <c r="FT20" i="9"/>
  <c r="H9" i="10"/>
  <c r="AS20" i="9"/>
  <c r="EK20" i="9"/>
  <c r="EW20" i="9"/>
  <c r="FI20" i="9"/>
  <c r="FU20" i="9"/>
  <c r="EH10" i="9"/>
  <c r="ET10" i="9"/>
  <c r="FF10" i="9"/>
  <c r="FR10" i="9"/>
  <c r="EL20" i="9"/>
  <c r="EX20" i="9"/>
  <c r="FJ20" i="9"/>
  <c r="FV20" i="9"/>
  <c r="EI10" i="9"/>
  <c r="EU10" i="9"/>
  <c r="FG10" i="9"/>
  <c r="FS10" i="9"/>
  <c r="EM20" i="9"/>
  <c r="EY20" i="9"/>
  <c r="FK20" i="9"/>
  <c r="CM7" i="9"/>
  <c r="CL17" i="9"/>
  <c r="EJ10" i="9"/>
  <c r="EV10" i="9"/>
  <c r="FH10" i="9"/>
  <c r="FT10" i="9"/>
  <c r="EN20" i="9"/>
  <c r="EZ20" i="9"/>
  <c r="FL20" i="9"/>
  <c r="H10" i="10"/>
  <c r="EK10" i="9"/>
  <c r="EW10" i="9"/>
  <c r="FI10" i="9"/>
  <c r="FU10" i="9"/>
  <c r="EO20" i="9"/>
  <c r="FA20" i="9"/>
  <c r="FM20" i="9"/>
  <c r="H11" i="10"/>
  <c r="EP20" i="9"/>
  <c r="FB20" i="9"/>
  <c r="FN20" i="9"/>
  <c r="EM10" i="9"/>
  <c r="EY10" i="9"/>
  <c r="FK10" i="9"/>
  <c r="H20" i="10"/>
  <c r="EE20" i="9"/>
  <c r="EQ20" i="9"/>
  <c r="FC20" i="9"/>
  <c r="FO20" i="9"/>
  <c r="EN10" i="9"/>
  <c r="EZ10" i="9"/>
  <c r="FL10" i="9"/>
  <c r="EF20" i="9"/>
  <c r="ER20" i="9"/>
  <c r="FD20" i="9"/>
  <c r="FP20" i="9"/>
  <c r="H8" i="10"/>
  <c r="EG20" i="9"/>
  <c r="ES20" i="9"/>
  <c r="FE20" i="9"/>
  <c r="FQ20" i="9"/>
  <c r="EP10" i="9"/>
  <c r="FB10" i="9"/>
  <c r="FN10" i="9"/>
  <c r="CL20" i="9"/>
  <c r="EH20" i="9"/>
  <c r="ET20" i="9"/>
  <c r="FF20" i="9"/>
  <c r="FR20" i="9"/>
  <c r="AI19" i="9"/>
  <c r="AI10" i="9"/>
  <c r="EI8" i="9"/>
  <c r="ET8" i="9"/>
  <c r="FE8" i="9"/>
  <c r="FO8" i="9"/>
  <c r="FB13" i="9"/>
  <c r="EM8" i="9"/>
  <c r="EX8" i="9"/>
  <c r="FI8" i="9"/>
  <c r="FS8" i="9"/>
  <c r="FR13" i="9"/>
  <c r="EQ15" i="9"/>
  <c r="EO8" i="9"/>
  <c r="EY8" i="9"/>
  <c r="FJ8" i="9"/>
  <c r="FU8" i="9"/>
  <c r="FG15" i="9"/>
  <c r="EH8" i="9"/>
  <c r="ES8" i="9"/>
  <c r="FC8" i="9"/>
  <c r="FN8" i="9"/>
  <c r="EL13" i="9"/>
  <c r="EP13" i="9"/>
  <c r="FF13" i="9"/>
  <c r="FV13" i="9"/>
  <c r="EE15" i="9"/>
  <c r="EU15" i="9"/>
  <c r="FK15" i="9"/>
  <c r="EE8" i="9"/>
  <c r="EK8" i="9"/>
  <c r="EP8" i="9"/>
  <c r="EU8" i="9"/>
  <c r="FA8" i="9"/>
  <c r="FF8" i="9"/>
  <c r="FK8" i="9"/>
  <c r="FQ8" i="9"/>
  <c r="FV8" i="9"/>
  <c r="ET13" i="9"/>
  <c r="FJ13" i="9"/>
  <c r="EI15" i="9"/>
  <c r="EY15" i="9"/>
  <c r="FO15" i="9"/>
  <c r="FY7" i="9"/>
  <c r="FZ7" i="9" s="1"/>
  <c r="GA7" i="9" s="1"/>
  <c r="GB7" i="9" s="1"/>
  <c r="GC7" i="9" s="1"/>
  <c r="GD7" i="9" s="1"/>
  <c r="GE7" i="9" s="1"/>
  <c r="GF7" i="9" s="1"/>
  <c r="GG7" i="9" s="1"/>
  <c r="GH7" i="9" s="1"/>
  <c r="GI7" i="9" s="1"/>
  <c r="GJ7" i="9" s="1"/>
  <c r="GK7" i="9" s="1"/>
  <c r="GL7" i="9" s="1"/>
  <c r="GM7" i="9" s="1"/>
  <c r="GN7" i="9" s="1"/>
  <c r="GO7" i="9" s="1"/>
  <c r="GP7" i="9" s="1"/>
  <c r="GQ7" i="9" s="1"/>
  <c r="GR7" i="9" s="1"/>
  <c r="GS7" i="9" s="1"/>
  <c r="GT7" i="9" s="1"/>
  <c r="GU7" i="9" s="1"/>
  <c r="GV7" i="9" s="1"/>
  <c r="GW7" i="9" s="1"/>
  <c r="GX7" i="9" s="1"/>
  <c r="GY7" i="9" s="1"/>
  <c r="GZ7" i="9" s="1"/>
  <c r="HA7" i="9" s="1"/>
  <c r="HB7" i="9" s="1"/>
  <c r="HC7" i="9" s="1"/>
  <c r="HD7" i="9" s="1"/>
  <c r="HE7" i="9" s="1"/>
  <c r="HF7" i="9" s="1"/>
  <c r="HG7" i="9" s="1"/>
  <c r="HH7" i="9" s="1"/>
  <c r="HI7" i="9" s="1"/>
  <c r="HJ7" i="9" s="1"/>
  <c r="HK7" i="9" s="1"/>
  <c r="HL7" i="9" s="1"/>
  <c r="HM7" i="9" s="1"/>
  <c r="HN7" i="9" s="1"/>
  <c r="HO7" i="9" s="1"/>
  <c r="HO13" i="9" s="1"/>
  <c r="AI14" i="9"/>
  <c r="EG8" i="9"/>
  <c r="EL8" i="9"/>
  <c r="EQ8" i="9"/>
  <c r="EW8" i="9"/>
  <c r="FB8" i="9"/>
  <c r="FG8" i="9"/>
  <c r="FM8" i="9"/>
  <c r="FR8" i="9"/>
  <c r="EH13" i="9"/>
  <c r="EX13" i="9"/>
  <c r="FN13" i="9"/>
  <c r="EM15" i="9"/>
  <c r="FC15" i="9"/>
  <c r="EE13" i="9"/>
  <c r="EI13" i="9"/>
  <c r="EM13" i="9"/>
  <c r="EQ13" i="9"/>
  <c r="EU13" i="9"/>
  <c r="EY13" i="9"/>
  <c r="FC13" i="9"/>
  <c r="FG13" i="9"/>
  <c r="FK13" i="9"/>
  <c r="FO13" i="9"/>
  <c r="FS13" i="9"/>
  <c r="GA13" i="9"/>
  <c r="GE13" i="9"/>
  <c r="GI13" i="9"/>
  <c r="GM13" i="9"/>
  <c r="GQ13" i="9"/>
  <c r="GU13" i="9"/>
  <c r="GY13" i="9"/>
  <c r="HC13" i="9"/>
  <c r="HG13" i="9"/>
  <c r="HK13" i="9"/>
  <c r="EF15" i="9"/>
  <c r="EJ15" i="9"/>
  <c r="EN15" i="9"/>
  <c r="ER15" i="9"/>
  <c r="EV15" i="9"/>
  <c r="EZ15" i="9"/>
  <c r="FD15" i="9"/>
  <c r="FH15" i="9"/>
  <c r="FL15" i="9"/>
  <c r="FP15" i="9"/>
  <c r="FT15" i="9"/>
  <c r="EF8" i="9"/>
  <c r="EJ8" i="9"/>
  <c r="EN8" i="9"/>
  <c r="ER8" i="9"/>
  <c r="EV8" i="9"/>
  <c r="EZ8" i="9"/>
  <c r="FD8" i="9"/>
  <c r="FH8" i="9"/>
  <c r="FL8" i="9"/>
  <c r="FP8" i="9"/>
  <c r="FT8" i="9"/>
  <c r="EF13" i="9"/>
  <c r="EJ13" i="9"/>
  <c r="EN13" i="9"/>
  <c r="ER13" i="9"/>
  <c r="EV13" i="9"/>
  <c r="EZ13" i="9"/>
  <c r="FD13" i="9"/>
  <c r="FH13" i="9"/>
  <c r="FL13" i="9"/>
  <c r="FP13" i="9"/>
  <c r="FT13" i="9"/>
  <c r="GB13" i="9"/>
  <c r="GF13" i="9"/>
  <c r="GJ13" i="9"/>
  <c r="GN13" i="9"/>
  <c r="GR13" i="9"/>
  <c r="GV13" i="9"/>
  <c r="GZ13" i="9"/>
  <c r="HD13" i="9"/>
  <c r="HH13" i="9"/>
  <c r="HL13" i="9"/>
  <c r="EG15" i="9"/>
  <c r="EK15" i="9"/>
  <c r="EO15" i="9"/>
  <c r="ES15" i="9"/>
  <c r="EW15" i="9"/>
  <c r="FA15" i="9"/>
  <c r="FE15" i="9"/>
  <c r="FI15" i="9"/>
  <c r="FM15" i="9"/>
  <c r="FQ15" i="9"/>
  <c r="FU15" i="9"/>
  <c r="FZ13" i="9"/>
  <c r="GD13" i="9"/>
  <c r="GH13" i="9"/>
  <c r="GL13" i="9"/>
  <c r="GP13" i="9"/>
  <c r="GT13" i="9"/>
  <c r="GX13" i="9"/>
  <c r="HB13" i="9"/>
  <c r="HF13" i="9"/>
  <c r="HJ13" i="9"/>
  <c r="HN13" i="9"/>
  <c r="EG13" i="9"/>
  <c r="EK13" i="9"/>
  <c r="EO13" i="9"/>
  <c r="ES13" i="9"/>
  <c r="EW13" i="9"/>
  <c r="FA13" i="9"/>
  <c r="FE13" i="9"/>
  <c r="FI13" i="9"/>
  <c r="FM13" i="9"/>
  <c r="FQ13" i="9"/>
  <c r="FU13" i="9"/>
  <c r="FY13" i="9"/>
  <c r="GC13" i="9"/>
  <c r="GG13" i="9"/>
  <c r="GK13" i="9"/>
  <c r="GO13" i="9"/>
  <c r="GS13" i="9"/>
  <c r="GW13" i="9"/>
  <c r="HA13" i="9"/>
  <c r="HE13" i="9"/>
  <c r="HI13" i="9"/>
  <c r="HM13" i="9"/>
  <c r="EH15" i="9"/>
  <c r="EL15" i="9"/>
  <c r="EP15" i="9"/>
  <c r="ET15" i="9"/>
  <c r="EX15" i="9"/>
  <c r="FB15" i="9"/>
  <c r="FF15" i="9"/>
  <c r="FJ15" i="9"/>
  <c r="FN15" i="9"/>
  <c r="FR15" i="9"/>
  <c r="FS15" i="9"/>
  <c r="AI8" i="4"/>
  <c r="Q11" i="9"/>
  <c r="Q8" i="4"/>
  <c r="Q9" i="9"/>
  <c r="M205" i="1"/>
  <c r="M192" i="1"/>
  <c r="M184" i="1"/>
  <c r="M138" i="1"/>
  <c r="M130" i="1"/>
  <c r="M328" i="1"/>
  <c r="M225" i="1"/>
  <c r="M222" i="1"/>
  <c r="M233" i="1"/>
  <c r="M176" i="1"/>
  <c r="M168" i="1"/>
  <c r="M150" i="1"/>
  <c r="M119" i="1"/>
  <c r="M363" i="1"/>
  <c r="M258" i="1"/>
  <c r="M253" i="1"/>
  <c r="M108" i="1"/>
  <c r="M441" i="1"/>
  <c r="M351" i="1"/>
  <c r="M339" i="1"/>
  <c r="M334" i="1"/>
  <c r="M329" i="1"/>
  <c r="M306" i="1"/>
  <c r="M287" i="1"/>
  <c r="M264" i="1"/>
  <c r="M259" i="1"/>
  <c r="M218" i="1"/>
  <c r="M215" i="1"/>
  <c r="M204" i="1"/>
  <c r="M200" i="1"/>
  <c r="M193" i="1"/>
  <c r="M185" i="1"/>
  <c r="M177" i="1"/>
  <c r="M169" i="1"/>
  <c r="M157" i="1"/>
  <c r="M154" i="1"/>
  <c r="M148" i="1"/>
  <c r="M120" i="1"/>
  <c r="M109" i="1"/>
  <c r="M101" i="1"/>
  <c r="M78" i="1"/>
  <c r="M70" i="1"/>
  <c r="M51" i="1"/>
  <c r="M43" i="1"/>
  <c r="M35" i="1"/>
  <c r="M27" i="1"/>
  <c r="M19" i="1"/>
  <c r="M11" i="1"/>
  <c r="M3" i="1"/>
  <c r="M211" i="1"/>
  <c r="M162" i="1"/>
  <c r="M159" i="1"/>
  <c r="M92" i="1"/>
  <c r="M561" i="1"/>
  <c r="M555" i="1"/>
  <c r="M541" i="1"/>
  <c r="M387" i="1"/>
  <c r="M367" i="1"/>
  <c r="M359" i="1"/>
  <c r="M344" i="1"/>
  <c r="M319" i="1"/>
  <c r="M295" i="1"/>
  <c r="M282" i="1"/>
  <c r="M277" i="1"/>
  <c r="M262" i="1"/>
  <c r="M188" i="1"/>
  <c r="M248" i="1"/>
  <c r="M198" i="1"/>
  <c r="M118" i="1"/>
  <c r="M105" i="1"/>
  <c r="M79" i="1"/>
  <c r="M71" i="1"/>
  <c r="M66" i="1"/>
  <c r="M52" i="1"/>
  <c r="M44" i="1"/>
  <c r="M41" i="1"/>
  <c r="M39" i="1"/>
  <c r="M31" i="1"/>
  <c r="M28" i="1"/>
  <c r="M12" i="1"/>
  <c r="M644" i="1"/>
  <c r="M626" i="1"/>
  <c r="M623" i="1"/>
  <c r="M608" i="1"/>
  <c r="M607" i="1"/>
  <c r="M602" i="1"/>
  <c r="M580" i="1"/>
  <c r="M577" i="1"/>
  <c r="M554" i="1"/>
  <c r="M532" i="1"/>
  <c r="M530" i="1"/>
  <c r="M525" i="1"/>
  <c r="M505" i="1"/>
  <c r="M496" i="1"/>
  <c r="M457" i="1"/>
  <c r="M448" i="1"/>
  <c r="M375" i="1"/>
  <c r="M372" i="1"/>
  <c r="M364" i="1"/>
  <c r="M356" i="1"/>
  <c r="M353" i="1"/>
  <c r="M346" i="1"/>
  <c r="M331" i="1"/>
  <c r="M326" i="1"/>
  <c r="M324" i="1"/>
  <c r="M321" i="1"/>
  <c r="M316" i="1"/>
  <c r="M314" i="1"/>
  <c r="M311" i="1"/>
  <c r="M303" i="1"/>
  <c r="M297" i="1"/>
  <c r="M292" i="1"/>
  <c r="M284" i="1"/>
  <c r="M274" i="1"/>
  <c r="M269" i="1"/>
  <c r="M256" i="1"/>
  <c r="M254" i="1"/>
  <c r="M251" i="1"/>
  <c r="M247" i="1"/>
  <c r="M245" i="1"/>
  <c r="M229" i="1"/>
  <c r="M227" i="1"/>
  <c r="M221" i="1"/>
  <c r="M210" i="1"/>
  <c r="M207" i="1"/>
  <c r="M196" i="1"/>
  <c r="M190" i="1"/>
  <c r="M182" i="1"/>
  <c r="M180" i="1"/>
  <c r="M174" i="1"/>
  <c r="M172" i="1"/>
  <c r="M166" i="1"/>
  <c r="M164" i="1"/>
  <c r="M151" i="1"/>
  <c r="M144" i="1"/>
  <c r="M139" i="1"/>
  <c r="M136" i="1"/>
  <c r="M134" i="1"/>
  <c r="M131" i="1"/>
  <c r="M128" i="1"/>
  <c r="M125" i="1"/>
  <c r="M117" i="1"/>
  <c r="M114" i="1"/>
  <c r="M112" i="1"/>
  <c r="M106" i="1"/>
  <c r="M104" i="1"/>
  <c r="M98" i="1"/>
  <c r="M96" i="1"/>
  <c r="M93" i="1"/>
  <c r="M90" i="1"/>
  <c r="M84" i="1"/>
  <c r="M83" i="1"/>
  <c r="M75" i="1"/>
  <c r="M67" i="1"/>
  <c r="M65" i="1"/>
  <c r="M62" i="1"/>
  <c r="M59" i="1"/>
  <c r="M57" i="1"/>
  <c r="M48" i="1"/>
  <c r="M46" i="1"/>
  <c r="M40" i="1"/>
  <c r="M32" i="1"/>
  <c r="M30" i="1"/>
  <c r="M24" i="1"/>
  <c r="M22" i="1"/>
  <c r="M16" i="1"/>
  <c r="M14" i="1"/>
  <c r="M8" i="1"/>
  <c r="M6" i="1"/>
  <c r="M643" i="1"/>
  <c r="M625" i="1"/>
  <c r="M622" i="1"/>
  <c r="M601" i="1"/>
  <c r="M599" i="1"/>
  <c r="M553" i="1"/>
  <c r="M552" i="1"/>
  <c r="M550" i="1"/>
  <c r="M546" i="1"/>
  <c r="M486" i="1"/>
  <c r="M468" i="1"/>
  <c r="AL9" i="9"/>
  <c r="AL10" i="9"/>
  <c r="AL11" i="9"/>
  <c r="AL12" i="9"/>
  <c r="AK19" i="4"/>
  <c r="Q19" i="4"/>
  <c r="AK20" i="4"/>
  <c r="Q20" i="4"/>
  <c r="AK18" i="4"/>
  <c r="Q18" i="4"/>
  <c r="AF17" i="4"/>
  <c r="Q17" i="4"/>
  <c r="AF16" i="4"/>
  <c r="AP16" i="4" s="1"/>
  <c r="K16" i="4" s="1"/>
  <c r="J29" i="10" s="1"/>
  <c r="Q16" i="4"/>
  <c r="AK15" i="4"/>
  <c r="AQ15" i="4" s="1"/>
  <c r="Q15" i="4"/>
  <c r="AK14" i="4"/>
  <c r="Q14" i="4"/>
  <c r="AF13" i="4"/>
  <c r="Q13" i="4"/>
  <c r="AK12" i="4"/>
  <c r="Q12" i="4"/>
  <c r="AK11" i="4"/>
  <c r="Q11" i="4"/>
  <c r="AK10" i="4"/>
  <c r="Q10" i="4"/>
  <c r="AK8" i="4"/>
  <c r="AM17" i="9"/>
  <c r="AQ17" i="9" s="1"/>
  <c r="Q17" i="9"/>
  <c r="AF9" i="4"/>
  <c r="Q9" i="4"/>
  <c r="AF11" i="9"/>
  <c r="AK20" i="9"/>
  <c r="AQ20" i="9" s="1"/>
  <c r="Q20" i="9"/>
  <c r="AK19" i="9"/>
  <c r="AQ19" i="9" s="1"/>
  <c r="Q19" i="9"/>
  <c r="AF9" i="9"/>
  <c r="AK10" i="9"/>
  <c r="Q10" i="9"/>
  <c r="AF13" i="9"/>
  <c r="Q13" i="9"/>
  <c r="AK14" i="9"/>
  <c r="AQ14" i="9" s="1"/>
  <c r="Q14" i="9"/>
  <c r="AK18" i="9"/>
  <c r="AQ18" i="9" s="1"/>
  <c r="Q18" i="9"/>
  <c r="AF16" i="9"/>
  <c r="Q16" i="9"/>
  <c r="M859" i="1"/>
  <c r="N78" i="1"/>
  <c r="N70" i="1"/>
  <c r="N861" i="1"/>
  <c r="N860" i="1"/>
  <c r="N546" i="1"/>
  <c r="N486" i="1"/>
  <c r="N457" i="1"/>
  <c r="N453" i="1"/>
  <c r="N274" i="1"/>
  <c r="N247" i="1"/>
  <c r="N621" i="1"/>
  <c r="N552" i="1"/>
  <c r="N448" i="1"/>
  <c r="N389" i="1"/>
  <c r="N279" i="1"/>
  <c r="N229" i="1"/>
  <c r="N196" i="1"/>
  <c r="N849" i="1"/>
  <c r="N615" i="1"/>
  <c r="M605" i="1"/>
  <c r="N598" i="1"/>
  <c r="N428" i="1"/>
  <c r="M413" i="1"/>
  <c r="M406" i="1"/>
  <c r="N239" i="1"/>
  <c r="N276" i="1"/>
  <c r="N271" i="1"/>
  <c r="N235" i="1"/>
  <c r="N338" i="1"/>
  <c r="N286" i="1"/>
  <c r="N258" i="1"/>
  <c r="N192" i="1"/>
  <c r="N184" i="1"/>
  <c r="N176" i="1"/>
  <c r="N100" i="1"/>
  <c r="N26" i="1"/>
  <c r="N18" i="1"/>
  <c r="N10" i="1"/>
  <c r="N2" i="1"/>
  <c r="N846" i="1"/>
  <c r="N635" i="1"/>
  <c r="N596" i="1"/>
  <c r="N572" i="1"/>
  <c r="N433" i="1"/>
  <c r="N268" i="1"/>
  <c r="N263" i="1"/>
  <c r="N89" i="1"/>
  <c r="N630" i="1"/>
  <c r="N592" i="1"/>
  <c r="N563" i="1"/>
  <c r="N471" i="1"/>
  <c r="N464" i="1"/>
  <c r="N439" i="1"/>
  <c r="N413" i="1"/>
  <c r="N406" i="1"/>
  <c r="N340" i="1"/>
  <c r="N330" i="1"/>
  <c r="N250" i="1"/>
  <c r="N66" i="1"/>
  <c r="N855" i="1"/>
  <c r="N610" i="1"/>
  <c r="N558" i="1"/>
  <c r="N551" i="1"/>
  <c r="N417" i="1"/>
  <c r="N260" i="1"/>
  <c r="N255" i="1"/>
  <c r="N94" i="1"/>
  <c r="N616" i="1"/>
  <c r="N543" i="1"/>
  <c r="N322" i="1"/>
  <c r="N293" i="1"/>
  <c r="N242" i="1"/>
  <c r="N533" i="1"/>
  <c r="N432" i="1"/>
  <c r="N400" i="1"/>
  <c r="N382" i="1"/>
  <c r="N362" i="1"/>
  <c r="N285" i="1"/>
  <c r="N252" i="1"/>
  <c r="N232" i="1"/>
  <c r="N623" i="1"/>
  <c r="M627" i="1"/>
  <c r="M603" i="1"/>
  <c r="M365" i="1"/>
  <c r="M325" i="1"/>
  <c r="M299" i="1"/>
  <c r="M260" i="1"/>
  <c r="M240" i="1"/>
  <c r="M238" i="1"/>
  <c r="M228" i="1"/>
  <c r="M214" i="1"/>
  <c r="M208" i="1"/>
  <c r="M201" i="1"/>
  <c r="M194" i="1"/>
  <c r="M189" i="1"/>
  <c r="M186" i="1"/>
  <c r="M181" i="1"/>
  <c r="M173" i="1"/>
  <c r="M165" i="1"/>
  <c r="M152" i="1"/>
  <c r="M149" i="1"/>
  <c r="M140" i="1"/>
  <c r="M137" i="1"/>
  <c r="M135" i="1"/>
  <c r="M132" i="1"/>
  <c r="M129" i="1"/>
  <c r="M127" i="1"/>
  <c r="M124" i="1"/>
  <c r="M121" i="1"/>
  <c r="M116" i="1"/>
  <c r="M113" i="1"/>
  <c r="M110" i="1"/>
  <c r="M102" i="1"/>
  <c r="K12" i="2" s="1"/>
  <c r="M99" i="1"/>
  <c r="M97" i="1"/>
  <c r="M94" i="1"/>
  <c r="M89" i="1"/>
  <c r="M85" i="1"/>
  <c r="M82" i="1"/>
  <c r="M76" i="1"/>
  <c r="M74" i="1"/>
  <c r="M68" i="1"/>
  <c r="M63" i="1"/>
  <c r="M58" i="1"/>
  <c r="M55" i="1"/>
  <c r="M49" i="1"/>
  <c r="M47" i="1"/>
  <c r="M36" i="1"/>
  <c r="M33" i="1"/>
  <c r="M25" i="1"/>
  <c r="M23" i="1"/>
  <c r="M20" i="1"/>
  <c r="M17" i="1"/>
  <c r="M15" i="1"/>
  <c r="M9" i="1"/>
  <c r="M7" i="1"/>
  <c r="M4" i="1"/>
  <c r="M628" i="1"/>
  <c r="M582" i="1"/>
  <c r="M578" i="1"/>
  <c r="M533" i="1"/>
  <c r="M507" i="1"/>
  <c r="M307" i="1"/>
  <c r="M265" i="1"/>
  <c r="M636" i="1"/>
  <c r="M590" i="1"/>
  <c r="M565" i="1"/>
  <c r="M416" i="1"/>
  <c r="M379" i="1"/>
  <c r="M350" i="1"/>
  <c r="M852" i="1"/>
  <c r="M856" i="1"/>
  <c r="AF8" i="9"/>
  <c r="Q8" i="9"/>
  <c r="M640" i="1"/>
  <c r="M619" i="1"/>
  <c r="M597" i="1"/>
  <c r="M594" i="1"/>
  <c r="M587" i="1"/>
  <c r="M586" i="1"/>
  <c r="M573" i="1"/>
  <c r="M512" i="1"/>
  <c r="M500" i="1"/>
  <c r="M634" i="1"/>
  <c r="M848" i="1"/>
  <c r="M639" i="1"/>
  <c r="M635" i="1"/>
  <c r="M633" i="1"/>
  <c r="M630" i="1"/>
  <c r="M629" i="1"/>
  <c r="M618" i="1"/>
  <c r="M617" i="1"/>
  <c r="M616" i="1"/>
  <c r="M614" i="1"/>
  <c r="M610" i="1"/>
  <c r="M609" i="1"/>
  <c r="M596" i="1"/>
  <c r="M858" i="1"/>
  <c r="M849" i="1"/>
  <c r="M593" i="1"/>
  <c r="M592" i="1"/>
  <c r="M589" i="1"/>
  <c r="M585" i="1"/>
  <c r="M583" i="1"/>
  <c r="M572" i="1"/>
  <c r="M571" i="1"/>
  <c r="M570" i="1"/>
  <c r="M569" i="1"/>
  <c r="M564" i="1"/>
  <c r="M563" i="1"/>
  <c r="M562" i="1"/>
  <c r="M558" i="1"/>
  <c r="M557" i="1"/>
  <c r="M543" i="1"/>
  <c r="M539" i="1"/>
  <c r="M537" i="1"/>
  <c r="M509" i="1"/>
  <c r="M498" i="1"/>
  <c r="M491" i="1"/>
  <c r="M489" i="1"/>
  <c r="M484" i="1"/>
  <c r="M480" i="1"/>
  <c r="M477" i="1"/>
  <c r="M464" i="1"/>
  <c r="M461" i="1"/>
  <c r="M452" i="1"/>
  <c r="M445" i="1"/>
  <c r="M439" i="1"/>
  <c r="M433" i="1"/>
  <c r="M430" i="1"/>
  <c r="M398" i="1"/>
  <c r="M376" i="1"/>
  <c r="M373" i="1"/>
  <c r="M368" i="1"/>
  <c r="M360" i="1"/>
  <c r="M357" i="1"/>
  <c r="M354" i="1"/>
  <c r="M352" i="1"/>
  <c r="M347" i="1"/>
  <c r="M345" i="1"/>
  <c r="M342" i="1"/>
  <c r="M340" i="1"/>
  <c r="M335" i="1"/>
  <c r="M332" i="1"/>
  <c r="M330" i="1"/>
  <c r="M327" i="1"/>
  <c r="M322" i="1"/>
  <c r="M320" i="1"/>
  <c r="M317" i="1"/>
  <c r="M315" i="1"/>
  <c r="M312" i="1"/>
  <c r="M310" i="1"/>
  <c r="M304" i="1"/>
  <c r="M301" i="1"/>
  <c r="M296" i="1"/>
  <c r="M293" i="1"/>
  <c r="M291" i="1"/>
  <c r="M288" i="1"/>
  <c r="M283" i="1"/>
  <c r="M280" i="1"/>
  <c r="M278" i="1"/>
  <c r="M275" i="1"/>
  <c r="M273" i="1"/>
  <c r="M270" i="1"/>
  <c r="M268" i="1"/>
  <c r="M263" i="1"/>
  <c r="M255" i="1"/>
  <c r="M250" i="1"/>
  <c r="M246" i="1"/>
  <c r="M244" i="1"/>
  <c r="M242" i="1"/>
  <c r="M230" i="1"/>
  <c r="M220" i="1"/>
  <c r="M217" i="1"/>
  <c r="M209" i="1"/>
  <c r="M206" i="1"/>
  <c r="M203" i="1"/>
  <c r="M195" i="1"/>
  <c r="M178" i="1"/>
  <c r="M170" i="1"/>
  <c r="M158" i="1"/>
  <c r="M155" i="1"/>
  <c r="M146" i="1"/>
  <c r="M143" i="1"/>
  <c r="M861" i="1"/>
  <c r="M851" i="1"/>
  <c r="M842" i="1"/>
  <c r="M860" i="1"/>
  <c r="M854" i="1"/>
  <c r="M840" i="1"/>
  <c r="M845" i="1"/>
  <c r="M844" i="1"/>
  <c r="M843" i="1"/>
  <c r="M469" i="1"/>
  <c r="M581" i="1"/>
  <c r="M529" i="1"/>
  <c r="M850" i="1"/>
  <c r="M841" i="1"/>
  <c r="M847" i="1"/>
  <c r="M846" i="1"/>
  <c r="M497" i="1"/>
  <c r="M645" i="1"/>
  <c r="M545" i="1"/>
  <c r="M487" i="1"/>
  <c r="M449" i="1"/>
  <c r="M417" i="1"/>
  <c r="M588" i="1"/>
  <c r="M567" i="1"/>
  <c r="M402" i="1"/>
  <c r="M453" i="1"/>
  <c r="AF15" i="9"/>
  <c r="AL8" i="9"/>
  <c r="AI11" i="9"/>
  <c r="AM16" i="4"/>
  <c r="AG10" i="4"/>
  <c r="AL18" i="4"/>
  <c r="AK17" i="4"/>
  <c r="F227" i="5"/>
  <c r="F235" i="5"/>
  <c r="F139" i="5"/>
  <c r="F135" i="5"/>
  <c r="AU8" i="12"/>
  <c r="EF9" i="9"/>
  <c r="EJ9" i="9"/>
  <c r="EN9" i="9"/>
  <c r="ER9" i="9"/>
  <c r="EV9" i="9"/>
  <c r="EZ9" i="9"/>
  <c r="FD9" i="9"/>
  <c r="FH9" i="9"/>
  <c r="FL9" i="9"/>
  <c r="FP9" i="9"/>
  <c r="FT9" i="9"/>
  <c r="ED12" i="9"/>
  <c r="EH12" i="9"/>
  <c r="EL12" i="9"/>
  <c r="EP12" i="9"/>
  <c r="ET12" i="9"/>
  <c r="EX12" i="9"/>
  <c r="FB12" i="9"/>
  <c r="FF12" i="9"/>
  <c r="FJ12" i="9"/>
  <c r="FN12" i="9"/>
  <c r="FR12" i="9"/>
  <c r="FV12" i="9"/>
  <c r="ED14" i="9"/>
  <c r="EH14" i="9"/>
  <c r="EL14" i="9"/>
  <c r="EP14" i="9"/>
  <c r="ET14" i="9"/>
  <c r="EX14" i="9"/>
  <c r="FB14" i="9"/>
  <c r="FF14" i="9"/>
  <c r="FJ14" i="9"/>
  <c r="FN14" i="9"/>
  <c r="FR14" i="9"/>
  <c r="FV14" i="9"/>
  <c r="AR8" i="12"/>
  <c r="CK8" i="12"/>
  <c r="AS8" i="12"/>
  <c r="CL8" i="12"/>
  <c r="CM8" i="12"/>
  <c r="AT8" i="12"/>
  <c r="EG9" i="9"/>
  <c r="EK9" i="9"/>
  <c r="EO9" i="9"/>
  <c r="ES9" i="9"/>
  <c r="EW9" i="9"/>
  <c r="FA9" i="9"/>
  <c r="FE9" i="9"/>
  <c r="FI9" i="9"/>
  <c r="FM9" i="9"/>
  <c r="FQ9" i="9"/>
  <c r="FU9" i="9"/>
  <c r="EE12" i="9"/>
  <c r="EI12" i="9"/>
  <c r="EM12" i="9"/>
  <c r="EQ12" i="9"/>
  <c r="EU12" i="9"/>
  <c r="EY12" i="9"/>
  <c r="FC12" i="9"/>
  <c r="FG12" i="9"/>
  <c r="FK12" i="9"/>
  <c r="FO12" i="9"/>
  <c r="FS12" i="9"/>
  <c r="EE14" i="9"/>
  <c r="EI14" i="9"/>
  <c r="EM14" i="9"/>
  <c r="EQ14" i="9"/>
  <c r="EU14" i="9"/>
  <c r="EY14" i="9"/>
  <c r="FC14" i="9"/>
  <c r="FG14" i="9"/>
  <c r="FK14" i="9"/>
  <c r="FO14" i="9"/>
  <c r="FS14" i="9"/>
  <c r="ED9" i="9"/>
  <c r="EH9" i="9"/>
  <c r="EL9" i="9"/>
  <c r="EP9" i="9"/>
  <c r="ET9" i="9"/>
  <c r="EX9" i="9"/>
  <c r="FB9" i="9"/>
  <c r="FF9" i="9"/>
  <c r="FJ9" i="9"/>
  <c r="FN9" i="9"/>
  <c r="FR9" i="9"/>
  <c r="FV9" i="9"/>
  <c r="EF12" i="9"/>
  <c r="EJ12" i="9"/>
  <c r="EN12" i="9"/>
  <c r="ER12" i="9"/>
  <c r="EV12" i="9"/>
  <c r="EZ12" i="9"/>
  <c r="FD12" i="9"/>
  <c r="FH12" i="9"/>
  <c r="FL12" i="9"/>
  <c r="FP12" i="9"/>
  <c r="FT12" i="9"/>
  <c r="EF14" i="9"/>
  <c r="EJ14" i="9"/>
  <c r="EN14" i="9"/>
  <c r="ER14" i="9"/>
  <c r="EV14" i="9"/>
  <c r="EZ14" i="9"/>
  <c r="FD14" i="9"/>
  <c r="FH14" i="9"/>
  <c r="FL14" i="9"/>
  <c r="FP14" i="9"/>
  <c r="FT14" i="9"/>
  <c r="CN8" i="12"/>
  <c r="EE9" i="9"/>
  <c r="EI9" i="9"/>
  <c r="EM9" i="9"/>
  <c r="EQ9" i="9"/>
  <c r="EU9" i="9"/>
  <c r="EY9" i="9"/>
  <c r="FC9" i="9"/>
  <c r="FG9" i="9"/>
  <c r="FK9" i="9"/>
  <c r="FO9" i="9"/>
  <c r="FS9" i="9"/>
  <c r="EG12" i="9"/>
  <c r="EK12" i="9"/>
  <c r="EO12" i="9"/>
  <c r="ES12" i="9"/>
  <c r="EW12" i="9"/>
  <c r="FA12" i="9"/>
  <c r="FE12" i="9"/>
  <c r="FI12" i="9"/>
  <c r="FM12" i="9"/>
  <c r="FQ12" i="9"/>
  <c r="FU12" i="9"/>
  <c r="EG14" i="9"/>
  <c r="EK14" i="9"/>
  <c r="EO14" i="9"/>
  <c r="ES14" i="9"/>
  <c r="EW14" i="9"/>
  <c r="FA14" i="9"/>
  <c r="FE14" i="9"/>
  <c r="FI14" i="9"/>
  <c r="FM14" i="9"/>
  <c r="FQ14" i="9"/>
  <c r="FU14" i="9"/>
  <c r="AF18" i="4"/>
  <c r="AH18" i="9"/>
  <c r="AL19" i="4"/>
  <c r="AF10" i="4"/>
  <c r="AF14" i="4"/>
  <c r="AG13" i="9"/>
  <c r="AI20" i="9"/>
  <c r="AH19" i="9"/>
  <c r="AH10" i="4"/>
  <c r="AI18" i="9"/>
  <c r="AI12" i="9"/>
  <c r="AI8" i="9"/>
  <c r="AH11" i="9"/>
  <c r="AN10" i="4"/>
  <c r="AM13" i="4"/>
  <c r="AH17" i="4"/>
  <c r="AM11" i="4"/>
  <c r="AF19" i="4"/>
  <c r="AF17" i="9"/>
  <c r="AG12" i="4"/>
  <c r="AK13" i="4"/>
  <c r="AH19" i="4"/>
  <c r="AM20" i="4"/>
  <c r="AH15" i="4"/>
  <c r="AF11" i="4"/>
  <c r="AM18" i="4"/>
  <c r="AI9" i="4"/>
  <c r="AM14" i="4"/>
  <c r="AH9" i="4"/>
  <c r="AF18" i="9"/>
  <c r="AI16" i="9"/>
  <c r="AG19" i="9"/>
  <c r="AH17" i="9"/>
  <c r="AG16" i="9"/>
  <c r="AH15" i="9"/>
  <c r="AH10" i="9"/>
  <c r="AN12" i="4"/>
  <c r="AI15" i="4"/>
  <c r="AG15" i="4"/>
  <c r="AG20" i="4"/>
  <c r="AF20" i="4"/>
  <c r="AF12" i="4"/>
  <c r="AH13" i="9"/>
  <c r="AG20" i="9"/>
  <c r="AG14" i="9"/>
  <c r="AH9" i="9"/>
  <c r="AF19" i="9"/>
  <c r="AF15" i="4"/>
  <c r="AI17" i="4"/>
  <c r="AI20" i="4"/>
  <c r="AI13" i="4"/>
  <c r="AI15" i="9"/>
  <c r="AM16" i="9"/>
  <c r="AH12" i="9"/>
  <c r="AL16" i="4"/>
  <c r="AI17" i="9"/>
  <c r="AG11" i="9"/>
  <c r="AH14" i="9"/>
  <c r="AN13" i="9"/>
  <c r="AG12" i="9"/>
  <c r="AG15" i="9"/>
  <c r="AH8" i="9"/>
  <c r="AI9" i="9"/>
  <c r="AF20" i="9"/>
  <c r="AG18" i="9"/>
  <c r="AG8" i="9"/>
  <c r="AG13" i="4"/>
  <c r="AG11" i="4"/>
  <c r="AL14" i="4"/>
  <c r="AL17" i="4"/>
  <c r="AK16" i="4"/>
  <c r="AH12" i="4"/>
  <c r="AG17" i="9"/>
  <c r="K14" i="2"/>
  <c r="K8" i="2"/>
  <c r="F301" i="5"/>
  <c r="F237" i="5"/>
  <c r="F381" i="5"/>
  <c r="F132" i="5"/>
  <c r="F24" i="5"/>
  <c r="F15" i="5"/>
  <c r="F365" i="5"/>
  <c r="F141" i="5"/>
  <c r="F137" i="5"/>
  <c r="N859" i="1"/>
  <c r="M857" i="1"/>
  <c r="N857" i="1"/>
  <c r="N841" i="1"/>
  <c r="F145" i="5"/>
  <c r="F129" i="5"/>
  <c r="F18" i="5"/>
  <c r="F12" i="5"/>
  <c r="F6" i="5"/>
  <c r="N845" i="1"/>
  <c r="N545" i="1"/>
  <c r="N858" i="1"/>
  <c r="N854" i="1"/>
  <c r="M853" i="1"/>
  <c r="N851" i="1"/>
  <c r="N645" i="1"/>
  <c r="N624" i="1"/>
  <c r="N542" i="1"/>
  <c r="N528" i="1"/>
  <c r="N513" i="1"/>
  <c r="AF467" i="1"/>
  <c r="M467" i="1" s="1"/>
  <c r="AK467" i="1"/>
  <c r="N467" i="1" s="1"/>
  <c r="H466" i="1"/>
  <c r="G466" i="1"/>
  <c r="N446" i="1"/>
  <c r="H437" i="1"/>
  <c r="M420" i="1"/>
  <c r="N640" i="1"/>
  <c r="J8" i="2" s="1"/>
  <c r="AI638" i="1"/>
  <c r="N629" i="1"/>
  <c r="N626" i="1"/>
  <c r="N620" i="1"/>
  <c r="AF615" i="1"/>
  <c r="M615" i="1" s="1"/>
  <c r="N609" i="1"/>
  <c r="N607" i="1"/>
  <c r="M604" i="1"/>
  <c r="AF595" i="1"/>
  <c r="N594" i="1"/>
  <c r="N589" i="1"/>
  <c r="N587" i="1"/>
  <c r="N581" i="1"/>
  <c r="AK568" i="1"/>
  <c r="N568" i="1" s="1"/>
  <c r="N566" i="1"/>
  <c r="N557" i="1"/>
  <c r="M556" i="1"/>
  <c r="N554" i="1"/>
  <c r="AF551" i="1"/>
  <c r="M551" i="1" s="1"/>
  <c r="AK544" i="1"/>
  <c r="N544" i="1" s="1"/>
  <c r="AF538" i="1"/>
  <c r="AE534" i="1"/>
  <c r="AF527" i="1"/>
  <c r="N525" i="1"/>
  <c r="H524" i="1"/>
  <c r="AF522" i="1"/>
  <c r="N521" i="1"/>
  <c r="H520" i="1"/>
  <c r="AE518" i="1"/>
  <c r="N517" i="1"/>
  <c r="N516" i="1"/>
  <c r="AF514" i="1"/>
  <c r="H512" i="1"/>
  <c r="AE510" i="1"/>
  <c r="AE506" i="1"/>
  <c r="M504" i="1"/>
  <c r="H499" i="1"/>
  <c r="H491" i="1"/>
  <c r="H490" i="1"/>
  <c r="H485" i="1"/>
  <c r="AF482" i="1"/>
  <c r="AJ479" i="1"/>
  <c r="N473" i="1"/>
  <c r="N472" i="1"/>
  <c r="M465" i="1"/>
  <c r="AF459" i="1"/>
  <c r="H453" i="1"/>
  <c r="N447" i="1"/>
  <c r="M437" i="1"/>
  <c r="N437" i="1"/>
  <c r="H434" i="1"/>
  <c r="N431" i="1"/>
  <c r="N430" i="1"/>
  <c r="H430" i="1"/>
  <c r="M429" i="1"/>
  <c r="N425" i="1"/>
  <c r="H424" i="1"/>
  <c r="H414" i="1"/>
  <c r="N409" i="1"/>
  <c r="N397" i="1"/>
  <c r="H393" i="1"/>
  <c r="N643" i="1"/>
  <c r="N634" i="1"/>
  <c r="N625" i="1"/>
  <c r="M624" i="1"/>
  <c r="N622" i="1"/>
  <c r="N614" i="1"/>
  <c r="N613" i="1"/>
  <c r="N605" i="1"/>
  <c r="N603" i="1"/>
  <c r="N597" i="1"/>
  <c r="N593" i="1"/>
  <c r="N583" i="1"/>
  <c r="N575" i="1"/>
  <c r="N573" i="1"/>
  <c r="N570" i="1"/>
  <c r="AJ567" i="1"/>
  <c r="N567" i="1" s="1"/>
  <c r="N562" i="1"/>
  <c r="N550" i="1"/>
  <c r="M549" i="1"/>
  <c r="N549" i="1"/>
  <c r="N541" i="1"/>
  <c r="N537" i="1"/>
  <c r="N532" i="1"/>
  <c r="M528" i="1"/>
  <c r="N523" i="1"/>
  <c r="H519" i="1"/>
  <c r="H518" i="1"/>
  <c r="H511" i="1"/>
  <c r="H510" i="1"/>
  <c r="H507" i="1"/>
  <c r="H506" i="1"/>
  <c r="M501" i="1"/>
  <c r="N498" i="1"/>
  <c r="H496" i="1"/>
  <c r="N489" i="1"/>
  <c r="M485" i="1"/>
  <c r="N485" i="1"/>
  <c r="N484" i="1"/>
  <c r="H479" i="1"/>
  <c r="AF474" i="1"/>
  <c r="H472" i="1"/>
  <c r="M466" i="1"/>
  <c r="N466" i="1"/>
  <c r="AD462" i="1"/>
  <c r="AI462" i="1"/>
  <c r="AD458" i="1"/>
  <c r="AI458" i="1"/>
  <c r="M456" i="1"/>
  <c r="N452" i="1"/>
  <c r="AK451" i="1"/>
  <c r="N451" i="1" s="1"/>
  <c r="M450" i="1"/>
  <c r="K10" i="2" s="1"/>
  <c r="N445" i="1"/>
  <c r="H438" i="1"/>
  <c r="AF436" i="1"/>
  <c r="M436" i="1" s="1"/>
  <c r="AK436" i="1"/>
  <c r="N436" i="1" s="1"/>
  <c r="H428" i="1"/>
  <c r="N421" i="1"/>
  <c r="H419" i="1"/>
  <c r="H416" i="1"/>
  <c r="N411" i="1"/>
  <c r="N404" i="1"/>
  <c r="N393" i="1"/>
  <c r="N639" i="1"/>
  <c r="N636" i="1"/>
  <c r="M632" i="1"/>
  <c r="N628" i="1"/>
  <c r="N619" i="1"/>
  <c r="N617" i="1"/>
  <c r="N608" i="1"/>
  <c r="N599" i="1"/>
  <c r="N586" i="1"/>
  <c r="N582" i="1"/>
  <c r="N580" i="1"/>
  <c r="M576" i="1"/>
  <c r="N569" i="1"/>
  <c r="M568" i="1"/>
  <c r="N564" i="1"/>
  <c r="N556" i="1"/>
  <c r="N555" i="1"/>
  <c r="N553" i="1"/>
  <c r="M544" i="1"/>
  <c r="H516" i="1"/>
  <c r="M513" i="1"/>
  <c r="M511" i="1"/>
  <c r="N509" i="1"/>
  <c r="N507" i="1"/>
  <c r="N505" i="1"/>
  <c r="N504" i="1"/>
  <c r="N497" i="1"/>
  <c r="N496" i="1"/>
  <c r="H488" i="1"/>
  <c r="M481" i="1"/>
  <c r="N455" i="1"/>
  <c r="M451" i="1"/>
  <c r="AK438" i="1"/>
  <c r="AF438" i="1"/>
  <c r="N429" i="1"/>
  <c r="H410" i="1"/>
  <c r="M409" i="1"/>
  <c r="N407" i="1"/>
  <c r="N399" i="1"/>
  <c r="H398" i="1"/>
  <c r="M397" i="1"/>
  <c r="N395" i="1"/>
  <c r="H394" i="1"/>
  <c r="M393" i="1"/>
  <c r="N391" i="1"/>
  <c r="H390" i="1"/>
  <c r="M389" i="1"/>
  <c r="H385" i="1"/>
  <c r="N381" i="1"/>
  <c r="H380" i="1"/>
  <c r="H376" i="1"/>
  <c r="H372" i="1"/>
  <c r="H368" i="1"/>
  <c r="H364" i="1"/>
  <c r="H360" i="1"/>
  <c r="H356" i="1"/>
  <c r="H334" i="1"/>
  <c r="N332" i="1"/>
  <c r="H326" i="1"/>
  <c r="N324" i="1"/>
  <c r="H318" i="1"/>
  <c r="N316" i="1"/>
  <c r="H310" i="1"/>
  <c r="N308" i="1"/>
  <c r="H307" i="1"/>
  <c r="H306" i="1"/>
  <c r="N304" i="1"/>
  <c r="H295" i="1"/>
  <c r="H291" i="1"/>
  <c r="N289" i="1"/>
  <c r="H276" i="1"/>
  <c r="H268" i="1"/>
  <c r="H260" i="1"/>
  <c r="H252" i="1"/>
  <c r="H243" i="1"/>
  <c r="M472" i="1"/>
  <c r="H470" i="1"/>
  <c r="N468" i="1"/>
  <c r="H465" i="1"/>
  <c r="H457" i="1"/>
  <c r="H449" i="1"/>
  <c r="M447" i="1"/>
  <c r="H443" i="1"/>
  <c r="M428" i="1"/>
  <c r="H427" i="1"/>
  <c r="H426" i="1"/>
  <c r="M425" i="1"/>
  <c r="M424" i="1"/>
  <c r="N419" i="1"/>
  <c r="N416" i="1"/>
  <c r="N414" i="1"/>
  <c r="H405" i="1"/>
  <c r="M404" i="1"/>
  <c r="H401" i="1"/>
  <c r="N398" i="1"/>
  <c r="H388" i="1"/>
  <c r="H383" i="1"/>
  <c r="H379" i="1"/>
  <c r="H375" i="1"/>
  <c r="H371" i="1"/>
  <c r="H367" i="1"/>
  <c r="H363" i="1"/>
  <c r="H359" i="1"/>
  <c r="N339" i="1"/>
  <c r="H336" i="1"/>
  <c r="N334" i="1"/>
  <c r="H328" i="1"/>
  <c r="N326" i="1"/>
  <c r="H320" i="1"/>
  <c r="N318" i="1"/>
  <c r="H312" i="1"/>
  <c r="N310" i="1"/>
  <c r="N299" i="1"/>
  <c r="H298" i="1"/>
  <c r="H297" i="1"/>
  <c r="N295" i="1"/>
  <c r="H288" i="1"/>
  <c r="N284" i="1"/>
  <c r="H283" i="1"/>
  <c r="N281" i="1"/>
  <c r="N277" i="1"/>
  <c r="N269" i="1"/>
  <c r="N261" i="1"/>
  <c r="N253" i="1"/>
  <c r="N246" i="1"/>
  <c r="N243" i="1"/>
  <c r="N238" i="1"/>
  <c r="M411" i="1"/>
  <c r="M395" i="1"/>
  <c r="M391" i="1"/>
  <c r="M381" i="1"/>
  <c r="N379" i="1"/>
  <c r="N375" i="1"/>
  <c r="N371" i="1"/>
  <c r="N367" i="1"/>
  <c r="N363" i="1"/>
  <c r="N359" i="1"/>
  <c r="N336" i="1"/>
  <c r="N328" i="1"/>
  <c r="N320" i="1"/>
  <c r="N312" i="1"/>
  <c r="H292" i="1"/>
  <c r="N290" i="1"/>
  <c r="N287" i="1"/>
  <c r="AN18" i="4"/>
  <c r="AI18" i="4"/>
  <c r="AN14" i="4"/>
  <c r="AI14" i="4"/>
  <c r="AN11" i="4"/>
  <c r="AI11" i="4"/>
  <c r="N278" i="1"/>
  <c r="H275" i="1"/>
  <c r="N273" i="1"/>
  <c r="N270" i="1"/>
  <c r="H267" i="1"/>
  <c r="N265" i="1"/>
  <c r="N262" i="1"/>
  <c r="H259" i="1"/>
  <c r="N257" i="1"/>
  <c r="N254" i="1"/>
  <c r="H251" i="1"/>
  <c r="N248" i="1"/>
  <c r="H248" i="1"/>
  <c r="N244" i="1"/>
  <c r="H244" i="1"/>
  <c r="N240" i="1"/>
  <c r="H240" i="1"/>
  <c r="N236" i="1"/>
  <c r="H236" i="1"/>
  <c r="H233" i="1"/>
  <c r="N230" i="1"/>
  <c r="N227" i="1"/>
  <c r="N226" i="1"/>
  <c r="N225" i="1"/>
  <c r="N220" i="1"/>
  <c r="N219" i="1"/>
  <c r="N218" i="1"/>
  <c r="N217" i="1"/>
  <c r="N212" i="1"/>
  <c r="N211" i="1"/>
  <c r="N210" i="1"/>
  <c r="N209" i="1"/>
  <c r="N204" i="1"/>
  <c r="H204" i="1"/>
  <c r="H202" i="1"/>
  <c r="N199" i="1"/>
  <c r="H198" i="1"/>
  <c r="N195" i="1"/>
  <c r="H194" i="1"/>
  <c r="N191" i="1"/>
  <c r="H190" i="1"/>
  <c r="N187" i="1"/>
  <c r="H186" i="1"/>
  <c r="N183" i="1"/>
  <c r="H182" i="1"/>
  <c r="N179" i="1"/>
  <c r="H178" i="1"/>
  <c r="H174" i="1"/>
  <c r="H170" i="1"/>
  <c r="H166" i="1"/>
  <c r="H162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N103" i="1"/>
  <c r="N98" i="1"/>
  <c r="H96" i="1"/>
  <c r="N93" i="1"/>
  <c r="H91" i="1"/>
  <c r="N88" i="1"/>
  <c r="N82" i="1"/>
  <c r="N76" i="1"/>
  <c r="N22" i="1"/>
  <c r="N14" i="1"/>
  <c r="N6" i="1"/>
  <c r="AN19" i="4"/>
  <c r="AI19" i="4"/>
  <c r="N306" i="1"/>
  <c r="H302" i="1"/>
  <c r="H299" i="1"/>
  <c r="N297" i="1"/>
  <c r="N291" i="1"/>
  <c r="N288" i="1"/>
  <c r="H285" i="1"/>
  <c r="N283" i="1"/>
  <c r="N280" i="1"/>
  <c r="H277" i="1"/>
  <c r="N275" i="1"/>
  <c r="N272" i="1"/>
  <c r="H269" i="1"/>
  <c r="N267" i="1"/>
  <c r="N264" i="1"/>
  <c r="H261" i="1"/>
  <c r="N259" i="1"/>
  <c r="N256" i="1"/>
  <c r="H253" i="1"/>
  <c r="N251" i="1"/>
  <c r="N228" i="1"/>
  <c r="H228" i="1"/>
  <c r="H222" i="1"/>
  <c r="H214" i="1"/>
  <c r="H206" i="1"/>
  <c r="N203" i="1"/>
  <c r="H201" i="1"/>
  <c r="H197" i="1"/>
  <c r="H193" i="1"/>
  <c r="H189" i="1"/>
  <c r="H185" i="1"/>
  <c r="H181" i="1"/>
  <c r="H177" i="1"/>
  <c r="H173" i="1"/>
  <c r="H169" i="1"/>
  <c r="H165" i="1"/>
  <c r="H161" i="1"/>
  <c r="H157" i="1"/>
  <c r="N126" i="1"/>
  <c r="N122" i="1"/>
  <c r="N118" i="1"/>
  <c r="H117" i="1"/>
  <c r="H113" i="1"/>
  <c r="H109" i="1"/>
  <c r="H105" i="1"/>
  <c r="N102" i="1"/>
  <c r="H100" i="1"/>
  <c r="N97" i="1"/>
  <c r="H95" i="1"/>
  <c r="N92" i="1"/>
  <c r="N86" i="1"/>
  <c r="H84" i="1"/>
  <c r="N81" i="1"/>
  <c r="N74" i="1"/>
  <c r="N67" i="1"/>
  <c r="N4" i="1"/>
  <c r="N234" i="1"/>
  <c r="N231" i="1"/>
  <c r="N224" i="1"/>
  <c r="N221" i="1"/>
  <c r="N216" i="1"/>
  <c r="N213" i="1"/>
  <c r="N208" i="1"/>
  <c r="N205" i="1"/>
  <c r="N165" i="1"/>
  <c r="N161" i="1"/>
  <c r="N157" i="1"/>
  <c r="N153" i="1"/>
  <c r="N149" i="1"/>
  <c r="N145" i="1"/>
  <c r="N141" i="1"/>
  <c r="N137" i="1"/>
  <c r="N133" i="1"/>
  <c r="N129" i="1"/>
  <c r="N125" i="1"/>
  <c r="N121" i="1"/>
  <c r="N117" i="1"/>
  <c r="N113" i="1"/>
  <c r="N109" i="1"/>
  <c r="N105" i="1"/>
  <c r="N101" i="1"/>
  <c r="N90" i="1"/>
  <c r="N85" i="1"/>
  <c r="H80" i="1"/>
  <c r="N77" i="1"/>
  <c r="H76" i="1"/>
  <c r="N73" i="1"/>
  <c r="H72" i="1"/>
  <c r="N69" i="1"/>
  <c r="H66" i="1"/>
  <c r="N63" i="1"/>
  <c r="H62" i="1"/>
  <c r="N59" i="1"/>
  <c r="H58" i="1"/>
  <c r="N55" i="1"/>
  <c r="H54" i="1"/>
  <c r="N51" i="1"/>
  <c r="H50" i="1"/>
  <c r="N47" i="1"/>
  <c r="H46" i="1"/>
  <c r="N43" i="1"/>
  <c r="H42" i="1"/>
  <c r="N39" i="1"/>
  <c r="H38" i="1"/>
  <c r="N35" i="1"/>
  <c r="H34" i="1"/>
  <c r="N31" i="1"/>
  <c r="H30" i="1"/>
  <c r="N27" i="1"/>
  <c r="H26" i="1"/>
  <c r="N23" i="1"/>
  <c r="H22" i="1"/>
  <c r="N19" i="1"/>
  <c r="H18" i="1"/>
  <c r="N15" i="1"/>
  <c r="H14" i="1"/>
  <c r="N11" i="1"/>
  <c r="H10" i="1"/>
  <c r="N7" i="1"/>
  <c r="H6" i="1"/>
  <c r="N3" i="1"/>
  <c r="H2" i="1"/>
  <c r="H102" i="1"/>
  <c r="N99" i="1"/>
  <c r="H98" i="1"/>
  <c r="N95" i="1"/>
  <c r="H94" i="1"/>
  <c r="N91" i="1"/>
  <c r="H90" i="1"/>
  <c r="N87" i="1"/>
  <c r="H86" i="1"/>
  <c r="N83" i="1"/>
  <c r="H82" i="1"/>
  <c r="N79" i="1"/>
  <c r="H78" i="1"/>
  <c r="N75" i="1"/>
  <c r="H74" i="1"/>
  <c r="N71" i="1"/>
  <c r="H70" i="1"/>
  <c r="N68" i="1"/>
  <c r="N65" i="1"/>
  <c r="H64" i="1"/>
  <c r="N61" i="1"/>
  <c r="H60" i="1"/>
  <c r="N57" i="1"/>
  <c r="H56" i="1"/>
  <c r="N53" i="1"/>
  <c r="H52" i="1"/>
  <c r="N49" i="1"/>
  <c r="H48" i="1"/>
  <c r="N45" i="1"/>
  <c r="H44" i="1"/>
  <c r="N41" i="1"/>
  <c r="H40" i="1"/>
  <c r="N37" i="1"/>
  <c r="H36" i="1"/>
  <c r="N33" i="1"/>
  <c r="H32" i="1"/>
  <c r="N29" i="1"/>
  <c r="H28" i="1"/>
  <c r="H24" i="1"/>
  <c r="H20" i="1"/>
  <c r="H16" i="1"/>
  <c r="H12" i="1"/>
  <c r="H8" i="1"/>
  <c r="N5" i="1"/>
  <c r="H4" i="1"/>
  <c r="AN16" i="4"/>
  <c r="AQ13" i="12"/>
  <c r="AP13" i="12"/>
  <c r="K13" i="12" s="1"/>
  <c r="AF12" i="9"/>
  <c r="AQ12" i="12"/>
  <c r="AP12" i="12"/>
  <c r="K12" i="12" s="1"/>
  <c r="AV13" i="12"/>
  <c r="AV11" i="12"/>
  <c r="AV12" i="12"/>
  <c r="AV10" i="12"/>
  <c r="AW7" i="12"/>
  <c r="AV9" i="12"/>
  <c r="AV8" i="12"/>
  <c r="CO11" i="12"/>
  <c r="CO13" i="12"/>
  <c r="CO9" i="12"/>
  <c r="CO8" i="12"/>
  <c r="CO10" i="12"/>
  <c r="CP7" i="12"/>
  <c r="AG10" i="9"/>
  <c r="AG9" i="9"/>
  <c r="AH8" i="4"/>
  <c r="F377" i="5"/>
  <c r="F296" i="5"/>
  <c r="F382" i="5"/>
  <c r="F181" i="5"/>
  <c r="F165" i="5"/>
  <c r="F202" i="5"/>
  <c r="F193" i="5"/>
  <c r="F177" i="5"/>
  <c r="F190" i="5"/>
  <c r="F48" i="5"/>
  <c r="F36" i="5"/>
  <c r="F196" i="5"/>
  <c r="F184" i="5"/>
  <c r="F45" i="5"/>
  <c r="F33" i="5"/>
  <c r="K9" i="5"/>
  <c r="F199" i="5"/>
  <c r="F187" i="5"/>
  <c r="F179" i="5"/>
  <c r="F171" i="5"/>
  <c r="F159" i="5"/>
  <c r="F155" i="5"/>
  <c r="F151" i="5"/>
  <c r="F147" i="5"/>
  <c r="F143" i="5"/>
  <c r="F90" i="5"/>
  <c r="F42" i="5"/>
  <c r="F30" i="5"/>
  <c r="F3" i="5"/>
  <c r="F9" i="5"/>
  <c r="F21" i="5"/>
  <c r="CK16" i="9"/>
  <c r="CK14" i="9"/>
  <c r="AR16" i="9"/>
  <c r="CK15" i="9"/>
  <c r="AR14" i="9"/>
  <c r="AR15" i="9"/>
  <c r="CK11" i="9"/>
  <c r="CK13" i="9"/>
  <c r="AR13" i="9"/>
  <c r="AR12" i="9"/>
  <c r="AR11" i="9"/>
  <c r="CK9" i="9"/>
  <c r="CK12" i="9"/>
  <c r="CK10" i="9"/>
  <c r="AR9" i="9"/>
  <c r="AR10" i="9"/>
  <c r="CK8" i="9"/>
  <c r="AR8" i="9"/>
  <c r="CK8" i="4"/>
  <c r="AR8" i="4"/>
  <c r="CM8" i="4"/>
  <c r="ED8" i="4"/>
  <c r="EF9" i="4"/>
  <c r="EE8" i="4"/>
  <c r="CK9" i="4"/>
  <c r="EF8" i="4"/>
  <c r="CL9" i="4"/>
  <c r="ED9" i="4"/>
  <c r="AR9" i="4"/>
  <c r="EE9" i="4"/>
  <c r="J12" i="2"/>
  <c r="M855" i="1"/>
  <c r="AE853" i="1"/>
  <c r="AJ853" i="1"/>
  <c r="N852" i="1"/>
  <c r="N848" i="1"/>
  <c r="N844" i="1"/>
  <c r="N840" i="1"/>
  <c r="AF855" i="1"/>
  <c r="AK855" i="1"/>
  <c r="J10" i="2"/>
  <c r="N853" i="1"/>
  <c r="AK853" i="1"/>
  <c r="N604" i="1"/>
  <c r="N576" i="1"/>
  <c r="N588" i="1"/>
  <c r="AE559" i="1"/>
  <c r="M559" i="1" s="1"/>
  <c r="AJ559" i="1"/>
  <c r="N559" i="1" s="1"/>
  <c r="AF536" i="1"/>
  <c r="M536" i="1" s="1"/>
  <c r="AK536" i="1"/>
  <c r="N536" i="1" s="1"/>
  <c r="AD534" i="1"/>
  <c r="AI534" i="1"/>
  <c r="AE527" i="1"/>
  <c r="AJ527" i="1"/>
  <c r="N527" i="1" s="1"/>
  <c r="AF520" i="1"/>
  <c r="M520" i="1" s="1"/>
  <c r="AK520" i="1"/>
  <c r="N520" i="1" s="1"/>
  <c r="AF518" i="1"/>
  <c r="AK518" i="1"/>
  <c r="AE515" i="1"/>
  <c r="M515" i="1" s="1"/>
  <c r="AJ515" i="1"/>
  <c r="N515" i="1" s="1"/>
  <c r="H513" i="1"/>
  <c r="G513" i="1"/>
  <c r="H505" i="1"/>
  <c r="G505" i="1"/>
  <c r="H503" i="1"/>
  <c r="G503" i="1"/>
  <c r="AE502" i="1"/>
  <c r="M502" i="1" s="1"/>
  <c r="AJ502" i="1"/>
  <c r="N502" i="1" s="1"/>
  <c r="AD490" i="1"/>
  <c r="M490" i="1" s="1"/>
  <c r="AI490" i="1"/>
  <c r="H483" i="1"/>
  <c r="G483" i="1"/>
  <c r="AE482" i="1"/>
  <c r="AJ482" i="1"/>
  <c r="N482" i="1" s="1"/>
  <c r="AF478" i="1"/>
  <c r="M478" i="1" s="1"/>
  <c r="AK478" i="1"/>
  <c r="N478" i="1" s="1"/>
  <c r="N642" i="1"/>
  <c r="N637" i="1"/>
  <c r="N632" i="1"/>
  <c r="N612" i="1"/>
  <c r="N601" i="1"/>
  <c r="N590" i="1"/>
  <c r="N585" i="1"/>
  <c r="N578" i="1"/>
  <c r="AD574" i="1"/>
  <c r="M574" i="1" s="1"/>
  <c r="AI574" i="1"/>
  <c r="N574" i="1" s="1"/>
  <c r="N561" i="1"/>
  <c r="AE547" i="1"/>
  <c r="M547" i="1" s="1"/>
  <c r="AJ547" i="1"/>
  <c r="N547" i="1" s="1"/>
  <c r="AF540" i="1"/>
  <c r="M540" i="1" s="1"/>
  <c r="AK540" i="1"/>
  <c r="N540" i="1" s="1"/>
  <c r="AF531" i="1"/>
  <c r="M531" i="1" s="1"/>
  <c r="AK531" i="1"/>
  <c r="N531" i="1" s="1"/>
  <c r="N529" i="1"/>
  <c r="H527" i="1"/>
  <c r="AF524" i="1"/>
  <c r="M524" i="1" s="1"/>
  <c r="AK524" i="1"/>
  <c r="N524" i="1" s="1"/>
  <c r="AE522" i="1"/>
  <c r="AJ522" i="1"/>
  <c r="N522" i="1" s="1"/>
  <c r="H515" i="1"/>
  <c r="G515" i="1"/>
  <c r="AE514" i="1"/>
  <c r="AJ514" i="1"/>
  <c r="N514" i="1" s="1"/>
  <c r="N508" i="1"/>
  <c r="AF506" i="1"/>
  <c r="AK506" i="1"/>
  <c r="H502" i="1"/>
  <c r="G502" i="1"/>
  <c r="N500" i="1"/>
  <c r="AF495" i="1"/>
  <c r="M495" i="1" s="1"/>
  <c r="AK495" i="1"/>
  <c r="N495" i="1" s="1"/>
  <c r="H493" i="1"/>
  <c r="G493" i="1"/>
  <c r="M492" i="1"/>
  <c r="N491" i="1"/>
  <c r="M488" i="1"/>
  <c r="H482" i="1"/>
  <c r="G482" i="1"/>
  <c r="N480" i="1"/>
  <c r="N469" i="1"/>
  <c r="N456" i="1"/>
  <c r="AF638" i="1"/>
  <c r="M638" i="1" s="1"/>
  <c r="AK638" i="1"/>
  <c r="N638" i="1" s="1"/>
  <c r="N631" i="1"/>
  <c r="AE631" i="1"/>
  <c r="M631" i="1" s="1"/>
  <c r="AJ631" i="1"/>
  <c r="N618" i="1"/>
  <c r="M613" i="1"/>
  <c r="AE606" i="1"/>
  <c r="M606" i="1" s="1"/>
  <c r="AJ606" i="1"/>
  <c r="N606" i="1" s="1"/>
  <c r="M600" i="1"/>
  <c r="AE595" i="1"/>
  <c r="AJ595" i="1"/>
  <c r="N595" i="1" s="1"/>
  <c r="AF591" i="1"/>
  <c r="M591" i="1" s="1"/>
  <c r="AK591" i="1"/>
  <c r="N591" i="1" s="1"/>
  <c r="M584" i="1"/>
  <c r="AF579" i="1"/>
  <c r="M579" i="1" s="1"/>
  <c r="AK579" i="1"/>
  <c r="N579" i="1" s="1"/>
  <c r="M575" i="1"/>
  <c r="M560" i="1"/>
  <c r="M542" i="1"/>
  <c r="AF534" i="1"/>
  <c r="AK534" i="1"/>
  <c r="AE526" i="1"/>
  <c r="M526" i="1" s="1"/>
  <c r="AJ526" i="1"/>
  <c r="N526" i="1" s="1"/>
  <c r="AF519" i="1"/>
  <c r="M519" i="1" s="1"/>
  <c r="AK519" i="1"/>
  <c r="N519" i="1" s="1"/>
  <c r="AD518" i="1"/>
  <c r="AI518" i="1"/>
  <c r="H514" i="1"/>
  <c r="G514" i="1"/>
  <c r="N512" i="1"/>
  <c r="AD510" i="1"/>
  <c r="AI510" i="1"/>
  <c r="H504" i="1"/>
  <c r="G504" i="1"/>
  <c r="M499" i="1"/>
  <c r="AF494" i="1"/>
  <c r="M494" i="1" s="1"/>
  <c r="AK494" i="1"/>
  <c r="H484" i="1"/>
  <c r="G484" i="1"/>
  <c r="N449" i="1"/>
  <c r="N633" i="1"/>
  <c r="N627" i="1"/>
  <c r="AE611" i="1"/>
  <c r="M611" i="1" s="1"/>
  <c r="AJ611" i="1"/>
  <c r="N611" i="1" s="1"/>
  <c r="N600" i="1"/>
  <c r="N584" i="1"/>
  <c r="N571" i="1"/>
  <c r="N565" i="1"/>
  <c r="N560" i="1"/>
  <c r="N548" i="1"/>
  <c r="N539" i="1"/>
  <c r="AE538" i="1"/>
  <c r="AJ538" i="1"/>
  <c r="N538" i="1" s="1"/>
  <c r="AF535" i="1"/>
  <c r="M535" i="1" s="1"/>
  <c r="AK535" i="1"/>
  <c r="N535" i="1" s="1"/>
  <c r="N530" i="1"/>
  <c r="H526" i="1"/>
  <c r="M517" i="1"/>
  <c r="M508" i="1"/>
  <c r="AE503" i="1"/>
  <c r="M503" i="1" s="1"/>
  <c r="AJ503" i="1"/>
  <c r="N503" i="1" s="1"/>
  <c r="N501" i="1"/>
  <c r="H501" i="1"/>
  <c r="G501" i="1"/>
  <c r="N493" i="1"/>
  <c r="N492" i="1"/>
  <c r="H492" i="1"/>
  <c r="G492" i="1"/>
  <c r="N488" i="1"/>
  <c r="AE483" i="1"/>
  <c r="M483" i="1" s="1"/>
  <c r="AJ483" i="1"/>
  <c r="N483" i="1" s="1"/>
  <c r="N481" i="1"/>
  <c r="H481" i="1"/>
  <c r="G481" i="1"/>
  <c r="H480" i="1"/>
  <c r="AF479" i="1"/>
  <c r="M479" i="1" s="1"/>
  <c r="AK479" i="1"/>
  <c r="N479" i="1" s="1"/>
  <c r="N476" i="1"/>
  <c r="AE475" i="1"/>
  <c r="M475" i="1" s="1"/>
  <c r="AJ475" i="1"/>
  <c r="N475" i="1" s="1"/>
  <c r="AE474" i="1"/>
  <c r="AJ474" i="1"/>
  <c r="N474" i="1" s="1"/>
  <c r="G468" i="1"/>
  <c r="G465" i="1"/>
  <c r="H464" i="1"/>
  <c r="AF463" i="1"/>
  <c r="M463" i="1" s="1"/>
  <c r="AK463" i="1"/>
  <c r="N463" i="1" s="1"/>
  <c r="N460" i="1"/>
  <c r="AE459" i="1"/>
  <c r="AJ459" i="1"/>
  <c r="N459" i="1" s="1"/>
  <c r="N458" i="1"/>
  <c r="AE458" i="1"/>
  <c r="AJ458" i="1"/>
  <c r="G452" i="1"/>
  <c r="H444" i="1"/>
  <c r="AF443" i="1"/>
  <c r="M443" i="1" s="1"/>
  <c r="AK443" i="1"/>
  <c r="N443" i="1" s="1"/>
  <c r="N440" i="1"/>
  <c r="N435" i="1"/>
  <c r="AF434" i="1"/>
  <c r="M434" i="1" s="1"/>
  <c r="AK434" i="1"/>
  <c r="N434" i="1" s="1"/>
  <c r="H433" i="1"/>
  <c r="N423" i="1"/>
  <c r="AF422" i="1"/>
  <c r="M422" i="1" s="1"/>
  <c r="AK422" i="1"/>
  <c r="N422" i="1" s="1"/>
  <c r="H421" i="1"/>
  <c r="AF388" i="1"/>
  <c r="M388" i="1" s="1"/>
  <c r="AK388" i="1"/>
  <c r="N388" i="1" s="1"/>
  <c r="N386" i="1"/>
  <c r="M384" i="1"/>
  <c r="M380" i="1"/>
  <c r="N376" i="1"/>
  <c r="N372" i="1"/>
  <c r="N368" i="1"/>
  <c r="N364" i="1"/>
  <c r="N360" i="1"/>
  <c r="N356" i="1"/>
  <c r="N355" i="1"/>
  <c r="N353" i="1"/>
  <c r="N351" i="1"/>
  <c r="N349" i="1"/>
  <c r="N347" i="1"/>
  <c r="N345" i="1"/>
  <c r="N343" i="1"/>
  <c r="N341" i="1"/>
  <c r="AF462" i="1"/>
  <c r="AK462" i="1"/>
  <c r="N462" i="1" s="1"/>
  <c r="AF442" i="1"/>
  <c r="M442" i="1" s="1"/>
  <c r="AK442" i="1"/>
  <c r="N442" i="1" s="1"/>
  <c r="M427" i="1"/>
  <c r="AF415" i="1"/>
  <c r="M415" i="1" s="1"/>
  <c r="AK415" i="1"/>
  <c r="N415" i="1" s="1"/>
  <c r="AF405" i="1"/>
  <c r="M405" i="1" s="1"/>
  <c r="AK405" i="1"/>
  <c r="N405" i="1" s="1"/>
  <c r="AF403" i="1"/>
  <c r="M403" i="1" s="1"/>
  <c r="AK403" i="1"/>
  <c r="N403" i="1" s="1"/>
  <c r="AF401" i="1"/>
  <c r="M401" i="1" s="1"/>
  <c r="AK401" i="1"/>
  <c r="N401" i="1" s="1"/>
  <c r="M385" i="1"/>
  <c r="AK511" i="1"/>
  <c r="N511" i="1" s="1"/>
  <c r="AK510" i="1"/>
  <c r="AI506" i="1"/>
  <c r="AK499" i="1"/>
  <c r="N499" i="1" s="1"/>
  <c r="AI494" i="1"/>
  <c r="AK490" i="1"/>
  <c r="AJ487" i="1"/>
  <c r="N487" i="1" s="1"/>
  <c r="H478" i="1"/>
  <c r="AD470" i="1"/>
  <c r="M470" i="1" s="1"/>
  <c r="AI470" i="1"/>
  <c r="N470" i="1" s="1"/>
  <c r="H462" i="1"/>
  <c r="AD454" i="1"/>
  <c r="M454" i="1" s="1"/>
  <c r="AI454" i="1"/>
  <c r="N454" i="1" s="1"/>
  <c r="H442" i="1"/>
  <c r="H431" i="1"/>
  <c r="N427" i="1"/>
  <c r="AF426" i="1"/>
  <c r="M426" i="1" s="1"/>
  <c r="AK426" i="1"/>
  <c r="N426" i="1" s="1"/>
  <c r="N420" i="1"/>
  <c r="M390" i="1"/>
  <c r="M386" i="1"/>
  <c r="N384" i="1"/>
  <c r="G384" i="1"/>
  <c r="H384" i="1"/>
  <c r="N378" i="1"/>
  <c r="N374" i="1"/>
  <c r="N370" i="1"/>
  <c r="N366" i="1"/>
  <c r="N354" i="1"/>
  <c r="N352" i="1"/>
  <c r="N350" i="1"/>
  <c r="N348" i="1"/>
  <c r="N346" i="1"/>
  <c r="N344" i="1"/>
  <c r="N342" i="1"/>
  <c r="N477" i="1"/>
  <c r="M476" i="1"/>
  <c r="M471" i="1"/>
  <c r="N461" i="1"/>
  <c r="M460" i="1"/>
  <c r="M455" i="1"/>
  <c r="M446" i="1"/>
  <c r="AF444" i="1"/>
  <c r="M444" i="1" s="1"/>
  <c r="AK444" i="1"/>
  <c r="N444" i="1" s="1"/>
  <c r="N441" i="1"/>
  <c r="M440" i="1"/>
  <c r="AD438" i="1"/>
  <c r="AI438" i="1"/>
  <c r="N438" i="1" s="1"/>
  <c r="M435" i="1"/>
  <c r="M423" i="1"/>
  <c r="AF418" i="1"/>
  <c r="M418" i="1" s="1"/>
  <c r="AK418" i="1"/>
  <c r="N418" i="1" s="1"/>
  <c r="AF412" i="1"/>
  <c r="M412" i="1" s="1"/>
  <c r="AK412" i="1"/>
  <c r="N412" i="1" s="1"/>
  <c r="AF410" i="1"/>
  <c r="M410" i="1" s="1"/>
  <c r="AK410" i="1"/>
  <c r="N410" i="1" s="1"/>
  <c r="AF408" i="1"/>
  <c r="M408" i="1" s="1"/>
  <c r="AK408" i="1"/>
  <c r="N408" i="1" s="1"/>
  <c r="AF396" i="1"/>
  <c r="M396" i="1" s="1"/>
  <c r="AK396" i="1"/>
  <c r="N396" i="1" s="1"/>
  <c r="AF394" i="1"/>
  <c r="M394" i="1" s="1"/>
  <c r="AK394" i="1"/>
  <c r="N394" i="1" s="1"/>
  <c r="AF392" i="1"/>
  <c r="M392" i="1" s="1"/>
  <c r="AK392" i="1"/>
  <c r="N392" i="1" s="1"/>
  <c r="G389" i="1"/>
  <c r="H389" i="1"/>
  <c r="AF383" i="1"/>
  <c r="M383" i="1" s="1"/>
  <c r="AK383" i="1"/>
  <c r="N383" i="1" s="1"/>
  <c r="N377" i="1"/>
  <c r="N373" i="1"/>
  <c r="N369" i="1"/>
  <c r="N365" i="1"/>
  <c r="N361" i="1"/>
  <c r="N357" i="1"/>
  <c r="N302" i="1"/>
  <c r="N300" i="1"/>
  <c r="N298" i="1"/>
  <c r="N296" i="1"/>
  <c r="N294" i="1"/>
  <c r="N292" i="1"/>
  <c r="N249" i="1"/>
  <c r="N245" i="1"/>
  <c r="N241" i="1"/>
  <c r="N237" i="1"/>
  <c r="N233" i="1"/>
  <c r="N172" i="1"/>
  <c r="N168" i="1"/>
  <c r="N164" i="1"/>
  <c r="N160" i="1"/>
  <c r="N156" i="1"/>
  <c r="N152" i="1"/>
  <c r="N148" i="1"/>
  <c r="N144" i="1"/>
  <c r="N140" i="1"/>
  <c r="N136" i="1"/>
  <c r="N132" i="1"/>
  <c r="N128" i="1"/>
  <c r="N124" i="1"/>
  <c r="N120" i="1"/>
  <c r="N116" i="1"/>
  <c r="N112" i="1"/>
  <c r="N108" i="1"/>
  <c r="AK390" i="1"/>
  <c r="N390" i="1" s="1"/>
  <c r="AK385" i="1"/>
  <c r="N385" i="1" s="1"/>
  <c r="AK380" i="1"/>
  <c r="N380" i="1" s="1"/>
  <c r="H224" i="1"/>
  <c r="H223" i="1"/>
  <c r="H216" i="1"/>
  <c r="H215" i="1"/>
  <c r="H208" i="1"/>
  <c r="H207" i="1"/>
  <c r="H203" i="1"/>
  <c r="N175" i="1"/>
  <c r="N171" i="1"/>
  <c r="N167" i="1"/>
  <c r="N163" i="1"/>
  <c r="N159" i="1"/>
  <c r="N155" i="1"/>
  <c r="N151" i="1"/>
  <c r="N147" i="1"/>
  <c r="N143" i="1"/>
  <c r="N139" i="1"/>
  <c r="N135" i="1"/>
  <c r="N131" i="1"/>
  <c r="N127" i="1"/>
  <c r="N123" i="1"/>
  <c r="N119" i="1"/>
  <c r="J14" i="2" s="1"/>
  <c r="N115" i="1"/>
  <c r="N111" i="1"/>
  <c r="N107" i="1"/>
  <c r="N337" i="1"/>
  <c r="N335" i="1"/>
  <c r="N333" i="1"/>
  <c r="N331" i="1"/>
  <c r="N329" i="1"/>
  <c r="N327" i="1"/>
  <c r="N325" i="1"/>
  <c r="N323" i="1"/>
  <c r="N321" i="1"/>
  <c r="N319" i="1"/>
  <c r="N317" i="1"/>
  <c r="N315" i="1"/>
  <c r="N313" i="1"/>
  <c r="N311" i="1"/>
  <c r="N309" i="1"/>
  <c r="N307" i="1"/>
  <c r="N305" i="1"/>
  <c r="N303" i="1"/>
  <c r="N301" i="1"/>
  <c r="H231" i="1"/>
  <c r="N223" i="1"/>
  <c r="N222" i="1"/>
  <c r="N215" i="1"/>
  <c r="N214" i="1"/>
  <c r="N207" i="1"/>
  <c r="N206" i="1"/>
  <c r="N202" i="1"/>
  <c r="N198" i="1"/>
  <c r="N194" i="1"/>
  <c r="N190" i="1"/>
  <c r="N186" i="1"/>
  <c r="N182" i="1"/>
  <c r="N178" i="1"/>
  <c r="N174" i="1"/>
  <c r="N170" i="1"/>
  <c r="N166" i="1"/>
  <c r="N162" i="1"/>
  <c r="N158" i="1"/>
  <c r="N154" i="1"/>
  <c r="N150" i="1"/>
  <c r="N146" i="1"/>
  <c r="N142" i="1"/>
  <c r="N138" i="1"/>
  <c r="N134" i="1"/>
  <c r="N130" i="1"/>
  <c r="N114" i="1"/>
  <c r="N110" i="1"/>
  <c r="N106" i="1"/>
  <c r="H220" i="1"/>
  <c r="H219" i="1"/>
  <c r="H212" i="1"/>
  <c r="H211" i="1"/>
  <c r="N201" i="1"/>
  <c r="N197" i="1"/>
  <c r="N193" i="1"/>
  <c r="N189" i="1"/>
  <c r="N185" i="1"/>
  <c r="N181" i="1"/>
  <c r="N177" i="1"/>
  <c r="N173" i="1"/>
  <c r="N169" i="1"/>
  <c r="AK9" i="4"/>
  <c r="AQ9" i="4" s="1"/>
  <c r="CN9" i="4"/>
  <c r="CN8" i="4"/>
  <c r="CO7" i="4"/>
  <c r="CO10" i="4" s="1"/>
  <c r="N64" i="1"/>
  <c r="N62" i="1"/>
  <c r="N60" i="1"/>
  <c r="N58" i="1"/>
  <c r="N56" i="1"/>
  <c r="N54" i="1"/>
  <c r="N52" i="1"/>
  <c r="N50" i="1"/>
  <c r="N48" i="1"/>
  <c r="N46" i="1"/>
  <c r="N44" i="1"/>
  <c r="N42" i="1"/>
  <c r="N40" i="1"/>
  <c r="N38" i="1"/>
  <c r="N36" i="1"/>
  <c r="N34" i="1"/>
  <c r="N32" i="1"/>
  <c r="N30" i="1"/>
  <c r="N28" i="1"/>
  <c r="N25" i="1"/>
  <c r="N21" i="1"/>
  <c r="N17" i="1"/>
  <c r="N13" i="1"/>
  <c r="N9" i="1"/>
  <c r="AF8" i="4"/>
  <c r="N24" i="1"/>
  <c r="N20" i="1"/>
  <c r="N16" i="1"/>
  <c r="N12" i="1"/>
  <c r="N8" i="1"/>
  <c r="EI7" i="4"/>
  <c r="EH9" i="4"/>
  <c r="EH8" i="4"/>
  <c r="CM9" i="4"/>
  <c r="CL8" i="4"/>
  <c r="AS8" i="4"/>
  <c r="AT7" i="4"/>
  <c r="AT10" i="4" s="1"/>
  <c r="AS9" i="4"/>
  <c r="EG8" i="4"/>
  <c r="AK15" i="9"/>
  <c r="AQ15" i="9" s="1"/>
  <c r="AK11" i="9"/>
  <c r="AK13" i="9"/>
  <c r="AF10" i="9"/>
  <c r="AK9" i="9"/>
  <c r="AK8" i="9"/>
  <c r="EG9" i="4"/>
  <c r="AG9" i="4"/>
  <c r="AL8" i="4"/>
  <c r="CM16" i="9"/>
  <c r="CM14" i="9"/>
  <c r="CM15" i="9"/>
  <c r="CM11" i="9"/>
  <c r="CM10" i="9"/>
  <c r="CM13" i="9"/>
  <c r="CM12" i="9"/>
  <c r="CM9" i="9"/>
  <c r="AS16" i="9"/>
  <c r="AS14" i="9"/>
  <c r="AS15" i="9"/>
  <c r="AS13" i="9"/>
  <c r="AS12" i="9"/>
  <c r="AS10" i="9"/>
  <c r="AS11" i="9"/>
  <c r="CL15" i="9"/>
  <c r="CL16" i="9"/>
  <c r="CL13" i="9"/>
  <c r="CL12" i="9"/>
  <c r="CL14" i="9"/>
  <c r="CL9" i="9"/>
  <c r="CL8" i="9"/>
  <c r="CL10" i="9"/>
  <c r="CL11" i="9"/>
  <c r="AS8" i="9"/>
  <c r="CM8" i="9"/>
  <c r="AS9" i="9"/>
  <c r="AT7" i="9"/>
  <c r="CN7" i="9"/>
  <c r="AK12" i="9"/>
  <c r="AF14" i="9"/>
  <c r="AK16" i="9"/>
  <c r="J12" i="12" l="1"/>
  <c r="IB12" i="12"/>
  <c r="M19" i="9"/>
  <c r="M15" i="9"/>
  <c r="J9" i="4"/>
  <c r="M9" i="4" s="1"/>
  <c r="M18" i="9"/>
  <c r="J13" i="12"/>
  <c r="IB13" i="12"/>
  <c r="M14" i="9"/>
  <c r="M17" i="9"/>
  <c r="J15" i="4"/>
  <c r="M15" i="4" s="1"/>
  <c r="M20" i="9"/>
  <c r="IB14" i="9"/>
  <c r="IB20" i="9"/>
  <c r="IB18" i="9"/>
  <c r="IB17" i="9"/>
  <c r="IB15" i="9"/>
  <c r="IB19" i="9"/>
  <c r="HZ8" i="9"/>
  <c r="HZ9" i="9" s="1"/>
  <c r="HZ10" i="9" s="1"/>
  <c r="HZ11" i="9" s="1"/>
  <c r="HZ12" i="9" s="1"/>
  <c r="HZ13" i="9" s="1"/>
  <c r="HZ14" i="9" s="1"/>
  <c r="HZ15" i="9" s="1"/>
  <c r="HZ16" i="9" s="1"/>
  <c r="HZ17" i="9" s="1"/>
  <c r="HZ18" i="9" s="1"/>
  <c r="HZ19" i="9" s="1"/>
  <c r="HZ20" i="9" s="1"/>
  <c r="HZ8" i="4" s="1"/>
  <c r="HZ9" i="4" s="1"/>
  <c r="HZ10" i="4" s="1"/>
  <c r="HZ11" i="4" s="1"/>
  <c r="HZ12" i="4" s="1"/>
  <c r="HZ13" i="4" s="1"/>
  <c r="HZ14" i="4" s="1"/>
  <c r="HZ15" i="4" s="1"/>
  <c r="HZ16" i="4" s="1"/>
  <c r="HZ17" i="4" s="1"/>
  <c r="HZ18" i="4" s="1"/>
  <c r="HZ19" i="4" s="1"/>
  <c r="HZ20" i="4" s="1"/>
  <c r="HZ21" i="4" s="1"/>
  <c r="HZ8" i="12" s="1"/>
  <c r="HZ9" i="12" s="1"/>
  <c r="HZ10" i="12" s="1"/>
  <c r="HZ11" i="12" s="1"/>
  <c r="HZ12" i="12" s="1"/>
  <c r="HZ13" i="12" s="1"/>
  <c r="HZ14" i="12" s="1"/>
  <c r="HZ15" i="12" s="1"/>
  <c r="HZ16" i="12" s="1"/>
  <c r="HZ17" i="12" s="1"/>
  <c r="HZ18" i="12" s="1"/>
  <c r="HZ19" i="12" s="1"/>
  <c r="HZ20" i="12" s="1"/>
  <c r="HZ21" i="12" s="1"/>
  <c r="IA8" i="9"/>
  <c r="CN17" i="9"/>
  <c r="CN18" i="9"/>
  <c r="CN19" i="9"/>
  <c r="CN20" i="9"/>
  <c r="AT17" i="9"/>
  <c r="AT19" i="9"/>
  <c r="AT20" i="9"/>
  <c r="AT18" i="9"/>
  <c r="CM17" i="9"/>
  <c r="CM18" i="9"/>
  <c r="CM19" i="9"/>
  <c r="CM20" i="9"/>
  <c r="AQ12" i="9"/>
  <c r="AQ9" i="9"/>
  <c r="AQ10" i="9"/>
  <c r="AQ11" i="9"/>
  <c r="M438" i="1"/>
  <c r="M522" i="1"/>
  <c r="AQ20" i="4"/>
  <c r="AQ12" i="4"/>
  <c r="AQ10" i="4"/>
  <c r="AQ8" i="4"/>
  <c r="M474" i="1"/>
  <c r="M462" i="1"/>
  <c r="M482" i="1"/>
  <c r="M510" i="1"/>
  <c r="M538" i="1"/>
  <c r="M514" i="1"/>
  <c r="M458" i="1"/>
  <c r="M595" i="1"/>
  <c r="M506" i="1"/>
  <c r="M527" i="1"/>
  <c r="M459" i="1"/>
  <c r="M534" i="1"/>
  <c r="AQ8" i="9"/>
  <c r="AQ17" i="4"/>
  <c r="L7" i="5"/>
  <c r="L6" i="5"/>
  <c r="AP18" i="4"/>
  <c r="K18" i="4" s="1"/>
  <c r="J31" i="10" s="1"/>
  <c r="AQ19" i="4"/>
  <c r="AP10" i="4"/>
  <c r="K10" i="4" s="1"/>
  <c r="J23" i="10" s="1"/>
  <c r="AP14" i="4"/>
  <c r="K14" i="4" s="1"/>
  <c r="J27" i="10" s="1"/>
  <c r="AP13" i="9"/>
  <c r="AP11" i="9"/>
  <c r="AQ13" i="4"/>
  <c r="AP17" i="4"/>
  <c r="K17" i="4" s="1"/>
  <c r="J30" i="10" s="1"/>
  <c r="AQ11" i="4"/>
  <c r="AP19" i="4"/>
  <c r="K19" i="4" s="1"/>
  <c r="J32" i="10" s="1"/>
  <c r="AQ18" i="4"/>
  <c r="AP13" i="4"/>
  <c r="K13" i="4" s="1"/>
  <c r="J26" i="10" s="1"/>
  <c r="AP9" i="4"/>
  <c r="K9" i="4" s="1"/>
  <c r="J22" i="10" s="1"/>
  <c r="AP18" i="9"/>
  <c r="AP16" i="9"/>
  <c r="AP19" i="9"/>
  <c r="AP11" i="4"/>
  <c r="K11" i="4" s="1"/>
  <c r="J24" i="10" s="1"/>
  <c r="AQ14" i="4"/>
  <c r="AP20" i="4"/>
  <c r="K20" i="4" s="1"/>
  <c r="J33" i="10" s="1"/>
  <c r="AP15" i="4"/>
  <c r="K15" i="4" s="1"/>
  <c r="J28" i="10" s="1"/>
  <c r="AP12" i="4"/>
  <c r="K12" i="4" s="1"/>
  <c r="J25" i="10" s="1"/>
  <c r="AP20" i="9"/>
  <c r="J20" i="10" s="1"/>
  <c r="AP14" i="9"/>
  <c r="AQ13" i="9"/>
  <c r="AP17" i="9"/>
  <c r="AQ16" i="9"/>
  <c r="AP8" i="9"/>
  <c r="AP15" i="9"/>
  <c r="AQ16" i="4"/>
  <c r="AP12" i="9"/>
  <c r="AP9" i="9"/>
  <c r="AP10" i="9"/>
  <c r="AP8" i="4"/>
  <c r="K8" i="4" s="1"/>
  <c r="J21" i="10" s="1"/>
  <c r="L5" i="5"/>
  <c r="N494" i="1"/>
  <c r="CP13" i="12"/>
  <c r="CP9" i="12"/>
  <c r="CP11" i="12"/>
  <c r="CP10" i="12"/>
  <c r="CP8" i="12"/>
  <c r="CQ7" i="12"/>
  <c r="AW11" i="12"/>
  <c r="AW12" i="12"/>
  <c r="AW13" i="12"/>
  <c r="AX7" i="12"/>
  <c r="AW9" i="12"/>
  <c r="AW8" i="12"/>
  <c r="AW10" i="12"/>
  <c r="CN16" i="9"/>
  <c r="CN14" i="9"/>
  <c r="CN15" i="9"/>
  <c r="CN13" i="9"/>
  <c r="CN12" i="9"/>
  <c r="CN11" i="9"/>
  <c r="CN9" i="9"/>
  <c r="CN8" i="9"/>
  <c r="CN10" i="9"/>
  <c r="CO7" i="9"/>
  <c r="AT15" i="9"/>
  <c r="AT13" i="9"/>
  <c r="AT12" i="9"/>
  <c r="AT16" i="9"/>
  <c r="AT14" i="9"/>
  <c r="AT9" i="9"/>
  <c r="AT10" i="9"/>
  <c r="AT11" i="9"/>
  <c r="AT8" i="9"/>
  <c r="AU7" i="9"/>
  <c r="N490" i="1"/>
  <c r="N510" i="1"/>
  <c r="N506" i="1"/>
  <c r="N518" i="1"/>
  <c r="AU7" i="4"/>
  <c r="AU10" i="4" s="1"/>
  <c r="AT9" i="4"/>
  <c r="AT8" i="4"/>
  <c r="CO8" i="4"/>
  <c r="CO9" i="4"/>
  <c r="CP7" i="4"/>
  <c r="CP10" i="4" s="1"/>
  <c r="N534" i="1"/>
  <c r="M518" i="1"/>
  <c r="L3" i="5"/>
  <c r="EJ7" i="4"/>
  <c r="EI8" i="4"/>
  <c r="EI9" i="4"/>
  <c r="L4" i="5"/>
  <c r="L9" i="5"/>
  <c r="K10" i="5"/>
  <c r="L8" i="5"/>
  <c r="M16" i="9" l="1"/>
  <c r="J19" i="4"/>
  <c r="M19" i="4" s="1"/>
  <c r="J18" i="4"/>
  <c r="M18" i="4" s="1"/>
  <c r="J17" i="4"/>
  <c r="M17" i="4" s="1"/>
  <c r="IB11" i="4"/>
  <c r="J11" i="4"/>
  <c r="J13" i="4"/>
  <c r="J10" i="4"/>
  <c r="M10" i="4" s="1"/>
  <c r="J14" i="4"/>
  <c r="M14" i="4" s="1"/>
  <c r="J12" i="4"/>
  <c r="M12" i="4" s="1"/>
  <c r="J16" i="4"/>
  <c r="M16" i="4" s="1"/>
  <c r="J20" i="4"/>
  <c r="M20" i="4" s="1"/>
  <c r="IB8" i="4"/>
  <c r="J8" i="4"/>
  <c r="M8" i="4" s="1"/>
  <c r="M10" i="9"/>
  <c r="IJ9" i="9"/>
  <c r="IH9" i="9" s="1"/>
  <c r="IK9" i="9"/>
  <c r="II9" i="9" s="1"/>
  <c r="M9" i="9"/>
  <c r="II8" i="9"/>
  <c r="IH8" i="9"/>
  <c r="M13" i="9"/>
  <c r="M11" i="9"/>
  <c r="M12" i="9"/>
  <c r="IB9" i="9"/>
  <c r="ID9" i="9"/>
  <c r="IB13" i="9"/>
  <c r="IB12" i="9"/>
  <c r="IB16" i="9"/>
  <c r="I28" i="10"/>
  <c r="IB14" i="4"/>
  <c r="IB19" i="4"/>
  <c r="IB12" i="4"/>
  <c r="IB18" i="4"/>
  <c r="IA9" i="9"/>
  <c r="IJ10" i="9" s="1"/>
  <c r="CO17" i="9"/>
  <c r="CO19" i="9"/>
  <c r="CO20" i="9"/>
  <c r="CO18" i="9"/>
  <c r="AU17" i="9"/>
  <c r="AU19" i="9"/>
  <c r="AU20" i="9"/>
  <c r="AU18" i="9"/>
  <c r="J19" i="10"/>
  <c r="J18" i="10"/>
  <c r="J12" i="10"/>
  <c r="J17" i="10"/>
  <c r="J13" i="10"/>
  <c r="J10" i="10"/>
  <c r="J15" i="10"/>
  <c r="J9" i="10"/>
  <c r="J8" i="10"/>
  <c r="J14" i="10"/>
  <c r="J16" i="10"/>
  <c r="J11" i="10"/>
  <c r="AX12" i="12"/>
  <c r="AX13" i="12"/>
  <c r="AX11" i="12"/>
  <c r="AX9" i="12"/>
  <c r="AX10" i="12"/>
  <c r="AX8" i="12"/>
  <c r="AY7" i="12"/>
  <c r="CQ13" i="12"/>
  <c r="CQ11" i="12"/>
  <c r="CQ10" i="12"/>
  <c r="CQ9" i="12"/>
  <c r="CQ8" i="12"/>
  <c r="CR7" i="12"/>
  <c r="L10" i="5"/>
  <c r="K11" i="5"/>
  <c r="CQ7" i="4"/>
  <c r="CQ10" i="4" s="1"/>
  <c r="CP8" i="4"/>
  <c r="CP9" i="4"/>
  <c r="AU16" i="9"/>
  <c r="AU15" i="9"/>
  <c r="AU14" i="9"/>
  <c r="AU13" i="9"/>
  <c r="AU10" i="9"/>
  <c r="AU11" i="9"/>
  <c r="AU12" i="9"/>
  <c r="AU9" i="9"/>
  <c r="AU8" i="9"/>
  <c r="AV7" i="9"/>
  <c r="EJ9" i="4"/>
  <c r="EK7" i="4"/>
  <c r="EJ8" i="4"/>
  <c r="AU8" i="4"/>
  <c r="AV7" i="4"/>
  <c r="AV10" i="4" s="1"/>
  <c r="AU9" i="4"/>
  <c r="CO16" i="9"/>
  <c r="CO14" i="9"/>
  <c r="CO15" i="9"/>
  <c r="CO11" i="9"/>
  <c r="CO13" i="9"/>
  <c r="CO12" i="9"/>
  <c r="CO9" i="9"/>
  <c r="CO10" i="9"/>
  <c r="CO8" i="9"/>
  <c r="CP7" i="9"/>
  <c r="IB10" i="9" l="1"/>
  <c r="IK10" i="9"/>
  <c r="IO10" i="9" s="1"/>
  <c r="I26" i="10"/>
  <c r="M13" i="4"/>
  <c r="I24" i="10"/>
  <c r="M11" i="4"/>
  <c r="I8" i="10"/>
  <c r="M8" i="9"/>
  <c r="IH10" i="9"/>
  <c r="IL10" i="9" s="1"/>
  <c r="IM9" i="9"/>
  <c r="IO9" i="9"/>
  <c r="IN10" i="9"/>
  <c r="IN9" i="9"/>
  <c r="IL9" i="9"/>
  <c r="IF9" i="9"/>
  <c r="IG9" i="9" s="1"/>
  <c r="IA10" i="9"/>
  <c r="ID10" i="9"/>
  <c r="I31" i="10"/>
  <c r="I29" i="10"/>
  <c r="I27" i="10"/>
  <c r="I30" i="10"/>
  <c r="I32" i="10"/>
  <c r="I23" i="10"/>
  <c r="I25" i="10"/>
  <c r="CP17" i="9"/>
  <c r="CP19" i="9"/>
  <c r="CP20" i="9"/>
  <c r="CP18" i="9"/>
  <c r="AV17" i="9"/>
  <c r="AV19" i="9"/>
  <c r="AV20" i="9"/>
  <c r="AV18" i="9"/>
  <c r="AY13" i="12"/>
  <c r="AY10" i="12"/>
  <c r="AY9" i="12"/>
  <c r="AY12" i="12"/>
  <c r="AY11" i="12"/>
  <c r="AY8" i="12"/>
  <c r="AZ7" i="12"/>
  <c r="CR13" i="12"/>
  <c r="CR11" i="12"/>
  <c r="CR10" i="12"/>
  <c r="CR9" i="12"/>
  <c r="CS7" i="12"/>
  <c r="CR8" i="12"/>
  <c r="AV8" i="4"/>
  <c r="AW7" i="4"/>
  <c r="AW10" i="4" s="1"/>
  <c r="AV9" i="4"/>
  <c r="AV16" i="9"/>
  <c r="AV14" i="9"/>
  <c r="AV15" i="9"/>
  <c r="AV13" i="9"/>
  <c r="AV12" i="9"/>
  <c r="AV11" i="9"/>
  <c r="AV9" i="9"/>
  <c r="AV10" i="9"/>
  <c r="AW7" i="9"/>
  <c r="AV8" i="9"/>
  <c r="CR7" i="4"/>
  <c r="CR10" i="4" s="1"/>
  <c r="CQ8" i="4"/>
  <c r="CQ9" i="4"/>
  <c r="CP15" i="9"/>
  <c r="CP13" i="9"/>
  <c r="CP12" i="9"/>
  <c r="CP16" i="9"/>
  <c r="CP14" i="9"/>
  <c r="CP9" i="9"/>
  <c r="CP8" i="9"/>
  <c r="CP11" i="9"/>
  <c r="CP10" i="9"/>
  <c r="CQ7" i="9"/>
  <c r="L11" i="5"/>
  <c r="K12" i="5"/>
  <c r="EK8" i="4"/>
  <c r="EK9" i="4"/>
  <c r="EL7" i="4"/>
  <c r="IJ11" i="9" l="1"/>
  <c r="IN11" i="9" s="1"/>
  <c r="IB11" i="9"/>
  <c r="II10" i="9"/>
  <c r="IM10" i="9" s="1"/>
  <c r="IH11" i="9"/>
  <c r="IA11" i="9"/>
  <c r="IA12" i="9" s="1"/>
  <c r="IK13" i="9" s="1"/>
  <c r="ID11" i="9"/>
  <c r="IF11" i="9" s="1"/>
  <c r="IG11" i="9" s="1"/>
  <c r="IK11" i="9"/>
  <c r="IF10" i="9"/>
  <c r="IG10" i="9" s="1"/>
  <c r="I21" i="10"/>
  <c r="CQ17" i="9"/>
  <c r="CQ19" i="9"/>
  <c r="CQ20" i="9"/>
  <c r="CQ18" i="9"/>
  <c r="AW17" i="9"/>
  <c r="AW19" i="9"/>
  <c r="AW20" i="9"/>
  <c r="AW18" i="9"/>
  <c r="CS11" i="12"/>
  <c r="CS13" i="12"/>
  <c r="CS8" i="12"/>
  <c r="CS9" i="12"/>
  <c r="CT7" i="12"/>
  <c r="CS10" i="12"/>
  <c r="AZ13" i="12"/>
  <c r="AZ11" i="12"/>
  <c r="AZ12" i="12"/>
  <c r="BA7" i="12"/>
  <c r="AZ10" i="12"/>
  <c r="AZ9" i="12"/>
  <c r="AZ8" i="12"/>
  <c r="EL8" i="4"/>
  <c r="EL9" i="4"/>
  <c r="EM7" i="4"/>
  <c r="AX7" i="4"/>
  <c r="AX10" i="4" s="1"/>
  <c r="AW9" i="4"/>
  <c r="AW8" i="4"/>
  <c r="CQ13" i="9"/>
  <c r="CQ16" i="9"/>
  <c r="CQ15" i="9"/>
  <c r="CQ14" i="9"/>
  <c r="CQ11" i="9"/>
  <c r="CQ12" i="9"/>
  <c r="CQ10" i="9"/>
  <c r="CQ9" i="9"/>
  <c r="CQ8" i="9"/>
  <c r="CR7" i="9"/>
  <c r="CR8" i="4"/>
  <c r="CR9" i="4"/>
  <c r="CS7" i="4"/>
  <c r="CS10" i="4" s="1"/>
  <c r="L12" i="5"/>
  <c r="K13" i="5"/>
  <c r="AW16" i="9"/>
  <c r="AW14" i="9"/>
  <c r="AW15" i="9"/>
  <c r="AW13" i="9"/>
  <c r="AW9" i="9"/>
  <c r="AW12" i="9"/>
  <c r="AW10" i="9"/>
  <c r="AW11" i="9"/>
  <c r="AX7" i="9"/>
  <c r="AW8" i="9"/>
  <c r="IL11" i="9" l="1"/>
  <c r="IK12" i="9"/>
  <c r="II12" i="9" s="1"/>
  <c r="IM12" i="9" s="1"/>
  <c r="IA13" i="9"/>
  <c r="IK14" i="9" s="1"/>
  <c r="IJ14" i="9"/>
  <c r="ID12" i="9"/>
  <c r="IF12" i="9" s="1"/>
  <c r="IG12" i="9" s="1"/>
  <c r="IJ12" i="9"/>
  <c r="ID13" i="9"/>
  <c r="IJ13" i="9"/>
  <c r="II11" i="9"/>
  <c r="IM11" i="9" s="1"/>
  <c r="IO11" i="9"/>
  <c r="I39" i="10"/>
  <c r="AX17" i="9"/>
  <c r="AX19" i="9"/>
  <c r="AX20" i="9"/>
  <c r="AX18" i="9"/>
  <c r="CR17" i="9"/>
  <c r="CR19" i="9"/>
  <c r="CR20" i="9"/>
  <c r="CR18" i="9"/>
  <c r="BA11" i="12"/>
  <c r="BA12" i="12"/>
  <c r="BA13" i="12"/>
  <c r="BB7" i="12"/>
  <c r="BA10" i="12"/>
  <c r="BA8" i="12"/>
  <c r="BA9" i="12"/>
  <c r="CT13" i="12"/>
  <c r="CT9" i="12"/>
  <c r="CT10" i="12"/>
  <c r="CT11" i="12"/>
  <c r="CT8" i="12"/>
  <c r="CU7" i="12"/>
  <c r="AX15" i="9"/>
  <c r="AX13" i="9"/>
  <c r="AX12" i="9"/>
  <c r="AX14" i="9"/>
  <c r="AX16" i="9"/>
  <c r="AX9" i="9"/>
  <c r="AX10" i="9"/>
  <c r="AX11" i="9"/>
  <c r="AX8" i="9"/>
  <c r="AY7" i="9"/>
  <c r="EN7" i="4"/>
  <c r="EM8" i="4"/>
  <c r="EM9" i="4"/>
  <c r="L13" i="5"/>
  <c r="K14" i="5"/>
  <c r="CR16" i="9"/>
  <c r="CR14" i="9"/>
  <c r="CR15" i="9"/>
  <c r="CR12" i="9"/>
  <c r="CR13" i="9"/>
  <c r="CR11" i="9"/>
  <c r="CR9" i="9"/>
  <c r="CR8" i="9"/>
  <c r="CR10" i="9"/>
  <c r="CS7" i="9"/>
  <c r="AX8" i="4"/>
  <c r="AY7" i="4"/>
  <c r="AY10" i="4" s="1"/>
  <c r="AX9" i="4"/>
  <c r="CS8" i="4"/>
  <c r="CS9" i="4"/>
  <c r="CT7" i="4"/>
  <c r="CT10" i="4" s="1"/>
  <c r="II14" i="9" l="1"/>
  <c r="IM14" i="9" s="1"/>
  <c r="IA14" i="9"/>
  <c r="IJ15" i="9" s="1"/>
  <c r="IL15" i="9" s="1"/>
  <c r="ID14" i="9"/>
  <c r="IF14" i="9" s="1"/>
  <c r="IG14" i="9" s="1"/>
  <c r="II13" i="9"/>
  <c r="IM13" i="9" s="1"/>
  <c r="IO13" i="9"/>
  <c r="IO14" i="9"/>
  <c r="IO12" i="9"/>
  <c r="IF13" i="9"/>
  <c r="IK16" i="9"/>
  <c r="IJ16" i="9"/>
  <c r="IN16" i="9" s="1"/>
  <c r="IG13" i="9"/>
  <c r="IH16" i="9"/>
  <c r="IH14" i="9"/>
  <c r="IL14" i="9" s="1"/>
  <c r="IN12" i="9"/>
  <c r="IH15" i="9"/>
  <c r="IH12" i="9"/>
  <c r="IL12" i="9" s="1"/>
  <c r="IN13" i="9"/>
  <c r="IH13" i="9"/>
  <c r="IL13" i="9" s="1"/>
  <c r="IN14" i="9"/>
  <c r="ID16" i="9"/>
  <c r="CS17" i="9"/>
  <c r="CS19" i="9"/>
  <c r="CS20" i="9"/>
  <c r="CS18" i="9"/>
  <c r="AY17" i="9"/>
  <c r="AY20" i="9"/>
  <c r="AY18" i="9"/>
  <c r="AY19" i="9"/>
  <c r="BB12" i="12"/>
  <c r="BB13" i="12"/>
  <c r="BB9" i="12"/>
  <c r="BB10" i="12"/>
  <c r="BB11" i="12"/>
  <c r="BB8" i="12"/>
  <c r="BC7" i="12"/>
  <c r="CU13" i="12"/>
  <c r="CU10" i="12"/>
  <c r="CU9" i="12"/>
  <c r="CU11" i="12"/>
  <c r="CU8" i="12"/>
  <c r="CV7" i="12"/>
  <c r="L14" i="5"/>
  <c r="K15" i="5"/>
  <c r="EO7" i="4"/>
  <c r="EN8" i="4"/>
  <c r="EN9" i="4"/>
  <c r="CU7" i="4"/>
  <c r="CU10" i="4" s="1"/>
  <c r="CT8" i="4"/>
  <c r="CT9" i="4"/>
  <c r="AZ7" i="4"/>
  <c r="AZ10" i="4" s="1"/>
  <c r="AY8" i="4"/>
  <c r="AY9" i="4"/>
  <c r="AY16" i="9"/>
  <c r="AY15" i="9"/>
  <c r="AY14" i="9"/>
  <c r="AY10" i="9"/>
  <c r="AY12" i="9"/>
  <c r="AY11" i="9"/>
  <c r="AY13" i="9"/>
  <c r="AY9" i="9"/>
  <c r="AY8" i="9"/>
  <c r="AZ7" i="9"/>
  <c r="CS16" i="9"/>
  <c r="CS14" i="9"/>
  <c r="CS15" i="9"/>
  <c r="CS11" i="9"/>
  <c r="CS12" i="9"/>
  <c r="CS13" i="9"/>
  <c r="CS9" i="9"/>
  <c r="CS10" i="9"/>
  <c r="CT7" i="9"/>
  <c r="CS8" i="9"/>
  <c r="IN15" i="9" l="1"/>
  <c r="IA15" i="9"/>
  <c r="IA16" i="9" s="1"/>
  <c r="IA17" i="9" s="1"/>
  <c r="IK15" i="9"/>
  <c r="II16" i="9" s="1"/>
  <c r="IM16" i="9" s="1"/>
  <c r="ID15" i="9"/>
  <c r="IF15" i="9" s="1"/>
  <c r="IG15" i="9" s="1"/>
  <c r="IL16" i="9"/>
  <c r="IJ17" i="9"/>
  <c r="IN17" i="9" s="1"/>
  <c r="IK17" i="9"/>
  <c r="IH17" i="9"/>
  <c r="ID17" i="9"/>
  <c r="I33" i="10"/>
  <c r="IB8" i="12"/>
  <c r="CT17" i="9"/>
  <c r="CT20" i="9"/>
  <c r="CT18" i="9"/>
  <c r="CT19" i="9"/>
  <c r="AZ17" i="9"/>
  <c r="AZ20" i="9"/>
  <c r="AZ18" i="9"/>
  <c r="AZ19" i="9"/>
  <c r="BC13" i="12"/>
  <c r="BC10" i="12"/>
  <c r="BC12" i="12"/>
  <c r="BC11" i="12"/>
  <c r="BC9" i="12"/>
  <c r="BC8" i="12"/>
  <c r="BD7" i="12"/>
  <c r="CV13" i="12"/>
  <c r="CV11" i="12"/>
  <c r="CV10" i="12"/>
  <c r="CV9" i="12"/>
  <c r="CV8" i="12"/>
  <c r="CW7" i="12"/>
  <c r="L15" i="5"/>
  <c r="K16" i="5"/>
  <c r="AZ16" i="9"/>
  <c r="AZ14" i="9"/>
  <c r="AZ15" i="9"/>
  <c r="AZ13" i="9"/>
  <c r="AZ12" i="9"/>
  <c r="AZ11" i="9"/>
  <c r="AZ9" i="9"/>
  <c r="AZ10" i="9"/>
  <c r="BA7" i="9"/>
  <c r="AZ8" i="9"/>
  <c r="CT15" i="9"/>
  <c r="CT12" i="9"/>
  <c r="CT14" i="9"/>
  <c r="CT13" i="9"/>
  <c r="CT16" i="9"/>
  <c r="CT9" i="9"/>
  <c r="CT8" i="9"/>
  <c r="CT10" i="9"/>
  <c r="CT11" i="9"/>
  <c r="CU7" i="9"/>
  <c r="CU8" i="4"/>
  <c r="CV7" i="4"/>
  <c r="CV10" i="4" s="1"/>
  <c r="CU9" i="4"/>
  <c r="AZ8" i="4"/>
  <c r="BA7" i="4"/>
  <c r="BA10" i="4" s="1"/>
  <c r="AZ9" i="4"/>
  <c r="EO8" i="4"/>
  <c r="EP7" i="4"/>
  <c r="EO9" i="4"/>
  <c r="IF16" i="9" l="1"/>
  <c r="IG16" i="9" s="1"/>
  <c r="II15" i="9"/>
  <c r="IO15" i="9"/>
  <c r="IM15" i="9"/>
  <c r="IO16" i="9"/>
  <c r="IL17" i="9"/>
  <c r="IK18" i="9"/>
  <c r="II18" i="9" s="1"/>
  <c r="IM18" i="9" s="1"/>
  <c r="IJ18" i="9"/>
  <c r="IH18" i="9" s="1"/>
  <c r="IO17" i="9"/>
  <c r="II17" i="9"/>
  <c r="IM17" i="9" s="1"/>
  <c r="IF17" i="9"/>
  <c r="IG17" i="9" s="1"/>
  <c r="IA18" i="9"/>
  <c r="ID18" i="9"/>
  <c r="I38" i="10"/>
  <c r="CU17" i="9"/>
  <c r="CU20" i="9"/>
  <c r="CU18" i="9"/>
  <c r="CU19" i="9"/>
  <c r="BA17" i="9"/>
  <c r="BA20" i="9"/>
  <c r="BA18" i="9"/>
  <c r="BA19" i="9"/>
  <c r="BD13" i="12"/>
  <c r="BD11" i="12"/>
  <c r="BD12" i="12"/>
  <c r="BD10" i="12"/>
  <c r="BD9" i="12"/>
  <c r="BE7" i="12"/>
  <c r="BD8" i="12"/>
  <c r="CW11" i="12"/>
  <c r="CW13" i="12"/>
  <c r="CW8" i="12"/>
  <c r="CW10" i="12"/>
  <c r="CX7" i="12"/>
  <c r="CW9" i="12"/>
  <c r="BB7" i="4"/>
  <c r="BB10" i="4" s="1"/>
  <c r="BA9" i="4"/>
  <c r="BA8" i="4"/>
  <c r="EP8" i="4"/>
  <c r="EQ7" i="4"/>
  <c r="EP9" i="4"/>
  <c r="CW7" i="4"/>
  <c r="CW10" i="4" s="1"/>
  <c r="CV9" i="4"/>
  <c r="CV8" i="4"/>
  <c r="BA16" i="9"/>
  <c r="BA14" i="9"/>
  <c r="BA15" i="9"/>
  <c r="BA13" i="9"/>
  <c r="BA12" i="9"/>
  <c r="BA9" i="9"/>
  <c r="BA10" i="9"/>
  <c r="BA11" i="9"/>
  <c r="BB7" i="9"/>
  <c r="BA8" i="9"/>
  <c r="L16" i="5"/>
  <c r="K17" i="5"/>
  <c r="CU13" i="9"/>
  <c r="CU16" i="9"/>
  <c r="CU15" i="9"/>
  <c r="CU14" i="9"/>
  <c r="CU11" i="9"/>
  <c r="CU10" i="9"/>
  <c r="CU12" i="9"/>
  <c r="CU9" i="9"/>
  <c r="CV7" i="9"/>
  <c r="CU8" i="9"/>
  <c r="IO18" i="9" l="1"/>
  <c r="IK19" i="9"/>
  <c r="IO19" i="9" s="1"/>
  <c r="IJ19" i="9"/>
  <c r="IN19" i="9" s="1"/>
  <c r="IL18" i="9"/>
  <c r="IN18" i="9"/>
  <c r="IF18" i="9"/>
  <c r="IG18" i="9" s="1"/>
  <c r="IA19" i="9"/>
  <c r="ID19" i="9"/>
  <c r="CV17" i="9"/>
  <c r="CV20" i="9"/>
  <c r="CV18" i="9"/>
  <c r="CV19" i="9"/>
  <c r="BB17" i="9"/>
  <c r="BB20" i="9"/>
  <c r="BB18" i="9"/>
  <c r="BB19" i="9"/>
  <c r="CX13" i="12"/>
  <c r="CX9" i="12"/>
  <c r="CX11" i="12"/>
  <c r="CX10" i="12"/>
  <c r="CX8" i="12"/>
  <c r="CY7" i="12"/>
  <c r="BE11" i="12"/>
  <c r="BE12" i="12"/>
  <c r="BE13" i="12"/>
  <c r="BF7" i="12"/>
  <c r="BE8" i="12"/>
  <c r="BE10" i="12"/>
  <c r="BE9" i="12"/>
  <c r="CV16" i="9"/>
  <c r="CV14" i="9"/>
  <c r="CV15" i="9"/>
  <c r="CV13" i="9"/>
  <c r="CV12" i="9"/>
  <c r="CV11" i="9"/>
  <c r="CV9" i="9"/>
  <c r="CV8" i="9"/>
  <c r="CV10" i="9"/>
  <c r="CW7" i="9"/>
  <c r="BB15" i="9"/>
  <c r="BB13" i="9"/>
  <c r="BB12" i="9"/>
  <c r="BB16" i="9"/>
  <c r="BB14" i="9"/>
  <c r="BB9" i="9"/>
  <c r="BB10" i="9"/>
  <c r="BB11" i="9"/>
  <c r="BB8" i="9"/>
  <c r="BC7" i="9"/>
  <c r="CW8" i="4"/>
  <c r="CX7" i="4"/>
  <c r="CX10" i="4" s="1"/>
  <c r="CW9" i="4"/>
  <c r="L17" i="5"/>
  <c r="K18" i="5"/>
  <c r="ER7" i="4"/>
  <c r="EQ8" i="4"/>
  <c r="EQ9" i="4"/>
  <c r="BC7" i="4"/>
  <c r="BC10" i="4" s="1"/>
  <c r="BB8" i="4"/>
  <c r="BB9" i="4"/>
  <c r="II19" i="9" l="1"/>
  <c r="IM19" i="9"/>
  <c r="IK20" i="9"/>
  <c r="IO20" i="9" s="1"/>
  <c r="IJ20" i="9"/>
  <c r="IH20" i="9"/>
  <c r="IH19" i="9"/>
  <c r="IL19" i="9" s="1"/>
  <c r="IF19" i="9"/>
  <c r="IG19" i="9" s="1"/>
  <c r="IA20" i="9"/>
  <c r="IJ8" i="4" s="1"/>
  <c r="ID20" i="9"/>
  <c r="BC17" i="9"/>
  <c r="BC18" i="9"/>
  <c r="BC19" i="9"/>
  <c r="BC20" i="9"/>
  <c r="CW17" i="9"/>
  <c r="CW20" i="9"/>
  <c r="CW18" i="9"/>
  <c r="CW19" i="9"/>
  <c r="BF12" i="12"/>
  <c r="BF13" i="12"/>
  <c r="BF11" i="12"/>
  <c r="BF9" i="12"/>
  <c r="BF10" i="12"/>
  <c r="BF8" i="12"/>
  <c r="BG7" i="12"/>
  <c r="CY13" i="12"/>
  <c r="CY11" i="12"/>
  <c r="CY10" i="12"/>
  <c r="CY9" i="12"/>
  <c r="CY8" i="12"/>
  <c r="CZ7" i="12"/>
  <c r="L18" i="5"/>
  <c r="K19" i="5"/>
  <c r="BC16" i="9"/>
  <c r="BC14" i="9"/>
  <c r="BC15" i="9"/>
  <c r="BC10" i="9"/>
  <c r="BC11" i="9"/>
  <c r="BC13" i="9"/>
  <c r="BC12" i="9"/>
  <c r="BC9" i="9"/>
  <c r="BC8" i="9"/>
  <c r="BD7" i="9"/>
  <c r="ER9" i="4"/>
  <c r="ES7" i="4"/>
  <c r="ER8" i="4"/>
  <c r="BC8" i="4"/>
  <c r="BD7" i="4"/>
  <c r="BD10" i="4" s="1"/>
  <c r="BC9" i="4"/>
  <c r="CY7" i="4"/>
  <c r="CY10" i="4" s="1"/>
  <c r="CX8" i="4"/>
  <c r="CX9" i="4"/>
  <c r="CW16" i="9"/>
  <c r="CW14" i="9"/>
  <c r="CW15" i="9"/>
  <c r="CW11" i="9"/>
  <c r="CW12" i="9"/>
  <c r="CW9" i="9"/>
  <c r="CW10" i="9"/>
  <c r="CW13" i="9"/>
  <c r="CW8" i="9"/>
  <c r="CX7" i="9"/>
  <c r="II20" i="9" l="1"/>
  <c r="IM20" i="9" s="1"/>
  <c r="IN8" i="4"/>
  <c r="IH8" i="4"/>
  <c r="IL8" i="4"/>
  <c r="IL20" i="9"/>
  <c r="IN20" i="9"/>
  <c r="IA8" i="4"/>
  <c r="IK8" i="4"/>
  <c r="IF20" i="9"/>
  <c r="IG20" i="9" s="1"/>
  <c r="I22" i="10"/>
  <c r="BD17" i="9"/>
  <c r="BD19" i="9"/>
  <c r="BD20" i="9"/>
  <c r="BD18" i="9"/>
  <c r="CX17" i="9"/>
  <c r="CX20" i="9"/>
  <c r="CX18" i="9"/>
  <c r="CX19" i="9"/>
  <c r="BG13" i="12"/>
  <c r="BG10" i="12"/>
  <c r="BG12" i="12"/>
  <c r="BG9" i="12"/>
  <c r="BG11" i="12"/>
  <c r="BG8" i="12"/>
  <c r="BH7" i="12"/>
  <c r="CZ13" i="12"/>
  <c r="CZ11" i="12"/>
  <c r="CZ10" i="12"/>
  <c r="CZ9" i="12"/>
  <c r="DA7" i="12"/>
  <c r="CZ8" i="12"/>
  <c r="CY8" i="4"/>
  <c r="CZ7" i="4"/>
  <c r="CZ10" i="4" s="1"/>
  <c r="CY9" i="4"/>
  <c r="BD16" i="9"/>
  <c r="BD14" i="9"/>
  <c r="BD15" i="9"/>
  <c r="BD13" i="9"/>
  <c r="BD12" i="9"/>
  <c r="BD11" i="9"/>
  <c r="BD9" i="9"/>
  <c r="BD10" i="9"/>
  <c r="BE7" i="9"/>
  <c r="BD8" i="9"/>
  <c r="ES8" i="4"/>
  <c r="ET7" i="4"/>
  <c r="ES9" i="4"/>
  <c r="L19" i="5"/>
  <c r="K20" i="5"/>
  <c r="CX15" i="9"/>
  <c r="CX12" i="9"/>
  <c r="CX16" i="9"/>
  <c r="CX13" i="9"/>
  <c r="CX14" i="9"/>
  <c r="CX9" i="9"/>
  <c r="CX8" i="9"/>
  <c r="CX11" i="9"/>
  <c r="CX10" i="9"/>
  <c r="CY7" i="9"/>
  <c r="BD8" i="4"/>
  <c r="BE7" i="4"/>
  <c r="BE10" i="4" s="1"/>
  <c r="BD9" i="4"/>
  <c r="IJ9" i="4" l="1"/>
  <c r="IN9" i="4" s="1"/>
  <c r="IB9" i="4"/>
  <c r="D23" i="9"/>
  <c r="IA9" i="4"/>
  <c r="IK9" i="4"/>
  <c r="II9" i="4" s="1"/>
  <c r="ID9" i="4"/>
  <c r="II8" i="4"/>
  <c r="IM8" i="4" s="1"/>
  <c r="IO8" i="4"/>
  <c r="IB20" i="4"/>
  <c r="CY17" i="9"/>
  <c r="CY18" i="9"/>
  <c r="CY19" i="9"/>
  <c r="CY20" i="9"/>
  <c r="BE17" i="9"/>
  <c r="BE19" i="9"/>
  <c r="BE20" i="9"/>
  <c r="BE18" i="9"/>
  <c r="DA11" i="12"/>
  <c r="DA13" i="12"/>
  <c r="DA8" i="12"/>
  <c r="DB7" i="12"/>
  <c r="DA10" i="12"/>
  <c r="DA9" i="12"/>
  <c r="BH13" i="12"/>
  <c r="BH11" i="12"/>
  <c r="BH12" i="12"/>
  <c r="BH9" i="12"/>
  <c r="BI7" i="12"/>
  <c r="BH10" i="12"/>
  <c r="BH8" i="12"/>
  <c r="CY13" i="9"/>
  <c r="CY16" i="9"/>
  <c r="CY14" i="9"/>
  <c r="CY11" i="9"/>
  <c r="CY15" i="9"/>
  <c r="CY10" i="9"/>
  <c r="CY12" i="9"/>
  <c r="CY9" i="9"/>
  <c r="CY8" i="9"/>
  <c r="CZ7" i="9"/>
  <c r="BF7" i="4"/>
  <c r="BF10" i="4" s="1"/>
  <c r="BE9" i="4"/>
  <c r="BE8" i="4"/>
  <c r="ET8" i="4"/>
  <c r="EU7" i="4"/>
  <c r="ET9" i="4"/>
  <c r="BE16" i="9"/>
  <c r="BE14" i="9"/>
  <c r="BE15" i="9"/>
  <c r="BE13" i="9"/>
  <c r="BE9" i="9"/>
  <c r="BE12" i="9"/>
  <c r="BE10" i="9"/>
  <c r="BE11" i="9"/>
  <c r="BF7" i="9"/>
  <c r="BE8" i="9"/>
  <c r="L20" i="5"/>
  <c r="K21" i="5"/>
  <c r="CZ9" i="4"/>
  <c r="CZ8" i="4"/>
  <c r="DA7" i="4"/>
  <c r="DA10" i="4" s="1"/>
  <c r="IJ10" i="4" l="1"/>
  <c r="IH10" i="4" s="1"/>
  <c r="IB10" i="4"/>
  <c r="IH9" i="4"/>
  <c r="ID10" i="4"/>
  <c r="IF10" i="4" s="1"/>
  <c r="IG10" i="4" s="1"/>
  <c r="IK10" i="4"/>
  <c r="IO10" i="4" s="1"/>
  <c r="IL9" i="4"/>
  <c r="IA10" i="4"/>
  <c r="IJ11" i="4" s="1"/>
  <c r="IH11" i="4" s="1"/>
  <c r="IO9" i="4"/>
  <c r="IF9" i="4"/>
  <c r="IG9" i="4" s="1"/>
  <c r="IM9" i="4"/>
  <c r="BF17" i="9"/>
  <c r="BF19" i="9"/>
  <c r="BF20" i="9"/>
  <c r="BF18" i="9"/>
  <c r="CZ17" i="9"/>
  <c r="CZ19" i="9"/>
  <c r="CZ20" i="9"/>
  <c r="CZ18" i="9"/>
  <c r="DB13" i="12"/>
  <c r="DB9" i="12"/>
  <c r="DB10" i="12"/>
  <c r="DB8" i="12"/>
  <c r="DC7" i="12"/>
  <c r="DB11" i="12"/>
  <c r="BI11" i="12"/>
  <c r="BI12" i="12"/>
  <c r="BI13" i="12"/>
  <c r="BI9" i="12"/>
  <c r="BJ7" i="12"/>
  <c r="BI10" i="12"/>
  <c r="BI8" i="12"/>
  <c r="DA8" i="4"/>
  <c r="DB7" i="4"/>
  <c r="DB10" i="4" s="1"/>
  <c r="DA9" i="4"/>
  <c r="L21" i="5"/>
  <c r="K22" i="5"/>
  <c r="EV7" i="4"/>
  <c r="EU8" i="4"/>
  <c r="EU9" i="4"/>
  <c r="BF8" i="4"/>
  <c r="BG7" i="4"/>
  <c r="BG10" i="4" s="1"/>
  <c r="BF9" i="4"/>
  <c r="BF15" i="9"/>
  <c r="BF16" i="9"/>
  <c r="BF13" i="9"/>
  <c r="BF12" i="9"/>
  <c r="BF14" i="9"/>
  <c r="BF9" i="9"/>
  <c r="BF10" i="9"/>
  <c r="BF11" i="9"/>
  <c r="BF8" i="9"/>
  <c r="BG7" i="9"/>
  <c r="CZ16" i="9"/>
  <c r="CZ14" i="9"/>
  <c r="CZ15" i="9"/>
  <c r="CZ13" i="9"/>
  <c r="CZ12" i="9"/>
  <c r="CZ11" i="9"/>
  <c r="CZ9" i="9"/>
  <c r="CZ8" i="9"/>
  <c r="CZ10" i="9"/>
  <c r="DA7" i="9"/>
  <c r="IL10" i="4" l="1"/>
  <c r="IN10" i="4"/>
  <c r="ID11" i="4"/>
  <c r="IF11" i="4" s="1"/>
  <c r="IK11" i="4"/>
  <c r="IO11" i="4" s="1"/>
  <c r="II10" i="4"/>
  <c r="IM10" i="4" s="1"/>
  <c r="IA11" i="4"/>
  <c r="IJ12" i="4" s="1"/>
  <c r="IN12" i="4" s="1"/>
  <c r="IL11" i="4"/>
  <c r="IN11" i="4"/>
  <c r="IH12" i="4"/>
  <c r="ID12" i="4"/>
  <c r="BG17" i="9"/>
  <c r="BG19" i="9"/>
  <c r="BG20" i="9"/>
  <c r="BG18" i="9"/>
  <c r="DA17" i="9"/>
  <c r="DA19" i="9"/>
  <c r="DA20" i="9"/>
  <c r="DA18" i="9"/>
  <c r="DC13" i="12"/>
  <c r="DC10" i="12"/>
  <c r="DC11" i="12"/>
  <c r="DC9" i="12"/>
  <c r="DC8" i="12"/>
  <c r="DD7" i="12"/>
  <c r="BJ12" i="12"/>
  <c r="BJ13" i="12"/>
  <c r="BJ9" i="12"/>
  <c r="BJ10" i="12"/>
  <c r="BJ8" i="12"/>
  <c r="BJ11" i="12"/>
  <c r="BK7" i="12"/>
  <c r="BG8" i="4"/>
  <c r="BH7" i="4"/>
  <c r="BH10" i="4" s="1"/>
  <c r="BG9" i="4"/>
  <c r="EV9" i="4"/>
  <c r="EW7" i="4"/>
  <c r="EV8" i="4"/>
  <c r="DA16" i="9"/>
  <c r="DA14" i="9"/>
  <c r="DA15" i="9"/>
  <c r="DA13" i="9"/>
  <c r="DA11" i="9"/>
  <c r="DA12" i="9"/>
  <c r="DA9" i="9"/>
  <c r="DA10" i="9"/>
  <c r="DB7" i="9"/>
  <c r="DA8" i="9"/>
  <c r="L22" i="5"/>
  <c r="K23" i="5"/>
  <c r="DC7" i="4"/>
  <c r="DC10" i="4" s="1"/>
  <c r="DB9" i="4"/>
  <c r="DB8" i="4"/>
  <c r="BG16" i="9"/>
  <c r="BG14" i="9"/>
  <c r="BG15" i="9"/>
  <c r="BG10" i="9"/>
  <c r="BG13" i="9"/>
  <c r="BG12" i="9"/>
  <c r="BG11" i="9"/>
  <c r="BG9" i="9"/>
  <c r="BG8" i="9"/>
  <c r="BH7" i="9"/>
  <c r="II11" i="4" l="1"/>
  <c r="IK12" i="4"/>
  <c r="IO12" i="4" s="1"/>
  <c r="IF12" i="4"/>
  <c r="IG12" i="4" s="1"/>
  <c r="IM11" i="4"/>
  <c r="IG11" i="4"/>
  <c r="IA12" i="4"/>
  <c r="IK13" i="4" s="1"/>
  <c r="II13" i="4" s="1"/>
  <c r="IL12" i="4"/>
  <c r="DB17" i="9"/>
  <c r="DB19" i="9"/>
  <c r="DB20" i="9"/>
  <c r="DB18" i="9"/>
  <c r="BH17" i="9"/>
  <c r="BH19" i="9"/>
  <c r="BH20" i="9"/>
  <c r="BH18" i="9"/>
  <c r="BK13" i="12"/>
  <c r="BK10" i="12"/>
  <c r="BK12" i="12"/>
  <c r="BK11" i="12"/>
  <c r="BK9" i="12"/>
  <c r="BK8" i="12"/>
  <c r="BL7" i="12"/>
  <c r="DD13" i="12"/>
  <c r="DD11" i="12"/>
  <c r="DD9" i="12"/>
  <c r="DD10" i="12"/>
  <c r="DE7" i="12"/>
  <c r="DD8" i="12"/>
  <c r="BH16" i="9"/>
  <c r="BH14" i="9"/>
  <c r="BH15" i="9"/>
  <c r="BH13" i="9"/>
  <c r="BH12" i="9"/>
  <c r="BH11" i="9"/>
  <c r="BH9" i="9"/>
  <c r="BH10" i="9"/>
  <c r="BI7" i="9"/>
  <c r="BH8" i="9"/>
  <c r="DC8" i="4"/>
  <c r="DD7" i="4"/>
  <c r="DD10" i="4" s="1"/>
  <c r="DC9" i="4"/>
  <c r="DB15" i="9"/>
  <c r="DB16" i="9"/>
  <c r="DB12" i="9"/>
  <c r="DB14" i="9"/>
  <c r="DB9" i="9"/>
  <c r="DB8" i="9"/>
  <c r="DB10" i="9"/>
  <c r="DB13" i="9"/>
  <c r="DB11" i="9"/>
  <c r="DC7" i="9"/>
  <c r="BH8" i="4"/>
  <c r="BH9" i="4"/>
  <c r="BI7" i="4"/>
  <c r="BI10" i="4" s="1"/>
  <c r="L23" i="5"/>
  <c r="K24" i="5"/>
  <c r="EW8" i="4"/>
  <c r="EW9" i="4"/>
  <c r="EX7" i="4"/>
  <c r="ID13" i="4" l="1"/>
  <c r="IF13" i="4" s="1"/>
  <c r="IG13" i="4" s="1"/>
  <c r="II12" i="4"/>
  <c r="IM12" i="4"/>
  <c r="IJ13" i="4"/>
  <c r="IB13" i="4"/>
  <c r="IA13" i="4"/>
  <c r="IJ14" i="4" s="1"/>
  <c r="IH14" i="4" s="1"/>
  <c r="IO13" i="4"/>
  <c r="ID14" i="4"/>
  <c r="IK14" i="4"/>
  <c r="IM13" i="4"/>
  <c r="DC17" i="9"/>
  <c r="DC19" i="9"/>
  <c r="DC20" i="9"/>
  <c r="DC18" i="9"/>
  <c r="BI17" i="9"/>
  <c r="BI19" i="9"/>
  <c r="BI20" i="9"/>
  <c r="BI18" i="9"/>
  <c r="DE11" i="12"/>
  <c r="DE13" i="12"/>
  <c r="DE9" i="12"/>
  <c r="DE8" i="12"/>
  <c r="DE10" i="12"/>
  <c r="DF7" i="12"/>
  <c r="BL13" i="12"/>
  <c r="BL11" i="12"/>
  <c r="BL12" i="12"/>
  <c r="BL10" i="12"/>
  <c r="BM7" i="12"/>
  <c r="BL9" i="12"/>
  <c r="BL8" i="12"/>
  <c r="DC13" i="9"/>
  <c r="DC16" i="9"/>
  <c r="DC14" i="9"/>
  <c r="DC15" i="9"/>
  <c r="DC11" i="9"/>
  <c r="DC10" i="9"/>
  <c r="DC12" i="9"/>
  <c r="DC9" i="9"/>
  <c r="DD7" i="9"/>
  <c r="DC8" i="9"/>
  <c r="DD9" i="4"/>
  <c r="DD8" i="4"/>
  <c r="DE7" i="4"/>
  <c r="DE10" i="4" s="1"/>
  <c r="BJ7" i="4"/>
  <c r="BJ10" i="4" s="1"/>
  <c r="BI8" i="4"/>
  <c r="BI9" i="4"/>
  <c r="L24" i="5"/>
  <c r="K25" i="5"/>
  <c r="EY7" i="4"/>
  <c r="EX9" i="4"/>
  <c r="EX8" i="4"/>
  <c r="BI16" i="9"/>
  <c r="BI14" i="9"/>
  <c r="BI15" i="9"/>
  <c r="BI13" i="9"/>
  <c r="BI12" i="9"/>
  <c r="BI9" i="9"/>
  <c r="BI10" i="9"/>
  <c r="BI11" i="9"/>
  <c r="BJ7" i="9"/>
  <c r="BI8" i="9"/>
  <c r="IF14" i="4" l="1"/>
  <c r="IN13" i="4"/>
  <c r="IH13" i="4"/>
  <c r="IL13" i="4"/>
  <c r="IA14" i="4"/>
  <c r="IN14" i="4"/>
  <c r="IL14" i="4"/>
  <c r="IH15" i="4"/>
  <c r="IO14" i="4"/>
  <c r="IG14" i="4"/>
  <c r="ID15" i="4"/>
  <c r="IK15" i="4"/>
  <c r="II14" i="4"/>
  <c r="IM14" i="4" s="1"/>
  <c r="DD17" i="9"/>
  <c r="DD19" i="9"/>
  <c r="DD20" i="9"/>
  <c r="DD18" i="9"/>
  <c r="BJ17" i="9"/>
  <c r="BJ20" i="9"/>
  <c r="BJ18" i="9"/>
  <c r="BJ19" i="9"/>
  <c r="BM11" i="12"/>
  <c r="BM12" i="12"/>
  <c r="BM13" i="12"/>
  <c r="BN7" i="12"/>
  <c r="BM9" i="12"/>
  <c r="BM8" i="12"/>
  <c r="BM10" i="12"/>
  <c r="DF13" i="12"/>
  <c r="DF9" i="12"/>
  <c r="DF11" i="12"/>
  <c r="DF10" i="12"/>
  <c r="DF8" i="12"/>
  <c r="DG7" i="12"/>
  <c r="BK7" i="4"/>
  <c r="BK10" i="4" s="1"/>
  <c r="BJ8" i="4"/>
  <c r="BJ9" i="4"/>
  <c r="BJ15" i="9"/>
  <c r="BJ13" i="9"/>
  <c r="BJ12" i="9"/>
  <c r="BJ16" i="9"/>
  <c r="BJ14" i="9"/>
  <c r="BJ9" i="9"/>
  <c r="BJ10" i="9"/>
  <c r="BJ11" i="9"/>
  <c r="BJ8" i="9"/>
  <c r="BK7" i="9"/>
  <c r="EZ7" i="4"/>
  <c r="EY8" i="4"/>
  <c r="EY9" i="4"/>
  <c r="L25" i="5"/>
  <c r="K26" i="5"/>
  <c r="DE8" i="4"/>
  <c r="DE9" i="4"/>
  <c r="DF7" i="4"/>
  <c r="DF10" i="4" s="1"/>
  <c r="DD16" i="9"/>
  <c r="DD14" i="9"/>
  <c r="DD15" i="9"/>
  <c r="DD13" i="9"/>
  <c r="DD12" i="9"/>
  <c r="DD11" i="9"/>
  <c r="DD9" i="9"/>
  <c r="DD8" i="9"/>
  <c r="DD10" i="9"/>
  <c r="DE7" i="9"/>
  <c r="IJ15" i="4" l="1"/>
  <c r="IN15" i="4" s="1"/>
  <c r="IB15" i="4"/>
  <c r="IA15" i="4"/>
  <c r="IK16" i="4" s="1"/>
  <c r="II16" i="4" s="1"/>
  <c r="II15" i="4"/>
  <c r="IM15" i="4" s="1"/>
  <c r="IO15" i="4"/>
  <c r="IF15" i="4"/>
  <c r="IG15" i="4" s="1"/>
  <c r="ID16" i="4"/>
  <c r="BK17" i="9"/>
  <c r="BK20" i="9"/>
  <c r="BK18" i="9"/>
  <c r="BK19" i="9"/>
  <c r="DE17" i="9"/>
  <c r="DE19" i="9"/>
  <c r="DE20" i="9"/>
  <c r="DE18" i="9"/>
  <c r="DG13" i="12"/>
  <c r="DG11" i="12"/>
  <c r="DG10" i="12"/>
  <c r="DG9" i="12"/>
  <c r="DG8" i="12"/>
  <c r="DH7" i="12"/>
  <c r="BN12" i="12"/>
  <c r="BN13" i="12"/>
  <c r="BN11" i="12"/>
  <c r="BN9" i="12"/>
  <c r="BN10" i="12"/>
  <c r="BN8" i="12"/>
  <c r="BO7" i="12"/>
  <c r="L26" i="5"/>
  <c r="K27" i="5"/>
  <c r="EZ9" i="4"/>
  <c r="FA7" i="4"/>
  <c r="EZ8" i="4"/>
  <c r="BK16" i="9"/>
  <c r="BK15" i="9"/>
  <c r="BK14" i="9"/>
  <c r="BK13" i="9"/>
  <c r="BK10" i="9"/>
  <c r="BK11" i="9"/>
  <c r="BK12" i="9"/>
  <c r="BK9" i="9"/>
  <c r="BK8" i="9"/>
  <c r="BL7" i="9"/>
  <c r="BL7" i="4"/>
  <c r="BL10" i="4" s="1"/>
  <c r="BK8" i="4"/>
  <c r="BK9" i="4"/>
  <c r="DG7" i="4"/>
  <c r="DG10" i="4" s="1"/>
  <c r="DF8" i="4"/>
  <c r="DF9" i="4"/>
  <c r="DE16" i="9"/>
  <c r="DE14" i="9"/>
  <c r="DE15" i="9"/>
  <c r="DE11" i="9"/>
  <c r="DE13" i="9"/>
  <c r="DE12" i="9"/>
  <c r="DE9" i="9"/>
  <c r="DE10" i="9"/>
  <c r="DE8" i="9"/>
  <c r="DF7" i="9"/>
  <c r="IJ16" i="4" l="1"/>
  <c r="IB16" i="4"/>
  <c r="IL15" i="4"/>
  <c r="IA16" i="4"/>
  <c r="ID17" i="4" s="1"/>
  <c r="IM16" i="4"/>
  <c r="IO16" i="4"/>
  <c r="IK17" i="4"/>
  <c r="IF16" i="4"/>
  <c r="IG16" i="4" s="1"/>
  <c r="BL17" i="9"/>
  <c r="BL20" i="9"/>
  <c r="BL18" i="9"/>
  <c r="BL19" i="9"/>
  <c r="DF17" i="9"/>
  <c r="DF20" i="9"/>
  <c r="DF18" i="9"/>
  <c r="DF19" i="9"/>
  <c r="BO13" i="12"/>
  <c r="BO10" i="12"/>
  <c r="BO9" i="12"/>
  <c r="BO11" i="12"/>
  <c r="BO12" i="12"/>
  <c r="BO8" i="12"/>
  <c r="BP7" i="12"/>
  <c r="DH13" i="12"/>
  <c r="DH11" i="12"/>
  <c r="DH10" i="12"/>
  <c r="DH9" i="12"/>
  <c r="DI7" i="12"/>
  <c r="DH8" i="12"/>
  <c r="BL8" i="4"/>
  <c r="BL9" i="4"/>
  <c r="BM7" i="4"/>
  <c r="BM10" i="4" s="1"/>
  <c r="FA8" i="4"/>
  <c r="FA9" i="4"/>
  <c r="FB7" i="4"/>
  <c r="DF15" i="9"/>
  <c r="DF13" i="9"/>
  <c r="DF12" i="9"/>
  <c r="DF16" i="9"/>
  <c r="DF14" i="9"/>
  <c r="DF9" i="9"/>
  <c r="DF8" i="9"/>
  <c r="DF11" i="9"/>
  <c r="DF10" i="9"/>
  <c r="DG7" i="9"/>
  <c r="DH7" i="4"/>
  <c r="DH10" i="4" s="1"/>
  <c r="DG8" i="4"/>
  <c r="DG9" i="4"/>
  <c r="BL16" i="9"/>
  <c r="BL14" i="9"/>
  <c r="BL15" i="9"/>
  <c r="BL13" i="9"/>
  <c r="BL12" i="9"/>
  <c r="BL11" i="9"/>
  <c r="BL9" i="9"/>
  <c r="BL10" i="9"/>
  <c r="BM7" i="9"/>
  <c r="BL8" i="9"/>
  <c r="L27" i="5"/>
  <c r="K28" i="5"/>
  <c r="IL16" i="4" l="1"/>
  <c r="IH16" i="4"/>
  <c r="IN16" i="4"/>
  <c r="IJ17" i="4"/>
  <c r="IB17" i="4"/>
  <c r="IA17" i="4"/>
  <c r="IJ18" i="4" s="1"/>
  <c r="IH18" i="4"/>
  <c r="IK18" i="4"/>
  <c r="IO18" i="4" s="1"/>
  <c r="ID18" i="4"/>
  <c r="IF17" i="4"/>
  <c r="IG17" i="4" s="1"/>
  <c r="II17" i="4"/>
  <c r="IM17" i="4" s="1"/>
  <c r="IO17" i="4"/>
  <c r="BM17" i="9"/>
  <c r="BM20" i="9"/>
  <c r="BM18" i="9"/>
  <c r="BM19" i="9"/>
  <c r="DG17" i="9"/>
  <c r="DG20" i="9"/>
  <c r="DG18" i="9"/>
  <c r="DG19" i="9"/>
  <c r="DI11" i="12"/>
  <c r="DI13" i="12"/>
  <c r="DI8" i="12"/>
  <c r="DI9" i="12"/>
  <c r="DJ7" i="12"/>
  <c r="DI10" i="12"/>
  <c r="BP13" i="12"/>
  <c r="BP11" i="12"/>
  <c r="BP12" i="12"/>
  <c r="BQ7" i="12"/>
  <c r="BP10" i="12"/>
  <c r="BP9" i="12"/>
  <c r="BP8" i="12"/>
  <c r="BM16" i="9"/>
  <c r="BM14" i="9"/>
  <c r="BM15" i="9"/>
  <c r="BM11" i="9"/>
  <c r="BM13" i="9"/>
  <c r="BM9" i="9"/>
  <c r="BM12" i="9"/>
  <c r="BM10" i="9"/>
  <c r="BN7" i="9"/>
  <c r="BM8" i="9"/>
  <c r="DG13" i="9"/>
  <c r="DG16" i="9"/>
  <c r="DG15" i="9"/>
  <c r="DG14" i="9"/>
  <c r="DG11" i="9"/>
  <c r="DG12" i="9"/>
  <c r="DG10" i="9"/>
  <c r="DG9" i="9"/>
  <c r="DG8" i="9"/>
  <c r="DH7" i="9"/>
  <c r="L28" i="5"/>
  <c r="K29" i="5"/>
  <c r="BN7" i="4"/>
  <c r="BN10" i="4" s="1"/>
  <c r="BM8" i="4"/>
  <c r="BM9" i="4"/>
  <c r="FB8" i="4"/>
  <c r="FB9" i="4"/>
  <c r="FC7" i="4"/>
  <c r="DH8" i="4"/>
  <c r="DH9" i="4"/>
  <c r="DI7" i="4"/>
  <c r="DI10" i="4" s="1"/>
  <c r="IN17" i="4" l="1"/>
  <c r="IH17" i="4"/>
  <c r="IL17" i="4" s="1"/>
  <c r="IN18" i="4"/>
  <c r="IL18" i="4"/>
  <c r="IA18" i="4"/>
  <c r="IJ19" i="4" s="1"/>
  <c r="IN19" i="4" s="1"/>
  <c r="IH19" i="4"/>
  <c r="IF18" i="4"/>
  <c r="IG18" i="4" s="1"/>
  <c r="II18" i="4"/>
  <c r="IM18" i="4" s="1"/>
  <c r="ID19" i="4"/>
  <c r="IK19" i="4"/>
  <c r="DH17" i="9"/>
  <c r="DH20" i="9"/>
  <c r="DH18" i="9"/>
  <c r="DH19" i="9"/>
  <c r="BN17" i="9"/>
  <c r="BN20" i="9"/>
  <c r="BN18" i="9"/>
  <c r="BN19" i="9"/>
  <c r="BQ11" i="12"/>
  <c r="BQ12" i="12"/>
  <c r="BQ13" i="12"/>
  <c r="BR7" i="12"/>
  <c r="BQ10" i="12"/>
  <c r="BQ8" i="12"/>
  <c r="BQ9" i="12"/>
  <c r="DJ13" i="12"/>
  <c r="DJ9" i="12"/>
  <c r="DJ10" i="12"/>
  <c r="DJ11" i="12"/>
  <c r="DJ8" i="12"/>
  <c r="DK7" i="12"/>
  <c r="FD7" i="4"/>
  <c r="FC8" i="4"/>
  <c r="FC9" i="4"/>
  <c r="DH16" i="9"/>
  <c r="DH14" i="9"/>
  <c r="DH15" i="9"/>
  <c r="DH12" i="9"/>
  <c r="DH11" i="9"/>
  <c r="DH13" i="9"/>
  <c r="DH9" i="9"/>
  <c r="DH8" i="9"/>
  <c r="DH10" i="9"/>
  <c r="DI7" i="9"/>
  <c r="DI8" i="4"/>
  <c r="DI9" i="4"/>
  <c r="DJ7" i="4"/>
  <c r="DJ10" i="4" s="1"/>
  <c r="BN8" i="4"/>
  <c r="BN9" i="4"/>
  <c r="BO7" i="4"/>
  <c r="BO10" i="4" s="1"/>
  <c r="L29" i="5"/>
  <c r="K30" i="5"/>
  <c r="BN15" i="9"/>
  <c r="BN13" i="9"/>
  <c r="BN12" i="9"/>
  <c r="BN14" i="9"/>
  <c r="BN16" i="9"/>
  <c r="BN9" i="9"/>
  <c r="BN10" i="9"/>
  <c r="BN11" i="9"/>
  <c r="BN8" i="9"/>
  <c r="BO7" i="9"/>
  <c r="IA19" i="4" l="1"/>
  <c r="IJ20" i="4" s="1"/>
  <c r="IN20" i="4" s="1"/>
  <c r="IL19" i="4"/>
  <c r="IH20" i="4"/>
  <c r="II19" i="4"/>
  <c r="IM19" i="4" s="1"/>
  <c r="IO19" i="4"/>
  <c r="ID20" i="4"/>
  <c r="IK20" i="4"/>
  <c r="IF19" i="4"/>
  <c r="IG19" i="4" s="1"/>
  <c r="DI17" i="9"/>
  <c r="DI20" i="9"/>
  <c r="DI18" i="9"/>
  <c r="DI19" i="9"/>
  <c r="BO17" i="9"/>
  <c r="BO18" i="9"/>
  <c r="BO19" i="9"/>
  <c r="BO20" i="9"/>
  <c r="BR12" i="12"/>
  <c r="BR13" i="12"/>
  <c r="BR9" i="12"/>
  <c r="BR10" i="12"/>
  <c r="BR11" i="12"/>
  <c r="BR8" i="12"/>
  <c r="BS7" i="12"/>
  <c r="DK13" i="12"/>
  <c r="DK10" i="12"/>
  <c r="DK9" i="12"/>
  <c r="DK11" i="12"/>
  <c r="DK8" i="12"/>
  <c r="DL7" i="12"/>
  <c r="BO16" i="9"/>
  <c r="BO15" i="9"/>
  <c r="BO14" i="9"/>
  <c r="BO11" i="9"/>
  <c r="BO10" i="9"/>
  <c r="BO12" i="9"/>
  <c r="BO13" i="9"/>
  <c r="BO9" i="9"/>
  <c r="BO8" i="9"/>
  <c r="BP7" i="9"/>
  <c r="L30" i="5"/>
  <c r="K31" i="5"/>
  <c r="DI16" i="9"/>
  <c r="DI14" i="9"/>
  <c r="DI15" i="9"/>
  <c r="DI11" i="9"/>
  <c r="DI12" i="9"/>
  <c r="DI13" i="9"/>
  <c r="DI9" i="9"/>
  <c r="DI10" i="9"/>
  <c r="DJ7" i="9"/>
  <c r="DI8" i="9"/>
  <c r="BP7" i="4"/>
  <c r="BP10" i="4" s="1"/>
  <c r="BO8" i="4"/>
  <c r="BO9" i="4"/>
  <c r="DK7" i="4"/>
  <c r="DK10" i="4" s="1"/>
  <c r="DJ8" i="4"/>
  <c r="DJ9" i="4"/>
  <c r="FE7" i="4"/>
  <c r="FD8" i="4"/>
  <c r="FD9" i="4"/>
  <c r="IA20" i="4" l="1"/>
  <c r="IJ8" i="12" s="1"/>
  <c r="IN8" i="12" s="1"/>
  <c r="IL20" i="4"/>
  <c r="IH8" i="12"/>
  <c r="IK8" i="12"/>
  <c r="II20" i="4"/>
  <c r="IM20" i="4" s="1"/>
  <c r="IO20" i="4"/>
  <c r="IF20" i="4"/>
  <c r="IG20" i="4" s="1"/>
  <c r="DJ17" i="9"/>
  <c r="DJ20" i="9"/>
  <c r="DJ18" i="9"/>
  <c r="DJ19" i="9"/>
  <c r="BP17" i="9"/>
  <c r="BP18" i="9"/>
  <c r="BP19" i="9"/>
  <c r="BP20" i="9"/>
  <c r="DL13" i="12"/>
  <c r="DL11" i="12"/>
  <c r="DL10" i="12"/>
  <c r="DL9" i="12"/>
  <c r="DL8" i="12"/>
  <c r="DM7" i="12"/>
  <c r="BS13" i="12"/>
  <c r="BS10" i="12"/>
  <c r="BS12" i="12"/>
  <c r="BS11" i="12"/>
  <c r="BS9" i="12"/>
  <c r="BS8" i="12"/>
  <c r="BT7" i="12"/>
  <c r="DK8" i="4"/>
  <c r="DL7" i="4"/>
  <c r="DL10" i="4" s="1"/>
  <c r="DK9" i="4"/>
  <c r="BP9" i="4"/>
  <c r="BQ7" i="4"/>
  <c r="BQ10" i="4" s="1"/>
  <c r="BP8" i="4"/>
  <c r="FE8" i="4"/>
  <c r="FF7" i="4"/>
  <c r="FE9" i="4"/>
  <c r="DJ15" i="9"/>
  <c r="DJ12" i="9"/>
  <c r="DJ14" i="9"/>
  <c r="DJ13" i="9"/>
  <c r="DJ16" i="9"/>
  <c r="DJ9" i="9"/>
  <c r="DJ8" i="9"/>
  <c r="DJ10" i="9"/>
  <c r="DJ11" i="9"/>
  <c r="DK7" i="9"/>
  <c r="BP16" i="9"/>
  <c r="BP14" i="9"/>
  <c r="BP15" i="9"/>
  <c r="BP13" i="9"/>
  <c r="BP12" i="9"/>
  <c r="BP11" i="9"/>
  <c r="BP9" i="9"/>
  <c r="BP10" i="9"/>
  <c r="BQ7" i="9"/>
  <c r="BP8" i="9"/>
  <c r="L31" i="5"/>
  <c r="K32" i="5"/>
  <c r="D23" i="4" l="1"/>
  <c r="IA21" i="4"/>
  <c r="IA8" i="12" s="1"/>
  <c r="IJ9" i="12" s="1"/>
  <c r="IN9" i="12" s="1"/>
  <c r="IL8" i="12"/>
  <c r="IH9" i="12"/>
  <c r="IK9" i="12"/>
  <c r="IO9" i="12" s="1"/>
  <c r="ID9" i="12"/>
  <c r="II8" i="12"/>
  <c r="IM8" i="12" s="1"/>
  <c r="IO8" i="12"/>
  <c r="BQ17" i="9"/>
  <c r="BQ19" i="9"/>
  <c r="BQ20" i="9"/>
  <c r="BQ18" i="9"/>
  <c r="DK17" i="9"/>
  <c r="DK18" i="9"/>
  <c r="DK19" i="9"/>
  <c r="DK20" i="9"/>
  <c r="BT13" i="12"/>
  <c r="BT11" i="12"/>
  <c r="BT12" i="12"/>
  <c r="BT10" i="12"/>
  <c r="BT9" i="12"/>
  <c r="BU7" i="12"/>
  <c r="BT8" i="12"/>
  <c r="DM11" i="12"/>
  <c r="DM13" i="12"/>
  <c r="DM8" i="12"/>
  <c r="DM10" i="12"/>
  <c r="DN7" i="12"/>
  <c r="DM9" i="12"/>
  <c r="L32" i="5"/>
  <c r="K33" i="5"/>
  <c r="BQ16" i="9"/>
  <c r="BQ14" i="9"/>
  <c r="BQ15" i="9"/>
  <c r="BQ11" i="9"/>
  <c r="BQ13" i="9"/>
  <c r="BQ12" i="9"/>
  <c r="BQ9" i="9"/>
  <c r="BQ10" i="9"/>
  <c r="BR7" i="9"/>
  <c r="BQ8" i="9"/>
  <c r="FF8" i="4"/>
  <c r="FG7" i="4"/>
  <c r="FF9" i="4"/>
  <c r="DK13" i="9"/>
  <c r="DK16" i="9"/>
  <c r="DK15" i="9"/>
  <c r="DK14" i="9"/>
  <c r="DK11" i="9"/>
  <c r="DK10" i="9"/>
  <c r="DK12" i="9"/>
  <c r="DK9" i="9"/>
  <c r="DL7" i="9"/>
  <c r="DK8" i="9"/>
  <c r="DM7" i="4"/>
  <c r="DM10" i="4" s="1"/>
  <c r="DL9" i="4"/>
  <c r="DL8" i="4"/>
  <c r="BR7" i="4"/>
  <c r="BR10" i="4" s="1"/>
  <c r="BQ8" i="4"/>
  <c r="BQ9" i="4"/>
  <c r="II9" i="12" l="1"/>
  <c r="IA9" i="12"/>
  <c r="IJ10" i="12" s="1"/>
  <c r="IN10" i="12" s="1"/>
  <c r="IL9" i="12"/>
  <c r="IH10" i="12"/>
  <c r="IF9" i="12"/>
  <c r="IG9" i="12" s="1"/>
  <c r="IM9" i="12"/>
  <c r="ID10" i="12"/>
  <c r="IK10" i="12"/>
  <c r="DL17" i="9"/>
  <c r="DL19" i="9"/>
  <c r="DL20" i="9"/>
  <c r="DL18" i="9"/>
  <c r="BR17" i="9"/>
  <c r="BR19" i="9"/>
  <c r="BR20" i="9"/>
  <c r="BR18" i="9"/>
  <c r="DN13" i="12"/>
  <c r="DN9" i="12"/>
  <c r="DN11" i="12"/>
  <c r="DN10" i="12"/>
  <c r="DN8" i="12"/>
  <c r="DO7" i="12"/>
  <c r="BU11" i="12"/>
  <c r="BU12" i="12"/>
  <c r="BU13" i="12"/>
  <c r="BV7" i="12"/>
  <c r="BU8" i="12"/>
  <c r="BU10" i="12"/>
  <c r="BU9" i="12"/>
  <c r="DL16" i="9"/>
  <c r="DL14" i="9"/>
  <c r="DL15" i="9"/>
  <c r="DL13" i="9"/>
  <c r="DL12" i="9"/>
  <c r="DL11" i="9"/>
  <c r="DL9" i="9"/>
  <c r="DL8" i="9"/>
  <c r="DL10" i="9"/>
  <c r="DM7" i="9"/>
  <c r="BR15" i="9"/>
  <c r="BR13" i="9"/>
  <c r="BR12" i="9"/>
  <c r="BR16" i="9"/>
  <c r="BR14" i="9"/>
  <c r="BR9" i="9"/>
  <c r="BR11" i="9"/>
  <c r="BR10" i="9"/>
  <c r="BR8" i="9"/>
  <c r="BS7" i="9"/>
  <c r="BR8" i="4"/>
  <c r="BS7" i="4"/>
  <c r="BS10" i="4" s="1"/>
  <c r="BR9" i="4"/>
  <c r="FH7" i="4"/>
  <c r="FG8" i="4"/>
  <c r="FG9" i="4"/>
  <c r="DM8" i="4"/>
  <c r="DN7" i="4"/>
  <c r="DN10" i="4" s="1"/>
  <c r="DM9" i="4"/>
  <c r="L33" i="5"/>
  <c r="K34" i="5"/>
  <c r="IL10" i="12" l="1"/>
  <c r="IA10" i="12"/>
  <c r="IJ11" i="12" s="1"/>
  <c r="IH11" i="12" s="1"/>
  <c r="IO10" i="12"/>
  <c r="II10" i="12"/>
  <c r="IM10" i="12" s="1"/>
  <c r="IK11" i="12"/>
  <c r="ID11" i="12"/>
  <c r="IF11" i="12" s="1"/>
  <c r="IF10" i="12"/>
  <c r="IG10" i="12" s="1"/>
  <c r="DM17" i="9"/>
  <c r="DM19" i="9"/>
  <c r="DM20" i="9"/>
  <c r="DM18" i="9"/>
  <c r="BS17" i="9"/>
  <c r="BS19" i="9"/>
  <c r="BS20" i="9"/>
  <c r="BS18" i="9"/>
  <c r="BV12" i="12"/>
  <c r="BV13" i="12"/>
  <c r="BV11" i="12"/>
  <c r="BV9" i="12"/>
  <c r="BV10" i="12"/>
  <c r="BV8" i="12"/>
  <c r="BW7" i="12"/>
  <c r="DO13" i="12"/>
  <c r="DO11" i="12"/>
  <c r="DO10" i="12"/>
  <c r="DO9" i="12"/>
  <c r="DO8" i="12"/>
  <c r="DP7" i="12"/>
  <c r="BS16" i="9"/>
  <c r="BS14" i="9"/>
  <c r="BS11" i="9"/>
  <c r="BS15" i="9"/>
  <c r="BS10" i="9"/>
  <c r="BS13" i="9"/>
  <c r="BS12" i="9"/>
  <c r="BS9" i="9"/>
  <c r="BS8" i="9"/>
  <c r="BT7" i="9"/>
  <c r="L34" i="5"/>
  <c r="K35" i="5"/>
  <c r="DO7" i="4"/>
  <c r="DO10" i="4" s="1"/>
  <c r="DN8" i="4"/>
  <c r="DN9" i="4"/>
  <c r="FH9" i="4"/>
  <c r="FI7" i="4"/>
  <c r="FH8" i="4"/>
  <c r="BS8" i="4"/>
  <c r="BT7" i="4"/>
  <c r="BT10" i="4" s="1"/>
  <c r="BS9" i="4"/>
  <c r="DM16" i="9"/>
  <c r="DM14" i="9"/>
  <c r="DM15" i="9"/>
  <c r="DM11" i="9"/>
  <c r="DM12" i="9"/>
  <c r="DM13" i="9"/>
  <c r="DM9" i="9"/>
  <c r="DM10" i="9"/>
  <c r="DM8" i="9"/>
  <c r="DN7" i="9"/>
  <c r="IA11" i="12" l="1"/>
  <c r="IJ12" i="12" s="1"/>
  <c r="IN12" i="12" s="1"/>
  <c r="IL11" i="12"/>
  <c r="IN11" i="12"/>
  <c r="IH12" i="12"/>
  <c r="ID12" i="12"/>
  <c r="IF12" i="12" s="1"/>
  <c r="IG12" i="12" s="1"/>
  <c r="IK12" i="12"/>
  <c r="II12" i="12" s="1"/>
  <c r="IM12" i="12" s="1"/>
  <c r="ID13" i="12"/>
  <c r="IK13" i="12"/>
  <c r="IO11" i="12"/>
  <c r="II13" i="12"/>
  <c r="IG11" i="12"/>
  <c r="ID14" i="12"/>
  <c r="II11" i="12"/>
  <c r="IM11" i="12" s="1"/>
  <c r="DN17" i="9"/>
  <c r="DN19" i="9"/>
  <c r="DN20" i="9"/>
  <c r="DN18" i="9"/>
  <c r="BT17" i="9"/>
  <c r="BT19" i="9"/>
  <c r="BT20" i="9"/>
  <c r="BT18" i="9"/>
  <c r="BW13" i="12"/>
  <c r="BW10" i="12"/>
  <c r="BW12" i="12"/>
  <c r="BW9" i="12"/>
  <c r="BW11" i="12"/>
  <c r="BW8" i="12"/>
  <c r="BX7" i="12"/>
  <c r="DP13" i="12"/>
  <c r="DP11" i="12"/>
  <c r="DP10" i="12"/>
  <c r="DP9" i="12"/>
  <c r="DQ7" i="12"/>
  <c r="DP8" i="12"/>
  <c r="BT16" i="9"/>
  <c r="BT14" i="9"/>
  <c r="BT15" i="9"/>
  <c r="BT13" i="9"/>
  <c r="BT12" i="9"/>
  <c r="BT11" i="9"/>
  <c r="BT9" i="9"/>
  <c r="BT10" i="9"/>
  <c r="BU7" i="9"/>
  <c r="BT8" i="9"/>
  <c r="BU7" i="4"/>
  <c r="BU10" i="4" s="1"/>
  <c r="BT9" i="4"/>
  <c r="BT8" i="4"/>
  <c r="L35" i="5"/>
  <c r="K36" i="5"/>
  <c r="DN15" i="9"/>
  <c r="DN12" i="9"/>
  <c r="DN16" i="9"/>
  <c r="DN13" i="9"/>
  <c r="DN14" i="9"/>
  <c r="DN9" i="9"/>
  <c r="DN8" i="9"/>
  <c r="DN11" i="9"/>
  <c r="DN10" i="9"/>
  <c r="DO7" i="9"/>
  <c r="FI8" i="4"/>
  <c r="FJ7" i="4"/>
  <c r="FI9" i="4"/>
  <c r="DO8" i="4"/>
  <c r="DP7" i="4"/>
  <c r="DP10" i="4" s="1"/>
  <c r="DO9" i="4"/>
  <c r="IL12" i="12" l="1"/>
  <c r="IA12" i="12"/>
  <c r="IJ13" i="12" s="1"/>
  <c r="IN13" i="12" s="1"/>
  <c r="IH13" i="12"/>
  <c r="IK14" i="12"/>
  <c r="IO14" i="12" s="1"/>
  <c r="IJ14" i="12"/>
  <c r="IH14" i="12"/>
  <c r="IO12" i="12"/>
  <c r="IO13" i="12"/>
  <c r="IF14" i="12"/>
  <c r="IG14" i="12" s="1"/>
  <c r="IM13" i="12"/>
  <c r="IF13" i="12"/>
  <c r="IG13" i="12" s="1"/>
  <c r="II14" i="12"/>
  <c r="ID15" i="12"/>
  <c r="IK15" i="12"/>
  <c r="II15" i="12" s="1"/>
  <c r="DO17" i="9"/>
  <c r="DO19" i="9"/>
  <c r="DO20" i="9"/>
  <c r="DO18" i="9"/>
  <c r="BU17" i="9"/>
  <c r="BU19" i="9"/>
  <c r="BU20" i="9"/>
  <c r="BU18" i="9"/>
  <c r="DQ11" i="12"/>
  <c r="DQ13" i="12"/>
  <c r="DQ8" i="12"/>
  <c r="DR7" i="12"/>
  <c r="DQ10" i="12"/>
  <c r="DQ9" i="12"/>
  <c r="BX13" i="12"/>
  <c r="BX11" i="12"/>
  <c r="BX12" i="12"/>
  <c r="BX9" i="12"/>
  <c r="BY7" i="12"/>
  <c r="BX10" i="12"/>
  <c r="BX8" i="12"/>
  <c r="FJ8" i="4"/>
  <c r="FK7" i="4"/>
  <c r="FJ9" i="4"/>
  <c r="DP9" i="4"/>
  <c r="DP8" i="4"/>
  <c r="DQ7" i="4"/>
  <c r="DQ10" i="4" s="1"/>
  <c r="DO13" i="9"/>
  <c r="DO16" i="9"/>
  <c r="DO14" i="9"/>
  <c r="DO11" i="9"/>
  <c r="DO15" i="9"/>
  <c r="DO10" i="9"/>
  <c r="DO12" i="9"/>
  <c r="DO9" i="9"/>
  <c r="DO8" i="9"/>
  <c r="DP7" i="9"/>
  <c r="BV7" i="4"/>
  <c r="BV10" i="4" s="1"/>
  <c r="BU8" i="4"/>
  <c r="BU9" i="4"/>
  <c r="BU16" i="9"/>
  <c r="BU14" i="9"/>
  <c r="BU15" i="9"/>
  <c r="BU11" i="9"/>
  <c r="BU13" i="9"/>
  <c r="BU9" i="9"/>
  <c r="BU12" i="9"/>
  <c r="BU10" i="9"/>
  <c r="BV7" i="9"/>
  <c r="BU8" i="9"/>
  <c r="L36" i="5"/>
  <c r="K37" i="5"/>
  <c r="IN14" i="12" l="1"/>
  <c r="IL13" i="12"/>
  <c r="IA13" i="12"/>
  <c r="IA14" i="12" s="1"/>
  <c r="IJ15" i="12" s="1"/>
  <c r="IN15" i="12" s="1"/>
  <c r="IM14" i="12"/>
  <c r="IL14" i="12"/>
  <c r="IH15" i="12"/>
  <c r="IH16" i="12"/>
  <c r="IO15" i="12"/>
  <c r="IF15" i="12"/>
  <c r="IG15" i="12" s="1"/>
  <c r="ID16" i="12"/>
  <c r="IF16" i="12" s="1"/>
  <c r="IK16" i="12"/>
  <c r="II16" i="12" s="1"/>
  <c r="IM15" i="12"/>
  <c r="BV17" i="9"/>
  <c r="BV20" i="9"/>
  <c r="BV18" i="9"/>
  <c r="BV19" i="9"/>
  <c r="DP17" i="9"/>
  <c r="DP19" i="9"/>
  <c r="DP20" i="9"/>
  <c r="DP18" i="9"/>
  <c r="DR13" i="12"/>
  <c r="DR9" i="12"/>
  <c r="DR10" i="12"/>
  <c r="DR8" i="12"/>
  <c r="DS7" i="12"/>
  <c r="DR11" i="12"/>
  <c r="BY11" i="12"/>
  <c r="BY12" i="12"/>
  <c r="BY13" i="12"/>
  <c r="BY9" i="12"/>
  <c r="BZ7" i="12"/>
  <c r="BY10" i="12"/>
  <c r="BY8" i="12"/>
  <c r="L37" i="5"/>
  <c r="K38" i="5"/>
  <c r="BW7" i="4"/>
  <c r="BW10" i="4" s="1"/>
  <c r="BV9" i="4"/>
  <c r="BV8" i="4"/>
  <c r="BV15" i="9"/>
  <c r="BV16" i="9"/>
  <c r="BV13" i="9"/>
  <c r="BV12" i="9"/>
  <c r="BV14" i="9"/>
  <c r="BV9" i="9"/>
  <c r="BV10" i="9"/>
  <c r="BV11" i="9"/>
  <c r="BV8" i="9"/>
  <c r="BW7" i="9"/>
  <c r="DP16" i="9"/>
  <c r="DP14" i="9"/>
  <c r="DP15" i="9"/>
  <c r="DP13" i="9"/>
  <c r="DP12" i="9"/>
  <c r="DP11" i="9"/>
  <c r="DP9" i="9"/>
  <c r="DP8" i="9"/>
  <c r="DP10" i="9"/>
  <c r="DQ7" i="9"/>
  <c r="DQ8" i="4"/>
  <c r="DR7" i="4"/>
  <c r="DR10" i="4" s="1"/>
  <c r="DQ9" i="4"/>
  <c r="FL7" i="4"/>
  <c r="FK8" i="4"/>
  <c r="FK9" i="4"/>
  <c r="IL15" i="12" l="1"/>
  <c r="IA15" i="12"/>
  <c r="IJ16" i="12" s="1"/>
  <c r="IN16" i="12" s="1"/>
  <c r="IM16" i="12"/>
  <c r="IG16" i="12"/>
  <c r="IK17" i="12"/>
  <c r="IO17" i="12" s="1"/>
  <c r="ID17" i="12"/>
  <c r="IF17" i="12" s="1"/>
  <c r="IO16" i="12"/>
  <c r="BW17" i="9"/>
  <c r="BW20" i="9"/>
  <c r="BW18" i="9"/>
  <c r="BW19" i="9"/>
  <c r="DQ17" i="9"/>
  <c r="DQ19" i="9"/>
  <c r="DQ20" i="9"/>
  <c r="DQ18" i="9"/>
  <c r="BZ12" i="12"/>
  <c r="BZ13" i="12"/>
  <c r="BZ9" i="12"/>
  <c r="BZ10" i="12"/>
  <c r="BZ8" i="12"/>
  <c r="BZ11" i="12"/>
  <c r="CA7" i="12"/>
  <c r="DS13" i="12"/>
  <c r="DS10" i="12"/>
  <c r="DS11" i="12"/>
  <c r="DS9" i="12"/>
  <c r="DS8" i="12"/>
  <c r="DT7" i="12"/>
  <c r="DS7" i="4"/>
  <c r="DS10" i="4" s="1"/>
  <c r="DR9" i="4"/>
  <c r="DR8" i="4"/>
  <c r="BW16" i="9"/>
  <c r="BW14" i="9"/>
  <c r="BW15" i="9"/>
  <c r="BW11" i="9"/>
  <c r="BW10" i="9"/>
  <c r="BW13" i="9"/>
  <c r="BW12" i="9"/>
  <c r="BW9" i="9"/>
  <c r="BW8" i="9"/>
  <c r="BX7" i="9"/>
  <c r="FL9" i="4"/>
  <c r="FM7" i="4"/>
  <c r="FL8" i="4"/>
  <c r="L38" i="5"/>
  <c r="K39" i="5"/>
  <c r="DQ16" i="9"/>
  <c r="DQ14" i="9"/>
  <c r="DQ15" i="9"/>
  <c r="DQ13" i="9"/>
  <c r="DQ11" i="9"/>
  <c r="DQ12" i="9"/>
  <c r="DQ9" i="9"/>
  <c r="DQ10" i="9"/>
  <c r="DR7" i="9"/>
  <c r="DQ8" i="9"/>
  <c r="BW8" i="4"/>
  <c r="BX7" i="4"/>
  <c r="BX10" i="4" s="1"/>
  <c r="BW9" i="4"/>
  <c r="IA16" i="12" l="1"/>
  <c r="IJ17" i="12" s="1"/>
  <c r="IN17" i="12" s="1"/>
  <c r="IL16" i="12"/>
  <c r="IH18" i="12"/>
  <c r="IH17" i="12"/>
  <c r="IG17" i="12"/>
  <c r="ID18" i="12"/>
  <c r="IK18" i="12"/>
  <c r="II17" i="12"/>
  <c r="IM17" i="12" s="1"/>
  <c r="DR17" i="9"/>
  <c r="DR20" i="9"/>
  <c r="DR18" i="9"/>
  <c r="DR19" i="9"/>
  <c r="BX17" i="9"/>
  <c r="BX20" i="9"/>
  <c r="BX18" i="9"/>
  <c r="BX19" i="9"/>
  <c r="CA13" i="12"/>
  <c r="CA10" i="12"/>
  <c r="CA12" i="12"/>
  <c r="CA11" i="12"/>
  <c r="CA9" i="12"/>
  <c r="CA8" i="12"/>
  <c r="CB7" i="12"/>
  <c r="DT13" i="12"/>
  <c r="DT11" i="12"/>
  <c r="DT9" i="12"/>
  <c r="DT10" i="12"/>
  <c r="DU7" i="12"/>
  <c r="DT8" i="12"/>
  <c r="L39" i="5"/>
  <c r="K40" i="5"/>
  <c r="DR15" i="9"/>
  <c r="DR16" i="9"/>
  <c r="DR12" i="9"/>
  <c r="DR14" i="9"/>
  <c r="DR9" i="9"/>
  <c r="DR8" i="9"/>
  <c r="DR10" i="9"/>
  <c r="DR13" i="9"/>
  <c r="DR11" i="9"/>
  <c r="DS7" i="9"/>
  <c r="BX9" i="4"/>
  <c r="BX8" i="4"/>
  <c r="BY7" i="4"/>
  <c r="BY10" i="4" s="1"/>
  <c r="FM8" i="4"/>
  <c r="FM9" i="4"/>
  <c r="FN7" i="4"/>
  <c r="BX16" i="9"/>
  <c r="BX14" i="9"/>
  <c r="BX15" i="9"/>
  <c r="BX13" i="9"/>
  <c r="BX12" i="9"/>
  <c r="BX11" i="9"/>
  <c r="BX9" i="9"/>
  <c r="BX10" i="9"/>
  <c r="BY7" i="9"/>
  <c r="BX8" i="9"/>
  <c r="DS8" i="4"/>
  <c r="DT7" i="4"/>
  <c r="DT10" i="4" s="1"/>
  <c r="DS9" i="4"/>
  <c r="IA17" i="12" l="1"/>
  <c r="IJ18" i="12" s="1"/>
  <c r="IN18" i="12" s="1"/>
  <c r="IL17" i="12"/>
  <c r="IH19" i="12"/>
  <c r="II18" i="12"/>
  <c r="IM18" i="12" s="1"/>
  <c r="IF18" i="12"/>
  <c r="IG18" i="12" s="1"/>
  <c r="IK19" i="12"/>
  <c r="ID19" i="12"/>
  <c r="IO18" i="12"/>
  <c r="BY17" i="9"/>
  <c r="BY20" i="9"/>
  <c r="BY18" i="9"/>
  <c r="BY19" i="9"/>
  <c r="DS17" i="9"/>
  <c r="DS20" i="9"/>
  <c r="DS18" i="9"/>
  <c r="DS19" i="9"/>
  <c r="DU11" i="12"/>
  <c r="DU8" i="12"/>
  <c r="DU13" i="12"/>
  <c r="DU9" i="12"/>
  <c r="DU10" i="12"/>
  <c r="DV7" i="12"/>
  <c r="CB13" i="12"/>
  <c r="CB11" i="12"/>
  <c r="CB12" i="12"/>
  <c r="CB10" i="12"/>
  <c r="CC7" i="12"/>
  <c r="CB9" i="12"/>
  <c r="CB8" i="12"/>
  <c r="FO7" i="4"/>
  <c r="FN9" i="4"/>
  <c r="FN8" i="4"/>
  <c r="BZ7" i="4"/>
  <c r="BZ10" i="4" s="1"/>
  <c r="BY8" i="4"/>
  <c r="BY9" i="4"/>
  <c r="DT9" i="4"/>
  <c r="DT8" i="4"/>
  <c r="DU7" i="4"/>
  <c r="DU10" i="4" s="1"/>
  <c r="DS13" i="9"/>
  <c r="DS16" i="9"/>
  <c r="DS14" i="9"/>
  <c r="DS15" i="9"/>
  <c r="DS11" i="9"/>
  <c r="DS10" i="9"/>
  <c r="DS12" i="9"/>
  <c r="DS9" i="9"/>
  <c r="DT7" i="9"/>
  <c r="DS8" i="9"/>
  <c r="L40" i="5"/>
  <c r="K41" i="5"/>
  <c r="BY16" i="9"/>
  <c r="BY14" i="9"/>
  <c r="BY15" i="9"/>
  <c r="BY11" i="9"/>
  <c r="BY13" i="9"/>
  <c r="BY12" i="9"/>
  <c r="BY9" i="9"/>
  <c r="BY10" i="9"/>
  <c r="BZ7" i="9"/>
  <c r="BY8" i="9"/>
  <c r="IL18" i="12" l="1"/>
  <c r="IA18" i="12"/>
  <c r="IJ19" i="12" s="1"/>
  <c r="IN19" i="12" s="1"/>
  <c r="IH20" i="12"/>
  <c r="IF19" i="12"/>
  <c r="IG19" i="12" s="1"/>
  <c r="IO19" i="12"/>
  <c r="II19" i="12"/>
  <c r="IM19" i="12" s="1"/>
  <c r="ID20" i="12"/>
  <c r="IK20" i="12"/>
  <c r="BZ17" i="9"/>
  <c r="BZ20" i="9"/>
  <c r="BZ18" i="9"/>
  <c r="BZ19" i="9"/>
  <c r="DT17" i="9"/>
  <c r="DT20" i="9"/>
  <c r="DT18" i="9"/>
  <c r="DT19" i="9"/>
  <c r="CC11" i="12"/>
  <c r="CC12" i="12"/>
  <c r="CC13" i="12"/>
  <c r="CD7" i="12"/>
  <c r="CC9" i="12"/>
  <c r="CC8" i="12"/>
  <c r="CC10" i="12"/>
  <c r="DV13" i="12"/>
  <c r="DV9" i="12"/>
  <c r="DV11" i="12"/>
  <c r="DV10" i="12"/>
  <c r="DW7" i="12"/>
  <c r="DV8" i="12"/>
  <c r="CA7" i="4"/>
  <c r="CA10" i="4" s="1"/>
  <c r="BZ8" i="4"/>
  <c r="BZ9" i="4"/>
  <c r="BZ15" i="9"/>
  <c r="BZ13" i="9"/>
  <c r="BZ12" i="9"/>
  <c r="BZ16" i="9"/>
  <c r="BZ14" i="9"/>
  <c r="BZ9" i="9"/>
  <c r="BZ11" i="9"/>
  <c r="BZ10" i="9"/>
  <c r="BZ8" i="9"/>
  <c r="CA7" i="9"/>
  <c r="DT16" i="9"/>
  <c r="DT14" i="9"/>
  <c r="DT15" i="9"/>
  <c r="DT13" i="9"/>
  <c r="DT12" i="9"/>
  <c r="DT11" i="9"/>
  <c r="DT9" i="9"/>
  <c r="DT8" i="9"/>
  <c r="DT10" i="9"/>
  <c r="DU7" i="9"/>
  <c r="L41" i="5"/>
  <c r="K42" i="5"/>
  <c r="DU8" i="4"/>
  <c r="DU9" i="4"/>
  <c r="DV7" i="4"/>
  <c r="DV10" i="4" s="1"/>
  <c r="FP7" i="4"/>
  <c r="FO8" i="4"/>
  <c r="FO9" i="4"/>
  <c r="IA19" i="12" l="1"/>
  <c r="IJ20" i="12" s="1"/>
  <c r="IN20" i="12" s="1"/>
  <c r="IL19" i="12"/>
  <c r="II20" i="12"/>
  <c r="IM20" i="12" s="1"/>
  <c r="IO20" i="12"/>
  <c r="IF20" i="12"/>
  <c r="IG20" i="12" s="1"/>
  <c r="CA17" i="9"/>
  <c r="CA18" i="9"/>
  <c r="CA19" i="9"/>
  <c r="CA20" i="9"/>
  <c r="DU17" i="9"/>
  <c r="DU20" i="9"/>
  <c r="DU18" i="9"/>
  <c r="DU19" i="9"/>
  <c r="DW13" i="12"/>
  <c r="DW11" i="12"/>
  <c r="DW10" i="12"/>
  <c r="DW8" i="12"/>
  <c r="DW9" i="12"/>
  <c r="DX7" i="12"/>
  <c r="CD12" i="12"/>
  <c r="CD13" i="12"/>
  <c r="CD11" i="12"/>
  <c r="CD9" i="12"/>
  <c r="CD10" i="12"/>
  <c r="CD8" i="12"/>
  <c r="CE7" i="12"/>
  <c r="CB7" i="4"/>
  <c r="CB10" i="4" s="1"/>
  <c r="CA8" i="4"/>
  <c r="CA9" i="4"/>
  <c r="DW7" i="4"/>
  <c r="DW10" i="4" s="1"/>
  <c r="DV8" i="4"/>
  <c r="DV9" i="4"/>
  <c r="FP9" i="4"/>
  <c r="FQ7" i="4"/>
  <c r="FP8" i="4"/>
  <c r="DU16" i="9"/>
  <c r="DU14" i="9"/>
  <c r="DU15" i="9"/>
  <c r="DU11" i="9"/>
  <c r="DU13" i="9"/>
  <c r="DU12" i="9"/>
  <c r="DU9" i="9"/>
  <c r="DU10" i="9"/>
  <c r="DU8" i="9"/>
  <c r="DV7" i="9"/>
  <c r="L42" i="5"/>
  <c r="K43" i="5"/>
  <c r="CA16" i="9"/>
  <c r="CA15" i="9"/>
  <c r="CA14" i="9"/>
  <c r="CA11" i="9"/>
  <c r="CA13" i="9"/>
  <c r="CA10" i="9"/>
  <c r="CA12" i="9"/>
  <c r="CA9" i="9"/>
  <c r="CA8" i="9"/>
  <c r="CB7" i="9"/>
  <c r="D23" i="12" l="1"/>
  <c r="IL20" i="12"/>
  <c r="IA20" i="12"/>
  <c r="IA21" i="12" s="1"/>
  <c r="CB17" i="9"/>
  <c r="CB19" i="9"/>
  <c r="CB20" i="9"/>
  <c r="CB18" i="9"/>
  <c r="DV17" i="9"/>
  <c r="DV20" i="9"/>
  <c r="DV18" i="9"/>
  <c r="DV19" i="9"/>
  <c r="DX13" i="12"/>
  <c r="DX11" i="12"/>
  <c r="DX10" i="12"/>
  <c r="DX9" i="12"/>
  <c r="DX8" i="12"/>
  <c r="DY7" i="12"/>
  <c r="CE13" i="12"/>
  <c r="CE10" i="12"/>
  <c r="CE9" i="12"/>
  <c r="CE12" i="12"/>
  <c r="CE11" i="12"/>
  <c r="CE8" i="12"/>
  <c r="CF7" i="12"/>
  <c r="L43" i="5"/>
  <c r="K44" i="5"/>
  <c r="CB16" i="9"/>
  <c r="CB14" i="9"/>
  <c r="CB15" i="9"/>
  <c r="CB13" i="9"/>
  <c r="CB12" i="9"/>
  <c r="CB11" i="9"/>
  <c r="CB9" i="9"/>
  <c r="CB10" i="9"/>
  <c r="CC7" i="9"/>
  <c r="CB8" i="9"/>
  <c r="DV15" i="9"/>
  <c r="DV13" i="9"/>
  <c r="DV12" i="9"/>
  <c r="DV16" i="9"/>
  <c r="DV14" i="9"/>
  <c r="DV9" i="9"/>
  <c r="DV8" i="9"/>
  <c r="DV11" i="9"/>
  <c r="DV10" i="9"/>
  <c r="DW7" i="9"/>
  <c r="FQ8" i="4"/>
  <c r="FQ9" i="4"/>
  <c r="FR7" i="4"/>
  <c r="DX7" i="4"/>
  <c r="DX10" i="4" s="1"/>
  <c r="DW8" i="4"/>
  <c r="DW9" i="4"/>
  <c r="CB8" i="4"/>
  <c r="CB9" i="4"/>
  <c r="CC7" i="4"/>
  <c r="CC10" i="4" s="1"/>
  <c r="DW17" i="9" l="1"/>
  <c r="DW18" i="9"/>
  <c r="DW19" i="9"/>
  <c r="DW20" i="9"/>
  <c r="CC17" i="9"/>
  <c r="CC19" i="9"/>
  <c r="CC20" i="9"/>
  <c r="CC18" i="9"/>
  <c r="CF13" i="12"/>
  <c r="CF11" i="12"/>
  <c r="CF12" i="12"/>
  <c r="CG7" i="12"/>
  <c r="CF10" i="12"/>
  <c r="CF9" i="12"/>
  <c r="CF8" i="12"/>
  <c r="DY11" i="12"/>
  <c r="DY8" i="12"/>
  <c r="DY13" i="12"/>
  <c r="DY9" i="12"/>
  <c r="DZ7" i="12"/>
  <c r="DY10" i="12"/>
  <c r="CD7" i="4"/>
  <c r="CD10" i="4" s="1"/>
  <c r="CC8" i="4"/>
  <c r="CC9" i="4"/>
  <c r="DX8" i="4"/>
  <c r="DX9" i="4"/>
  <c r="DY7" i="4"/>
  <c r="DY10" i="4" s="1"/>
  <c r="DW13" i="9"/>
  <c r="DW16" i="9"/>
  <c r="DW15" i="9"/>
  <c r="DW14" i="9"/>
  <c r="DW11" i="9"/>
  <c r="DW12" i="9"/>
  <c r="DW10" i="9"/>
  <c r="DW9" i="9"/>
  <c r="DW8" i="9"/>
  <c r="DX7" i="9"/>
  <c r="FR8" i="4"/>
  <c r="FR9" i="4"/>
  <c r="FS7" i="4"/>
  <c r="CC16" i="9"/>
  <c r="CC14" i="9"/>
  <c r="CC15" i="9"/>
  <c r="CC11" i="9"/>
  <c r="CC13" i="9"/>
  <c r="CC9" i="9"/>
  <c r="CC12" i="9"/>
  <c r="CC10" i="9"/>
  <c r="CD7" i="9"/>
  <c r="CC8" i="9"/>
  <c r="L44" i="5"/>
  <c r="K45" i="5"/>
  <c r="CD17" i="9" l="1"/>
  <c r="CD19" i="9"/>
  <c r="CD20" i="9"/>
  <c r="CD18" i="9"/>
  <c r="DX17" i="9"/>
  <c r="DX19" i="9"/>
  <c r="DX20" i="9"/>
  <c r="DX18" i="9"/>
  <c r="DZ13" i="12"/>
  <c r="DZ9" i="12"/>
  <c r="DZ10" i="12"/>
  <c r="DZ11" i="12"/>
  <c r="EA7" i="12"/>
  <c r="DZ8" i="12"/>
  <c r="CG11" i="12"/>
  <c r="CG12" i="12"/>
  <c r="CG13" i="12"/>
  <c r="CH7" i="12"/>
  <c r="CG10" i="12"/>
  <c r="CG8" i="12"/>
  <c r="CG9" i="12"/>
  <c r="L45" i="5"/>
  <c r="K46" i="5"/>
  <c r="FT7" i="4"/>
  <c r="FS8" i="4"/>
  <c r="FS9" i="4"/>
  <c r="DX16" i="9"/>
  <c r="DX14" i="9"/>
  <c r="DX15" i="9"/>
  <c r="DX12" i="9"/>
  <c r="DX11" i="9"/>
  <c r="DX13" i="9"/>
  <c r="DX9" i="9"/>
  <c r="DX8" i="9"/>
  <c r="DX10" i="9"/>
  <c r="DY7" i="9"/>
  <c r="DY8" i="4"/>
  <c r="DY9" i="4"/>
  <c r="DZ7" i="4"/>
  <c r="DZ10" i="4" s="1"/>
  <c r="CD15" i="9"/>
  <c r="CD13" i="9"/>
  <c r="CD12" i="9"/>
  <c r="CD14" i="9"/>
  <c r="CD16" i="9"/>
  <c r="CD9" i="9"/>
  <c r="CD10" i="9"/>
  <c r="CD11" i="9"/>
  <c r="CD8" i="9"/>
  <c r="CE7" i="9"/>
  <c r="CD8" i="4"/>
  <c r="CD9" i="4"/>
  <c r="CE7" i="4"/>
  <c r="CE10" i="4" s="1"/>
  <c r="DY17" i="9" l="1"/>
  <c r="DY19" i="9"/>
  <c r="DY20" i="9"/>
  <c r="DY18" i="9"/>
  <c r="CE17" i="9"/>
  <c r="CE19" i="9"/>
  <c r="CE20" i="9"/>
  <c r="CE18" i="9"/>
  <c r="CH12" i="12"/>
  <c r="CH13" i="12"/>
  <c r="CH9" i="12"/>
  <c r="CH10" i="12"/>
  <c r="CH11" i="12"/>
  <c r="CH8" i="12"/>
  <c r="CI7" i="12"/>
  <c r="EA13" i="12"/>
  <c r="EA10" i="12"/>
  <c r="EA9" i="12"/>
  <c r="EA8" i="12"/>
  <c r="EA11" i="12"/>
  <c r="EB7" i="12"/>
  <c r="EA7" i="4"/>
  <c r="EA10" i="4" s="1"/>
  <c r="DZ8" i="4"/>
  <c r="DZ9" i="4"/>
  <c r="CE16" i="9"/>
  <c r="CE15" i="9"/>
  <c r="CE14" i="9"/>
  <c r="CE11" i="9"/>
  <c r="CE10" i="9"/>
  <c r="CE12" i="9"/>
  <c r="CE13" i="9"/>
  <c r="CE9" i="9"/>
  <c r="CE8" i="9"/>
  <c r="CF7" i="9"/>
  <c r="L46" i="5"/>
  <c r="K47" i="5"/>
  <c r="CF7" i="4"/>
  <c r="CF10" i="4" s="1"/>
  <c r="CE8" i="4"/>
  <c r="CE9" i="4"/>
  <c r="DY16" i="9"/>
  <c r="DY14" i="9"/>
  <c r="DY15" i="9"/>
  <c r="DY11" i="9"/>
  <c r="DY12" i="9"/>
  <c r="DY13" i="9"/>
  <c r="DY9" i="9"/>
  <c r="DY10" i="9"/>
  <c r="DY8" i="9"/>
  <c r="DZ7" i="9"/>
  <c r="FU7" i="4"/>
  <c r="FT8" i="4"/>
  <c r="FT9" i="4"/>
  <c r="DZ17" i="9" l="1"/>
  <c r="DZ19" i="9"/>
  <c r="DZ20" i="9"/>
  <c r="DZ18" i="9"/>
  <c r="CF17" i="9"/>
  <c r="CF19" i="9"/>
  <c r="CF20" i="9"/>
  <c r="CF18" i="9"/>
  <c r="EB13" i="12"/>
  <c r="EB11" i="12"/>
  <c r="EB8" i="12"/>
  <c r="EB10" i="12"/>
  <c r="EB9" i="12"/>
  <c r="EC7" i="12"/>
  <c r="CI13" i="12"/>
  <c r="CI10" i="12"/>
  <c r="CI12" i="12"/>
  <c r="CI11" i="12"/>
  <c r="CI9" i="12"/>
  <c r="CI8" i="12"/>
  <c r="CJ7" i="12"/>
  <c r="FU8" i="4"/>
  <c r="FV7" i="4"/>
  <c r="FU9" i="4"/>
  <c r="CF9" i="4"/>
  <c r="CG7" i="4"/>
  <c r="CG10" i="4" s="1"/>
  <c r="CF8" i="4"/>
  <c r="DZ15" i="9"/>
  <c r="DZ12" i="9"/>
  <c r="DZ14" i="9"/>
  <c r="DZ13" i="9"/>
  <c r="DZ16" i="9"/>
  <c r="DZ9" i="9"/>
  <c r="DZ8" i="9"/>
  <c r="DZ10" i="9"/>
  <c r="DZ11" i="9"/>
  <c r="EA7" i="9"/>
  <c r="L47" i="5"/>
  <c r="K48" i="5"/>
  <c r="CF16" i="9"/>
  <c r="CF14" i="9"/>
  <c r="CF15" i="9"/>
  <c r="CF13" i="9"/>
  <c r="CF12" i="9"/>
  <c r="CF11" i="9"/>
  <c r="CF9" i="9"/>
  <c r="CF10" i="9"/>
  <c r="CG7" i="9"/>
  <c r="CF8" i="9"/>
  <c r="EA8" i="4"/>
  <c r="EB7" i="4"/>
  <c r="EB10" i="4" s="1"/>
  <c r="EA9" i="4"/>
  <c r="CG17" i="9" l="1"/>
  <c r="CG19" i="9"/>
  <c r="CG20" i="9"/>
  <c r="CG18" i="9"/>
  <c r="EA17" i="9"/>
  <c r="EA19" i="9"/>
  <c r="EA20" i="9"/>
  <c r="EA18" i="9"/>
  <c r="EC11" i="12"/>
  <c r="EC13" i="12"/>
  <c r="EC8" i="12"/>
  <c r="EC10" i="12"/>
  <c r="EC9" i="12"/>
  <c r="CJ13" i="12"/>
  <c r="CJ11" i="12"/>
  <c r="CJ12" i="12"/>
  <c r="CJ10" i="12"/>
  <c r="CJ9" i="12"/>
  <c r="CJ8" i="12"/>
  <c r="FV8" i="4"/>
  <c r="FV9" i="4"/>
  <c r="CG16" i="9"/>
  <c r="CG14" i="9"/>
  <c r="CG15" i="9"/>
  <c r="CG11" i="9"/>
  <c r="CG13" i="9"/>
  <c r="CG12" i="9"/>
  <c r="CG9" i="9"/>
  <c r="CG10" i="9"/>
  <c r="CH7" i="9"/>
  <c r="CG8" i="9"/>
  <c r="CH7" i="4"/>
  <c r="CH10" i="4" s="1"/>
  <c r="CG8" i="4"/>
  <c r="CG9" i="4"/>
  <c r="EC7" i="4"/>
  <c r="EC10" i="4" s="1"/>
  <c r="EB9" i="4"/>
  <c r="EB8" i="4"/>
  <c r="L48" i="5"/>
  <c r="K49" i="5"/>
  <c r="EA13" i="9"/>
  <c r="EA16" i="9"/>
  <c r="EA15" i="9"/>
  <c r="EA14" i="9"/>
  <c r="EA11" i="9"/>
  <c r="EA10" i="9"/>
  <c r="EA12" i="9"/>
  <c r="EA9" i="9"/>
  <c r="EA8" i="9"/>
  <c r="EB7" i="9"/>
  <c r="EB17" i="9" l="1"/>
  <c r="EB19" i="9"/>
  <c r="EB20" i="9"/>
  <c r="EB18" i="9"/>
  <c r="CH17" i="9"/>
  <c r="CH20" i="9"/>
  <c r="CH18" i="9"/>
  <c r="CH19" i="9"/>
  <c r="EB16" i="9"/>
  <c r="EB14" i="9"/>
  <c r="EB15" i="9"/>
  <c r="EB13" i="9"/>
  <c r="EB12" i="9"/>
  <c r="EB11" i="9"/>
  <c r="EB9" i="9"/>
  <c r="EB8" i="9"/>
  <c r="EB10" i="9"/>
  <c r="EC7" i="9"/>
  <c r="CH15" i="9"/>
  <c r="CH13" i="9"/>
  <c r="CH12" i="9"/>
  <c r="CH16" i="9"/>
  <c r="CH14" i="9"/>
  <c r="CH9" i="9"/>
  <c r="CH11" i="9"/>
  <c r="CH10" i="9"/>
  <c r="CH8" i="9"/>
  <c r="CI7" i="9"/>
  <c r="L49" i="5"/>
  <c r="K50" i="5"/>
  <c r="EC8" i="4"/>
  <c r="EC9" i="4"/>
  <c r="CH8" i="4"/>
  <c r="CI7" i="4"/>
  <c r="CI10" i="4" s="1"/>
  <c r="CH9" i="4"/>
  <c r="EC17" i="9" l="1"/>
  <c r="EC19" i="9"/>
  <c r="EC20" i="9"/>
  <c r="EC18" i="9"/>
  <c r="CI17" i="9"/>
  <c r="CI20" i="9"/>
  <c r="CI18" i="9"/>
  <c r="CI19" i="9"/>
  <c r="CI16" i="9"/>
  <c r="CI14" i="9"/>
  <c r="CI11" i="9"/>
  <c r="CI15" i="9"/>
  <c r="CI10" i="9"/>
  <c r="CI13" i="9"/>
  <c r="CI12" i="9"/>
  <c r="CI9" i="9"/>
  <c r="CI8" i="9"/>
  <c r="CJ7" i="9"/>
  <c r="CI8" i="4"/>
  <c r="CJ7" i="4"/>
  <c r="CJ10" i="4" s="1"/>
  <c r="CI9" i="4"/>
  <c r="L50" i="5"/>
  <c r="K51" i="5"/>
  <c r="EC16" i="9"/>
  <c r="EC14" i="9"/>
  <c r="EC15" i="9"/>
  <c r="EC11" i="9"/>
  <c r="EC12" i="9"/>
  <c r="EC13" i="9"/>
  <c r="EC9" i="9"/>
  <c r="EC10" i="9"/>
  <c r="EC8" i="9"/>
  <c r="CJ17" i="9" l="1"/>
  <c r="CJ20" i="9"/>
  <c r="CJ18" i="9"/>
  <c r="CJ19" i="9"/>
  <c r="CJ9" i="4"/>
  <c r="CJ8" i="4"/>
  <c r="L51" i="5"/>
  <c r="K52" i="5"/>
  <c r="CJ16" i="9"/>
  <c r="CJ14" i="9"/>
  <c r="CJ15" i="9"/>
  <c r="CJ13" i="9"/>
  <c r="CJ12" i="9"/>
  <c r="CJ11" i="9"/>
  <c r="CJ9" i="9"/>
  <c r="CJ8" i="9"/>
  <c r="CJ10" i="9"/>
  <c r="L52" i="5" l="1"/>
  <c r="K53" i="5"/>
  <c r="L53" i="5" l="1"/>
  <c r="K54" i="5"/>
  <c r="L54" i="5" l="1"/>
  <c r="K55" i="5"/>
  <c r="L55" i="5" l="1"/>
  <c r="K56" i="5"/>
  <c r="L56" i="5" l="1"/>
  <c r="K57" i="5"/>
  <c r="L57" i="5" l="1"/>
  <c r="K58" i="5"/>
  <c r="L58" i="5" l="1"/>
  <c r="K59" i="5"/>
  <c r="L59" i="5" l="1"/>
  <c r="K60" i="5"/>
  <c r="L60" i="5" l="1"/>
  <c r="K61" i="5"/>
  <c r="L61" i="5" l="1"/>
  <c r="K62" i="5"/>
  <c r="L62" i="5" l="1"/>
  <c r="K63" i="5"/>
  <c r="L63" i="5" l="1"/>
  <c r="K64" i="5"/>
  <c r="L64" i="5" l="1"/>
  <c r="K65" i="5"/>
  <c r="L65" i="5" l="1"/>
  <c r="K66" i="5"/>
  <c r="L66" i="5" l="1"/>
  <c r="K67" i="5"/>
  <c r="L67" i="5" l="1"/>
  <c r="K68" i="5"/>
  <c r="L68" i="5" l="1"/>
  <c r="K69" i="5"/>
  <c r="L69" i="5" l="1"/>
  <c r="K70" i="5"/>
  <c r="L70" i="5" l="1"/>
  <c r="K71" i="5"/>
  <c r="L71" i="5" l="1"/>
  <c r="K72" i="5"/>
  <c r="L72" i="5" l="1"/>
  <c r="K73" i="5"/>
  <c r="L73" i="5" l="1"/>
  <c r="K74" i="5"/>
  <c r="L74" i="5" l="1"/>
  <c r="K75" i="5"/>
  <c r="L75" i="5" l="1"/>
  <c r="K76" i="5"/>
  <c r="L76" i="5" l="1"/>
  <c r="K77" i="5"/>
  <c r="L77" i="5" l="1"/>
  <c r="K78" i="5"/>
  <c r="L78" i="5" l="1"/>
  <c r="K79" i="5"/>
  <c r="L79" i="5" l="1"/>
  <c r="K80" i="5"/>
  <c r="L80" i="5" l="1"/>
  <c r="K81" i="5"/>
  <c r="L81" i="5" l="1"/>
  <c r="K82" i="5"/>
  <c r="L82" i="5" l="1"/>
  <c r="K83" i="5"/>
  <c r="L83" i="5" l="1"/>
  <c r="K84" i="5"/>
  <c r="L84" i="5" l="1"/>
  <c r="K85" i="5"/>
  <c r="L85" i="5" l="1"/>
  <c r="K86" i="5"/>
  <c r="L86" i="5" l="1"/>
  <c r="K87" i="5"/>
  <c r="L87" i="5" l="1"/>
  <c r="K88" i="5"/>
  <c r="L88" i="5" l="1"/>
  <c r="K89" i="5"/>
  <c r="L89" i="5" l="1"/>
  <c r="K90" i="5"/>
  <c r="L90" i="5" l="1"/>
  <c r="K91" i="5"/>
  <c r="L91" i="5" l="1"/>
  <c r="K92" i="5"/>
  <c r="L92" i="5" l="1"/>
  <c r="K93" i="5"/>
  <c r="L93" i="5" l="1"/>
  <c r="K94" i="5"/>
  <c r="L94" i="5" l="1"/>
  <c r="K95" i="5"/>
  <c r="L95" i="5" l="1"/>
  <c r="K96" i="5"/>
  <c r="L96" i="5" l="1"/>
  <c r="K97" i="5"/>
  <c r="L97" i="5" l="1"/>
  <c r="K98" i="5"/>
  <c r="L98" i="5" l="1"/>
  <c r="K99" i="5"/>
  <c r="L99" i="5" l="1"/>
  <c r="K100" i="5"/>
  <c r="L100" i="5" l="1"/>
  <c r="K101" i="5"/>
  <c r="L101" i="5" l="1"/>
  <c r="K102" i="5"/>
  <c r="L102" i="5" l="1"/>
  <c r="K103" i="5"/>
  <c r="L103" i="5" l="1"/>
  <c r="K104" i="5"/>
  <c r="L104" i="5" l="1"/>
  <c r="K105" i="5"/>
  <c r="L105" i="5" l="1"/>
  <c r="K106" i="5"/>
  <c r="L106" i="5" l="1"/>
  <c r="K107" i="5"/>
  <c r="L107" i="5" l="1"/>
  <c r="K108" i="5"/>
  <c r="L108" i="5" l="1"/>
  <c r="K109" i="5"/>
  <c r="L109" i="5" l="1"/>
  <c r="K110" i="5"/>
  <c r="L110" i="5" l="1"/>
  <c r="K111" i="5"/>
  <c r="L111" i="5" l="1"/>
  <c r="K112" i="5"/>
  <c r="L112" i="5" l="1"/>
  <c r="K113" i="5"/>
  <c r="L113" i="5" l="1"/>
  <c r="K114" i="5"/>
  <c r="L114" i="5" l="1"/>
  <c r="K115" i="5"/>
  <c r="L115" i="5" l="1"/>
  <c r="K116" i="5"/>
  <c r="L116" i="5" l="1"/>
  <c r="K117" i="5"/>
  <c r="L117" i="5" l="1"/>
  <c r="K118" i="5"/>
  <c r="L118" i="5" l="1"/>
  <c r="K119" i="5"/>
  <c r="L119" i="5" l="1"/>
  <c r="K120" i="5"/>
  <c r="L120" i="5" l="1"/>
  <c r="K121" i="5"/>
  <c r="L121" i="5" l="1"/>
  <c r="K122" i="5"/>
  <c r="L122" i="5" l="1"/>
  <c r="K123" i="5"/>
  <c r="L123" i="5" l="1"/>
  <c r="K124" i="5"/>
  <c r="L124" i="5" l="1"/>
  <c r="K125" i="5"/>
  <c r="L125" i="5" l="1"/>
  <c r="K126" i="5"/>
  <c r="L126" i="5" l="1"/>
  <c r="K127" i="5"/>
  <c r="L127" i="5" l="1"/>
  <c r="K128" i="5"/>
  <c r="L128" i="5" l="1"/>
  <c r="K129" i="5"/>
  <c r="L129" i="5" l="1"/>
  <c r="K130" i="5"/>
  <c r="L130" i="5" l="1"/>
  <c r="K131" i="5"/>
  <c r="L131" i="5" l="1"/>
  <c r="K132" i="5"/>
  <c r="L132" i="5" l="1"/>
  <c r="K133" i="5"/>
  <c r="L133" i="5" l="1"/>
  <c r="K134" i="5"/>
  <c r="L134" i="5" l="1"/>
  <c r="K135" i="5"/>
  <c r="L135" i="5" l="1"/>
  <c r="K136" i="5"/>
  <c r="L136" i="5" l="1"/>
  <c r="K137" i="5"/>
  <c r="L137" i="5" l="1"/>
  <c r="K138" i="5"/>
  <c r="L138" i="5" l="1"/>
  <c r="K139" i="5"/>
  <c r="L139" i="5" l="1"/>
  <c r="K140" i="5"/>
  <c r="L140" i="5" l="1"/>
  <c r="K141" i="5"/>
  <c r="K142" i="5" l="1"/>
  <c r="L141" i="5"/>
  <c r="K143" i="5" l="1"/>
  <c r="L142" i="5"/>
  <c r="K144" i="5" l="1"/>
  <c r="L143" i="5"/>
  <c r="K145" i="5" l="1"/>
  <c r="L144" i="5"/>
  <c r="K146" i="5" l="1"/>
  <c r="L145" i="5"/>
  <c r="K147" i="5" l="1"/>
  <c r="L146" i="5"/>
  <c r="K148" i="5" l="1"/>
  <c r="L147" i="5"/>
  <c r="K149" i="5" l="1"/>
  <c r="L148" i="5"/>
  <c r="K150" i="5" l="1"/>
  <c r="L149" i="5"/>
  <c r="K151" i="5" l="1"/>
  <c r="L150" i="5"/>
  <c r="K152" i="5" l="1"/>
  <c r="L151" i="5"/>
  <c r="K153" i="5" l="1"/>
  <c r="L152" i="5"/>
  <c r="K154" i="5" l="1"/>
  <c r="L153" i="5"/>
  <c r="K155" i="5" l="1"/>
  <c r="L154" i="5"/>
  <c r="K156" i="5" l="1"/>
  <c r="L155" i="5"/>
  <c r="K157" i="5" l="1"/>
  <c r="L156" i="5"/>
  <c r="K158" i="5" l="1"/>
  <c r="L157" i="5"/>
  <c r="K159" i="5" l="1"/>
  <c r="L158" i="5"/>
  <c r="K160" i="5" l="1"/>
  <c r="L159" i="5"/>
  <c r="K161" i="5" l="1"/>
  <c r="L160" i="5"/>
  <c r="K162" i="5" l="1"/>
  <c r="L161" i="5"/>
  <c r="K163" i="5" l="1"/>
  <c r="L162" i="5"/>
  <c r="K164" i="5" l="1"/>
  <c r="L163" i="5"/>
  <c r="K165" i="5" l="1"/>
  <c r="L164" i="5"/>
  <c r="K166" i="5" l="1"/>
  <c r="L165" i="5"/>
  <c r="K167" i="5" l="1"/>
  <c r="L166" i="5"/>
  <c r="K168" i="5" l="1"/>
  <c r="L167" i="5"/>
  <c r="K169" i="5" l="1"/>
  <c r="L168" i="5"/>
  <c r="K170" i="5" l="1"/>
  <c r="L169" i="5"/>
  <c r="K171" i="5" l="1"/>
  <c r="L170" i="5"/>
  <c r="K172" i="5" l="1"/>
  <c r="L171" i="5"/>
  <c r="K173" i="5" l="1"/>
  <c r="L172" i="5"/>
  <c r="K174" i="5" l="1"/>
  <c r="L173" i="5"/>
  <c r="K175" i="5" l="1"/>
  <c r="L174" i="5"/>
  <c r="K176" i="5" l="1"/>
  <c r="L175" i="5"/>
  <c r="K177" i="5" l="1"/>
  <c r="L176" i="5"/>
  <c r="K178" i="5" l="1"/>
  <c r="L177" i="5"/>
  <c r="K179" i="5" l="1"/>
  <c r="L178" i="5"/>
  <c r="K180" i="5" l="1"/>
  <c r="L179" i="5"/>
  <c r="K181" i="5" l="1"/>
  <c r="L180" i="5"/>
  <c r="K182" i="5" l="1"/>
  <c r="L181" i="5"/>
  <c r="K183" i="5" l="1"/>
  <c r="L182" i="5"/>
  <c r="K184" i="5" l="1"/>
  <c r="L183" i="5"/>
  <c r="K185" i="5" l="1"/>
  <c r="L184" i="5"/>
  <c r="K186" i="5" l="1"/>
  <c r="L185" i="5"/>
  <c r="K187" i="5" l="1"/>
  <c r="L186" i="5"/>
  <c r="K188" i="5" l="1"/>
  <c r="L187" i="5"/>
  <c r="K189" i="5" l="1"/>
  <c r="L188" i="5"/>
  <c r="K190" i="5" l="1"/>
  <c r="L189" i="5"/>
  <c r="K191" i="5" l="1"/>
  <c r="L190" i="5"/>
  <c r="K192" i="5" l="1"/>
  <c r="L191" i="5"/>
  <c r="K193" i="5" l="1"/>
  <c r="L192" i="5"/>
  <c r="K194" i="5" l="1"/>
  <c r="L193" i="5"/>
  <c r="K195" i="5" l="1"/>
  <c r="L194" i="5"/>
  <c r="K196" i="5" l="1"/>
  <c r="L195" i="5"/>
  <c r="K197" i="5" l="1"/>
  <c r="L196" i="5"/>
  <c r="K198" i="5" l="1"/>
  <c r="L197" i="5"/>
  <c r="K199" i="5" l="1"/>
  <c r="L198" i="5"/>
  <c r="K200" i="5" l="1"/>
  <c r="L199" i="5"/>
  <c r="K201" i="5" l="1"/>
  <c r="L200" i="5"/>
  <c r="K202" i="5" l="1"/>
  <c r="L201" i="5"/>
  <c r="K203" i="5" l="1"/>
  <c r="L202" i="5"/>
  <c r="K204" i="5" l="1"/>
  <c r="L203" i="5"/>
  <c r="K205" i="5" l="1"/>
  <c r="L204" i="5"/>
  <c r="K206" i="5" l="1"/>
  <c r="L205" i="5"/>
  <c r="K207" i="5" l="1"/>
  <c r="L206" i="5"/>
  <c r="K208" i="5" l="1"/>
  <c r="L207" i="5"/>
  <c r="K209" i="5" l="1"/>
  <c r="L208" i="5"/>
  <c r="K210" i="5" l="1"/>
  <c r="L209" i="5"/>
  <c r="K211" i="5" l="1"/>
  <c r="L210" i="5"/>
  <c r="K212" i="5" l="1"/>
  <c r="L211" i="5"/>
  <c r="K213" i="5" l="1"/>
  <c r="L212" i="5"/>
  <c r="K214" i="5" l="1"/>
  <c r="L213" i="5"/>
  <c r="K215" i="5" l="1"/>
  <c r="L214" i="5"/>
  <c r="K216" i="5" l="1"/>
  <c r="L215" i="5"/>
  <c r="K217" i="5" l="1"/>
  <c r="L216" i="5"/>
  <c r="K218" i="5" l="1"/>
  <c r="L217" i="5"/>
  <c r="K219" i="5" l="1"/>
  <c r="L218" i="5"/>
  <c r="K220" i="5" l="1"/>
  <c r="L219" i="5"/>
  <c r="K221" i="5" l="1"/>
  <c r="L220" i="5"/>
  <c r="K222" i="5" l="1"/>
  <c r="L221" i="5"/>
  <c r="K223" i="5" l="1"/>
  <c r="L222" i="5"/>
  <c r="K224" i="5" l="1"/>
  <c r="L223" i="5"/>
  <c r="K225" i="5" l="1"/>
  <c r="L224" i="5"/>
  <c r="K226" i="5" l="1"/>
  <c r="L225" i="5"/>
  <c r="K227" i="5" l="1"/>
  <c r="L226" i="5"/>
  <c r="K228" i="5" l="1"/>
  <c r="L227" i="5"/>
  <c r="K229" i="5" l="1"/>
  <c r="L228" i="5"/>
  <c r="K230" i="5" l="1"/>
  <c r="L229" i="5"/>
  <c r="K231" i="5" l="1"/>
  <c r="L230" i="5"/>
  <c r="K232" i="5" l="1"/>
  <c r="L231" i="5"/>
  <c r="K233" i="5" l="1"/>
  <c r="L232" i="5"/>
  <c r="K234" i="5" l="1"/>
  <c r="L233" i="5"/>
  <c r="K235" i="5" l="1"/>
  <c r="L234" i="5"/>
  <c r="K236" i="5" l="1"/>
  <c r="L235" i="5"/>
  <c r="K237" i="5" l="1"/>
  <c r="L236" i="5"/>
  <c r="K238" i="5" l="1"/>
  <c r="L237" i="5"/>
  <c r="K239" i="5" l="1"/>
  <c r="L238" i="5"/>
  <c r="K240" i="5" l="1"/>
  <c r="L239" i="5"/>
  <c r="K241" i="5" l="1"/>
  <c r="L240" i="5"/>
  <c r="K242" i="5" l="1"/>
  <c r="L241" i="5"/>
  <c r="K243" i="5" l="1"/>
  <c r="L242" i="5"/>
  <c r="K244" i="5" l="1"/>
  <c r="L243" i="5"/>
  <c r="K245" i="5" l="1"/>
  <c r="L244" i="5"/>
  <c r="K246" i="5" l="1"/>
  <c r="L245" i="5"/>
  <c r="K247" i="5" l="1"/>
  <c r="L246" i="5"/>
  <c r="K248" i="5" l="1"/>
  <c r="L247" i="5"/>
  <c r="K249" i="5" l="1"/>
  <c r="L248" i="5"/>
  <c r="K250" i="5" l="1"/>
  <c r="L249" i="5"/>
  <c r="K251" i="5" l="1"/>
  <c r="L250" i="5"/>
  <c r="K252" i="5" l="1"/>
  <c r="L251" i="5"/>
  <c r="K253" i="5" l="1"/>
  <c r="L252" i="5"/>
  <c r="K254" i="5" l="1"/>
  <c r="L253" i="5"/>
  <c r="K255" i="5" l="1"/>
  <c r="L254" i="5"/>
  <c r="K256" i="5" l="1"/>
  <c r="L255" i="5"/>
  <c r="K257" i="5" l="1"/>
  <c r="L256" i="5"/>
  <c r="K258" i="5" l="1"/>
  <c r="L257" i="5"/>
  <c r="K259" i="5" l="1"/>
  <c r="L258" i="5"/>
  <c r="K260" i="5" l="1"/>
  <c r="L259" i="5"/>
  <c r="K261" i="5" l="1"/>
  <c r="L260" i="5"/>
  <c r="K262" i="5" l="1"/>
  <c r="L261" i="5"/>
  <c r="K263" i="5" l="1"/>
  <c r="L262" i="5"/>
  <c r="K264" i="5" l="1"/>
  <c r="L263" i="5"/>
  <c r="K265" i="5" l="1"/>
  <c r="L264" i="5"/>
  <c r="K266" i="5" l="1"/>
  <c r="L265" i="5"/>
  <c r="K267" i="5" l="1"/>
  <c r="L266" i="5"/>
  <c r="K268" i="5" l="1"/>
  <c r="L267" i="5"/>
  <c r="K269" i="5" l="1"/>
  <c r="L268" i="5"/>
  <c r="K270" i="5" l="1"/>
  <c r="L269" i="5"/>
  <c r="K271" i="5" l="1"/>
  <c r="L270" i="5"/>
  <c r="K272" i="5" l="1"/>
  <c r="L271" i="5"/>
  <c r="K273" i="5" l="1"/>
  <c r="L272" i="5"/>
  <c r="K274" i="5" l="1"/>
  <c r="L273" i="5"/>
  <c r="K275" i="5" l="1"/>
  <c r="L274" i="5"/>
  <c r="K276" i="5" l="1"/>
  <c r="L275" i="5"/>
  <c r="K277" i="5" l="1"/>
  <c r="L276" i="5"/>
  <c r="K278" i="5" l="1"/>
  <c r="L277" i="5"/>
  <c r="K279" i="5" l="1"/>
  <c r="L278" i="5"/>
  <c r="K280" i="5" l="1"/>
  <c r="L279" i="5"/>
  <c r="K281" i="5" l="1"/>
  <c r="L280" i="5"/>
  <c r="K282" i="5" l="1"/>
  <c r="L281" i="5"/>
  <c r="K283" i="5" l="1"/>
  <c r="L282" i="5"/>
  <c r="K284" i="5" l="1"/>
  <c r="L283" i="5"/>
  <c r="K285" i="5" l="1"/>
  <c r="L284" i="5"/>
  <c r="K286" i="5" l="1"/>
  <c r="L285" i="5"/>
  <c r="K287" i="5" l="1"/>
  <c r="L286" i="5"/>
  <c r="K288" i="5" l="1"/>
  <c r="L287" i="5"/>
  <c r="K289" i="5" l="1"/>
  <c r="L288" i="5"/>
  <c r="K290" i="5" l="1"/>
  <c r="L289" i="5"/>
  <c r="K291" i="5" l="1"/>
  <c r="L290" i="5"/>
  <c r="K292" i="5" l="1"/>
  <c r="L291" i="5"/>
  <c r="K293" i="5" l="1"/>
  <c r="L292" i="5"/>
  <c r="K294" i="5" l="1"/>
  <c r="L293" i="5"/>
  <c r="K295" i="5" l="1"/>
  <c r="L294" i="5"/>
  <c r="K296" i="5" l="1"/>
  <c r="L295" i="5"/>
  <c r="K297" i="5" l="1"/>
  <c r="L296" i="5"/>
  <c r="K298" i="5" l="1"/>
  <c r="L297" i="5"/>
  <c r="K299" i="5" l="1"/>
  <c r="L298" i="5"/>
  <c r="K300" i="5" l="1"/>
  <c r="L299" i="5"/>
  <c r="K301" i="5" l="1"/>
  <c r="L300" i="5"/>
  <c r="K302" i="5" l="1"/>
  <c r="L301" i="5"/>
  <c r="K303" i="5" l="1"/>
  <c r="L302" i="5"/>
  <c r="K304" i="5" l="1"/>
  <c r="L303" i="5"/>
  <c r="K305" i="5" l="1"/>
  <c r="L304" i="5"/>
  <c r="K306" i="5" l="1"/>
  <c r="L305" i="5"/>
  <c r="K307" i="5" l="1"/>
  <c r="L306" i="5"/>
  <c r="K308" i="5" l="1"/>
  <c r="L307" i="5"/>
  <c r="K309" i="5" l="1"/>
  <c r="L308" i="5"/>
  <c r="K310" i="5" l="1"/>
  <c r="L309" i="5"/>
  <c r="K311" i="5" l="1"/>
  <c r="L310" i="5"/>
  <c r="K312" i="5" l="1"/>
  <c r="L311" i="5"/>
  <c r="K313" i="5" l="1"/>
  <c r="L312" i="5"/>
  <c r="K314" i="5" l="1"/>
  <c r="L313" i="5"/>
  <c r="K315" i="5" l="1"/>
  <c r="L314" i="5"/>
  <c r="K316" i="5" l="1"/>
  <c r="L315" i="5"/>
  <c r="K317" i="5" l="1"/>
  <c r="L316" i="5"/>
  <c r="K318" i="5" l="1"/>
  <c r="L317" i="5"/>
  <c r="K319" i="5" l="1"/>
  <c r="L318" i="5"/>
  <c r="K320" i="5" l="1"/>
  <c r="L319" i="5"/>
  <c r="K321" i="5" l="1"/>
  <c r="L320" i="5"/>
  <c r="K322" i="5" l="1"/>
  <c r="L321" i="5"/>
  <c r="K323" i="5" l="1"/>
  <c r="L322" i="5"/>
  <c r="K324" i="5" l="1"/>
  <c r="L323" i="5"/>
  <c r="K325" i="5" l="1"/>
  <c r="L324" i="5"/>
  <c r="K326" i="5" l="1"/>
  <c r="L325" i="5"/>
  <c r="K327" i="5" l="1"/>
  <c r="L326" i="5"/>
  <c r="K328" i="5" l="1"/>
  <c r="L327" i="5"/>
  <c r="K329" i="5" l="1"/>
  <c r="L328" i="5"/>
  <c r="K330" i="5" l="1"/>
  <c r="L329" i="5"/>
  <c r="K331" i="5" l="1"/>
  <c r="L330" i="5"/>
  <c r="K332" i="5" l="1"/>
  <c r="L331" i="5"/>
  <c r="K333" i="5" l="1"/>
  <c r="L332" i="5"/>
  <c r="K334" i="5" l="1"/>
  <c r="L333" i="5"/>
  <c r="K335" i="5" l="1"/>
  <c r="L334" i="5"/>
  <c r="K336" i="5" l="1"/>
  <c r="L335" i="5"/>
  <c r="K337" i="5" l="1"/>
  <c r="L336" i="5"/>
  <c r="K338" i="5" l="1"/>
  <c r="L337" i="5"/>
  <c r="K339" i="5" l="1"/>
  <c r="L338" i="5"/>
  <c r="K340" i="5" l="1"/>
  <c r="L339" i="5"/>
  <c r="K341" i="5" l="1"/>
  <c r="L340" i="5"/>
  <c r="K342" i="5" l="1"/>
  <c r="L341" i="5"/>
  <c r="K343" i="5" l="1"/>
  <c r="L342" i="5"/>
  <c r="K344" i="5" l="1"/>
  <c r="L343" i="5"/>
  <c r="K345" i="5" l="1"/>
  <c r="L344" i="5"/>
  <c r="K346" i="5" l="1"/>
  <c r="L345" i="5"/>
  <c r="K347" i="5" l="1"/>
  <c r="L346" i="5"/>
  <c r="K348" i="5" l="1"/>
  <c r="L347" i="5"/>
  <c r="K349" i="5" l="1"/>
  <c r="L348" i="5"/>
  <c r="K350" i="5" l="1"/>
  <c r="L349" i="5"/>
  <c r="K351" i="5" l="1"/>
  <c r="L350" i="5"/>
  <c r="K352" i="5" l="1"/>
  <c r="L351" i="5"/>
  <c r="K353" i="5" l="1"/>
  <c r="L352" i="5"/>
  <c r="K354" i="5" l="1"/>
  <c r="L353" i="5"/>
  <c r="K355" i="5" l="1"/>
  <c r="L354" i="5"/>
  <c r="K356" i="5" l="1"/>
  <c r="L355" i="5"/>
  <c r="K357" i="5" l="1"/>
  <c r="L356" i="5"/>
  <c r="K358" i="5" l="1"/>
  <c r="L357" i="5"/>
  <c r="K359" i="5" l="1"/>
  <c r="L358" i="5"/>
  <c r="K360" i="5" l="1"/>
  <c r="L359" i="5"/>
  <c r="K361" i="5" l="1"/>
  <c r="L360" i="5"/>
  <c r="K362" i="5" l="1"/>
  <c r="L361" i="5"/>
  <c r="K363" i="5" l="1"/>
  <c r="L362" i="5"/>
  <c r="K364" i="5" l="1"/>
  <c r="L364" i="5" s="1"/>
  <c r="L363" i="5"/>
  <c r="I9" i="10"/>
  <c r="I11" i="10" l="1"/>
  <c r="I10" i="10"/>
  <c r="I12" i="10" l="1"/>
  <c r="I13" i="10" l="1"/>
  <c r="I14" i="10" l="1"/>
  <c r="I15" i="10" l="1"/>
  <c r="I16" i="10" l="1"/>
  <c r="I17" i="10" l="1"/>
  <c r="I18" i="10" l="1"/>
  <c r="I20" i="10" l="1"/>
  <c r="I19" i="10"/>
</calcChain>
</file>

<file path=xl/sharedStrings.xml><?xml version="1.0" encoding="utf-8"?>
<sst xmlns="http://schemas.openxmlformats.org/spreadsheetml/2006/main" count="9286" uniqueCount="1693">
  <si>
    <t>Form No.:EC66</t>
    <phoneticPr fontId="3" type="noConversion"/>
  </si>
  <si>
    <t>Ref.:</t>
    <phoneticPr fontId="3" type="noConversion"/>
  </si>
  <si>
    <r>
      <t xml:space="preserve">WI/RS/COM/009 , WI/RS/COM/072,  </t>
    </r>
    <r>
      <rPr>
        <sz val="9"/>
        <color indexed="12"/>
        <rFont val="Arial"/>
        <family val="2"/>
      </rPr>
      <t>WI/DPO/DCC/005</t>
    </r>
  </si>
  <si>
    <t>updated 26/4/2023</t>
  </si>
  <si>
    <t>Issue: 5/0</t>
  </si>
  <si>
    <t>Date :</t>
    <phoneticPr fontId="3" type="noConversion"/>
  </si>
  <si>
    <t>SHD Early (Planning &amp; Briefing)</t>
  </si>
  <si>
    <t>SHD Late (Planning &amp; Briefing)</t>
  </si>
  <si>
    <r>
      <t>列車調動日誌</t>
    </r>
    <r>
      <rPr>
        <b/>
        <u/>
        <sz val="12"/>
        <rFont val="Arial"/>
        <family val="2"/>
      </rPr>
      <t xml:space="preserve"> (Train Movement Log)</t>
    </r>
    <phoneticPr fontId="3" type="noConversion"/>
  </si>
  <si>
    <t>0830</t>
  </si>
  <si>
    <r>
      <t>車廠：</t>
    </r>
    <r>
      <rPr>
        <sz val="9"/>
        <rFont val="Arial"/>
        <family val="2"/>
      </rPr>
      <t xml:space="preserve">                      </t>
    </r>
    <phoneticPr fontId="3" type="noConversion"/>
  </si>
  <si>
    <t>日期：</t>
    <phoneticPr fontId="3" type="noConversion"/>
  </si>
  <si>
    <t>項目</t>
    <phoneticPr fontId="3" type="noConversion"/>
  </si>
  <si>
    <t>簡報
時間</t>
  </si>
  <si>
    <r>
      <t>調動車輛編號</t>
    </r>
    <r>
      <rPr>
        <sz val="9"/>
        <rFont val="Arial"/>
        <family val="2"/>
      </rPr>
      <t xml:space="preserve">        
( DOWN to UP )</t>
    </r>
  </si>
  <si>
    <r>
      <t>工作主管</t>
    </r>
    <r>
      <rPr>
        <sz val="9"/>
        <rFont val="Arial"/>
        <family val="2"/>
      </rPr>
      <t>(WIC)
Work-In-Charge</t>
    </r>
    <phoneticPr fontId="3" type="noConversion"/>
  </si>
  <si>
    <r>
      <t>調車主管</t>
    </r>
    <r>
      <rPr>
        <sz val="9"/>
        <rFont val="Arial"/>
        <family val="2"/>
      </rPr>
      <t xml:space="preserve"> (MIC)
</t>
    </r>
    <r>
      <rPr>
        <sz val="9"/>
        <rFont val="Wingdings 2"/>
        <family val="1"/>
        <charset val="2"/>
      </rPr>
      <t>u</t>
    </r>
    <r>
      <rPr>
        <sz val="9"/>
        <rFont val="Arial"/>
        <family val="2"/>
      </rPr>
      <t>Movement-In-Charge</t>
    </r>
    <phoneticPr fontId="3" type="noConversion"/>
  </si>
  <si>
    <r>
      <t>有關的
路徑</t>
    </r>
    <r>
      <rPr>
        <sz val="9"/>
        <rFont val="Arial"/>
        <family val="2"/>
      </rPr>
      <t>(</t>
    </r>
    <r>
      <rPr>
        <sz val="9"/>
        <rFont val="新細明體"/>
        <family val="1"/>
        <charset val="136"/>
      </rPr>
      <t>路</t>
    </r>
    <r>
      <rPr>
        <sz val="9"/>
        <rFont val="Arial"/>
        <family val="2"/>
      </rPr>
      <t>)</t>
    </r>
    <phoneticPr fontId="3" type="noConversion"/>
  </si>
  <si>
    <r>
      <t>有關的
信號</t>
    </r>
    <r>
      <rPr>
        <sz val="9"/>
        <rFont val="Arial"/>
        <family val="2"/>
      </rPr>
      <t>(</t>
    </r>
    <r>
      <rPr>
        <sz val="9"/>
        <rFont val="新細明體"/>
        <family val="1"/>
        <charset val="136"/>
      </rPr>
      <t>燈</t>
    </r>
    <r>
      <rPr>
        <sz val="9"/>
        <rFont val="Arial"/>
        <family val="2"/>
      </rPr>
      <t>)</t>
    </r>
    <phoneticPr fontId="3" type="noConversion"/>
  </si>
  <si>
    <r>
      <t>有關的
道岔</t>
    </r>
    <r>
      <rPr>
        <sz val="9"/>
        <rFont val="Arial"/>
        <family val="2"/>
      </rPr>
      <t>(</t>
    </r>
    <r>
      <rPr>
        <sz val="9"/>
        <rFont val="新細明體"/>
        <family val="1"/>
        <charset val="136"/>
      </rPr>
      <t>波</t>
    </r>
    <r>
      <rPr>
        <sz val="9"/>
        <rFont val="Arial"/>
        <family val="2"/>
      </rPr>
      <t>)</t>
    </r>
  </si>
  <si>
    <r>
      <t>開始</t>
    </r>
    <r>
      <rPr>
        <sz val="9"/>
        <rFont val="Arial"/>
        <family val="2"/>
      </rPr>
      <t xml:space="preserve"> / </t>
    </r>
    <r>
      <rPr>
        <sz val="9"/>
        <rFont val="新細明體"/>
        <family val="1"/>
        <charset val="136"/>
      </rPr>
      <t>完工
預算時間</t>
    </r>
    <phoneticPr fontId="3" type="noConversion"/>
  </si>
  <si>
    <t>簽名</t>
    <phoneticPr fontId="3" type="noConversion"/>
  </si>
  <si>
    <t>姓名</t>
    <phoneticPr fontId="3" type="noConversion"/>
  </si>
  <si>
    <r>
      <t>聯絡電話</t>
    </r>
    <r>
      <rPr>
        <sz val="9"/>
        <rFont val="Arial"/>
        <family val="2"/>
      </rPr>
      <t>/ R.I.N</t>
    </r>
    <phoneticPr fontId="3" type="noConversion"/>
  </si>
  <si>
    <r>
      <t xml:space="preserve">調車場主管(DYM)  / </t>
    </r>
    <r>
      <rPr>
        <sz val="8"/>
        <color indexed="9"/>
        <rFont val="新細明體"/>
        <family val="1"/>
        <charset val="136"/>
      </rPr>
      <t>aaaaaaaaaaa</t>
    </r>
    <r>
      <rPr>
        <sz val="8"/>
        <rFont val="新細明體"/>
        <family val="1"/>
        <charset val="136"/>
      </rPr>
      <t>工作主管</t>
    </r>
    <r>
      <rPr>
        <sz val="8"/>
        <color indexed="9"/>
        <rFont val="新細明體"/>
        <family val="1"/>
        <charset val="136"/>
      </rPr>
      <t>aaaa</t>
    </r>
    <r>
      <rPr>
        <sz val="8"/>
        <rFont val="新細明體"/>
        <family val="1"/>
        <charset val="136"/>
      </rPr>
      <t>(WIC)</t>
    </r>
    <r>
      <rPr>
        <sz val="8"/>
        <color indexed="9"/>
        <rFont val="新細明體"/>
        <family val="1"/>
        <charset val="136"/>
      </rPr>
      <t>aaa</t>
    </r>
    <r>
      <rPr>
        <sz val="8"/>
        <rFont val="新細明體"/>
        <family val="1"/>
        <charset val="136"/>
      </rPr>
      <t xml:space="preserve"> [只用於在車廠無信號的軌道內進行調車]</t>
    </r>
  </si>
  <si>
    <r>
      <t>車廠營運　
主任</t>
    </r>
    <r>
      <rPr>
        <sz val="8"/>
        <rFont val="Arial"/>
        <family val="2"/>
      </rPr>
      <t>(DOC)</t>
    </r>
  </si>
  <si>
    <r>
      <t xml:space="preserve">調車主管
</t>
    </r>
    <r>
      <rPr>
        <sz val="8"/>
        <rFont val="Arial"/>
        <family val="2"/>
      </rPr>
      <t>(MIC)</t>
    </r>
  </si>
  <si>
    <t xml:space="preserve">車鈎
操作員 
(CO) </t>
  </si>
  <si>
    <t xml:space="preserve">v確認者 </t>
  </si>
  <si>
    <r>
      <t>w</t>
    </r>
    <r>
      <rPr>
        <sz val="8"/>
        <rFont val="細明體"/>
        <family val="3"/>
        <charset val="136"/>
      </rPr>
      <t>授權工程人員</t>
    </r>
  </si>
  <si>
    <r>
      <t>己通知調車</t>
    </r>
    <r>
      <rPr>
        <sz val="8"/>
        <color indexed="9"/>
        <rFont val="新細明體"/>
        <family val="1"/>
        <charset val="136"/>
      </rPr>
      <t>aaaaaaa</t>
    </r>
    <r>
      <rPr>
        <sz val="8"/>
        <rFont val="新細明體"/>
        <family val="1"/>
        <charset val="136"/>
      </rPr>
      <t>場主管</t>
    </r>
    <r>
      <rPr>
        <sz val="8"/>
        <color indexed="9"/>
        <rFont val="新細明體"/>
        <family val="1"/>
        <charset val="136"/>
      </rPr>
      <t>aaaaaa</t>
    </r>
    <r>
      <rPr>
        <sz val="8"/>
        <rFont val="新細明體"/>
        <family val="1"/>
        <charset val="136"/>
      </rPr>
      <t>(DYM)</t>
    </r>
    <r>
      <rPr>
        <sz val="8"/>
        <color indexed="9"/>
        <rFont val="新細明體"/>
        <family val="1"/>
        <charset val="136"/>
      </rPr>
      <t>a</t>
    </r>
    <r>
      <rPr>
        <sz val="8"/>
        <rFont val="新細明體"/>
        <family val="1"/>
        <charset val="136"/>
      </rPr>
      <t xml:space="preserve">   [只用於在車廠無信號的軌道內進行調車]   </t>
    </r>
    <r>
      <rPr>
        <sz val="8"/>
        <color indexed="9"/>
        <rFont val="新細明體"/>
        <family val="1"/>
        <charset val="136"/>
      </rPr>
      <t xml:space="preserve"> aaaaaaa </t>
    </r>
    <r>
      <rPr>
        <sz val="8"/>
        <rFont val="新細明體"/>
        <family val="1"/>
        <charset val="136"/>
      </rPr>
      <t xml:space="preserve">          調車場主管 (DYM)</t>
    </r>
  </si>
  <si>
    <t>起始點</t>
  </si>
  <si>
    <t>步驟1</t>
  </si>
  <si>
    <t>步驟2</t>
  </si>
  <si>
    <t>步驟3</t>
  </si>
  <si>
    <t>步驟4</t>
  </si>
  <si>
    <t>SHD01 +</t>
  </si>
  <si>
    <t>SHD03 +</t>
  </si>
  <si>
    <t>SHD01 -</t>
  </si>
  <si>
    <t>SHD03 -</t>
  </si>
  <si>
    <t>SHD01
車數量</t>
  </si>
  <si>
    <t>SHD03
車數量</t>
  </si>
  <si>
    <t>SPAD</t>
  </si>
  <si>
    <t>SHD02
count</t>
  </si>
  <si>
    <t>SHD04
count</t>
  </si>
  <si>
    <t>SHD02
mark</t>
  </si>
  <si>
    <t>SHD04
mark</t>
  </si>
  <si>
    <t>SHD02
no.</t>
  </si>
  <si>
    <t>SHD04
no.</t>
  </si>
  <si>
    <t>SHD02
total</t>
  </si>
  <si>
    <t>SHD04
total</t>
  </si>
  <si>
    <t>:00</t>
  </si>
  <si>
    <t>East Departure</t>
  </si>
  <si>
    <t>E DT</t>
  </si>
  <si>
    <t>East Arrival</t>
  </si>
  <si>
    <t>E AV</t>
  </si>
  <si>
    <t>Test Track</t>
  </si>
  <si>
    <t>TEST</t>
  </si>
  <si>
    <t>West Departure</t>
  </si>
  <si>
    <t>W DT</t>
  </si>
  <si>
    <t>West Arrival</t>
  </si>
  <si>
    <t>W AV</t>
  </si>
  <si>
    <t>地車</t>
  </si>
  <si>
    <t>WL</t>
  </si>
  <si>
    <t>16燈</t>
  </si>
  <si>
    <t>SHD16</t>
  </si>
  <si>
    <t>Paint shop</t>
  </si>
  <si>
    <t>PS1</t>
  </si>
  <si>
    <t>10燈</t>
  </si>
  <si>
    <t>SHD10</t>
  </si>
  <si>
    <t>AB9</t>
  </si>
  <si>
    <t>EM SidingEM1</t>
  </si>
  <si>
    <t>EM1</t>
  </si>
  <si>
    <t>05燈</t>
  </si>
  <si>
    <t>SHD5</t>
  </si>
  <si>
    <t>06燈</t>
  </si>
  <si>
    <t>SHD6</t>
  </si>
  <si>
    <r>
      <t>備註</t>
    </r>
    <r>
      <rPr>
        <sz val="8"/>
        <rFont val="Arial"/>
        <family val="2"/>
      </rPr>
      <t>:</t>
    </r>
  </si>
  <si>
    <t>u</t>
  </si>
  <si>
    <t xml:space="preserve">如該列車調動牽涉多於一名車廠調車司機和手號員，可委任其中一名車廠調車司機為調車主管(MIC)。  HSR 不適用 </t>
  </si>
  <si>
    <t>Lifing 積</t>
  </si>
  <si>
    <t>LF2</t>
  </si>
  <si>
    <t>LF3</t>
  </si>
  <si>
    <t>LF4</t>
  </si>
  <si>
    <t>v w</t>
  </si>
  <si>
    <r>
      <t xml:space="preserve"> </t>
    </r>
    <r>
      <rPr>
        <sz val="8"/>
        <rFont val="新細明體"/>
        <family val="1"/>
        <charset val="136"/>
      </rPr>
      <t>參考工作指示</t>
    </r>
    <r>
      <rPr>
        <sz val="8"/>
        <color indexed="12"/>
        <rFont val="Arial"/>
        <family val="2"/>
      </rPr>
      <t>WI/DPO/DCC/005</t>
    </r>
    <r>
      <rPr>
        <sz val="8"/>
        <rFont val="新細明體"/>
        <family val="1"/>
        <charset val="136"/>
      </rPr>
      <t xml:space="preserve">內需要進行確認的項目。                                  </t>
    </r>
    <r>
      <rPr>
        <sz val="8"/>
        <rFont val="Arial"/>
        <family val="2"/>
      </rPr>
      <t>參考工作指示WI/RS/COM/009 或 WI/RS/COM/072 內4.24 進行確認的項目</t>
    </r>
  </si>
  <si>
    <t>04燈</t>
  </si>
  <si>
    <t>SHD4</t>
  </si>
  <si>
    <t>02燈</t>
  </si>
  <si>
    <t>SHD2</t>
  </si>
  <si>
    <t>SHD Early (Planning &amp; Briefing)2</t>
  </si>
  <si>
    <t>SHD Late (Planning &amp; Briefing)2</t>
  </si>
  <si>
    <r>
      <t>調動車輛編號</t>
    </r>
    <r>
      <rPr>
        <sz val="9"/>
        <rFont val="Arial"/>
        <family val="2"/>
      </rPr>
      <t xml:space="preserve">        
( DOWN to UP )</t>
    </r>
    <phoneticPr fontId="3" type="noConversion"/>
  </si>
  <si>
    <r>
      <t xml:space="preserve">調車場主管(DYM)  / </t>
    </r>
    <r>
      <rPr>
        <sz val="9"/>
        <color indexed="9"/>
        <rFont val="新細明體"/>
        <family val="1"/>
        <charset val="136"/>
      </rPr>
      <t>aaaaaaaaaaa</t>
    </r>
    <r>
      <rPr>
        <sz val="9"/>
        <rFont val="新細明體"/>
        <family val="1"/>
        <charset val="136"/>
      </rPr>
      <t>工作主管</t>
    </r>
    <r>
      <rPr>
        <sz val="9"/>
        <color indexed="9"/>
        <rFont val="新細明體"/>
        <family val="1"/>
        <charset val="136"/>
      </rPr>
      <t>aaaa</t>
    </r>
    <r>
      <rPr>
        <sz val="9"/>
        <rFont val="新細明體"/>
        <family val="1"/>
        <charset val="136"/>
      </rPr>
      <t>(WIC)</t>
    </r>
    <r>
      <rPr>
        <sz val="9"/>
        <color indexed="9"/>
        <rFont val="新細明體"/>
        <family val="1"/>
        <charset val="136"/>
      </rPr>
      <t>aaa</t>
    </r>
    <r>
      <rPr>
        <sz val="9"/>
        <rFont val="新細明體"/>
        <family val="1"/>
        <charset val="136"/>
      </rPr>
      <t xml:space="preserve"> [只用於在車廠無信號的軌道內進行調車]</t>
    </r>
  </si>
  <si>
    <r>
      <t>車廠營運　
主任</t>
    </r>
    <r>
      <rPr>
        <sz val="9"/>
        <rFont val="Arial"/>
        <family val="2"/>
      </rPr>
      <t>(DOC)</t>
    </r>
    <phoneticPr fontId="3" type="noConversion"/>
  </si>
  <si>
    <r>
      <t xml:space="preserve">調車主管
</t>
    </r>
    <r>
      <rPr>
        <sz val="9"/>
        <rFont val="Arial"/>
        <family val="2"/>
      </rPr>
      <t>(MIC)</t>
    </r>
    <phoneticPr fontId="3" type="noConversion"/>
  </si>
  <si>
    <r>
      <t>v</t>
    </r>
    <r>
      <rPr>
        <sz val="9"/>
        <rFont val="新細明體"/>
        <family val="1"/>
        <charset val="136"/>
      </rPr>
      <t>確認者</t>
    </r>
    <phoneticPr fontId="3" type="noConversion"/>
  </si>
  <si>
    <r>
      <t>w</t>
    </r>
    <r>
      <rPr>
        <sz val="9"/>
        <rFont val="細明體"/>
        <family val="3"/>
        <charset val="136"/>
      </rPr>
      <t>授權工程人員</t>
    </r>
  </si>
  <si>
    <r>
      <t>己通知調車</t>
    </r>
    <r>
      <rPr>
        <sz val="8.5"/>
        <color indexed="9"/>
        <rFont val="新細明體"/>
        <family val="1"/>
        <charset val="136"/>
      </rPr>
      <t>aaaaaaa</t>
    </r>
    <r>
      <rPr>
        <sz val="8.5"/>
        <rFont val="新細明體"/>
        <family val="1"/>
        <charset val="136"/>
      </rPr>
      <t>場主管</t>
    </r>
    <r>
      <rPr>
        <sz val="8.5"/>
        <color indexed="9"/>
        <rFont val="新細明體"/>
        <family val="1"/>
        <charset val="136"/>
      </rPr>
      <t>aaaaaa</t>
    </r>
    <r>
      <rPr>
        <sz val="8.5"/>
        <rFont val="新細明體"/>
        <family val="1"/>
        <charset val="136"/>
      </rPr>
      <t>(DYM)</t>
    </r>
    <r>
      <rPr>
        <sz val="8.5"/>
        <color indexed="9"/>
        <rFont val="新細明體"/>
        <family val="1"/>
        <charset val="136"/>
      </rPr>
      <t>a</t>
    </r>
    <r>
      <rPr>
        <sz val="8.5"/>
        <rFont val="新細明體"/>
        <family val="1"/>
        <charset val="136"/>
      </rPr>
      <t xml:space="preserve">   [只用於在車廠無信號的軌道內進行調車]   </t>
    </r>
    <r>
      <rPr>
        <sz val="8.5"/>
        <color indexed="9"/>
        <rFont val="新細明體"/>
        <family val="1"/>
        <charset val="136"/>
      </rPr>
      <t xml:space="preserve"> aaaaaaa </t>
    </r>
    <r>
      <rPr>
        <sz val="8.5"/>
        <rFont val="新細明體"/>
        <family val="1"/>
        <charset val="136"/>
      </rPr>
      <t xml:space="preserve">          調車場主管 (DYM)</t>
    </r>
  </si>
  <si>
    <t>SHD</t>
  </si>
  <si>
    <t>u</t>
    <phoneticPr fontId="3" type="noConversion"/>
  </si>
  <si>
    <t>Form No.:EC66</t>
  </si>
  <si>
    <r>
      <t xml:space="preserve">WI/RS/COM/009 , WI/RS/COM/072,                   </t>
    </r>
    <r>
      <rPr>
        <sz val="9"/>
        <color indexed="12"/>
        <rFont val="Arial"/>
        <family val="2"/>
      </rPr>
      <t>WI/DPO/DCC/005</t>
    </r>
  </si>
  <si>
    <r>
      <t>追加列車調動日誌</t>
    </r>
    <r>
      <rPr>
        <b/>
        <u/>
        <sz val="12"/>
        <rFont val="Arial"/>
        <family val="2"/>
      </rPr>
      <t xml:space="preserve"> (Train Movement Log)</t>
    </r>
  </si>
  <si>
    <t>時間</t>
    <phoneticPr fontId="3" type="noConversion"/>
  </si>
  <si>
    <t>S H D   ( Late Briefing )</t>
  </si>
  <si>
    <t>S H D   ( Early Briefing )</t>
  </si>
  <si>
    <r>
      <t>列車調動記錄</t>
    </r>
    <r>
      <rPr>
        <u/>
        <sz val="16"/>
        <rFont val="Arial"/>
        <family val="2"/>
      </rPr>
      <t xml:space="preserve"> (Train Movement Record)
</t>
    </r>
  </si>
  <si>
    <r>
      <t>車廠</t>
    </r>
    <r>
      <rPr>
        <sz val="10"/>
        <rFont val="Arial"/>
        <family val="2"/>
      </rPr>
      <t xml:space="preserve">:                       </t>
    </r>
    <phoneticPr fontId="3" type="noConversion"/>
  </si>
  <si>
    <t xml:space="preserve">表格1: 預定調車記錄  </t>
  </si>
  <si>
    <t>調動車輛編號</t>
  </si>
  <si>
    <r>
      <t>工作主管</t>
    </r>
    <r>
      <rPr>
        <sz val="9"/>
        <rFont val="Arial"/>
        <family val="2"/>
      </rPr>
      <t>(WIC)
Work-In-Charge</t>
    </r>
  </si>
  <si>
    <r>
      <t>調車主管</t>
    </r>
    <r>
      <rPr>
        <sz val="9"/>
        <rFont val="Arial"/>
        <family val="2"/>
      </rPr>
      <t xml:space="preserve"> (MIC)
Movement-In-Charge</t>
    </r>
  </si>
  <si>
    <r>
      <t>有關的
路徑</t>
    </r>
    <r>
      <rPr>
        <sz val="9"/>
        <rFont val="Arial"/>
        <family val="2"/>
      </rPr>
      <t>(</t>
    </r>
    <r>
      <rPr>
        <sz val="9"/>
        <rFont val="細明體"/>
        <family val="3"/>
        <charset val="136"/>
      </rPr>
      <t>路</t>
    </r>
  </si>
  <si>
    <r>
      <t>有關的
信號</t>
    </r>
    <r>
      <rPr>
        <sz val="9"/>
        <rFont val="Arial"/>
        <family val="2"/>
      </rPr>
      <t>(</t>
    </r>
    <r>
      <rPr>
        <sz val="9"/>
        <rFont val="細明體"/>
        <family val="3"/>
        <charset val="136"/>
      </rPr>
      <t>燈</t>
    </r>
    <r>
      <rPr>
        <sz val="9"/>
        <rFont val="Arial"/>
        <family val="2"/>
      </rPr>
      <t>)</t>
    </r>
  </si>
  <si>
    <r>
      <t>有關的
道岔</t>
    </r>
    <r>
      <rPr>
        <sz val="9"/>
        <rFont val="Arial"/>
        <family val="2"/>
      </rPr>
      <t>(</t>
    </r>
    <r>
      <rPr>
        <sz val="9"/>
        <rFont val="細明體"/>
        <family val="3"/>
        <charset val="136"/>
      </rPr>
      <t>波</t>
    </r>
    <r>
      <rPr>
        <sz val="9"/>
        <rFont val="Arial"/>
        <family val="2"/>
      </rPr>
      <t>)</t>
    </r>
  </si>
  <si>
    <r>
      <t>開始</t>
    </r>
    <r>
      <rPr>
        <sz val="9"/>
        <rFont val="Arial"/>
        <family val="2"/>
      </rPr>
      <t xml:space="preserve"> / </t>
    </r>
    <r>
      <rPr>
        <sz val="9"/>
        <rFont val="細明體"/>
        <family val="3"/>
        <charset val="136"/>
      </rPr>
      <t>完工
預算時間</t>
    </r>
  </si>
  <si>
    <t>備註欄</t>
  </si>
  <si>
    <t xml:space="preserve"> 工作主管簽名 </t>
  </si>
  <si>
    <t>調車主管簽名</t>
  </si>
  <si>
    <t xml:space="preserve">表格2: 追加調車記錄  </t>
  </si>
  <si>
    <r>
      <t>調車主管</t>
    </r>
    <r>
      <rPr>
        <sz val="9"/>
        <rFont val="Arial"/>
        <family val="2"/>
      </rPr>
      <t xml:space="preserve"> (MIC)
</t>
    </r>
    <r>
      <rPr>
        <sz val="9"/>
        <rFont val="Wingdings 2"/>
        <family val="1"/>
        <charset val="2"/>
      </rPr>
      <t>u</t>
    </r>
    <r>
      <rPr>
        <sz val="9"/>
        <rFont val="Arial"/>
        <family val="2"/>
      </rPr>
      <t>Movement-In-Charge</t>
    </r>
  </si>
  <si>
    <t>要求調車人
姓名</t>
  </si>
  <si>
    <t>要求調車部門</t>
  </si>
  <si>
    <t>(小濠灣車廠軌道配置)</t>
  </si>
  <si>
    <t>在圖中劃有斜線的軌道上，如需要停下列車而無人全時看守車輛，則需要在現行制動安排以外，再施加止輪器及適當標誌牌於列車上。</t>
  </si>
  <si>
    <t>Issue: 2/1</t>
  </si>
  <si>
    <t>方向</t>
  </si>
  <si>
    <t>L73+1006+1069+1007+L82</t>
  </si>
  <si>
    <t>LB-E AV</t>
  </si>
  <si>
    <t>E</t>
  </si>
  <si>
    <t>W</t>
  </si>
  <si>
    <t>L75+1033+1017+1037+1028+L67+L84</t>
  </si>
  <si>
    <t>M4-5E</t>
  </si>
  <si>
    <t>L79+1055+L76</t>
  </si>
  <si>
    <t>LS2-5E</t>
  </si>
  <si>
    <t>L65</t>
  </si>
  <si>
    <t>LF3-LS3</t>
  </si>
  <si>
    <t>如該列車調動牽涉多於一名車廠調車司機和手號員，可委任其中一名車廠調車司機為調車主管(MIC)。</t>
  </si>
  <si>
    <r>
      <t xml:space="preserve"> </t>
    </r>
    <r>
      <rPr>
        <sz val="8"/>
        <rFont val="新細明體"/>
        <family val="1"/>
        <charset val="136"/>
      </rPr>
      <t>參考工作指示</t>
    </r>
    <r>
      <rPr>
        <sz val="8"/>
        <color indexed="12"/>
        <rFont val="Arial"/>
        <family val="2"/>
      </rPr>
      <t>WI/DPO/DCC/005</t>
    </r>
    <r>
      <rPr>
        <sz val="8"/>
        <rFont val="新細明體"/>
        <family val="1"/>
        <charset val="136"/>
      </rPr>
      <t xml:space="preserve">內需要進行確認的項目。                                  </t>
    </r>
    <r>
      <rPr>
        <sz val="8"/>
        <rFont val="Arial"/>
        <family val="2"/>
      </rPr>
      <t>參考工作指示WI/RS/COM/009 內4.24 進行確認的項目</t>
    </r>
  </si>
  <si>
    <t>0Route to Location</t>
    <phoneticPr fontId="3" type="noConversion"/>
  </si>
  <si>
    <t>Signal Light No.</t>
    <phoneticPr fontId="3" type="noConversion"/>
  </si>
  <si>
    <t>Points No.</t>
    <phoneticPr fontId="3" type="noConversion"/>
  </si>
  <si>
    <t>AV</t>
  </si>
  <si>
    <t>DT</t>
  </si>
  <si>
    <t>目的地</t>
  </si>
  <si>
    <t>LS1-LF3</t>
  </si>
  <si>
    <t>05, 03, 10, 16</t>
  </si>
  <si>
    <t>M8, M7, M6, M5, 306, 307, 305, 302, 305, 303, 311, 316, 319, 322, 323</t>
  </si>
  <si>
    <t>LS1</t>
  </si>
  <si>
    <t>LS1-E DT@E</t>
  </si>
  <si>
    <t>M8, M7, M6, M5, 306, 307, 305, 302</t>
  </si>
  <si>
    <t>05</t>
  </si>
  <si>
    <t>LF3-LS1</t>
    <phoneticPr fontId="3" type="noConversion"/>
  </si>
  <si>
    <t>20, 04, 03</t>
  </si>
  <si>
    <t>323, 322, 319, 316, 311, 303, 305, 302, 305, 307, 306, M5, M6, M7, M8</t>
  </si>
  <si>
    <t>LF3-E DT@E</t>
  </si>
  <si>
    <t>323, 322, 319, 316, 311, 303, 305, 302</t>
  </si>
  <si>
    <t>20, 04</t>
  </si>
  <si>
    <t>LS1-LF4</t>
    <phoneticPr fontId="3" type="noConversion"/>
  </si>
  <si>
    <t>LF4-E DT@E</t>
  </si>
  <si>
    <t>302, 305, 303, 311, 316, 319, 322, 323</t>
  </si>
  <si>
    <t>21, 04</t>
  </si>
  <si>
    <t>S H D</t>
  </si>
  <si>
    <t>LF4-LS1</t>
    <phoneticPr fontId="3" type="noConversion"/>
  </si>
  <si>
    <t>21, 04, 03</t>
  </si>
  <si>
    <t>HM1-E DT@E</t>
  </si>
  <si>
    <t>322, 319, 316, 311, 303, 305, 302</t>
  </si>
  <si>
    <t>22, 04</t>
  </si>
  <si>
    <t>LS1-HM1</t>
    <phoneticPr fontId="3" type="noConversion"/>
  </si>
  <si>
    <t>M8, M7, M6, M5, 306, 307, 305, 302, 305, 303, 311, 316, 319, 322</t>
  </si>
  <si>
    <t>HM1</t>
  </si>
  <si>
    <t>HM2-E DT@E</t>
  </si>
  <si>
    <t>324, 319, 316, 311, 303, 305, 302</t>
  </si>
  <si>
    <t>23, 04</t>
  </si>
  <si>
    <t>HM1-LS1</t>
    <phoneticPr fontId="3" type="noConversion"/>
  </si>
  <si>
    <t>22, 04, 03</t>
  </si>
  <si>
    <t>322, 319, 316, 311, 303, 305, 302, 305, 307, 306, M5, M6, M7, M8</t>
  </si>
  <si>
    <t>HM3-E DT@E</t>
  </si>
  <si>
    <t>24,04</t>
  </si>
  <si>
    <t>LS1-HM2</t>
    <phoneticPr fontId="3" type="noConversion"/>
  </si>
  <si>
    <t>M8, M7, M6, M5, 306, 307, 305, 302, 305, 303, 311, 316, 319, 324</t>
  </si>
  <si>
    <t>HM2</t>
  </si>
  <si>
    <t>RM1E-E DT@E</t>
  </si>
  <si>
    <t>302, 305, 303, 311, 316, 319, 324</t>
  </si>
  <si>
    <t>25, 04</t>
  </si>
  <si>
    <t>HM2-LS1</t>
    <phoneticPr fontId="3" type="noConversion"/>
  </si>
  <si>
    <t>23, 04, 03</t>
  </si>
  <si>
    <t>324, 319, 316, 311, 303, 305, 302, 305, 307, 306, M5, M6, M7, M8</t>
  </si>
  <si>
    <t>RM1W-E DT@E</t>
  </si>
  <si>
    <t>LS1-HM3</t>
    <phoneticPr fontId="3" type="noConversion"/>
  </si>
  <si>
    <t>HM3</t>
  </si>
  <si>
    <t>RM2E-E DT@E</t>
  </si>
  <si>
    <t>327, 326, 325, 318, 317, 316, 311, 303, 305, 302</t>
  </si>
  <si>
    <t>26, 04</t>
  </si>
  <si>
    <t>HM3-LS1</t>
    <phoneticPr fontId="3" type="noConversion"/>
  </si>
  <si>
    <t>24, 04, 03</t>
  </si>
  <si>
    <t>RM2W-E DT@E</t>
  </si>
  <si>
    <t>LS1-RM1E</t>
    <phoneticPr fontId="3" type="noConversion"/>
  </si>
  <si>
    <t>M8, M7, M6, M5, 306, 307, 305, 302, 305, 303, 311, 316, 317, 318, 325, 326</t>
  </si>
  <si>
    <t>RM1E</t>
  </si>
  <si>
    <t>RM3E-E DT@E</t>
  </si>
  <si>
    <t>27, 04</t>
  </si>
  <si>
    <t>RM1E-LS1</t>
    <phoneticPr fontId="3" type="noConversion"/>
  </si>
  <si>
    <t>25, 04, 03</t>
  </si>
  <si>
    <t>326, 325, 318, 317, 316, 311, 303, 305, 302, 305, 307, 306, M5, M6, M7, M8</t>
  </si>
  <si>
    <t>RM3W-E DT@E</t>
  </si>
  <si>
    <t>LS1-RM1W</t>
    <phoneticPr fontId="3" type="noConversion"/>
  </si>
  <si>
    <t>RM1W</t>
  </si>
  <si>
    <t>HCTE-E DT@E</t>
  </si>
  <si>
    <t>329, 328, 325, 318, 317, 316, 311, 303, 305, 302</t>
  </si>
  <si>
    <t>28, 04</t>
  </si>
  <si>
    <t>RM1W-LS1</t>
    <phoneticPr fontId="3" type="noConversion"/>
  </si>
  <si>
    <t>HCTW-E DT@E</t>
  </si>
  <si>
    <t>LS1-RM2E</t>
    <phoneticPr fontId="3" type="noConversion"/>
  </si>
  <si>
    <t>M8, M7, M6, M5, 306, 307, 305, 302, 305, 303, 311, 316, 317, 318, 325, 326, 327</t>
  </si>
  <si>
    <t>RM2E</t>
  </si>
  <si>
    <t>1E-E DT@E</t>
  </si>
  <si>
    <t>29, 04</t>
  </si>
  <si>
    <t>RM2E-LS1</t>
    <phoneticPr fontId="3" type="noConversion"/>
  </si>
  <si>
    <t>26, 04, 03</t>
  </si>
  <si>
    <t>327, 326, 325, 318, 317, 316, 311, 303, 305, 302, 305, 307, 306, M5, M6, M7, M8</t>
  </si>
  <si>
    <t>1W-E DT@E</t>
  </si>
  <si>
    <t>LS1-RM2W</t>
    <phoneticPr fontId="3" type="noConversion"/>
  </si>
  <si>
    <t>RM2W</t>
  </si>
  <si>
    <t>2E-E DT@E</t>
  </si>
  <si>
    <t>330, 328, 325, 318, 317, 316, 311, 303, 305, 302</t>
  </si>
  <si>
    <t>30, 04</t>
  </si>
  <si>
    <t>RM2W-LS1</t>
    <phoneticPr fontId="3" type="noConversion"/>
  </si>
  <si>
    <t>2W-E DT@E</t>
  </si>
  <si>
    <t>LS1-RM3E</t>
    <phoneticPr fontId="3" type="noConversion"/>
  </si>
  <si>
    <t>RM3E</t>
  </si>
  <si>
    <t>3E-E DT@E</t>
  </si>
  <si>
    <t>31, 04</t>
  </si>
  <si>
    <t>RM3E-LS1</t>
    <phoneticPr fontId="3" type="noConversion"/>
  </si>
  <si>
    <t>27, 04, 03</t>
  </si>
  <si>
    <t>3W-E DT@E</t>
  </si>
  <si>
    <t>LS1-RM3W</t>
    <phoneticPr fontId="3" type="noConversion"/>
  </si>
  <si>
    <t>RM3W</t>
  </si>
  <si>
    <t>4E-E DT@E</t>
  </si>
  <si>
    <t>333, 331, 318, 317, 316, 311, 303, 305, 302</t>
  </si>
  <si>
    <t>32, 04</t>
  </si>
  <si>
    <t>RM3W-LS1</t>
    <phoneticPr fontId="3" type="noConversion"/>
  </si>
  <si>
    <t>4W-E DT@E</t>
  </si>
  <si>
    <t>LS1-HCTE</t>
    <phoneticPr fontId="3" type="noConversion"/>
  </si>
  <si>
    <t>M8, M7, M6, M5, 306, 307, 305, 302, 305, 303, 311, 316, 317, 318, 325, 328, 329</t>
  </si>
  <si>
    <t>HCTE</t>
  </si>
  <si>
    <t>5E-E DT@E</t>
  </si>
  <si>
    <t>33, 04</t>
  </si>
  <si>
    <t>HCTE-LS1</t>
    <phoneticPr fontId="3" type="noConversion"/>
  </si>
  <si>
    <t>28, 04, 03</t>
  </si>
  <si>
    <t>329, 328, 325, 318, 317, 316, 311, 303, 305, 302, 305, 307, 306, M5, M6, M7, M8</t>
  </si>
  <si>
    <t>5W-E DT@E</t>
  </si>
  <si>
    <t>LS1-HCTW</t>
    <phoneticPr fontId="3" type="noConversion"/>
  </si>
  <si>
    <t>HCTW</t>
  </si>
  <si>
    <t>6E-E DT@E</t>
  </si>
  <si>
    <t>332, 331, 318, 317, 316, 311, 303, 305, 302</t>
  </si>
  <si>
    <t>34, 04</t>
  </si>
  <si>
    <t>HCTW-LS1</t>
    <phoneticPr fontId="3" type="noConversion"/>
  </si>
  <si>
    <t>6W-E DT@E</t>
  </si>
  <si>
    <t>LS1-1E</t>
    <phoneticPr fontId="3" type="noConversion"/>
  </si>
  <si>
    <t>1E</t>
  </si>
  <si>
    <t>7E-E DT@E</t>
  </si>
  <si>
    <t>334, 332, 331, 318, 317, 316, 311, 303, 305, 302</t>
  </si>
  <si>
    <t>35, 04</t>
  </si>
  <si>
    <t>1E-LS1</t>
    <phoneticPr fontId="3" type="noConversion"/>
  </si>
  <si>
    <t>29, 04, 03</t>
  </si>
  <si>
    <t>7W-E DT@E</t>
  </si>
  <si>
    <t>LS1-1W</t>
    <phoneticPr fontId="3" type="noConversion"/>
  </si>
  <si>
    <t>1W</t>
  </si>
  <si>
    <t>8E-E DT@E</t>
  </si>
  <si>
    <t>36, 04</t>
  </si>
  <si>
    <t>1W-LS1</t>
    <phoneticPr fontId="3" type="noConversion"/>
  </si>
  <si>
    <t>8W-E DT@E</t>
  </si>
  <si>
    <t>LS1-2E</t>
    <phoneticPr fontId="3" type="noConversion"/>
  </si>
  <si>
    <t>M8, M7, M6, M5, 306, 307, 305, 302, 305, 303, 311, 316, 317, 318, 325, 328, 330</t>
  </si>
  <si>
    <t>2E</t>
  </si>
  <si>
    <t>LS2-E DT@E</t>
  </si>
  <si>
    <t>302, 305, 307, 306, M5, M6, M7, M8</t>
  </si>
  <si>
    <t>2E-LS1</t>
    <phoneticPr fontId="3" type="noConversion"/>
  </si>
  <si>
    <t>30, 04, 03</t>
  </si>
  <si>
    <t>330, 328, 325, 318, 317, 316, 311, 303, 305, 302, 305, 307, 306, M5, M6, M7, M8</t>
  </si>
  <si>
    <t>LS3-E DT@E</t>
  </si>
  <si>
    <t>302, 305, 307, 306, M5, M6</t>
  </si>
  <si>
    <t>LS1-2W</t>
    <phoneticPr fontId="3" type="noConversion"/>
  </si>
  <si>
    <t>2W</t>
  </si>
  <si>
    <t>LB-E DT@E</t>
  </si>
  <si>
    <t>302, 305, 307, 306, M5</t>
  </si>
  <si>
    <t>2W-LS1</t>
    <phoneticPr fontId="3" type="noConversion"/>
  </si>
  <si>
    <t>M1-E DT@E</t>
  </si>
  <si>
    <t>302, 305, 307, 306, M1</t>
  </si>
  <si>
    <t>06</t>
  </si>
  <si>
    <t>LS1-3E</t>
    <phoneticPr fontId="3" type="noConversion"/>
  </si>
  <si>
    <t>3E</t>
  </si>
  <si>
    <t>M2-E DT@E</t>
  </si>
  <si>
    <t>302, 305, 307, 306, M1, M2</t>
  </si>
  <si>
    <t>3E-LS1</t>
    <phoneticPr fontId="3" type="noConversion"/>
  </si>
  <si>
    <t>31, 04, 03</t>
  </si>
  <si>
    <t>M3-E DT@E</t>
  </si>
  <si>
    <t>302, 305, 307, 306, M1, M2, M3</t>
  </si>
  <si>
    <t>LS1-3W</t>
    <phoneticPr fontId="3" type="noConversion"/>
  </si>
  <si>
    <t>3W</t>
  </si>
  <si>
    <t>M4-E DT@E</t>
  </si>
  <si>
    <t>302, 305, 307, 306, M1, M2, M3, M4</t>
  </si>
  <si>
    <t>3W-LS1</t>
    <phoneticPr fontId="3" type="noConversion"/>
  </si>
  <si>
    <t>M2-M3@E</t>
  </si>
  <si>
    <t>M2,M3</t>
  </si>
  <si>
    <t>LS1-4E</t>
    <phoneticPr fontId="3" type="noConversion"/>
  </si>
  <si>
    <t>M8, M7, M6, M5, 306, 307, 305, 302, 305, 303, 311, 316, 317, 318, 331, 333</t>
  </si>
  <si>
    <t>4E</t>
  </si>
  <si>
    <t>M3-M2@E</t>
  </si>
  <si>
    <t>M3,M2</t>
  </si>
  <si>
    <t>4E-LS1</t>
    <phoneticPr fontId="3" type="noConversion"/>
  </si>
  <si>
    <t>32, 04, 03</t>
  </si>
  <si>
    <t>333, 331, 318, 317, 316, 311, 303, 305, 302, 305, 307, 306, M5, M6, M7, M8</t>
  </si>
  <si>
    <t>M2-M4@E</t>
  </si>
  <si>
    <t>M2,M3,M4</t>
  </si>
  <si>
    <t>LS1-4W</t>
    <phoneticPr fontId="3" type="noConversion"/>
  </si>
  <si>
    <t>4W</t>
  </si>
  <si>
    <t>M4-M2@E</t>
  </si>
  <si>
    <t>M4,M3,M2</t>
  </si>
  <si>
    <t>4W-LS1</t>
    <phoneticPr fontId="3" type="noConversion"/>
  </si>
  <si>
    <t>M3-M4@E</t>
  </si>
  <si>
    <t>M3,M4</t>
  </si>
  <si>
    <t>LS1-5E</t>
    <phoneticPr fontId="3" type="noConversion"/>
  </si>
  <si>
    <t>5E</t>
  </si>
  <si>
    <t>M4-M3@E</t>
  </si>
  <si>
    <t>M4,M3</t>
  </si>
  <si>
    <t>5E-LS1</t>
    <phoneticPr fontId="3" type="noConversion"/>
  </si>
  <si>
    <t>33, 04, 03</t>
  </si>
  <si>
    <t>M4A-M4B@E</t>
  </si>
  <si>
    <t>M4</t>
  </si>
  <si>
    <t>LS1-5W</t>
    <phoneticPr fontId="3" type="noConversion"/>
  </si>
  <si>
    <t>5W</t>
  </si>
  <si>
    <t>M4B-M4A@E</t>
  </si>
  <si>
    <t>5W-LS1</t>
    <phoneticPr fontId="3" type="noConversion"/>
  </si>
  <si>
    <t>M5-E DT@E</t>
  </si>
  <si>
    <t>LS1-6E</t>
    <phoneticPr fontId="3" type="noConversion"/>
  </si>
  <si>
    <t>M8, M7, M6, M5, 306, 307, 305, 302, 305, 303, 311, 316, 317, 318, 331, 332</t>
  </si>
  <si>
    <t>6E</t>
  </si>
  <si>
    <t>M4-M5@E</t>
  </si>
  <si>
    <t>6E-LS1</t>
    <phoneticPr fontId="3" type="noConversion"/>
  </si>
  <si>
    <t>34, 04, 03</t>
  </si>
  <si>
    <t>332, 331, 318, 317, 316, 311, 303, 305, 302, 305, 307, 306, M5, M6, M7, M8</t>
  </si>
  <si>
    <t>M5-M4@E</t>
  </si>
  <si>
    <t>LS1-6W</t>
    <phoneticPr fontId="3" type="noConversion"/>
  </si>
  <si>
    <t>6W</t>
  </si>
  <si>
    <t>M3-M5@E</t>
  </si>
  <si>
    <t>M3, M4</t>
  </si>
  <si>
    <t>6W-LS1</t>
    <phoneticPr fontId="3" type="noConversion"/>
  </si>
  <si>
    <t>M5-M3@E</t>
  </si>
  <si>
    <t>M4, M3</t>
  </si>
  <si>
    <t>LS1-7E</t>
    <phoneticPr fontId="3" type="noConversion"/>
  </si>
  <si>
    <t>M8, M7, M6, M5, 306, 307, 305, 302, 305, 303, 311, 316, 317, 318, 331, 332, 334</t>
  </si>
  <si>
    <t>7E</t>
  </si>
  <si>
    <t>LS1-E AV@E</t>
  </si>
  <si>
    <t>M8, M7, M6, M5, 306, 307, 305, 302, 301</t>
  </si>
  <si>
    <t>7E-LS1</t>
    <phoneticPr fontId="3" type="noConversion"/>
  </si>
  <si>
    <t>35, 04, 03</t>
  </si>
  <si>
    <t>334, 332, 331, 318, 317, 316, 311, 303, 305, 302, 305, 307, 306, M5, M6, M7, M8</t>
  </si>
  <si>
    <t>LF3-E AV@E</t>
  </si>
  <si>
    <t>323, 322, 319, 316, 311, 303, 305, 302, 301</t>
  </si>
  <si>
    <t>LS1-7W</t>
    <phoneticPr fontId="3" type="noConversion"/>
  </si>
  <si>
    <t>7W</t>
  </si>
  <si>
    <t>LF4-E AV@E</t>
  </si>
  <si>
    <t>302, 305, 303, 311, 316, 319, 322, 323, 301</t>
  </si>
  <si>
    <t>7W-LS1</t>
    <phoneticPr fontId="3" type="noConversion"/>
  </si>
  <si>
    <t>HM1-E AV@E</t>
  </si>
  <si>
    <t>322, 319, 316, 311, 303, 305, 302, 301</t>
  </si>
  <si>
    <t>LS1-8E</t>
    <phoneticPr fontId="3" type="noConversion"/>
  </si>
  <si>
    <t>8E</t>
  </si>
  <si>
    <t>HM2-E AV@E</t>
  </si>
  <si>
    <t>324, 319, 316, 311, 303, 305, 302, 301</t>
  </si>
  <si>
    <t>8E-LS1</t>
    <phoneticPr fontId="3" type="noConversion"/>
  </si>
  <si>
    <t>36, 04, 03</t>
  </si>
  <si>
    <t>HM3-E AV@E</t>
  </si>
  <si>
    <t>LS1-8W</t>
    <phoneticPr fontId="3" type="noConversion"/>
  </si>
  <si>
    <t>8W</t>
  </si>
  <si>
    <t>RM1E-E AV@E</t>
  </si>
  <si>
    <t>302, 305, 303, 311, 316, 319, 324, 301</t>
  </si>
  <si>
    <t>8W-LS1</t>
    <phoneticPr fontId="3" type="noConversion"/>
  </si>
  <si>
    <t>RM1W-E AV@E</t>
  </si>
  <si>
    <t>LS2-LF3</t>
    <phoneticPr fontId="3" type="noConversion"/>
  </si>
  <si>
    <t>LS2</t>
  </si>
  <si>
    <t>RM2E-E AV@E</t>
  </si>
  <si>
    <t>327, 326, 325, 318, 317, 316, 311, 303, 305, 302, 301</t>
  </si>
  <si>
    <t>LF3-LS2</t>
    <phoneticPr fontId="3" type="noConversion"/>
  </si>
  <si>
    <t>RM2W-E AV@E</t>
  </si>
  <si>
    <t>LS2-LF4</t>
    <phoneticPr fontId="3" type="noConversion"/>
  </si>
  <si>
    <t>RM3E-E AV@E</t>
  </si>
  <si>
    <t>LF4-LS2</t>
    <phoneticPr fontId="3" type="noConversion"/>
  </si>
  <si>
    <t>RM3W-E AV@E</t>
  </si>
  <si>
    <t>LS2-HM1</t>
    <phoneticPr fontId="3" type="noConversion"/>
  </si>
  <si>
    <t>HCTE-E AV@E</t>
  </si>
  <si>
    <t>329, 328, 325, 318, 317, 316, 311, 303, 305, 302, 301</t>
  </si>
  <si>
    <t>HM1-LS2</t>
    <phoneticPr fontId="3" type="noConversion"/>
  </si>
  <si>
    <t>HCTW-E AV@E</t>
  </si>
  <si>
    <t>LS2-HM2</t>
    <phoneticPr fontId="3" type="noConversion"/>
  </si>
  <si>
    <t>1E-E AV@E</t>
  </si>
  <si>
    <t>HM2-LS2</t>
    <phoneticPr fontId="3" type="noConversion"/>
  </si>
  <si>
    <t>1W-E AV@E</t>
  </si>
  <si>
    <t>LS2-HM3</t>
    <phoneticPr fontId="3" type="noConversion"/>
  </si>
  <si>
    <t>2E-E AV@E</t>
  </si>
  <si>
    <t>330, 328, 325, 318, 317, 316, 311, 303, 305, 302, 301</t>
  </si>
  <si>
    <t>HM3-LS2</t>
    <phoneticPr fontId="3" type="noConversion"/>
  </si>
  <si>
    <t>2W-E AV@E</t>
  </si>
  <si>
    <t>LS2-RM1E</t>
    <phoneticPr fontId="3" type="noConversion"/>
  </si>
  <si>
    <t>3E-E AV@E</t>
  </si>
  <si>
    <t>RM1E-LS2</t>
    <phoneticPr fontId="3" type="noConversion"/>
  </si>
  <si>
    <t>3W-E AV@E</t>
  </si>
  <si>
    <t>LS2-RM1W</t>
    <phoneticPr fontId="3" type="noConversion"/>
  </si>
  <si>
    <t>4E-E AV@E</t>
  </si>
  <si>
    <t>333, 331, 318, 317, 316, 311, 303, 305, 302, 301</t>
  </si>
  <si>
    <t>RM1W-LS2</t>
    <phoneticPr fontId="3" type="noConversion"/>
  </si>
  <si>
    <t>4W-E AV@E</t>
  </si>
  <si>
    <t>LS2-RM2E</t>
    <phoneticPr fontId="3" type="noConversion"/>
  </si>
  <si>
    <t>5E-E AV@E</t>
  </si>
  <si>
    <t>RM2E-LS2</t>
    <phoneticPr fontId="3" type="noConversion"/>
  </si>
  <si>
    <t>5W-E AV@E</t>
  </si>
  <si>
    <t>LS2-RM2W</t>
    <phoneticPr fontId="3" type="noConversion"/>
  </si>
  <si>
    <t>6E-E AV@E</t>
  </si>
  <si>
    <t>332, 331, 318, 317, 316, 311, 303, 305, 302, 301</t>
  </si>
  <si>
    <t>RM2W-LS2</t>
    <phoneticPr fontId="3" type="noConversion"/>
  </si>
  <si>
    <t>6W-E AV@E</t>
  </si>
  <si>
    <t>LS2-RM3E</t>
    <phoneticPr fontId="3" type="noConversion"/>
  </si>
  <si>
    <t>7E-E AV@E</t>
  </si>
  <si>
    <t>334, 332, 331, 318, 317, 316, 311, 303, 305, 302, 301</t>
  </si>
  <si>
    <t>RM3E-LS2</t>
    <phoneticPr fontId="3" type="noConversion"/>
  </si>
  <si>
    <t>7W-E AV@E</t>
  </si>
  <si>
    <t>LS2-RM3W</t>
    <phoneticPr fontId="3" type="noConversion"/>
  </si>
  <si>
    <t>8E-E AV@E</t>
  </si>
  <si>
    <t>RM3W-LS2</t>
    <phoneticPr fontId="3" type="noConversion"/>
  </si>
  <si>
    <t>8W-E AV@E</t>
  </si>
  <si>
    <t>LS2-HCTE</t>
    <phoneticPr fontId="3" type="noConversion"/>
  </si>
  <si>
    <t>LS2-E AV@E</t>
  </si>
  <si>
    <t>302, 305, 307, 306, M5, M6, M7, M8, 301</t>
  </si>
  <si>
    <t>HCTE-LS2</t>
    <phoneticPr fontId="3" type="noConversion"/>
  </si>
  <si>
    <t>LS3-E AV@E</t>
  </si>
  <si>
    <t>302, 305, 307, 306, M5, M6, 301</t>
  </si>
  <si>
    <t>LS2-HCTW</t>
    <phoneticPr fontId="3" type="noConversion"/>
  </si>
  <si>
    <t>LB-E AV@E</t>
  </si>
  <si>
    <t>302, 305, 307, 306, M5, 301</t>
  </si>
  <si>
    <t>HCTW-LS2</t>
    <phoneticPr fontId="3" type="noConversion"/>
  </si>
  <si>
    <t>M1-E AV@E</t>
  </si>
  <si>
    <t>302, 305, 307, 306, M1, 301</t>
  </si>
  <si>
    <t>LS2-1E</t>
    <phoneticPr fontId="3" type="noConversion"/>
  </si>
  <si>
    <t>M2-E AV@E</t>
  </si>
  <si>
    <t>302, 305, 307, 306, M1, M2, 301</t>
  </si>
  <si>
    <t>1E-LS2</t>
    <phoneticPr fontId="3" type="noConversion"/>
  </si>
  <si>
    <t>M3-E AV@E</t>
  </si>
  <si>
    <t>302, 305, 307, 306, M1, M2, M3, 301</t>
  </si>
  <si>
    <t>LS2-1W</t>
    <phoneticPr fontId="3" type="noConversion"/>
  </si>
  <si>
    <t>M4-E AV@E</t>
  </si>
  <si>
    <t>302, 305, 307, 306, M1, M2, M3, M4, 301</t>
  </si>
  <si>
    <t>1W-LS2</t>
    <phoneticPr fontId="3" type="noConversion"/>
  </si>
  <si>
    <t>M5-E AV@E</t>
  </si>
  <si>
    <t>LS2-2E</t>
    <phoneticPr fontId="3" type="noConversion"/>
  </si>
  <si>
    <t>RM1E-W DT@W</t>
  </si>
  <si>
    <t>364, 362, 361, 358, 357, 356, 355, 353, 352</t>
  </si>
  <si>
    <t>2E-LS2</t>
    <phoneticPr fontId="3" type="noConversion"/>
  </si>
  <si>
    <t>RM1W-W DT@W</t>
  </si>
  <si>
    <t>LS2-2W</t>
    <phoneticPr fontId="3" type="noConversion"/>
  </si>
  <si>
    <t>RM2E-W DT@W</t>
  </si>
  <si>
    <t>365, 362, 361, 358, 357, 356, 355, 353, 352</t>
  </si>
  <si>
    <t>2W-LS2</t>
    <phoneticPr fontId="3" type="noConversion"/>
  </si>
  <si>
    <t>RM2W-W DT@W</t>
  </si>
  <si>
    <t>LS2-3E</t>
    <phoneticPr fontId="3" type="noConversion"/>
  </si>
  <si>
    <t>RM3E-W DT@W</t>
  </si>
  <si>
    <t>3E-LS2</t>
    <phoneticPr fontId="3" type="noConversion"/>
  </si>
  <si>
    <t>RM3W-W DT@W</t>
  </si>
  <si>
    <t>LS2-3W</t>
    <phoneticPr fontId="3" type="noConversion"/>
  </si>
  <si>
    <t>HCTE-W DT@W</t>
  </si>
  <si>
    <t>368, 367, 361, 358, 357, 356, 355, 353, 352</t>
  </si>
  <si>
    <t>3W-LS2</t>
    <phoneticPr fontId="3" type="noConversion"/>
  </si>
  <si>
    <t>HCTW-W DT@W</t>
  </si>
  <si>
    <t>LS2-4E</t>
    <phoneticPr fontId="3" type="noConversion"/>
  </si>
  <si>
    <t>1E-W DT@W</t>
  </si>
  <si>
    <t>63, 56</t>
  </si>
  <si>
    <t>4E-LS2</t>
    <phoneticPr fontId="3" type="noConversion"/>
  </si>
  <si>
    <t>1W-W DT@W</t>
  </si>
  <si>
    <t>LS2-4W</t>
    <phoneticPr fontId="3" type="noConversion"/>
  </si>
  <si>
    <t>2E-W DT@W</t>
  </si>
  <si>
    <t>370, 369, 367, 361, 358, 357, 356, 355, 353, 352</t>
  </si>
  <si>
    <t>64, 56</t>
  </si>
  <si>
    <t>4W-LS2</t>
    <phoneticPr fontId="3" type="noConversion"/>
  </si>
  <si>
    <t>2W-W DT@W</t>
  </si>
  <si>
    <t>LS2-5E</t>
    <phoneticPr fontId="3" type="noConversion"/>
  </si>
  <si>
    <t>3E-W DT@W</t>
  </si>
  <si>
    <t>65, 56</t>
  </si>
  <si>
    <t>5E-LS2</t>
    <phoneticPr fontId="3" type="noConversion"/>
  </si>
  <si>
    <t>3W-W DT@W</t>
  </si>
  <si>
    <t>LS2-5W</t>
    <phoneticPr fontId="3" type="noConversion"/>
  </si>
  <si>
    <t>4E-W DT@W</t>
  </si>
  <si>
    <t>369, 367, 361, 358, 357, 356, 355, 353, 352</t>
  </si>
  <si>
    <t>66, 56</t>
  </si>
  <si>
    <t>5W-LS2</t>
    <phoneticPr fontId="3" type="noConversion"/>
  </si>
  <si>
    <t>4W-W DT@W</t>
  </si>
  <si>
    <t>LS2-6E</t>
    <phoneticPr fontId="3" type="noConversion"/>
  </si>
  <si>
    <t>5E-W DT@W</t>
  </si>
  <si>
    <t>375, 374, 360, 357, 356, 355, 353, 352</t>
  </si>
  <si>
    <t>67, 56</t>
  </si>
  <si>
    <t>6E-LS2</t>
    <phoneticPr fontId="3" type="noConversion"/>
  </si>
  <si>
    <t>5W-W DT@W</t>
  </si>
  <si>
    <t>LS2-6W</t>
    <phoneticPr fontId="3" type="noConversion"/>
  </si>
  <si>
    <t>6E-W DT@W</t>
  </si>
  <si>
    <t>68, 56</t>
  </si>
  <si>
    <t>6W-LS2</t>
    <phoneticPr fontId="3" type="noConversion"/>
  </si>
  <si>
    <t>6W-W DT@W</t>
  </si>
  <si>
    <t>LS2-7E</t>
    <phoneticPr fontId="3" type="noConversion"/>
  </si>
  <si>
    <t>7E-W DT@W</t>
  </si>
  <si>
    <t>376, 374, 360, 357, 356, 355, 353, 352</t>
  </si>
  <si>
    <t>69, 56</t>
  </si>
  <si>
    <t>7E-LS2</t>
    <phoneticPr fontId="3" type="noConversion"/>
  </si>
  <si>
    <t>7W-W DT@W</t>
  </si>
  <si>
    <t>LS2-7W</t>
    <phoneticPr fontId="3" type="noConversion"/>
  </si>
  <si>
    <t>8E-W DT@W</t>
  </si>
  <si>
    <t>70, 56</t>
  </si>
  <si>
    <t>7W-LS2</t>
    <phoneticPr fontId="3" type="noConversion"/>
  </si>
  <si>
    <t>8W-W DT@W</t>
  </si>
  <si>
    <t>LS2-8E</t>
    <phoneticPr fontId="3" type="noConversion"/>
  </si>
  <si>
    <t>E DT-LF3@E</t>
  </si>
  <si>
    <t>03, 10, 16</t>
  </si>
  <si>
    <t>8E-LS2</t>
    <phoneticPr fontId="3" type="noConversion"/>
  </si>
  <si>
    <t>E DT-LS1@E</t>
  </si>
  <si>
    <t>03</t>
  </si>
  <si>
    <t>LS2-8W</t>
    <phoneticPr fontId="3" type="noConversion"/>
  </si>
  <si>
    <t>E DT-LF4@E</t>
  </si>
  <si>
    <t>8W-LS2</t>
    <phoneticPr fontId="3" type="noConversion"/>
  </si>
  <si>
    <t>E DT-HM1@E</t>
  </si>
  <si>
    <t>LS3-LF3</t>
    <phoneticPr fontId="3" type="noConversion"/>
  </si>
  <si>
    <t>M6, M5, 306, 307, 305, 302, 305, 303, 311, 316, 319, 322, 323</t>
  </si>
  <si>
    <t>LS3</t>
  </si>
  <si>
    <t>E DT-HM2@E</t>
  </si>
  <si>
    <t>LF3-LS3</t>
    <phoneticPr fontId="3" type="noConversion"/>
  </si>
  <si>
    <t>323, 322, 319, 316, 311, 303, 305, 302, 305, 307, 306, M5, M6</t>
  </si>
  <si>
    <t>E DT-HM3@E</t>
  </si>
  <si>
    <t>LS3-LF4</t>
    <phoneticPr fontId="3" type="noConversion"/>
  </si>
  <si>
    <t>E DT-RM1E@E</t>
  </si>
  <si>
    <t>LF4-LS3</t>
    <phoneticPr fontId="3" type="noConversion"/>
  </si>
  <si>
    <t>E DT-RM1W@E</t>
  </si>
  <si>
    <t>LS3-HM1</t>
    <phoneticPr fontId="3" type="noConversion"/>
  </si>
  <si>
    <t>M6, M5, 306, 307, 305, 302, 305, 303, 311, 316, 319, 322</t>
  </si>
  <si>
    <t>E DT-RM2E@E</t>
  </si>
  <si>
    <t>HM1-LS3</t>
    <phoneticPr fontId="3" type="noConversion"/>
  </si>
  <si>
    <t>322, 319, 316, 311, 303, 305, 302, 305, 307, 306, M5, M6</t>
  </si>
  <si>
    <t>E DT-RM2W@E</t>
  </si>
  <si>
    <t>LS3-HM2</t>
    <phoneticPr fontId="3" type="noConversion"/>
  </si>
  <si>
    <t>M6, M5, 306, 307, 305, 302, 305, 303, 311, 316, 319, 324</t>
  </si>
  <si>
    <t>E DT-RM3E@E</t>
  </si>
  <si>
    <t>HM2-LS3</t>
    <phoneticPr fontId="3" type="noConversion"/>
  </si>
  <si>
    <t>324, 319, 316, 311, 303, 305, 302, 305, 307, 306, M5, M6</t>
  </si>
  <si>
    <t>E DT-RM3W@E</t>
  </si>
  <si>
    <t>LS3-HM3</t>
    <phoneticPr fontId="3" type="noConversion"/>
  </si>
  <si>
    <t>E DT-HCTE@E</t>
  </si>
  <si>
    <t>HM3-LS3</t>
    <phoneticPr fontId="3" type="noConversion"/>
  </si>
  <si>
    <t>E DT-HCTW@E</t>
  </si>
  <si>
    <t>LS3-RM1E</t>
    <phoneticPr fontId="3" type="noConversion"/>
  </si>
  <si>
    <t>M6, M5, 306, 307, 305, 302, 305, 303, 311, 316, 317, 318, 325, 326</t>
  </si>
  <si>
    <t>E DT-1E@E</t>
  </si>
  <si>
    <t>RM1E-LS3</t>
    <phoneticPr fontId="3" type="noConversion"/>
  </si>
  <si>
    <t>326, 325, 318, 317, 316, 311, 303, 305, 302, 305, 307, 306, M5, M6</t>
  </si>
  <si>
    <t>E DT-1W@E</t>
  </si>
  <si>
    <t>LS3-RM1W</t>
    <phoneticPr fontId="3" type="noConversion"/>
  </si>
  <si>
    <t>E DT-2E@E</t>
  </si>
  <si>
    <t>RM1W-LS3</t>
    <phoneticPr fontId="3" type="noConversion"/>
  </si>
  <si>
    <t>E DT-2W@E</t>
  </si>
  <si>
    <t>LS3-RM2E</t>
    <phoneticPr fontId="3" type="noConversion"/>
  </si>
  <si>
    <t>M6, M5, 306, 307, 305, 302, 305, 303, 311, 316, 317, 318, 325, 326, 327</t>
  </si>
  <si>
    <t>E DT-3E@E</t>
  </si>
  <si>
    <t>RM2E-LS3</t>
    <phoneticPr fontId="3" type="noConversion"/>
  </si>
  <si>
    <t>327, 326, 325, 318, 317, 316, 311, 303, 305, 302, 305, 307, 306, M5, M6</t>
  </si>
  <si>
    <t>E DT-3W@E</t>
  </si>
  <si>
    <t>LS3-RM2W</t>
    <phoneticPr fontId="3" type="noConversion"/>
  </si>
  <si>
    <t>E DT-4E@E</t>
  </si>
  <si>
    <t>RM2W-LS3</t>
    <phoneticPr fontId="3" type="noConversion"/>
  </si>
  <si>
    <t>E DT-4W@E</t>
  </si>
  <si>
    <t>LS3-RM3E</t>
    <phoneticPr fontId="3" type="noConversion"/>
  </si>
  <si>
    <t>E DT-5E@E</t>
  </si>
  <si>
    <t>RM3E-LS3</t>
    <phoneticPr fontId="3" type="noConversion"/>
  </si>
  <si>
    <t>E DT-5W@E</t>
  </si>
  <si>
    <t>LS3-RM3W</t>
    <phoneticPr fontId="3" type="noConversion"/>
  </si>
  <si>
    <t>E DT-6E@E</t>
  </si>
  <si>
    <t>RM3W-LS3</t>
    <phoneticPr fontId="3" type="noConversion"/>
  </si>
  <si>
    <t>E DT-6W@E</t>
  </si>
  <si>
    <t>LS3-HCTE</t>
    <phoneticPr fontId="3" type="noConversion"/>
  </si>
  <si>
    <t>M6, M5, 306, 307, 305, 302, 305, 303, 311, 316, 317, 318, 325, 328, 329</t>
  </si>
  <si>
    <t>E DT-7E@E</t>
  </si>
  <si>
    <t>HCTE-LS3</t>
    <phoneticPr fontId="3" type="noConversion"/>
  </si>
  <si>
    <t>329, 328, 325, 318, 317, 316, 311, 303, 305, 302, 305, 307, 306, M5, M6</t>
  </si>
  <si>
    <t>E DT-7W@E</t>
  </si>
  <si>
    <t>LS3-HCTW</t>
    <phoneticPr fontId="3" type="noConversion"/>
  </si>
  <si>
    <t>E DT-8E@E</t>
  </si>
  <si>
    <t>HCTW-LS3</t>
    <phoneticPr fontId="3" type="noConversion"/>
  </si>
  <si>
    <t>E DT-8W@E</t>
  </si>
  <si>
    <t>LS3-1E</t>
    <phoneticPr fontId="3" type="noConversion"/>
  </si>
  <si>
    <t>E DT-LS2@E</t>
  </si>
  <si>
    <t>1E-LS3</t>
    <phoneticPr fontId="3" type="noConversion"/>
  </si>
  <si>
    <t>E DT-LS3@E</t>
  </si>
  <si>
    <t>LS3-1W</t>
    <phoneticPr fontId="3" type="noConversion"/>
  </si>
  <si>
    <t>E DT-LB@E</t>
  </si>
  <si>
    <t>1W-LS3</t>
    <phoneticPr fontId="3" type="noConversion"/>
  </si>
  <si>
    <t>E DT-M1@E</t>
  </si>
  <si>
    <t>LS3-2E</t>
    <phoneticPr fontId="3" type="noConversion"/>
  </si>
  <si>
    <t>M6, M5, 306, 307, 305, 302, 305, 303, 311, 316, 317, 318, 325, 328, 330</t>
  </si>
  <si>
    <t>E DT-M2@E</t>
  </si>
  <si>
    <t>2E-LS3</t>
    <phoneticPr fontId="3" type="noConversion"/>
  </si>
  <si>
    <t>330, 328, 325, 318, 317, 316, 311, 303, 305, 302, 305, 307, 306, M5, M6</t>
  </si>
  <si>
    <t>E DT-M3@E</t>
  </si>
  <si>
    <t>LS3-2W</t>
    <phoneticPr fontId="3" type="noConversion"/>
  </si>
  <si>
    <t>E DT-M4@E</t>
  </si>
  <si>
    <t>2W-LS3</t>
    <phoneticPr fontId="3" type="noConversion"/>
  </si>
  <si>
    <t>TEST-W DT@E</t>
  </si>
  <si>
    <t>356, 355, 353, 352</t>
  </si>
  <si>
    <t>57, 52</t>
  </si>
  <si>
    <t>LS3-3E</t>
    <phoneticPr fontId="3" type="noConversion"/>
  </si>
  <si>
    <t>E DT-TEST@E</t>
  </si>
  <si>
    <t>305, 303, 304, 308</t>
  </si>
  <si>
    <t>03, 07</t>
  </si>
  <si>
    <t>3E-LS3</t>
    <phoneticPr fontId="3" type="noConversion"/>
  </si>
  <si>
    <t>TEST-E DT@W</t>
  </si>
  <si>
    <t>09, 02</t>
  </si>
  <si>
    <t>LS3-3W</t>
    <phoneticPr fontId="3" type="noConversion"/>
  </si>
  <si>
    <t>W DT-TEST@W</t>
  </si>
  <si>
    <t>3W-LS3</t>
    <phoneticPr fontId="3" type="noConversion"/>
  </si>
  <si>
    <t>E DT-LS1@W</t>
  </si>
  <si>
    <t>LS3-4E</t>
    <phoneticPr fontId="3" type="noConversion"/>
  </si>
  <si>
    <t>M6, M5, 306, 307, 305, 302, 305, 303, 311, 316, 317, 318, 331, 333</t>
  </si>
  <si>
    <t>E DT-LS2@W</t>
  </si>
  <si>
    <t>4E-LS3</t>
    <phoneticPr fontId="3" type="noConversion"/>
  </si>
  <si>
    <t>333, 331, 318, 317, 316, 311, 303, 305, 302, 305, 307, 306, M5, M6</t>
  </si>
  <si>
    <t>E DT-LS3@W</t>
  </si>
  <si>
    <t>M6, M5, 306, 307, 305, 302</t>
  </si>
  <si>
    <t>LS3-4W</t>
    <phoneticPr fontId="3" type="noConversion"/>
  </si>
  <si>
    <t>E DT-M1@W</t>
  </si>
  <si>
    <t>4W-LS3</t>
    <phoneticPr fontId="3" type="noConversion"/>
  </si>
  <si>
    <t>E DT-M2@W</t>
  </si>
  <si>
    <t>LS3-5E</t>
    <phoneticPr fontId="3" type="noConversion"/>
  </si>
  <si>
    <t>E DT-M3@W</t>
  </si>
  <si>
    <t>5E-LS3</t>
    <phoneticPr fontId="3" type="noConversion"/>
  </si>
  <si>
    <t>E DT-M4@W</t>
  </si>
  <si>
    <t>LS3-5W</t>
    <phoneticPr fontId="3" type="noConversion"/>
  </si>
  <si>
    <t>E DT-M5@W</t>
  </si>
  <si>
    <t>5W-LS3</t>
    <phoneticPr fontId="3" type="noConversion"/>
  </si>
  <si>
    <t>LS3-6E</t>
    <phoneticPr fontId="3" type="noConversion"/>
  </si>
  <si>
    <t>M6, M5, 306, 307, 305, 302, 305, 303, 311, 316, 317, 318, 331, 332</t>
  </si>
  <si>
    <t>6E-LS3</t>
    <phoneticPr fontId="3" type="noConversion"/>
  </si>
  <si>
    <t>332, 331, 318, 317, 316, 311, 303, 305, 302, 305, 307, 306, M5, M6</t>
  </si>
  <si>
    <t>LS3-6W</t>
    <phoneticPr fontId="3" type="noConversion"/>
  </si>
  <si>
    <t>6W-LS3</t>
    <phoneticPr fontId="3" type="noConversion"/>
  </si>
  <si>
    <t>E AV-HM2@E</t>
  </si>
  <si>
    <t>01, 10, 16</t>
  </si>
  <si>
    <t>LS3-7E</t>
    <phoneticPr fontId="3" type="noConversion"/>
  </si>
  <si>
    <t>M6, M5, 306, 307, 305, 302, 305, 303, 311, 316, 317, 318, 331, 332, 334</t>
  </si>
  <si>
    <t>E AV-HM3@E</t>
  </si>
  <si>
    <t>7E-LS3</t>
    <phoneticPr fontId="3" type="noConversion"/>
  </si>
  <si>
    <t>334, 332, 331, 318, 317, 316, 311, 303, 305, 302, 305, 307, 306, M5, M6</t>
  </si>
  <si>
    <t>E AV-RM1E@E</t>
  </si>
  <si>
    <t>301, 302, 305, 303, 311, 316, 319, 324</t>
  </si>
  <si>
    <t>LS3-7W</t>
    <phoneticPr fontId="3" type="noConversion"/>
  </si>
  <si>
    <t>E AV-RM1W@E</t>
  </si>
  <si>
    <t>7W-LS3</t>
    <phoneticPr fontId="3" type="noConversion"/>
  </si>
  <si>
    <t>E AV-RM2E@E</t>
  </si>
  <si>
    <t>LS3-8E</t>
    <phoneticPr fontId="3" type="noConversion"/>
  </si>
  <si>
    <t>E AV-RM2W@E</t>
  </si>
  <si>
    <t>8E-LS3</t>
    <phoneticPr fontId="3" type="noConversion"/>
  </si>
  <si>
    <t>E AV-RM3E@E</t>
  </si>
  <si>
    <t>LS3-8W</t>
    <phoneticPr fontId="3" type="noConversion"/>
  </si>
  <si>
    <t>E AV-RM3W@E</t>
  </si>
  <si>
    <t>8W-LS3</t>
    <phoneticPr fontId="3" type="noConversion"/>
  </si>
  <si>
    <t>E AV-HCTE@E</t>
  </si>
  <si>
    <t>LB-LF3</t>
    <phoneticPr fontId="3" type="noConversion"/>
  </si>
  <si>
    <t>M5, 306, 307, 305, 302, 305, 303, 311, 316, 319, 322, 323</t>
  </si>
  <si>
    <t>LB</t>
  </si>
  <si>
    <t>E AV-HCTW@E</t>
  </si>
  <si>
    <t>LF3-LB</t>
    <phoneticPr fontId="3" type="noConversion"/>
  </si>
  <si>
    <t>323, 322, 319, 316, 311, 303, 305, 302, 305, 307, 306, M5</t>
  </si>
  <si>
    <t>E AV-1E@E</t>
  </si>
  <si>
    <t>LB-LF4</t>
    <phoneticPr fontId="3" type="noConversion"/>
  </si>
  <si>
    <t>E AV-1W@E</t>
  </si>
  <si>
    <t>LF4-LB</t>
    <phoneticPr fontId="3" type="noConversion"/>
  </si>
  <si>
    <t>E AV-2E@E</t>
  </si>
  <si>
    <t>LB-HM1</t>
    <phoneticPr fontId="3" type="noConversion"/>
  </si>
  <si>
    <t>M5, 306, 307, 305, 302, 305, 303, 311, 316, 319, 322</t>
  </si>
  <si>
    <t>E AV-2W@E</t>
  </si>
  <si>
    <t>HM1-LB</t>
    <phoneticPr fontId="3" type="noConversion"/>
  </si>
  <si>
    <t>322, 319, 316, 311, 303, 305, 302, 305, 307, 306, M5</t>
  </si>
  <si>
    <t>E AV-3E@E</t>
  </si>
  <si>
    <t>LB-HM2</t>
    <phoneticPr fontId="3" type="noConversion"/>
  </si>
  <si>
    <t>M5, 306, 307, 305, 302, 305, 303, 311, 316, 319, 324</t>
  </si>
  <si>
    <t>E AV-3W@E</t>
  </si>
  <si>
    <t>HM2-LB</t>
    <phoneticPr fontId="3" type="noConversion"/>
  </si>
  <si>
    <t>324, 319, 316, 311, 303, 305, 302, 305, 307, 306, M5</t>
  </si>
  <si>
    <t>E AV-4E@E</t>
  </si>
  <si>
    <t>LB-HM3</t>
    <phoneticPr fontId="3" type="noConversion"/>
  </si>
  <si>
    <t>E AV-4W@E</t>
  </si>
  <si>
    <t>HM3-LB</t>
    <phoneticPr fontId="3" type="noConversion"/>
  </si>
  <si>
    <t>E AV-5E@E</t>
  </si>
  <si>
    <t>LB-RM1E</t>
    <phoneticPr fontId="3" type="noConversion"/>
  </si>
  <si>
    <t>M5, 306, 307, 305, 302, 305, 303, 311, 316, 317, 318, 325, 326</t>
  </si>
  <si>
    <t>E AV-5W@E</t>
  </si>
  <si>
    <t>RM1E-LB</t>
    <phoneticPr fontId="3" type="noConversion"/>
  </si>
  <si>
    <t>326, 325, 318, 317, 316, 311, 303, 305, 302, 305, 307, 306, M5</t>
  </si>
  <si>
    <t>E AV-6E@E</t>
  </si>
  <si>
    <t>LB-RM1W</t>
    <phoneticPr fontId="3" type="noConversion"/>
  </si>
  <si>
    <t>E AV-6W@E</t>
  </si>
  <si>
    <t>RM1W-LB</t>
    <phoneticPr fontId="3" type="noConversion"/>
  </si>
  <si>
    <t>E AV-7E@E</t>
  </si>
  <si>
    <t>LB-RM2E</t>
    <phoneticPr fontId="3" type="noConversion"/>
  </si>
  <si>
    <t>M5, 306, 307, 305, 302, 305, 303, 311, 316, 317, 318, 325, 326, 327</t>
  </si>
  <si>
    <t>E AV-7W@E</t>
  </si>
  <si>
    <t>RM2E-LB</t>
    <phoneticPr fontId="3" type="noConversion"/>
  </si>
  <si>
    <t>327, 326, 325, 318, 317, 316, 311, 303, 305, 302, 305, 307, 306, M5</t>
  </si>
  <si>
    <t>E AV-8E@E</t>
  </si>
  <si>
    <t>LB-RM2W</t>
    <phoneticPr fontId="3" type="noConversion"/>
  </si>
  <si>
    <t>E AV-8W@E</t>
  </si>
  <si>
    <t>RM2W-LB</t>
    <phoneticPr fontId="3" type="noConversion"/>
  </si>
  <si>
    <t>E AV-LS2@E</t>
  </si>
  <si>
    <t>301, 302, 305, 307, 306, M5, M6, M7, M8</t>
  </si>
  <si>
    <t>01</t>
  </si>
  <si>
    <t>LB-RM3E</t>
    <phoneticPr fontId="3" type="noConversion"/>
  </si>
  <si>
    <t>E AV-LS3@E</t>
  </si>
  <si>
    <t>301, 302, 305, 307, 306, M5, M6</t>
  </si>
  <si>
    <t>RM3E-LB</t>
    <phoneticPr fontId="3" type="noConversion"/>
  </si>
  <si>
    <t>E AV-LB@E</t>
  </si>
  <si>
    <t>301, 302, 305, 307, 306, M5</t>
  </si>
  <si>
    <t>LB-RM3W</t>
    <phoneticPr fontId="3" type="noConversion"/>
  </si>
  <si>
    <t>E AV-M1@E</t>
  </si>
  <si>
    <t>301, 302, 305, 307, 306, M1</t>
  </si>
  <si>
    <t>RM3W-LB</t>
    <phoneticPr fontId="3" type="noConversion"/>
  </si>
  <si>
    <t>E AV-M2@E</t>
  </si>
  <si>
    <t>301, 302, 305, 307, 306, M1, M2</t>
  </si>
  <si>
    <t>LB-HCTE</t>
    <phoneticPr fontId="3" type="noConversion"/>
  </si>
  <si>
    <t>M5, 306, 307, 305, 302, 305, 303, 311, 316, 317, 318, 325, 328, 329</t>
  </si>
  <si>
    <t>E AV-M3@E</t>
  </si>
  <si>
    <t>301, 302, 305, 307, 306, M1, M2, M3</t>
  </si>
  <si>
    <t>HCTE-LB</t>
    <phoneticPr fontId="3" type="noConversion"/>
  </si>
  <si>
    <t>329, 328, 325, 318, 317, 316, 311, 303, 305, 302, 305, 307, 306, M5</t>
  </si>
  <si>
    <t>E AV-M4@E</t>
  </si>
  <si>
    <t>301, 302, 305, 307, 306, M1, M2, M3, M4</t>
  </si>
  <si>
    <t>LB-HCTW</t>
    <phoneticPr fontId="3" type="noConversion"/>
  </si>
  <si>
    <t>E AV-HM1@E</t>
  </si>
  <si>
    <t>HCTW-LB</t>
    <phoneticPr fontId="3" type="noConversion"/>
  </si>
  <si>
    <t>E AV-TEST@E</t>
  </si>
  <si>
    <t>303, 304</t>
  </si>
  <si>
    <t>01, 07</t>
  </si>
  <si>
    <t>LB-1E</t>
    <phoneticPr fontId="3" type="noConversion"/>
  </si>
  <si>
    <t>W DT-RM1E@W</t>
  </si>
  <si>
    <t>W AV-RM1E@W</t>
  </si>
  <si>
    <t>RM1E@W</t>
  </si>
  <si>
    <t>1E-LB</t>
    <phoneticPr fontId="3" type="noConversion"/>
  </si>
  <si>
    <t>W DT-RM1W@W</t>
  </si>
  <si>
    <t>W AV-RM1W@W</t>
  </si>
  <si>
    <t>RM1W@W</t>
  </si>
  <si>
    <t>LB-1W</t>
    <phoneticPr fontId="3" type="noConversion"/>
  </si>
  <si>
    <t>W DT-RM2E@W</t>
  </si>
  <si>
    <t>W AV-RM2E@W</t>
  </si>
  <si>
    <t>RM2E@W</t>
  </si>
  <si>
    <t>1W-LB</t>
    <phoneticPr fontId="3" type="noConversion"/>
  </si>
  <si>
    <t>W DT-RM2W@W</t>
  </si>
  <si>
    <t>W AV-RM2W@W</t>
  </si>
  <si>
    <t>RM2W@W</t>
  </si>
  <si>
    <t>LB-2E</t>
    <phoneticPr fontId="3" type="noConversion"/>
  </si>
  <si>
    <t>M5, 306, 307, 305, 302, 305, 303, 311, 316, 317, 318, 325, 328, 330</t>
  </si>
  <si>
    <t>W DT-RM3E@W</t>
  </si>
  <si>
    <t>W AV-RM3E@W</t>
  </si>
  <si>
    <t>RM3E@W</t>
  </si>
  <si>
    <t>2E-LB</t>
    <phoneticPr fontId="3" type="noConversion"/>
  </si>
  <si>
    <t>330, 328, 325, 318, 317, 316, 311, 303, 305, 302, 305, 307, 306, M5</t>
  </si>
  <si>
    <t>W DT-RM3W@W</t>
  </si>
  <si>
    <t>W AV-RM3W@W</t>
  </si>
  <si>
    <t>RM3W@W</t>
  </si>
  <si>
    <t>LB-2W</t>
    <phoneticPr fontId="3" type="noConversion"/>
  </si>
  <si>
    <t>W DT-HCTE@W</t>
  </si>
  <si>
    <t>W AV-HCTE@W</t>
  </si>
  <si>
    <t>HCTE@W</t>
  </si>
  <si>
    <t>2W-LB</t>
    <phoneticPr fontId="3" type="noConversion"/>
  </si>
  <si>
    <t>W DT-HCTW@W</t>
  </si>
  <si>
    <t>W AV-HCTW@W</t>
  </si>
  <si>
    <t>HCTW@W</t>
  </si>
  <si>
    <t>LB-3E</t>
    <phoneticPr fontId="3" type="noConversion"/>
  </si>
  <si>
    <t>W DT-1E@W</t>
  </si>
  <si>
    <t>W AV-1E@W</t>
  </si>
  <si>
    <t>1E@W</t>
  </si>
  <si>
    <t>3E-LB</t>
    <phoneticPr fontId="3" type="noConversion"/>
  </si>
  <si>
    <t>W DT-1W@W</t>
  </si>
  <si>
    <t>W AV-1W@W</t>
  </si>
  <si>
    <t>1W@W</t>
  </si>
  <si>
    <t>LB-3W</t>
    <phoneticPr fontId="3" type="noConversion"/>
  </si>
  <si>
    <t>W DT-2E@W</t>
  </si>
  <si>
    <t>W AV-2E@W</t>
  </si>
  <si>
    <t>2E@W</t>
  </si>
  <si>
    <t>3W-LB</t>
    <phoneticPr fontId="3" type="noConversion"/>
  </si>
  <si>
    <t>W DT-2W@W</t>
  </si>
  <si>
    <t>W AV-2W@W</t>
  </si>
  <si>
    <t>2W@W</t>
  </si>
  <si>
    <t>LB-4E</t>
    <phoneticPr fontId="3" type="noConversion"/>
  </si>
  <si>
    <t>M5, 306, 307, 305, 302, 305, 303, 311, 316, 317, 318, 331, 333</t>
  </si>
  <si>
    <t>W DT-3E@W</t>
  </si>
  <si>
    <t>W AV-3E@W</t>
  </si>
  <si>
    <t>3E@W</t>
  </si>
  <si>
    <t>4E-LB</t>
    <phoneticPr fontId="3" type="noConversion"/>
  </si>
  <si>
    <t>333, 331, 318, 317, 316, 311, 303, 305, 302, 305, 307, 306, M5</t>
  </si>
  <si>
    <t>W DT-3W@W</t>
  </si>
  <si>
    <t>W AV-3W@W</t>
  </si>
  <si>
    <t>3W@W</t>
  </si>
  <si>
    <t>LB-4W</t>
    <phoneticPr fontId="3" type="noConversion"/>
  </si>
  <si>
    <t>W DT-4E@W</t>
  </si>
  <si>
    <t>W AV-4E@W</t>
  </si>
  <si>
    <t>4E@W</t>
  </si>
  <si>
    <t>4W-LB</t>
    <phoneticPr fontId="3" type="noConversion"/>
  </si>
  <si>
    <t>W DT-4W@W</t>
  </si>
  <si>
    <t>W AV-4W@W</t>
  </si>
  <si>
    <t>4W@W</t>
  </si>
  <si>
    <t>LB-5E</t>
    <phoneticPr fontId="3" type="noConversion"/>
  </si>
  <si>
    <t>W DT-5E@W</t>
  </si>
  <si>
    <t>W AV-5E@W</t>
  </si>
  <si>
    <t>5E@W</t>
  </si>
  <si>
    <t>5E-LB</t>
    <phoneticPr fontId="3" type="noConversion"/>
  </si>
  <si>
    <t>W DT-5W@W</t>
  </si>
  <si>
    <t>W AV-5W@W</t>
  </si>
  <si>
    <t>5W@W</t>
  </si>
  <si>
    <t>LB-5W</t>
    <phoneticPr fontId="3" type="noConversion"/>
  </si>
  <si>
    <t>W DT-6E@W</t>
  </si>
  <si>
    <t>W AV-6E@W</t>
  </si>
  <si>
    <t>6E@W</t>
  </si>
  <si>
    <t>5W-LB</t>
    <phoneticPr fontId="3" type="noConversion"/>
  </si>
  <si>
    <t>W DT-6W@W</t>
  </si>
  <si>
    <t>W AV-6W@W</t>
  </si>
  <si>
    <t>6W@W</t>
  </si>
  <si>
    <t>LB-6E</t>
    <phoneticPr fontId="3" type="noConversion"/>
  </si>
  <si>
    <t>M5, 306, 307, 305, 302, 305, 303, 311, 316, 317, 318, 331, 332</t>
  </si>
  <si>
    <t>W DT-7E@W</t>
  </si>
  <si>
    <t>W AV-7E@W</t>
  </si>
  <si>
    <t>7E@W</t>
  </si>
  <si>
    <t>6E-LB</t>
    <phoneticPr fontId="3" type="noConversion"/>
  </si>
  <si>
    <t>332, 331, 318, 317, 316, 311, 303, 305, 302, 305, 307, 306, M5</t>
  </si>
  <si>
    <t>W DT-7W@W</t>
  </si>
  <si>
    <t>W AV-7W@W</t>
  </si>
  <si>
    <t>7W@W</t>
  </si>
  <si>
    <t>LB-6W</t>
    <phoneticPr fontId="3" type="noConversion"/>
  </si>
  <si>
    <t>W DT-8E@W</t>
  </si>
  <si>
    <t>W AV-8E@W</t>
  </si>
  <si>
    <t>8E@W</t>
  </si>
  <si>
    <t>6W-LB</t>
    <phoneticPr fontId="3" type="noConversion"/>
  </si>
  <si>
    <t>W DT-8W@W</t>
  </si>
  <si>
    <t>W AV-8W@W</t>
  </si>
  <si>
    <t>8W@W</t>
  </si>
  <si>
    <t>LB-7E</t>
    <phoneticPr fontId="3" type="noConversion"/>
  </si>
  <si>
    <t>M5, 306, 307, 305, 302, 305, 303, 311, 316, 317, 318, 331, 332, 334</t>
  </si>
  <si>
    <t>364, 362, 361, 358, 359, 354, 351</t>
  </si>
  <si>
    <t>7E-LB</t>
    <phoneticPr fontId="3" type="noConversion"/>
  </si>
  <si>
    <t>334, 332, 331, 318, 317, 316, 311, 303, 305, 302, 305, 307, 306, M5</t>
  </si>
  <si>
    <t>LB-7W</t>
    <phoneticPr fontId="3" type="noConversion"/>
  </si>
  <si>
    <t>365, 362, 361, 358, 359, 354, 351</t>
  </si>
  <si>
    <t>7W-LB</t>
    <phoneticPr fontId="3" type="noConversion"/>
  </si>
  <si>
    <t>LB-8E</t>
    <phoneticPr fontId="3" type="noConversion"/>
  </si>
  <si>
    <t>8E-LB</t>
    <phoneticPr fontId="3" type="noConversion"/>
  </si>
  <si>
    <t>LB-8W</t>
    <phoneticPr fontId="3" type="noConversion"/>
  </si>
  <si>
    <t>368, 367, 361, 358, 359, 354, 351</t>
  </si>
  <si>
    <t>8W-LB</t>
    <phoneticPr fontId="3" type="noConversion"/>
  </si>
  <si>
    <t>M1-LF3</t>
    <phoneticPr fontId="3" type="noConversion"/>
  </si>
  <si>
    <t>06, 03, 10, 16</t>
  </si>
  <si>
    <t>M1, 306, 307, 305, 302, 305, 303, 311, 316, 319, 322, 323</t>
  </si>
  <si>
    <t>M1</t>
  </si>
  <si>
    <t>LF3-M1</t>
    <phoneticPr fontId="3" type="noConversion"/>
  </si>
  <si>
    <t>323, 322, 319, 316, 311, 303, 305, 302, 305, 307, 306, M1</t>
  </si>
  <si>
    <t>M1-LF4</t>
    <phoneticPr fontId="3" type="noConversion"/>
  </si>
  <si>
    <t>370, 369, 367, 361, 358, 359, 354, 351</t>
  </si>
  <si>
    <t>LF4-M1</t>
    <phoneticPr fontId="3" type="noConversion"/>
  </si>
  <si>
    <t>M1-HM1</t>
    <phoneticPr fontId="3" type="noConversion"/>
  </si>
  <si>
    <t>M1, 306, 307, 305, 302, 305, 303, 311, 316, 319, 322</t>
  </si>
  <si>
    <t>HM1-M1</t>
    <phoneticPr fontId="3" type="noConversion"/>
  </si>
  <si>
    <t>322, 319, 316, 311, 303, 305, 302, 305, 307, 306, M1</t>
  </si>
  <si>
    <t>M1-HM2</t>
    <phoneticPr fontId="3" type="noConversion"/>
  </si>
  <si>
    <t>M1, 306, 307, 305, 302, 305, 303, 311, 316, 319, 324</t>
  </si>
  <si>
    <t>369, 367, 361, 358, 359, 354, 351</t>
  </si>
  <si>
    <t>HM2-M1</t>
    <phoneticPr fontId="3" type="noConversion"/>
  </si>
  <si>
    <t>324, 319, 316, 311, 303, 305, 302, 305, 307, 306, M1</t>
  </si>
  <si>
    <t>M1-HM3</t>
    <phoneticPr fontId="3" type="noConversion"/>
  </si>
  <si>
    <t>375, 374, 360, 359, 354, 351</t>
  </si>
  <si>
    <t>HM3-M1</t>
    <phoneticPr fontId="3" type="noConversion"/>
  </si>
  <si>
    <t>M1-RM1E</t>
    <phoneticPr fontId="3" type="noConversion"/>
  </si>
  <si>
    <t>M1, 306, 307, 305, 302, 305, 303, 311, 316, 317, 318, 325, 326</t>
  </si>
  <si>
    <t>RM1E-M1</t>
    <phoneticPr fontId="3" type="noConversion"/>
  </si>
  <si>
    <t>326, 325, 318, 317, 316, 311, 303, 305, 302, 305, 307, 306, M1</t>
  </si>
  <si>
    <t>M1-RM1W</t>
    <phoneticPr fontId="3" type="noConversion"/>
  </si>
  <si>
    <t>376, 374, 360, 359, 354, 351</t>
  </si>
  <si>
    <t>RM1W-M1</t>
    <phoneticPr fontId="3" type="noConversion"/>
  </si>
  <si>
    <t>M1-RM2E</t>
    <phoneticPr fontId="3" type="noConversion"/>
  </si>
  <si>
    <t>M1, 306, 307, 305, 302, 305, 303, 311, 316, 317, 318, 325, 326, 327</t>
  </si>
  <si>
    <t>RM2E-M1</t>
    <phoneticPr fontId="3" type="noConversion"/>
  </si>
  <si>
    <t>327, 326, 325, 318, 317, 316, 311, 303, 305, 302, 305, 307, 306, M1</t>
  </si>
  <si>
    <t>M1-RM2W</t>
    <phoneticPr fontId="3" type="noConversion"/>
  </si>
  <si>
    <t>RM1E-W AV@W</t>
  </si>
  <si>
    <t>RM2W-M1</t>
    <phoneticPr fontId="3" type="noConversion"/>
  </si>
  <si>
    <t>RM1W-W AV@W</t>
  </si>
  <si>
    <t>M1-RM3E</t>
    <phoneticPr fontId="3" type="noConversion"/>
  </si>
  <si>
    <t>RM2E-W AV@W</t>
  </si>
  <si>
    <t>RM3E-M1</t>
    <phoneticPr fontId="3" type="noConversion"/>
  </si>
  <si>
    <t>RM2W-W AV@W</t>
  </si>
  <si>
    <t>M1-RM3W</t>
    <phoneticPr fontId="3" type="noConversion"/>
  </si>
  <si>
    <t>RM3E-W AV@W</t>
  </si>
  <si>
    <t>RM3W-M1</t>
    <phoneticPr fontId="3" type="noConversion"/>
  </si>
  <si>
    <t>RM3W-W AV@W</t>
  </si>
  <si>
    <t>M1-HCTE</t>
    <phoneticPr fontId="3" type="noConversion"/>
  </si>
  <si>
    <t>M1, 306, 307, 305, 302, 305, 303, 311, 316, 317, 318, 325, 328, 329</t>
  </si>
  <si>
    <t>HCTE-W AV@W</t>
  </si>
  <si>
    <t>HCTE-M1</t>
    <phoneticPr fontId="3" type="noConversion"/>
  </si>
  <si>
    <t>329, 328, 325, 318, 317, 316, 311, 303, 305, 302, 305, 307, 306, M1</t>
  </si>
  <si>
    <t>HCTW-W AV@W</t>
  </si>
  <si>
    <t>M1-HCTW</t>
    <phoneticPr fontId="3" type="noConversion"/>
  </si>
  <si>
    <t>1E-W AV@W</t>
  </si>
  <si>
    <t>HCTW-M1</t>
    <phoneticPr fontId="3" type="noConversion"/>
  </si>
  <si>
    <t>1W-W AV@W</t>
  </si>
  <si>
    <t>M1-1E</t>
    <phoneticPr fontId="3" type="noConversion"/>
  </si>
  <si>
    <t>2E-W AV@W</t>
  </si>
  <si>
    <t>1E-M1</t>
    <phoneticPr fontId="3" type="noConversion"/>
  </si>
  <si>
    <t>2W-W AV@W</t>
  </si>
  <si>
    <t>M1-1W</t>
    <phoneticPr fontId="3" type="noConversion"/>
  </si>
  <si>
    <t>3E-W AV@W</t>
  </si>
  <si>
    <t>1W-M1</t>
    <phoneticPr fontId="3" type="noConversion"/>
  </si>
  <si>
    <t>3W-W AV@W</t>
  </si>
  <si>
    <t>M1-2E</t>
    <phoneticPr fontId="3" type="noConversion"/>
  </si>
  <si>
    <t>M1, 306, 307, 305, 302, 305, 303, 311, 316, 317, 318, 325, 328, 330</t>
  </si>
  <si>
    <t>4E-W AV@W</t>
  </si>
  <si>
    <t>2E-M1</t>
    <phoneticPr fontId="3" type="noConversion"/>
  </si>
  <si>
    <t>330, 328, 325, 318, 317, 316, 311, 303, 305, 302, 305, 307, 306, M1</t>
  </si>
  <si>
    <t>4W-W AV@W</t>
  </si>
  <si>
    <t>M1-2W</t>
    <phoneticPr fontId="3" type="noConversion"/>
  </si>
  <si>
    <t>5E-W AV@W</t>
  </si>
  <si>
    <t>2W-M1</t>
    <phoneticPr fontId="3" type="noConversion"/>
  </si>
  <si>
    <t>5W-W AV@W</t>
  </si>
  <si>
    <t>M1-3E</t>
    <phoneticPr fontId="3" type="noConversion"/>
  </si>
  <si>
    <t>6E-W AV@W</t>
  </si>
  <si>
    <t>3E-M1</t>
    <phoneticPr fontId="3" type="noConversion"/>
  </si>
  <si>
    <t>6W-W AV@W</t>
  </si>
  <si>
    <t>M1-3W</t>
    <phoneticPr fontId="3" type="noConversion"/>
  </si>
  <si>
    <t>7E-W AV@W</t>
  </si>
  <si>
    <t>3W-M1</t>
    <phoneticPr fontId="3" type="noConversion"/>
  </si>
  <si>
    <t>7W-W AV@W</t>
  </si>
  <si>
    <t>M1-4E</t>
    <phoneticPr fontId="3" type="noConversion"/>
  </si>
  <si>
    <t>M1, 306, 307, 305, 302, 305, 303, 311, 316, 317, 318, 331, 333</t>
  </si>
  <si>
    <t>8E-W AV@W</t>
  </si>
  <si>
    <t>4E-M1</t>
    <phoneticPr fontId="3" type="noConversion"/>
  </si>
  <si>
    <t>333, 331, 318, 317, 316, 311, 303, 305, 302, 305, 307, 306, M1</t>
  </si>
  <si>
    <t>8W-W AV@W</t>
  </si>
  <si>
    <t>M1-4W</t>
    <phoneticPr fontId="3" type="noConversion"/>
  </si>
  <si>
    <t>LS1-LS2@E</t>
  </si>
  <si>
    <t>M8</t>
  </si>
  <si>
    <t>4W-M1</t>
    <phoneticPr fontId="3" type="noConversion"/>
  </si>
  <si>
    <t>LS1-LS3@E</t>
  </si>
  <si>
    <t>M8,M7,M6</t>
  </si>
  <si>
    <t>M1-5E</t>
    <phoneticPr fontId="3" type="noConversion"/>
  </si>
  <si>
    <t>LS2-LS1@E</t>
  </si>
  <si>
    <t>5E-M1</t>
    <phoneticPr fontId="3" type="noConversion"/>
  </si>
  <si>
    <t>LS2-LS3@E</t>
  </si>
  <si>
    <t>M1-5W</t>
    <phoneticPr fontId="3" type="noConversion"/>
  </si>
  <si>
    <t>LS3-LS2@E</t>
  </si>
  <si>
    <t>M6,M7,M8</t>
  </si>
  <si>
    <t>5W-M1</t>
    <phoneticPr fontId="3" type="noConversion"/>
  </si>
  <si>
    <t>LS3-LS1@E</t>
  </si>
  <si>
    <t>M1-6E</t>
    <phoneticPr fontId="3" type="noConversion"/>
  </si>
  <si>
    <t>M1, 306, 307, 305, 302, 305, 303, 311, 316, 317, 318, 331, 332</t>
  </si>
  <si>
    <t>M5-M2@E</t>
  </si>
  <si>
    <t>M4,M3.M2</t>
  </si>
  <si>
    <t>6E-M1</t>
    <phoneticPr fontId="3" type="noConversion"/>
  </si>
  <si>
    <t>332, 331, 318, 317, 316, 311, 303, 305, 302, 305, 307, 306, M1</t>
  </si>
  <si>
    <t>M1-6W</t>
    <phoneticPr fontId="3" type="noConversion"/>
  </si>
  <si>
    <t>LS1-LB@E</t>
  </si>
  <si>
    <t>M7,M8</t>
  </si>
  <si>
    <t>6W-M1</t>
    <phoneticPr fontId="3" type="noConversion"/>
  </si>
  <si>
    <t>LS2-LB@E</t>
  </si>
  <si>
    <t>M1-7E</t>
    <phoneticPr fontId="3" type="noConversion"/>
  </si>
  <si>
    <t>M1, 306, 307, 305, 302, 305, 303, 311, 316, 317, 318, 331, 332, 334</t>
  </si>
  <si>
    <t>LB-LS1@E</t>
  </si>
  <si>
    <t>7E-M1</t>
    <phoneticPr fontId="3" type="noConversion"/>
  </si>
  <si>
    <t>334, 332, 331, 318, 317, 316, 311, 303, 305, 302, 305, 307, 306, M1</t>
  </si>
  <si>
    <t>LB-LS2@E</t>
  </si>
  <si>
    <t>M1-7W</t>
    <phoneticPr fontId="3" type="noConversion"/>
  </si>
  <si>
    <t>WL-RM1W@E</t>
  </si>
  <si>
    <t>7W-M1</t>
    <phoneticPr fontId="3" type="noConversion"/>
  </si>
  <si>
    <t>RM1W-WL@E</t>
  </si>
  <si>
    <t>M1-8E</t>
    <phoneticPr fontId="3" type="noConversion"/>
  </si>
  <si>
    <t>E DT-SHD16@E</t>
  </si>
  <si>
    <t>311, 303, 305, 302</t>
  </si>
  <si>
    <t>8E-M1</t>
    <phoneticPr fontId="3" type="noConversion"/>
  </si>
  <si>
    <t>SHD16-E DT@E</t>
  </si>
  <si>
    <t>04</t>
  </si>
  <si>
    <t>M1-8W</t>
    <phoneticPr fontId="3" type="noConversion"/>
  </si>
  <si>
    <t>SHD16-LF3@E</t>
  </si>
  <si>
    <t>316, 319, 320, 322, 323</t>
  </si>
  <si>
    <t>8W-M1</t>
    <phoneticPr fontId="3" type="noConversion"/>
  </si>
  <si>
    <t>M2-LF3</t>
    <phoneticPr fontId="3" type="noConversion"/>
  </si>
  <si>
    <t>M2, M1, 306, 307, 305, 302, 305, 303, 311, 316, 319, 322, 323</t>
  </si>
  <si>
    <t>M2</t>
  </si>
  <si>
    <t>SHD16-LF4@E</t>
  </si>
  <si>
    <t>LF3-M2</t>
    <phoneticPr fontId="3" type="noConversion"/>
  </si>
  <si>
    <t>323, 322, 319, 316, 311, 303, 305, 302, 305, 307, 306, M1, M2</t>
  </si>
  <si>
    <t>SHD16-HM1@E</t>
  </si>
  <si>
    <t>316, 319, 320, 322</t>
  </si>
  <si>
    <t>M2-LF4</t>
    <phoneticPr fontId="3" type="noConversion"/>
  </si>
  <si>
    <t>SHD16-HM2@E</t>
  </si>
  <si>
    <t>316, 319, 324</t>
  </si>
  <si>
    <t>LF4-M2</t>
    <phoneticPr fontId="3" type="noConversion"/>
  </si>
  <si>
    <t>SHD16-HM3@E</t>
  </si>
  <si>
    <t>M2-HM1</t>
    <phoneticPr fontId="3" type="noConversion"/>
  </si>
  <si>
    <t>M2, M1, 306, 307, 305, 302, 305, 303, 311, 316, 319, 322</t>
  </si>
  <si>
    <t>SHD16-RM1E@E</t>
  </si>
  <si>
    <t>316, 325, 326</t>
  </si>
  <si>
    <t>HM1-M2</t>
    <phoneticPr fontId="3" type="noConversion"/>
  </si>
  <si>
    <t>322, 319, 316, 311, 303, 305, 302, 305, 307, 306, M1, M2</t>
  </si>
  <si>
    <t>SHD16-RM1W@E</t>
  </si>
  <si>
    <t>M2-HM2</t>
    <phoneticPr fontId="3" type="noConversion"/>
  </si>
  <si>
    <t>M2, M1, 306, 307, 305, 302, 305, 303, 311, 316, 319, 324</t>
  </si>
  <si>
    <t>SHD16-RM2E@E</t>
  </si>
  <si>
    <t>316, 325, 326, 327</t>
  </si>
  <si>
    <t>HM2-M2</t>
    <phoneticPr fontId="3" type="noConversion"/>
  </si>
  <si>
    <t>324, 319, 316, 311, 303, 305, 302, 305, 307, 306, M1, M2</t>
  </si>
  <si>
    <t>SHD16-RM2W@E</t>
  </si>
  <si>
    <t>M2-HM3</t>
    <phoneticPr fontId="3" type="noConversion"/>
  </si>
  <si>
    <t>SHD16-RM3E@E</t>
  </si>
  <si>
    <t>HM3-M2</t>
    <phoneticPr fontId="3" type="noConversion"/>
  </si>
  <si>
    <t>SHD16-RM3W@E</t>
  </si>
  <si>
    <t>M2-RM1E</t>
    <phoneticPr fontId="3" type="noConversion"/>
  </si>
  <si>
    <t>M2, M1, 306, 307, 305, 302, 305, 303, 311, 316, 317, 318, 325, 326</t>
  </si>
  <si>
    <t>SHD16-HCTE@E</t>
  </si>
  <si>
    <t>316, 325, 328, 329</t>
  </si>
  <si>
    <t>RM1E-M2</t>
    <phoneticPr fontId="3" type="noConversion"/>
  </si>
  <si>
    <t>326, 325, 318, 317, 316, 311, 303, 305, 302, 305, 307, 306, M1, M2</t>
  </si>
  <si>
    <t>SHD16-HCTW@E</t>
  </si>
  <si>
    <t>M2-RM1W</t>
    <phoneticPr fontId="3" type="noConversion"/>
  </si>
  <si>
    <t>SHD16-1E@E</t>
  </si>
  <si>
    <t>RM1W-M2</t>
    <phoneticPr fontId="3" type="noConversion"/>
  </si>
  <si>
    <t>SHD16-1W@E</t>
  </si>
  <si>
    <t>M2-RM2E</t>
    <phoneticPr fontId="3" type="noConversion"/>
  </si>
  <si>
    <t>M2, M1, 306, 307, 305, 302, 305, 303, 311, 316, 317, 318, 325, 326, 327</t>
  </si>
  <si>
    <t>SHD16-2E@E</t>
  </si>
  <si>
    <t>316, 325, 328, 330</t>
  </si>
  <si>
    <t>RM2E-M2</t>
    <phoneticPr fontId="3" type="noConversion"/>
  </si>
  <si>
    <t>327, 326, 325, 318, 317, 316, 311, 303, 305, 302, 305, 307, 306, M1, M2</t>
  </si>
  <si>
    <t>SHD16-2W@E</t>
  </si>
  <si>
    <t>M2-RM2W</t>
    <phoneticPr fontId="3" type="noConversion"/>
  </si>
  <si>
    <t>SHD16-3E@E</t>
  </si>
  <si>
    <t>RM2W-M2</t>
    <phoneticPr fontId="3" type="noConversion"/>
  </si>
  <si>
    <t>SHD16-3W@E</t>
  </si>
  <si>
    <t>M2-RM3E</t>
    <phoneticPr fontId="3" type="noConversion"/>
  </si>
  <si>
    <t>SHD16-4E@E</t>
  </si>
  <si>
    <t>316, 317, 318, 331, 333</t>
  </si>
  <si>
    <t>RM3E-M2</t>
    <phoneticPr fontId="3" type="noConversion"/>
  </si>
  <si>
    <t>SHD16-4W@E</t>
  </si>
  <si>
    <t>M2-RM3W</t>
    <phoneticPr fontId="3" type="noConversion"/>
  </si>
  <si>
    <t>SHD16-5E@E</t>
  </si>
  <si>
    <t>RM3W-M2</t>
    <phoneticPr fontId="3" type="noConversion"/>
  </si>
  <si>
    <t>SHD16-5W@E</t>
  </si>
  <si>
    <t>M2-HCTE</t>
    <phoneticPr fontId="3" type="noConversion"/>
  </si>
  <si>
    <t>M2, M1, 306, 307, 305, 302, 305, 303, 311, 316, 317, 318, 325, 328, 329</t>
  </si>
  <si>
    <t>SHD16-6E@E</t>
  </si>
  <si>
    <t>316, 317, 318, 331, 332</t>
  </si>
  <si>
    <t>HCTE-M2</t>
    <phoneticPr fontId="3" type="noConversion"/>
  </si>
  <si>
    <t>329, 328, 325, 318, 317, 316, 311, 303, 305, 302, 305, 307, 306, M1, M2</t>
  </si>
  <si>
    <t>SHD16-6W@E</t>
  </si>
  <si>
    <t>M2-HCTW</t>
    <phoneticPr fontId="3" type="noConversion"/>
  </si>
  <si>
    <t>SHD16-7E@E</t>
  </si>
  <si>
    <t>316, 317, 318, 331, 332, 334</t>
  </si>
  <si>
    <t>HCTW-M2</t>
    <phoneticPr fontId="3" type="noConversion"/>
  </si>
  <si>
    <t>SHD16-7W@E</t>
  </si>
  <si>
    <t>M2-1E</t>
    <phoneticPr fontId="3" type="noConversion"/>
  </si>
  <si>
    <t>SHD16-8E@E</t>
  </si>
  <si>
    <t>1E-M2</t>
    <phoneticPr fontId="3" type="noConversion"/>
  </si>
  <si>
    <t>SHD16-8W@E</t>
  </si>
  <si>
    <t>M2-1W</t>
    <phoneticPr fontId="3" type="noConversion"/>
  </si>
  <si>
    <t>LF4-SHD16@E</t>
  </si>
  <si>
    <t>1W-M2</t>
    <phoneticPr fontId="3" type="noConversion"/>
  </si>
  <si>
    <t>HM1-SHD16@E</t>
  </si>
  <si>
    <t>M2-2E</t>
    <phoneticPr fontId="3" type="noConversion"/>
  </si>
  <si>
    <t>M2, M1, 306, 307, 305, 302, 305, 303, 311, 316, 317, 318, 325, 328, 330</t>
  </si>
  <si>
    <t>HM2-SHD16@E</t>
  </si>
  <si>
    <t>2E-M2</t>
    <phoneticPr fontId="3" type="noConversion"/>
  </si>
  <si>
    <t>330, 328, 325, 318, 317, 316, 311, 303, 305, 302, 305, 307, 306, M1, M2</t>
  </si>
  <si>
    <t>HM3-SHD16@E</t>
  </si>
  <si>
    <t>M2-2W</t>
    <phoneticPr fontId="3" type="noConversion"/>
  </si>
  <si>
    <t>RM1E-SHD16@E</t>
  </si>
  <si>
    <t>2W-M2</t>
    <phoneticPr fontId="3" type="noConversion"/>
  </si>
  <si>
    <t>RM1W-SHD16@E</t>
  </si>
  <si>
    <t>M2-3E</t>
    <phoneticPr fontId="3" type="noConversion"/>
  </si>
  <si>
    <t>RM2E-SHD16@E</t>
  </si>
  <si>
    <t>3E-M2</t>
    <phoneticPr fontId="3" type="noConversion"/>
  </si>
  <si>
    <t>RM2W-SHD16@E</t>
  </si>
  <si>
    <t>M2-3W</t>
    <phoneticPr fontId="3" type="noConversion"/>
  </si>
  <si>
    <t>RM3E-SHD16@E</t>
  </si>
  <si>
    <t>3W-M2</t>
    <phoneticPr fontId="3" type="noConversion"/>
  </si>
  <si>
    <t>RM3W-SHD16@E</t>
  </si>
  <si>
    <t>M2-4E</t>
    <phoneticPr fontId="3" type="noConversion"/>
  </si>
  <si>
    <t>M2, M1, 306, 307, 305, 302, 305, 303, 311, 316, 317, 318, 331, 333</t>
  </si>
  <si>
    <t>HCTE-SHD16@E</t>
  </si>
  <si>
    <t>4E-M2</t>
    <phoneticPr fontId="3" type="noConversion"/>
  </si>
  <si>
    <t>333, 331, 318, 317, 316, 311, 303, 305, 302, 305, 307, 306, M1, M2</t>
  </si>
  <si>
    <t>HCTW-SHD16@E</t>
  </si>
  <si>
    <t>M2-4W</t>
    <phoneticPr fontId="3" type="noConversion"/>
  </si>
  <si>
    <t>1E-SHD16@E</t>
  </si>
  <si>
    <t>4W-M2</t>
    <phoneticPr fontId="3" type="noConversion"/>
  </si>
  <si>
    <t>1W-SHD16@E</t>
  </si>
  <si>
    <t>M2-5E</t>
    <phoneticPr fontId="3" type="noConversion"/>
  </si>
  <si>
    <t>2E-SHD16@E</t>
  </si>
  <si>
    <t>5E-M2</t>
    <phoneticPr fontId="3" type="noConversion"/>
  </si>
  <si>
    <t>2W-SHD16@E</t>
  </si>
  <si>
    <t>M2-5W</t>
    <phoneticPr fontId="3" type="noConversion"/>
  </si>
  <si>
    <t>3E-SHD16@E</t>
  </si>
  <si>
    <t>5W-M2</t>
    <phoneticPr fontId="3" type="noConversion"/>
  </si>
  <si>
    <t>3W-SHD16@E</t>
  </si>
  <si>
    <t>M2-6E</t>
    <phoneticPr fontId="3" type="noConversion"/>
  </si>
  <si>
    <t>M2, M1, 306, 307, 305, 302, 305, 303, 311, 316, 317, 318, 331, 332</t>
  </si>
  <si>
    <t>4E-SHD16@E</t>
  </si>
  <si>
    <t>6E-M2</t>
    <phoneticPr fontId="3" type="noConversion"/>
  </si>
  <si>
    <t>332, 331, 318, 317, 316, 311, 303, 305, 302, 305, 307, 306, M1, M2</t>
  </si>
  <si>
    <t>4W-SHD16@E</t>
  </si>
  <si>
    <t>M2-6W</t>
    <phoneticPr fontId="3" type="noConversion"/>
  </si>
  <si>
    <t>5E-SHD16@E</t>
  </si>
  <si>
    <t>6W-M2</t>
    <phoneticPr fontId="3" type="noConversion"/>
  </si>
  <si>
    <t>5W-SHD16@E</t>
  </si>
  <si>
    <t>M2-7E</t>
    <phoneticPr fontId="3" type="noConversion"/>
  </si>
  <si>
    <t>M2, M1, 306, 307, 305, 302, 305, 303, 311, 316, 317, 318, 331, 332, 334</t>
  </si>
  <si>
    <t>6E-SHD16@E</t>
  </si>
  <si>
    <t>7E-M2</t>
    <phoneticPr fontId="3" type="noConversion"/>
  </si>
  <si>
    <t>334, 332, 331, 318, 317, 316, 311, 303, 305, 302, 305, 307, 306, M1, M2</t>
  </si>
  <si>
    <t>6W-SHD16@E</t>
  </si>
  <si>
    <t>M2-7W</t>
    <phoneticPr fontId="3" type="noConversion"/>
  </si>
  <si>
    <t>7E-SHD16@E</t>
  </si>
  <si>
    <t>7W-M2</t>
    <phoneticPr fontId="3" type="noConversion"/>
  </si>
  <si>
    <t>7W-SHD16@E</t>
  </si>
  <si>
    <t>M2-8E</t>
    <phoneticPr fontId="3" type="noConversion"/>
  </si>
  <si>
    <t>8E-SHD16@E</t>
  </si>
  <si>
    <t>8E-M2</t>
    <phoneticPr fontId="3" type="noConversion"/>
  </si>
  <si>
    <t>8W-SHD16@E</t>
  </si>
  <si>
    <t>M2-8W</t>
    <phoneticPr fontId="3" type="noConversion"/>
  </si>
  <si>
    <t>LF3-SHD16@E</t>
  </si>
  <si>
    <t>316, 319, 320, 323</t>
  </si>
  <si>
    <t>8W-M2</t>
    <phoneticPr fontId="3" type="noConversion"/>
  </si>
  <si>
    <t>E AV-SHD16@E</t>
  </si>
  <si>
    <t>311, 303, 305, 302, 301</t>
  </si>
  <si>
    <t>M3-LF3</t>
    <phoneticPr fontId="3" type="noConversion"/>
  </si>
  <si>
    <t>M3, M2, M1, 306, 307, 305, 302, 305, 303, 311, 316, 319, 322, 323</t>
  </si>
  <si>
    <t>M3</t>
  </si>
  <si>
    <t>SHD16-E AV@E</t>
  </si>
  <si>
    <t>LF3-M3</t>
    <phoneticPr fontId="3" type="noConversion"/>
  </si>
  <si>
    <t>323, 322, 319, 316, 311, 303, 305, 302, 305, 307, 306, M1, M2, M3</t>
  </si>
  <si>
    <t>M3-LF4</t>
    <phoneticPr fontId="3" type="noConversion"/>
  </si>
  <si>
    <t>E DT-SHD10@E</t>
  </si>
  <si>
    <t>303, 305, 302</t>
  </si>
  <si>
    <t>LF4-M3</t>
    <phoneticPr fontId="3" type="noConversion"/>
  </si>
  <si>
    <t>SHD10-E DT@E</t>
  </si>
  <si>
    <t>M3-HM1</t>
    <phoneticPr fontId="3" type="noConversion"/>
  </si>
  <si>
    <t>M3, M2, M1, 306, 307, 305, 302, 305, 303, 311, 316, 319, 322</t>
  </si>
  <si>
    <t>SHD10-LF3@E</t>
  </si>
  <si>
    <t>311, 310</t>
  </si>
  <si>
    <t>10</t>
  </si>
  <si>
    <t>HM1-M3</t>
    <phoneticPr fontId="3" type="noConversion"/>
  </si>
  <si>
    <t>322, 319, 316, 311, 303, 305, 302, 305, 307, 306, M1, M2, M3</t>
  </si>
  <si>
    <t>M3-HM2</t>
    <phoneticPr fontId="3" type="noConversion"/>
  </si>
  <si>
    <t>M3, M2, M1, 306, 307, 305, 302, 305, 303, 311, 316, 319, 324</t>
  </si>
  <si>
    <t>SHD10-LF4@E</t>
  </si>
  <si>
    <t>311, 316, 319, 320, 322, 323</t>
  </si>
  <si>
    <t>HM2-M3</t>
    <phoneticPr fontId="3" type="noConversion"/>
  </si>
  <si>
    <t>324, 319, 316, 311, 303, 305, 302, 305, 307, 306, M1, M2, M3</t>
  </si>
  <si>
    <t>SHD10-HM1@E</t>
  </si>
  <si>
    <t>311, 316, 319, 320, 322</t>
  </si>
  <si>
    <t>M3-HM3</t>
    <phoneticPr fontId="3" type="noConversion"/>
  </si>
  <si>
    <t>SHD10-HM2@E</t>
  </si>
  <si>
    <t>311, 316, 319, 324</t>
  </si>
  <si>
    <t>HM3-M3</t>
    <phoneticPr fontId="3" type="noConversion"/>
  </si>
  <si>
    <t>SHD10-HM3@E</t>
  </si>
  <si>
    <t>M3-RM1E</t>
    <phoneticPr fontId="3" type="noConversion"/>
  </si>
  <si>
    <t>M3, M2, M1, 306, 307, 305, 302, 305, 303, 311, 316, 317, 318, 325, 326</t>
  </si>
  <si>
    <t>SHD10-RM1E@E</t>
  </si>
  <si>
    <t>311, 316, 325, 326</t>
  </si>
  <si>
    <t>RM1E-M3</t>
    <phoneticPr fontId="3" type="noConversion"/>
  </si>
  <si>
    <t>326, 325, 318, 317, 316, 311, 303, 305, 302, 305, 307, 306, M1, M2, M3</t>
  </si>
  <si>
    <t>SHD10-RM1W@E</t>
  </si>
  <si>
    <t>M3-RM1W</t>
    <phoneticPr fontId="3" type="noConversion"/>
  </si>
  <si>
    <t>SHD10-RM2E@E</t>
  </si>
  <si>
    <t>311, 316, 325, 326, 327</t>
  </si>
  <si>
    <t>RM1W-M3</t>
    <phoneticPr fontId="3" type="noConversion"/>
  </si>
  <si>
    <t>SHD10-RM2W@E</t>
  </si>
  <si>
    <t>M3-RM2E</t>
    <phoneticPr fontId="3" type="noConversion"/>
  </si>
  <si>
    <t>M3, M2, M1, 306, 307, 305, 302, 305, 303, 311, 316, 317, 318, 325, 326, 327</t>
  </si>
  <si>
    <t>SHD10-RM3E@E</t>
  </si>
  <si>
    <t>RM2E-M3</t>
    <phoneticPr fontId="3" type="noConversion"/>
  </si>
  <si>
    <t>327, 326, 325, 318, 317, 316, 311, 303, 305, 302, 305, 307, 306, M1, M2, M3</t>
  </si>
  <si>
    <t>SHD10-RM3W@E</t>
  </si>
  <si>
    <t>M3-RM2W</t>
    <phoneticPr fontId="3" type="noConversion"/>
  </si>
  <si>
    <t>SHD10-HCTE@E</t>
  </si>
  <si>
    <t>311, 316, 325, 328, 329</t>
  </si>
  <si>
    <t>RM2W-M3</t>
    <phoneticPr fontId="3" type="noConversion"/>
  </si>
  <si>
    <t>SHD10-HCTW@E</t>
  </si>
  <si>
    <t>M3-RM3E</t>
    <phoneticPr fontId="3" type="noConversion"/>
  </si>
  <si>
    <t>SHD10-1E@E</t>
  </si>
  <si>
    <t>RM3E-M3</t>
    <phoneticPr fontId="3" type="noConversion"/>
  </si>
  <si>
    <t>SHD10-1W@E</t>
  </si>
  <si>
    <t>M3-RM3W</t>
    <phoneticPr fontId="3" type="noConversion"/>
  </si>
  <si>
    <t>SHD10-2E@E</t>
  </si>
  <si>
    <t>311, 316, 325, 328, 330</t>
  </si>
  <si>
    <t>RM3W-M3</t>
    <phoneticPr fontId="3" type="noConversion"/>
  </si>
  <si>
    <t>SHD10-2W@E</t>
  </si>
  <si>
    <t>M3-HCTE</t>
    <phoneticPr fontId="3" type="noConversion"/>
  </si>
  <si>
    <t>M3, M2, M1, 306, 307, 305, 302, 305, 303, 311, 316, 317, 318, 325, 328, 329</t>
  </si>
  <si>
    <t>SHD10-3E@E</t>
  </si>
  <si>
    <t>HCTE-M3</t>
    <phoneticPr fontId="3" type="noConversion"/>
  </si>
  <si>
    <t>329, 328, 325, 318, 317, 316, 311, 303, 305, 302, 305, 307, 306, M1, M2, M3</t>
  </si>
  <si>
    <t>SHD10-3W@E</t>
  </si>
  <si>
    <t>M3-HCTW</t>
    <phoneticPr fontId="3" type="noConversion"/>
  </si>
  <si>
    <t>SHD10-4E@E</t>
  </si>
  <si>
    <t>311, 316, 317, 318, 331, 333</t>
  </si>
  <si>
    <t>HCTW-M3</t>
    <phoneticPr fontId="3" type="noConversion"/>
  </si>
  <si>
    <t>SHD10-4W@E</t>
  </si>
  <si>
    <t>M3-1E</t>
    <phoneticPr fontId="3" type="noConversion"/>
  </si>
  <si>
    <t>SHD10-5E@E</t>
  </si>
  <si>
    <t>1E-M3</t>
    <phoneticPr fontId="3" type="noConversion"/>
  </si>
  <si>
    <t>SHD10-5W@E</t>
  </si>
  <si>
    <t>M3-1W</t>
    <phoneticPr fontId="3" type="noConversion"/>
  </si>
  <si>
    <t>SHD10-6E@E</t>
  </si>
  <si>
    <t>311, 316, 317, 318, 331, 332</t>
  </si>
  <si>
    <t>1W-M3</t>
    <phoneticPr fontId="3" type="noConversion"/>
  </si>
  <si>
    <t>SHD10-6W@E</t>
  </si>
  <si>
    <t>M3-2E</t>
    <phoneticPr fontId="3" type="noConversion"/>
  </si>
  <si>
    <t>M3, M2, M1, 306, 307, 305, 302, 305, 303, 311, 316, 317, 318, 325, 328, 330</t>
  </si>
  <si>
    <t>SHD10-7E@E</t>
  </si>
  <si>
    <t>311, 316, 317, 318, 331, 332, 334</t>
  </si>
  <si>
    <t>2E-M3</t>
    <phoneticPr fontId="3" type="noConversion"/>
  </si>
  <si>
    <t>330, 328, 325, 318, 317, 316, 311, 303, 305, 302, 305, 307, 306, M1, M2, M3</t>
  </si>
  <si>
    <t>SHD10-7W@E</t>
  </si>
  <si>
    <t>M3-2W</t>
    <phoneticPr fontId="3" type="noConversion"/>
  </si>
  <si>
    <t>SHD10-8E@E</t>
  </si>
  <si>
    <t>2W-M3</t>
    <phoneticPr fontId="3" type="noConversion"/>
  </si>
  <si>
    <t>SHD10-8W@E</t>
  </si>
  <si>
    <t>M3-3E</t>
    <phoneticPr fontId="3" type="noConversion"/>
  </si>
  <si>
    <t>LF4-SHD10@E</t>
  </si>
  <si>
    <t>3E-M3</t>
    <phoneticPr fontId="3" type="noConversion"/>
  </si>
  <si>
    <t>HM1-SHD10@E</t>
  </si>
  <si>
    <t>M3-3W</t>
    <phoneticPr fontId="3" type="noConversion"/>
  </si>
  <si>
    <t>HM2-SHD10@E</t>
  </si>
  <si>
    <t>3W-M3</t>
    <phoneticPr fontId="3" type="noConversion"/>
  </si>
  <si>
    <t>HM3-SHD10@E</t>
  </si>
  <si>
    <t>M3-4E</t>
    <phoneticPr fontId="3" type="noConversion"/>
  </si>
  <si>
    <t>M3, M2, M1, 306, 307, 305, 302, 305, 303, 311, 316, 317, 318, 331, 333</t>
  </si>
  <si>
    <t>RM1E-SHD10@E</t>
  </si>
  <si>
    <t>4E-M3</t>
    <phoneticPr fontId="3" type="noConversion"/>
  </si>
  <si>
    <t>333, 331, 318, 317, 316, 311, 303, 305, 302, 305, 307, 306, M1, M2, M3</t>
  </si>
  <si>
    <t>RM1W-SHD10@E</t>
  </si>
  <si>
    <t>M3-4W</t>
    <phoneticPr fontId="3" type="noConversion"/>
  </si>
  <si>
    <t>RM2E-SHD10@E</t>
  </si>
  <si>
    <t>4W-M3</t>
    <phoneticPr fontId="3" type="noConversion"/>
  </si>
  <si>
    <t>RM2W-SHD10@E</t>
  </si>
  <si>
    <t>M3-5E</t>
    <phoneticPr fontId="3" type="noConversion"/>
  </si>
  <si>
    <t>RM3E-SHD10@E</t>
  </si>
  <si>
    <t>5E-M3</t>
    <phoneticPr fontId="3" type="noConversion"/>
  </si>
  <si>
    <t>RM3W-SHD10@E</t>
  </si>
  <si>
    <t>M3-5W</t>
    <phoneticPr fontId="3" type="noConversion"/>
  </si>
  <si>
    <t>HCTE-SHD10@E</t>
  </si>
  <si>
    <t>5W-M3</t>
    <phoneticPr fontId="3" type="noConversion"/>
  </si>
  <si>
    <t>HCTW-SHD10@E</t>
  </si>
  <si>
    <t>M3-6E</t>
    <phoneticPr fontId="3" type="noConversion"/>
  </si>
  <si>
    <t>M3, M2, M1, 306, 307, 305, 302, 305, 303, 311, 316, 317, 318, 331, 332</t>
  </si>
  <si>
    <t>1E-SHD10@E</t>
  </si>
  <si>
    <t>6E-M3</t>
    <phoneticPr fontId="3" type="noConversion"/>
  </si>
  <si>
    <t>332, 331, 318, 317, 316, 311, 303, 305, 302, 305, 307, 306, M1, M2, M3</t>
  </si>
  <si>
    <t>1W-SHD10@E</t>
  </si>
  <si>
    <t>M3-6W</t>
    <phoneticPr fontId="3" type="noConversion"/>
  </si>
  <si>
    <t>2E-SHD10@E</t>
  </si>
  <si>
    <t>6W-M3</t>
    <phoneticPr fontId="3" type="noConversion"/>
  </si>
  <si>
    <t>2W-SHD10@E</t>
  </si>
  <si>
    <t>M3-7E</t>
    <phoneticPr fontId="3" type="noConversion"/>
  </si>
  <si>
    <t>M3, M2, M1, 306, 307, 305, 302, 305, 303, 311, 316, 317, 318, 331, 332, 334</t>
  </si>
  <si>
    <t>3E-SHD10@E</t>
  </si>
  <si>
    <t>7E-M3</t>
    <phoneticPr fontId="3" type="noConversion"/>
  </si>
  <si>
    <t>334, 332, 331, 318, 317, 316, 311, 303, 305, 302, 305, 307, 306, M1, M2, M3</t>
  </si>
  <si>
    <t>3W-SHD10@E</t>
  </si>
  <si>
    <t>M3-7W</t>
    <phoneticPr fontId="3" type="noConversion"/>
  </si>
  <si>
    <t>4E-SHD10@E</t>
  </si>
  <si>
    <t>7W-M3</t>
    <phoneticPr fontId="3" type="noConversion"/>
  </si>
  <si>
    <t>4W-SHD10@E</t>
  </si>
  <si>
    <t>M3-8E</t>
    <phoneticPr fontId="3" type="noConversion"/>
  </si>
  <si>
    <t>5E-SHD10@E</t>
  </si>
  <si>
    <t>8E-M3</t>
    <phoneticPr fontId="3" type="noConversion"/>
  </si>
  <si>
    <t>5W-SHD10@E</t>
  </si>
  <si>
    <t>M3-8W</t>
    <phoneticPr fontId="3" type="noConversion"/>
  </si>
  <si>
    <t>6E-SHD10@E</t>
  </si>
  <si>
    <t>8W-M3</t>
    <phoneticPr fontId="3" type="noConversion"/>
  </si>
  <si>
    <t>6W-SHD10@E</t>
  </si>
  <si>
    <t>M4-LF3</t>
    <phoneticPr fontId="3" type="noConversion"/>
  </si>
  <si>
    <t>M4, M3, M2, M1, 306, 307, 305, 302, 305, 303, 311, 316, 319, 322, 323</t>
  </si>
  <si>
    <t>7E-SHD10@E</t>
  </si>
  <si>
    <t>LF3-M4</t>
    <phoneticPr fontId="3" type="noConversion"/>
  </si>
  <si>
    <t>323, 322, 319, 316, 311, 303, 305, 302, 305, 307, 306, M1, M2, M3, M4</t>
  </si>
  <si>
    <t>7W-SHD10@E</t>
  </si>
  <si>
    <t>M4-LF4</t>
    <phoneticPr fontId="3" type="noConversion"/>
  </si>
  <si>
    <t>8E-SHD10@E</t>
  </si>
  <si>
    <t>LF4-M4</t>
    <phoneticPr fontId="3" type="noConversion"/>
  </si>
  <si>
    <t>8W-SHD10@E</t>
  </si>
  <si>
    <t>M4-HM1</t>
    <phoneticPr fontId="3" type="noConversion"/>
  </si>
  <si>
    <t>M4, M3, M2, M1, 306, 307, 305, 302, 305, 303, 311, 316, 319, 322</t>
  </si>
  <si>
    <t>LF3-SHD10@E</t>
  </si>
  <si>
    <t>HM1-M4</t>
    <phoneticPr fontId="3" type="noConversion"/>
  </si>
  <si>
    <t>322, 319, 316, 311, 303, 305, 302, 305, 307, 306, M1, M2, M3, M4</t>
  </si>
  <si>
    <t>E AV-SHD10@E</t>
  </si>
  <si>
    <t>303, 305, 302, 301</t>
  </si>
  <si>
    <t>M4-HM2</t>
    <phoneticPr fontId="3" type="noConversion"/>
  </si>
  <si>
    <t>M4, M3, M2, M1, 306, 307, 305, 302, 305, 303, 311, 316, 319, 324</t>
  </si>
  <si>
    <t>SHD10-E AV@E</t>
  </si>
  <si>
    <t>HM2-M4</t>
    <phoneticPr fontId="3" type="noConversion"/>
  </si>
  <si>
    <t>324, 319, 316, 311, 303, 305, 302, 305, 307, 306, M1, M2, M3, M4</t>
  </si>
  <si>
    <t>M4-HM3</t>
    <phoneticPr fontId="3" type="noConversion"/>
  </si>
  <si>
    <t>SHD10-PS1@E</t>
  </si>
  <si>
    <t>HM3-M4</t>
    <phoneticPr fontId="3" type="noConversion"/>
  </si>
  <si>
    <t>PS1-SHD10@E</t>
  </si>
  <si>
    <t>M4-RM1E</t>
    <phoneticPr fontId="3" type="noConversion"/>
  </si>
  <si>
    <t>M4, M3, M2, M1, 306, 307, 305, 302, 305, 303, 311, 316, 317, 318, 325, 326</t>
  </si>
  <si>
    <t>SHD10-LF2@E</t>
  </si>
  <si>
    <t>RM1E-M4</t>
    <phoneticPr fontId="3" type="noConversion"/>
  </si>
  <si>
    <t>326, 325, 318, 317, 316, 311, 303, 305, 302, 305, 307, 306, M1, M2, M3, M4</t>
  </si>
  <si>
    <t>LF2-SHD10@E</t>
  </si>
  <si>
    <t>M4-RM1W</t>
    <phoneticPr fontId="3" type="noConversion"/>
  </si>
  <si>
    <t>AB9-LS1@E</t>
  </si>
  <si>
    <t>M6, M7, M8</t>
  </si>
  <si>
    <t>RM1W-M4</t>
    <phoneticPr fontId="3" type="noConversion"/>
  </si>
  <si>
    <t>AB9-LS2@E</t>
  </si>
  <si>
    <t>M4-RM2E</t>
    <phoneticPr fontId="3" type="noConversion"/>
  </si>
  <si>
    <t>M4, M3, M2, M1, 306, 307, 305, 302, 305, 303, 311, 316, 317, 318, 325, 326, 327</t>
  </si>
  <si>
    <t>AB9-LS3@E</t>
  </si>
  <si>
    <t>M6</t>
  </si>
  <si>
    <t>RM2E-M4</t>
    <phoneticPr fontId="3" type="noConversion"/>
  </si>
  <si>
    <t>327, 326, 325, 318, 317, 316, 311, 303, 305, 302, 305, 307, 306, M1, M2, M3, M4</t>
  </si>
  <si>
    <t>AB9-E AV@E</t>
  </si>
  <si>
    <t>301, 302, 305, 306, 307, M5</t>
  </si>
  <si>
    <t>M4-RM2W</t>
    <phoneticPr fontId="3" type="noConversion"/>
  </si>
  <si>
    <t>AB9-E DT@E</t>
  </si>
  <si>
    <t>302, 305, 306, 307, M5</t>
  </si>
  <si>
    <t>RM2W-M4</t>
    <phoneticPr fontId="3" type="noConversion"/>
  </si>
  <si>
    <t>LS1-AB9@E</t>
  </si>
  <si>
    <t>M4-RM3E</t>
    <phoneticPr fontId="3" type="noConversion"/>
  </si>
  <si>
    <t>LS2-AB9@E</t>
  </si>
  <si>
    <t>RM3E-M4</t>
    <phoneticPr fontId="3" type="noConversion"/>
  </si>
  <si>
    <t>LS3-AB9@E</t>
  </si>
  <si>
    <t>M4-RM3W</t>
    <phoneticPr fontId="3" type="noConversion"/>
  </si>
  <si>
    <t>E AV-AB9@E</t>
  </si>
  <si>
    <t>RM3W-M4</t>
    <phoneticPr fontId="3" type="noConversion"/>
  </si>
  <si>
    <t>E DT-AB9@E</t>
  </si>
  <si>
    <t>M4-HCTE</t>
    <phoneticPr fontId="3" type="noConversion"/>
  </si>
  <si>
    <t>M4, M3, M2, M1, 306, 307, 305, 302, 305, 303, 311, 316, 317, 318, 325, 328, 329</t>
  </si>
  <si>
    <t>E AV-LS1@E</t>
  </si>
  <si>
    <t>301, 302, 305, 306, 307, M5, M6, M7, M8</t>
  </si>
  <si>
    <t>HCTE-M4</t>
    <phoneticPr fontId="3" type="noConversion"/>
  </si>
  <si>
    <t>329, 328, 325, 318, 317, 316, 311, 303, 305, 302, 305, 307, 306, M1, M2, M3, M4</t>
  </si>
  <si>
    <t>E DT-EM1@E</t>
  </si>
  <si>
    <t>305, 303, 304, 308, 309, 335, T1</t>
  </si>
  <si>
    <t>03, 07, 17</t>
  </si>
  <si>
    <t>M4-HCTW</t>
    <phoneticPr fontId="3" type="noConversion"/>
  </si>
  <si>
    <t>E AV-EM1@E</t>
  </si>
  <si>
    <t>301, 304, 308, 309, 335, T1</t>
  </si>
  <si>
    <t>01, 07, 17</t>
  </si>
  <si>
    <t>HCTW-M4</t>
    <phoneticPr fontId="3" type="noConversion"/>
  </si>
  <si>
    <t>EM1-E DT@E</t>
  </si>
  <si>
    <t>02</t>
  </si>
  <si>
    <t>M4-1E</t>
    <phoneticPr fontId="3" type="noConversion"/>
  </si>
  <si>
    <t>EM1-E AV@E</t>
  </si>
  <si>
    <t>1E-M4</t>
    <phoneticPr fontId="3" type="noConversion"/>
  </si>
  <si>
    <t>M2-M5@E</t>
  </si>
  <si>
    <t>M4-1W</t>
    <phoneticPr fontId="3" type="noConversion"/>
  </si>
  <si>
    <t>M1-SHD6@E</t>
  </si>
  <si>
    <t>1W-M4</t>
    <phoneticPr fontId="3" type="noConversion"/>
  </si>
  <si>
    <t>M2-SHD6@E</t>
  </si>
  <si>
    <t>M2,M1</t>
  </si>
  <si>
    <t>M4-2E</t>
    <phoneticPr fontId="3" type="noConversion"/>
  </si>
  <si>
    <t>M4, M3, M2, M1, 306, 307, 305, 302, 305, 303, 311, 316, 317, 318, 325, 328, 330</t>
  </si>
  <si>
    <t>M3-SHD6@E</t>
  </si>
  <si>
    <t>M3,M2,M1</t>
  </si>
  <si>
    <t>2E-M4</t>
    <phoneticPr fontId="3" type="noConversion"/>
  </si>
  <si>
    <t>330, 328, 325, 318, 317, 316, 311, 303, 305, 302, 305, 307, 306, M1, M2, M3, M4</t>
  </si>
  <si>
    <t>M4-SHD6@E</t>
  </si>
  <si>
    <t>M4,M3,M2,M1</t>
  </si>
  <si>
    <t>M4-2W</t>
    <phoneticPr fontId="3" type="noConversion"/>
  </si>
  <si>
    <t>M5-SHD6@E</t>
  </si>
  <si>
    <t>M5</t>
  </si>
  <si>
    <t>2W-M4</t>
    <phoneticPr fontId="3" type="noConversion"/>
  </si>
  <si>
    <t>LS1-SHD5@E</t>
  </si>
  <si>
    <t>M5, M6, M7, M8</t>
  </si>
  <si>
    <t>M4-3E</t>
    <phoneticPr fontId="3" type="noConversion"/>
  </si>
  <si>
    <t>LS2-SHD5@E</t>
  </si>
  <si>
    <t>3E-M4</t>
    <phoneticPr fontId="3" type="noConversion"/>
  </si>
  <si>
    <t>LS3-SHD5@E</t>
  </si>
  <si>
    <t>M5, M6</t>
  </si>
  <si>
    <t>M4-3W</t>
    <phoneticPr fontId="3" type="noConversion"/>
  </si>
  <si>
    <t>LB-SHD5@E</t>
  </si>
  <si>
    <t>3W-M4</t>
    <phoneticPr fontId="3" type="noConversion"/>
  </si>
  <si>
    <t>AB9-SHD5@E</t>
  </si>
  <si>
    <t>M4-4E</t>
    <phoneticPr fontId="3" type="noConversion"/>
  </si>
  <si>
    <t>M4, M3, M2, M1, 306, 307, 305, 302, 305, 303, 311, 316, 317, 318, 331, 333</t>
  </si>
  <si>
    <t>E AV-SHD5@E</t>
  </si>
  <si>
    <t>301, 302, 305, 306, 307</t>
  </si>
  <si>
    <t>4E-M4</t>
    <phoneticPr fontId="3" type="noConversion"/>
  </si>
  <si>
    <t>333, 331, 318, 317, 316, 311, 303, 305, 302, 305, 307, 306, M1, M2, M3, M4</t>
  </si>
  <si>
    <t>E AV-SHD6@E</t>
  </si>
  <si>
    <t>302, 305, 306, 307</t>
  </si>
  <si>
    <t>M4-4W</t>
    <phoneticPr fontId="3" type="noConversion"/>
  </si>
  <si>
    <t>E DT-SHD5@E</t>
  </si>
  <si>
    <t>4W-M4</t>
    <phoneticPr fontId="3" type="noConversion"/>
  </si>
  <si>
    <t>E DT-SHD6@E</t>
  </si>
  <si>
    <t>M4-5E</t>
    <phoneticPr fontId="3" type="noConversion"/>
  </si>
  <si>
    <t>SHD6-M1@E</t>
  </si>
  <si>
    <t>5E-M4</t>
    <phoneticPr fontId="3" type="noConversion"/>
  </si>
  <si>
    <t>SHD6-M2@E</t>
  </si>
  <si>
    <t>M4-5W</t>
    <phoneticPr fontId="3" type="noConversion"/>
  </si>
  <si>
    <t>SHD6-M3@E</t>
  </si>
  <si>
    <t>5W-M4</t>
    <phoneticPr fontId="3" type="noConversion"/>
  </si>
  <si>
    <t>SHD6-M4@E</t>
  </si>
  <si>
    <t>M4-6E</t>
    <phoneticPr fontId="3" type="noConversion"/>
  </si>
  <si>
    <t>M4, M3, M2, M1, 306, 307, 305, 302, 305, 303, 311, 316, 317, 318, 331, 332</t>
  </si>
  <si>
    <t>SHD6-M5@E</t>
  </si>
  <si>
    <t>6E-M4</t>
    <phoneticPr fontId="3" type="noConversion"/>
  </si>
  <si>
    <t>332, 331, 318, 317, 316, 311, 303, 305, 302, 305, 307, 306, M1, M2, M3, M4</t>
  </si>
  <si>
    <t>SHD5-LS1@E</t>
  </si>
  <si>
    <t>M4-6W</t>
    <phoneticPr fontId="3" type="noConversion"/>
  </si>
  <si>
    <t>SHD5-LS2@E</t>
  </si>
  <si>
    <t>6W-M4</t>
    <phoneticPr fontId="3" type="noConversion"/>
  </si>
  <si>
    <t>SHD5-LS3@E</t>
  </si>
  <si>
    <t>M4-7E</t>
    <phoneticPr fontId="3" type="noConversion"/>
  </si>
  <si>
    <t>M4, M3, M2, M1, 306, 307, 305, 302, 305, 303, 311, 316, 317, 318, 331, 332, 334</t>
  </si>
  <si>
    <t>SHD5-LB@E</t>
  </si>
  <si>
    <t>7E-M4</t>
    <phoneticPr fontId="3" type="noConversion"/>
  </si>
  <si>
    <t>334, 332, 331, 318, 317, 316, 311, 303, 305, 302, 305, 307, 306, M1, M2, M3, M4</t>
  </si>
  <si>
    <t>SHD5-AB9@E</t>
  </si>
  <si>
    <t>M4-7W</t>
    <phoneticPr fontId="3" type="noConversion"/>
  </si>
  <si>
    <t>SHD5-E AV@E</t>
  </si>
  <si>
    <t>7W-M4</t>
    <phoneticPr fontId="3" type="noConversion"/>
  </si>
  <si>
    <t>SHD6-E AV@E</t>
  </si>
  <si>
    <t>M4-8E</t>
    <phoneticPr fontId="3" type="noConversion"/>
  </si>
  <si>
    <t>SHD5-E DT@E</t>
  </si>
  <si>
    <t>8E-M4</t>
    <phoneticPr fontId="3" type="noConversion"/>
  </si>
  <si>
    <t>SHD6-E DT@E</t>
  </si>
  <si>
    <t>M4-8W</t>
    <phoneticPr fontId="3" type="noConversion"/>
  </si>
  <si>
    <t>SHD17-EM1@E</t>
  </si>
  <si>
    <t>T1</t>
  </si>
  <si>
    <t>8W-M4</t>
    <phoneticPr fontId="3" type="noConversion"/>
  </si>
  <si>
    <t>SHD7-EM1@E</t>
  </si>
  <si>
    <t>309, 335, T1</t>
  </si>
  <si>
    <t>07</t>
  </si>
  <si>
    <t>LS1-LS2</t>
  </si>
  <si>
    <t>EM1-SHD17@E</t>
  </si>
  <si>
    <t>LS1-LS3</t>
  </si>
  <si>
    <t>EM1-SHD7@E</t>
  </si>
  <si>
    <t>LS2-LS1</t>
  </si>
  <si>
    <t>E AV-LF3@E</t>
  </si>
  <si>
    <t>LS2-LS3</t>
  </si>
  <si>
    <t>E AV-LF4@E</t>
  </si>
  <si>
    <t>LS3-LS2</t>
  </si>
  <si>
    <t>E AV-LF2@E</t>
  </si>
  <si>
    <t>303, 305, 302, 301,311, 310</t>
  </si>
  <si>
    <t>01, 10</t>
  </si>
  <si>
    <t>LS3-LS1</t>
  </si>
  <si>
    <t>E DT-LF2@E</t>
  </si>
  <si>
    <t>303, 305, 302, 311, 310</t>
  </si>
  <si>
    <t>03, 10</t>
  </si>
  <si>
    <t>LS1-M1</t>
  </si>
  <si>
    <t>05,03</t>
  </si>
  <si>
    <t>M8,M7,M6,M5,306,307,305,302,M1</t>
  </si>
  <si>
    <t>LF2-E AV@E</t>
  </si>
  <si>
    <t>LS1-M2</t>
  </si>
  <si>
    <t>M8,M7,M6,M5,306,307,305,302,M1,M2</t>
  </si>
  <si>
    <t>LF2-E DT@E</t>
  </si>
  <si>
    <t>LS1-M3</t>
  </si>
  <si>
    <t>M8,M7,M6,M5,306,307,305,302,M1,M2,M3</t>
  </si>
  <si>
    <t>SHD4-E DT@E</t>
  </si>
  <si>
    <t>LS1-M4</t>
  </si>
  <si>
    <t>M8,M7,M6,M5,306,307,305,302,M1,M2,M3,M4</t>
  </si>
  <si>
    <t>SHD2-E DT@E</t>
  </si>
  <si>
    <t>304, 303, 305,  302</t>
  </si>
  <si>
    <t>LS2-M1</t>
  </si>
  <si>
    <t>SHD4-E AV@E</t>
  </si>
  <si>
    <t>LS2-M2</t>
  </si>
  <si>
    <t>SHD2-E AV@E</t>
  </si>
  <si>
    <t>304, 301</t>
  </si>
  <si>
    <t>LS2-M3</t>
  </si>
  <si>
    <t>LS2-M4</t>
  </si>
  <si>
    <t>M8,M7,M6,M5,306,307,305,302,M1,M2,M3M4</t>
  </si>
  <si>
    <t>LS3-M1</t>
  </si>
  <si>
    <t>M6,M5,306,307,305,302,M1</t>
  </si>
  <si>
    <t>LS3-M2</t>
  </si>
  <si>
    <t>M6,M5,306,307,305,302,M1,M2</t>
  </si>
  <si>
    <t>LS3-M3</t>
  </si>
  <si>
    <t>M6,M5,306,307,305,302,M1,M2,M3</t>
  </si>
  <si>
    <t>LS3-M4</t>
  </si>
  <si>
    <t>M6,M5,306,307,305,302,M1,M2,M3,M4</t>
  </si>
  <si>
    <t>M1-LS1</t>
  </si>
  <si>
    <t>06,03</t>
  </si>
  <si>
    <t>M1,302,305,307,306,M5,M6,M7,M8</t>
  </si>
  <si>
    <t>M1-LS2</t>
  </si>
  <si>
    <t>M1-LS3</t>
  </si>
  <si>
    <t>M1,302,305,307,306,M5,M6</t>
  </si>
  <si>
    <t>M2-LS1</t>
  </si>
  <si>
    <t>M2,M1,302,305,307,306,M5,M6,M7,M8</t>
  </si>
  <si>
    <t>M2-LS2</t>
  </si>
  <si>
    <t>M2-LS3</t>
  </si>
  <si>
    <t>M2,M1,302,305,307,306,M5,M6</t>
  </si>
  <si>
    <t>M3-LS1</t>
  </si>
  <si>
    <t>M3,M2,M1,302,305,307,306,M5,M6,M7,M8</t>
  </si>
  <si>
    <t>M3-LS2</t>
  </si>
  <si>
    <t>M3-LS3</t>
  </si>
  <si>
    <t>M3,M2,M1,302,305,307,306,M5,M6</t>
  </si>
  <si>
    <t>M4-LS1</t>
  </si>
  <si>
    <t>M4,M3,M2,M1,302,305,307,306,M5,M6,M7,M8</t>
  </si>
  <si>
    <t>M4-LS2</t>
  </si>
  <si>
    <t>M4-LS3</t>
  </si>
  <si>
    <t>M4,M3,M2,M1,302,305,307,306,M5,M6</t>
  </si>
  <si>
    <t>M1-M2</t>
  </si>
  <si>
    <t>M1,M2,,306,307,305,302,</t>
  </si>
  <si>
    <t>M2-M1</t>
  </si>
  <si>
    <t>M2,M1,,306,307,305,302,</t>
  </si>
  <si>
    <t>M1-M3</t>
  </si>
  <si>
    <t>M1,M2,M3,306,307,305,302</t>
  </si>
  <si>
    <t>M3-M1</t>
  </si>
  <si>
    <t>M3,M2,M1,306,307,305,302</t>
  </si>
  <si>
    <t>M1-M4</t>
  </si>
  <si>
    <t>M4,M3,M2,M1,306,307,305,302</t>
  </si>
  <si>
    <t>M4-M1</t>
  </si>
  <si>
    <t>M2-M3</t>
  </si>
  <si>
    <t>M3-M2</t>
  </si>
  <si>
    <t>M2-M4</t>
  </si>
  <si>
    <t>M4-M2</t>
  </si>
  <si>
    <t>M3-M4</t>
  </si>
  <si>
    <t>M4-M3</t>
  </si>
  <si>
    <t>M1-LB</t>
  </si>
  <si>
    <t>M1,306,307,305,302</t>
  </si>
  <si>
    <t>M2-LB</t>
  </si>
  <si>
    <t>M2,M1,306,307,305,302</t>
  </si>
  <si>
    <t>M3-LB</t>
  </si>
  <si>
    <t>M4-LB</t>
  </si>
  <si>
    <t>M4M3,M2,M1,306,307,305,302</t>
  </si>
  <si>
    <t>LB-M1</t>
  </si>
  <si>
    <t>M5,306,307,305,302,M1</t>
  </si>
  <si>
    <t>LB-M2</t>
  </si>
  <si>
    <t>M5,306,307,305,302,M1,M2</t>
  </si>
  <si>
    <t>LB-M3</t>
  </si>
  <si>
    <t>M5,306,307,305,302,M1,M2,M3</t>
  </si>
  <si>
    <t>LB-M4</t>
  </si>
  <si>
    <t>M5,306,307,305,302,M1,M2,M3,M4</t>
  </si>
  <si>
    <t>LS1-LB</t>
  </si>
  <si>
    <t>M8,M7,M6,M5,306,307,305,302</t>
  </si>
  <si>
    <t>LS2-LB</t>
  </si>
  <si>
    <t>LS3-LB</t>
  </si>
  <si>
    <t>M6,M5,306,307,305,302</t>
  </si>
  <si>
    <t>LB-LS1</t>
  </si>
  <si>
    <t>M5,306,307,305,302,M7,M8</t>
  </si>
  <si>
    <t>LB-LS2</t>
  </si>
  <si>
    <t>LB-LS3</t>
  </si>
  <si>
    <t>M5,306,307,305,302,M6</t>
  </si>
  <si>
    <t>M4A-M4B</t>
  </si>
  <si>
    <t>M4A</t>
  </si>
  <si>
    <t>M4B</t>
  </si>
  <si>
    <t>M4B-M4A</t>
  </si>
  <si>
    <t>M5-LS3</t>
  </si>
  <si>
    <t>M4-M5</t>
  </si>
  <si>
    <t>M5-M4</t>
  </si>
  <si>
    <t>M3-M5</t>
  </si>
  <si>
    <t>M5-M3</t>
  </si>
  <si>
    <t>EDT</t>
  </si>
  <si>
    <t>RM4E</t>
  </si>
  <si>
    <t>RM4W</t>
  </si>
  <si>
    <t>RM5E</t>
  </si>
  <si>
    <t>RM5W</t>
  </si>
  <si>
    <t/>
  </si>
  <si>
    <t>TEST-EDT@W</t>
  </si>
  <si>
    <t>EDT-LS1@W</t>
  </si>
  <si>
    <t>EDT-LS2@W</t>
  </si>
  <si>
    <t>EDT-LS3@W</t>
  </si>
  <si>
    <t>EDT-M1@W</t>
  </si>
  <si>
    <t>EDT-M2@W</t>
  </si>
  <si>
    <t>EDT-M3@W</t>
  </si>
  <si>
    <t>EDT-M4@W</t>
  </si>
  <si>
    <t>EDT-M5@W</t>
  </si>
  <si>
    <t>SHD</t>
    <phoneticPr fontId="3" type="noConversion"/>
  </si>
  <si>
    <t>Call Sign</t>
    <phoneticPr fontId="3" type="noConversion"/>
  </si>
  <si>
    <t>Name of Shunter</t>
    <phoneticPr fontId="3" type="noConversion"/>
  </si>
  <si>
    <t>H W Wong</t>
  </si>
  <si>
    <t>C K Ma</t>
  </si>
  <si>
    <t>TL Lam</t>
  </si>
  <si>
    <t>T K Li</t>
  </si>
  <si>
    <t>T Y Wong</t>
  </si>
  <si>
    <t>F L Ng</t>
  </si>
  <si>
    <t>K W Tang</t>
  </si>
  <si>
    <t>C F SZE</t>
  </si>
  <si>
    <t>C W Po</t>
  </si>
  <si>
    <t>W M Yau</t>
  </si>
  <si>
    <t>W S Cheuk</t>
  </si>
  <si>
    <t>Y H LO</t>
  </si>
  <si>
    <t>C H Po</t>
  </si>
  <si>
    <t>W M Wong</t>
  </si>
  <si>
    <t>W K Lam</t>
  </si>
  <si>
    <t>W Y Kwok</t>
  </si>
  <si>
    <t>T W Yeung</t>
  </si>
  <si>
    <t>C C Cheung</t>
  </si>
  <si>
    <t>T K Fan</t>
  </si>
  <si>
    <t>C S Chow</t>
  </si>
  <si>
    <t>WF Tang</t>
  </si>
  <si>
    <t>Y W TSANG</t>
  </si>
  <si>
    <t>S F Yuen</t>
  </si>
  <si>
    <t>M S Ling</t>
  </si>
  <si>
    <t>C H Chan</t>
  </si>
  <si>
    <t>HSM</t>
  </si>
  <si>
    <t>PS2</t>
  </si>
  <si>
    <t>SHD17</t>
  </si>
  <si>
    <t>SHD7</t>
  </si>
  <si>
    <t>無電區</t>
  </si>
  <si>
    <t>有電區</t>
  </si>
  <si>
    <t>output</t>
  </si>
  <si>
    <t>LF1</t>
  </si>
  <si>
    <t>SHD36</t>
  </si>
  <si>
    <t>SHD35</t>
  </si>
  <si>
    <t>SHD34</t>
  </si>
  <si>
    <t>SHD33</t>
  </si>
  <si>
    <t>SHD32</t>
  </si>
  <si>
    <t>SHD31</t>
  </si>
  <si>
    <t>SHD30</t>
  </si>
  <si>
    <t>SHD29</t>
  </si>
  <si>
    <t>HCT</t>
  </si>
  <si>
    <t>SHD28</t>
  </si>
  <si>
    <t>RMT-3E</t>
  </si>
  <si>
    <t>SHD27</t>
  </si>
  <si>
    <t>RMT-2E</t>
  </si>
  <si>
    <t>SHD26</t>
  </si>
  <si>
    <t>RMT-1E</t>
  </si>
  <si>
    <t>SHD25</t>
  </si>
  <si>
    <t>HMT3</t>
  </si>
  <si>
    <t>SHD24</t>
  </si>
  <si>
    <t>HMT2</t>
  </si>
  <si>
    <t>SHD23</t>
  </si>
  <si>
    <t>HMT1</t>
  </si>
  <si>
    <t>SHD22</t>
  </si>
  <si>
    <t>LT4</t>
  </si>
  <si>
    <t>SHD21</t>
  </si>
  <si>
    <t>LT3</t>
  </si>
  <si>
    <t>SHD20</t>
  </si>
  <si>
    <t>LT2</t>
  </si>
  <si>
    <t>SHD12</t>
  </si>
  <si>
    <t>SHD19</t>
  </si>
  <si>
    <t>LT1</t>
  </si>
  <si>
    <t>SHD11</t>
  </si>
  <si>
    <t>SHD18</t>
  </si>
  <si>
    <t>SHD03</t>
  </si>
  <si>
    <t>SHD04</t>
  </si>
  <si>
    <t>do not change anything here</t>
  </si>
  <si>
    <t xml:space="preserve"> SHD16</t>
  </si>
  <si>
    <t>lights</t>
  </si>
  <si>
    <t xml:space="preserve"> 311 316 317 318 325 328 329 HCT</t>
  </si>
  <si>
    <t>AP</t>
  </si>
  <si>
    <t>AA</t>
  </si>
  <si>
    <t>$AS$41</t>
  </si>
  <si>
    <t>route</t>
  </si>
  <si>
    <t>destaddress</t>
  </si>
  <si>
    <t>startaddress</t>
  </si>
  <si>
    <t>dest</t>
  </si>
  <si>
    <t>AS</t>
  </si>
  <si>
    <t>mid</t>
  </si>
  <si>
    <t>BA</t>
  </si>
  <si>
    <t>start</t>
  </si>
  <si>
    <t>row</t>
  </si>
  <si>
    <t>start/end</t>
  </si>
  <si>
    <t>Test dummy</t>
  </si>
  <si>
    <t>Train name:</t>
  </si>
  <si>
    <t xml:space="preserve">SHD36 SHD10 </t>
  </si>
  <si>
    <t>$AA$49</t>
  </si>
  <si>
    <t xml:space="preserve">8E 334 332 331 318 317 316 311 </t>
  </si>
  <si>
    <t>SHD55</t>
  </si>
  <si>
    <t>SHD56</t>
  </si>
  <si>
    <t>SHD70</t>
  </si>
  <si>
    <t>SHD69</t>
  </si>
  <si>
    <t>SHD68</t>
  </si>
  <si>
    <t>SHD67</t>
  </si>
  <si>
    <t>SHD66</t>
  </si>
  <si>
    <t>SHD65</t>
  </si>
  <si>
    <t>SHD64</t>
  </si>
  <si>
    <t>SHD63</t>
  </si>
  <si>
    <t>SHD62</t>
  </si>
  <si>
    <t>RMT-3W</t>
  </si>
  <si>
    <t>SHD61</t>
  </si>
  <si>
    <t>RMT-2W</t>
  </si>
  <si>
    <t>SHD60</t>
  </si>
  <si>
    <t>RMT-1W</t>
  </si>
  <si>
    <t>SHD59</t>
  </si>
  <si>
    <t>SHD58</t>
  </si>
  <si>
    <t xml:space="preserve">SHD70 SHD58 </t>
  </si>
  <si>
    <t xml:space="preserve"> 359 358 361 367 368 HCT</t>
  </si>
  <si>
    <t>$AP$4</t>
  </si>
  <si>
    <t>$AA$12</t>
  </si>
  <si>
    <t xml:space="preserve">8W 376 374 360 359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</si>
</sst>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[$-809]d\ mmmm\ yyyy;@"/>
    <numFmt numFmtId="165" formatCode="[$-409]d\-mmm\-yy;@"/>
    <numFmt numFmtId="166" formatCode="0000"/>
    <numFmt numFmtId="167" formatCode="h:mm;@"/>
    <numFmt numFmtId="168" formatCode="hh:mm;@"/>
  </numFmts>
  <fonts count="49">
    <font>
      <sz val="12"/>
      <name val="新細明體"/>
      <family val="1"/>
      <charset val="136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新細明體"/>
      <family val="1"/>
      <charset val="136"/>
    </font>
    <font>
      <sz val="11"/>
      <name val="Arial"/>
      <family val="2"/>
    </font>
    <font>
      <sz val="12"/>
      <name val="Arial"/>
      <family val="2"/>
    </font>
    <font>
      <u/>
      <sz val="18"/>
      <name val="Arial"/>
      <family val="2"/>
    </font>
    <font>
      <sz val="10"/>
      <name val="Arial"/>
      <family val="2"/>
    </font>
    <font>
      <u/>
      <sz val="10.8"/>
      <color indexed="12"/>
      <name val="新細明體"/>
      <family val="1"/>
      <charset val="136"/>
    </font>
    <font>
      <sz val="12"/>
      <name val="Wingdings 2"/>
      <family val="1"/>
      <charset val="2"/>
    </font>
    <font>
      <sz val="8"/>
      <name val="新細明體"/>
      <family val="1"/>
      <charset val="136"/>
    </font>
    <font>
      <sz val="9"/>
      <name val="Arial"/>
      <family val="2"/>
    </font>
    <font>
      <sz val="9"/>
      <name val="Wingdings 2"/>
      <family val="1"/>
      <charset val="2"/>
    </font>
    <font>
      <b/>
      <u/>
      <sz val="12"/>
      <name val="新細明體"/>
      <family val="1"/>
      <charset val="136"/>
    </font>
    <font>
      <sz val="8"/>
      <name val="Arial"/>
      <family val="2"/>
    </font>
    <font>
      <b/>
      <u/>
      <sz val="12"/>
      <name val="Arial"/>
      <family val="2"/>
    </font>
    <font>
      <sz val="8"/>
      <color indexed="12"/>
      <name val="Arial"/>
      <family val="2"/>
    </font>
    <font>
      <sz val="12"/>
      <name val="Times New Roman"/>
      <family val="1"/>
    </font>
    <font>
      <sz val="9"/>
      <name val="Times New Roman"/>
      <family val="1"/>
    </font>
    <font>
      <sz val="6"/>
      <name val="Times New Roman"/>
      <family val="1"/>
    </font>
    <font>
      <sz val="10"/>
      <name val="Times New Roman"/>
      <family val="1"/>
    </font>
    <font>
      <u/>
      <sz val="12"/>
      <name val="Arial"/>
      <family val="2"/>
    </font>
    <font>
      <sz val="9"/>
      <color indexed="12"/>
      <name val="Arial"/>
      <family val="2"/>
    </font>
    <font>
      <b/>
      <sz val="10"/>
      <name val="Times New Roman"/>
      <family val="1"/>
    </font>
    <font>
      <sz val="10"/>
      <color indexed="12"/>
      <name val="Times New Roman"/>
      <family val="1"/>
    </font>
    <font>
      <sz val="9"/>
      <name val="細明體"/>
      <family val="3"/>
      <charset val="136"/>
    </font>
    <font>
      <sz val="9"/>
      <color indexed="9"/>
      <name val="新細明體"/>
      <family val="1"/>
      <charset val="136"/>
    </font>
    <font>
      <sz val="8.5"/>
      <name val="新細明體"/>
      <family val="1"/>
      <charset val="136"/>
    </font>
    <font>
      <sz val="8.5"/>
      <color indexed="9"/>
      <name val="新細明體"/>
      <family val="1"/>
      <charset val="136"/>
    </font>
    <font>
      <sz val="8"/>
      <name val="Times New Roman"/>
      <family val="1"/>
    </font>
    <font>
      <sz val="4.5"/>
      <name val="Times New Roman"/>
      <family val="1"/>
    </font>
    <font>
      <sz val="10"/>
      <color rgb="FFFF0000"/>
      <name val="Times New Roman"/>
      <family val="1"/>
    </font>
    <font>
      <sz val="12"/>
      <name val="新細明體"/>
      <family val="1"/>
      <charset val="136"/>
    </font>
    <font>
      <u/>
      <sz val="16"/>
      <name val="AR MingtiM BIG-5"/>
      <family val="3"/>
      <charset val="136"/>
    </font>
    <font>
      <u/>
      <sz val="16"/>
      <name val="Arial"/>
      <family val="2"/>
    </font>
    <font>
      <sz val="10"/>
      <name val="細明體"/>
      <family val="3"/>
      <charset val="136"/>
    </font>
    <font>
      <u/>
      <sz val="14"/>
      <name val="Arial"/>
      <family val="2"/>
    </font>
    <font>
      <sz val="14"/>
      <name val="新細明體"/>
      <family val="1"/>
      <charset val="136"/>
    </font>
    <font>
      <sz val="15"/>
      <name val="新細明體"/>
      <family val="1"/>
      <charset val="136"/>
    </font>
    <font>
      <sz val="9"/>
      <color theme="1"/>
      <name val="Times New Roman"/>
      <family val="1"/>
    </font>
    <font>
      <sz val="8"/>
      <color indexed="9"/>
      <name val="新細明體"/>
      <family val="1"/>
      <charset val="136"/>
    </font>
    <font>
      <sz val="8"/>
      <name val="Wingdings 2"/>
      <family val="1"/>
      <charset val="136"/>
    </font>
    <font>
      <sz val="8"/>
      <name val="細明體"/>
      <family val="3"/>
      <charset val="136"/>
    </font>
    <font>
      <b/>
      <sz val="12"/>
      <name val="Arial"/>
      <family val="2"/>
    </font>
    <font>
      <b/>
      <sz val="10"/>
      <name val="Arial"/>
      <family val="2"/>
    </font>
    <font>
      <b/>
      <sz val="12"/>
      <name val="Times New Roman"/>
      <family val="1"/>
    </font>
    <font>
      <b/>
      <sz val="12"/>
      <name val="新細明體"/>
      <family val="1"/>
      <charset val="136"/>
    </font>
    <font>
      <sz val="11"/>
      <color rgb="FFFF0000"/>
      <name val="Calibri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99FF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30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49" fontId="5" fillId="0" borderId="0" xfId="0" applyNumberFormat="1" applyFont="1" applyAlignment="1">
      <alignment horizontal="center" vertical="center" wrapText="1"/>
    </xf>
    <xf numFmtId="0" fontId="5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 wrapText="1"/>
    </xf>
    <xf numFmtId="0" fontId="7" fillId="0" borderId="0" xfId="0" applyFont="1" applyAlignment="1">
      <alignment horizontal="left" vertical="center" wrapText="1"/>
    </xf>
    <xf numFmtId="49" fontId="14" fillId="0" borderId="4" xfId="0" applyNumberFormat="1" applyFont="1" applyBorder="1" applyAlignment="1">
      <alignment horizontal="left" vertical="center" wrapText="1"/>
    </xf>
    <xf numFmtId="0" fontId="11" fillId="0" borderId="5" xfId="0" applyFont="1" applyBorder="1">
      <alignment vertical="center"/>
    </xf>
    <xf numFmtId="49" fontId="11" fillId="0" borderId="4" xfId="0" applyNumberFormat="1" applyFont="1" applyBorder="1" applyAlignment="1">
      <alignment horizontal="left" vertical="center" wrapText="1"/>
    </xf>
    <xf numFmtId="0" fontId="17" fillId="0" borderId="0" xfId="0" applyFont="1" applyAlignment="1">
      <alignment horizontal="center" vertical="center"/>
    </xf>
    <xf numFmtId="0" fontId="18" fillId="0" borderId="4" xfId="0" applyFont="1" applyBorder="1" applyAlignment="1">
      <alignment horizontal="center" vertical="center" shrinkToFit="1"/>
    </xf>
    <xf numFmtId="49" fontId="18" fillId="0" borderId="4" xfId="0" applyNumberFormat="1" applyFont="1" applyBorder="1" applyAlignment="1">
      <alignment horizontal="center" vertical="center" shrinkToFit="1"/>
    </xf>
    <xf numFmtId="0" fontId="19" fillId="0" borderId="4" xfId="0" applyFont="1" applyBorder="1" applyAlignment="1">
      <alignment horizontal="left" vertical="center" wrapText="1" shrinkToFit="1"/>
    </xf>
    <xf numFmtId="0" fontId="18" fillId="0" borderId="6" xfId="0" applyFont="1" applyBorder="1" applyAlignment="1">
      <alignment horizontal="center" vertical="center" shrinkToFit="1"/>
    </xf>
    <xf numFmtId="0" fontId="18" fillId="0" borderId="3" xfId="0" applyFont="1" applyBorder="1" applyAlignment="1">
      <alignment horizontal="center" vertical="center" shrinkToFit="1"/>
    </xf>
    <xf numFmtId="49" fontId="18" fillId="0" borderId="3" xfId="0" applyNumberFormat="1" applyFont="1" applyBorder="1" applyAlignment="1">
      <alignment horizontal="center" vertical="center" shrinkToFit="1"/>
    </xf>
    <xf numFmtId="0" fontId="19" fillId="0" borderId="3" xfId="0" applyFont="1" applyBorder="1" applyAlignment="1">
      <alignment horizontal="left" vertical="center" wrapText="1" shrinkToFit="1"/>
    </xf>
    <xf numFmtId="0" fontId="18" fillId="0" borderId="7" xfId="0" applyFont="1" applyBorder="1" applyAlignment="1">
      <alignment horizontal="center" vertical="center" shrinkToFit="1"/>
    </xf>
    <xf numFmtId="0" fontId="20" fillId="0" borderId="4" xfId="0" applyFont="1" applyBorder="1" applyAlignment="1">
      <alignment horizontal="center" vertical="center" shrinkToFit="1"/>
    </xf>
    <xf numFmtId="0" fontId="20" fillId="0" borderId="8" xfId="0" applyFont="1" applyBorder="1" applyAlignment="1">
      <alignment horizontal="center" vertical="center" shrinkToFit="1"/>
    </xf>
    <xf numFmtId="0" fontId="20" fillId="0" borderId="9" xfId="0" applyFont="1" applyBorder="1" applyAlignment="1">
      <alignment horizontal="center" vertical="center" shrinkToFit="1"/>
    </xf>
    <xf numFmtId="0" fontId="20" fillId="0" borderId="3" xfId="0" applyFont="1" applyBorder="1" applyAlignment="1">
      <alignment horizontal="center" vertical="center" shrinkToFit="1"/>
    </xf>
    <xf numFmtId="0" fontId="17" fillId="0" borderId="0" xfId="0" applyFont="1" applyAlignment="1">
      <alignment horizontal="center" vertical="center" shrinkToFit="1"/>
    </xf>
    <xf numFmtId="0" fontId="1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right" vertical="center"/>
    </xf>
    <xf numFmtId="0" fontId="20" fillId="0" borderId="10" xfId="0" applyFont="1" applyBorder="1" applyAlignment="1">
      <alignment horizontal="center" vertical="center" shrinkToFit="1"/>
    </xf>
    <xf numFmtId="0" fontId="20" fillId="0" borderId="11" xfId="0" applyFont="1" applyBorder="1" applyAlignment="1">
      <alignment horizontal="center" vertical="center" shrinkToFit="1"/>
    </xf>
    <xf numFmtId="49" fontId="20" fillId="0" borderId="11" xfId="0" applyNumberFormat="1" applyFont="1" applyBorder="1" applyAlignment="1">
      <alignment horizontal="center" vertical="center" shrinkToFit="1"/>
    </xf>
    <xf numFmtId="49" fontId="18" fillId="0" borderId="11" xfId="0" applyNumberFormat="1" applyFont="1" applyBorder="1" applyAlignment="1">
      <alignment horizontal="center" vertical="center" shrinkToFit="1"/>
    </xf>
    <xf numFmtId="0" fontId="18" fillId="0" borderId="11" xfId="0" applyFont="1" applyBorder="1" applyAlignment="1">
      <alignment horizontal="center" vertical="center" shrinkToFit="1"/>
    </xf>
    <xf numFmtId="0" fontId="18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49" fontId="20" fillId="0" borderId="4" xfId="0" applyNumberFormat="1" applyFont="1" applyBorder="1" applyAlignment="1">
      <alignment horizontal="center" vertical="center" shrinkToFit="1"/>
    </xf>
    <xf numFmtId="49" fontId="20" fillId="0" borderId="3" xfId="0" applyNumberFormat="1" applyFont="1" applyBorder="1" applyAlignment="1">
      <alignment horizontal="center" vertical="center" shrinkToFit="1"/>
    </xf>
    <xf numFmtId="0" fontId="18" fillId="0" borderId="4" xfId="0" applyFont="1" applyBorder="1" applyAlignment="1">
      <alignment horizontal="center" vertical="center" wrapText="1" shrinkToFit="1"/>
    </xf>
    <xf numFmtId="0" fontId="18" fillId="0" borderId="13" xfId="0" applyFont="1" applyBorder="1" applyAlignment="1">
      <alignment horizontal="center" vertical="center" shrinkToFit="1"/>
    </xf>
    <xf numFmtId="0" fontId="18" fillId="0" borderId="5" xfId="0" applyFont="1" applyBorder="1" applyAlignment="1">
      <alignment horizontal="center" vertical="center" shrinkToFit="1"/>
    </xf>
    <xf numFmtId="0" fontId="18" fillId="0" borderId="14" xfId="0" applyFont="1" applyBorder="1" applyAlignment="1">
      <alignment horizontal="center" vertical="center" shrinkToFit="1"/>
    </xf>
    <xf numFmtId="0" fontId="3" fillId="0" borderId="3" xfId="0" applyFont="1" applyBorder="1" applyAlignment="1">
      <alignment horizontal="center" vertical="top" wrapText="1"/>
    </xf>
    <xf numFmtId="0" fontId="11" fillId="0" borderId="5" xfId="0" applyFont="1" applyBorder="1" applyAlignment="1">
      <alignment vertical="top"/>
    </xf>
    <xf numFmtId="0" fontId="12" fillId="0" borderId="14" xfId="0" applyFont="1" applyBorder="1" applyAlignment="1">
      <alignment horizontal="center" vertical="top" wrapText="1"/>
    </xf>
    <xf numFmtId="0" fontId="12" fillId="0" borderId="3" xfId="0" applyFont="1" applyBorder="1" applyAlignment="1">
      <alignment horizontal="center" vertical="top" wrapText="1"/>
    </xf>
    <xf numFmtId="0" fontId="27" fillId="0" borderId="15" xfId="0" applyFont="1" applyBorder="1" applyAlignment="1">
      <alignment horizontal="center" vertical="top" wrapText="1"/>
    </xf>
    <xf numFmtId="0" fontId="9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0" fillId="0" borderId="4" xfId="0" applyFont="1" applyBorder="1" applyAlignment="1">
      <alignment horizontal="center" vertical="center" wrapText="1" shrinkToFit="1"/>
    </xf>
    <xf numFmtId="0" fontId="20" fillId="0" borderId="11" xfId="0" applyFont="1" applyBorder="1" applyAlignment="1">
      <alignment horizontal="center" vertical="center" wrapText="1" shrinkToFit="1"/>
    </xf>
    <xf numFmtId="0" fontId="20" fillId="0" borderId="3" xfId="0" applyFont="1" applyBorder="1" applyAlignment="1">
      <alignment horizontal="center" vertical="center" wrapText="1" shrinkToFit="1"/>
    </xf>
    <xf numFmtId="0" fontId="18" fillId="0" borderId="5" xfId="0" applyFont="1" applyBorder="1" applyAlignment="1">
      <alignment horizontal="center" vertical="center" wrapText="1" shrinkToFit="1"/>
    </xf>
    <xf numFmtId="0" fontId="20" fillId="0" borderId="16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18" xfId="0" applyFont="1" applyBorder="1" applyAlignment="1">
      <alignment horizontal="center" vertical="center" shrinkToFit="1"/>
    </xf>
    <xf numFmtId="0" fontId="31" fillId="0" borderId="0" xfId="0" applyFont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31" fillId="2" borderId="4" xfId="0" applyFont="1" applyFill="1" applyBorder="1" applyAlignment="1">
      <alignment horizontal="center" vertical="center" wrapText="1"/>
    </xf>
    <xf numFmtId="0" fontId="24" fillId="0" borderId="4" xfId="0" quotePrefix="1" applyFont="1" applyBorder="1" applyAlignment="1">
      <alignment horizontal="center" vertical="center" wrapText="1"/>
    </xf>
    <xf numFmtId="0" fontId="0" fillId="0" borderId="4" xfId="0" applyBorder="1">
      <alignment vertical="center"/>
    </xf>
    <xf numFmtId="0" fontId="17" fillId="0" borderId="4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25" xfId="0" applyFont="1" applyBorder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30" fillId="0" borderId="4" xfId="0" applyFont="1" applyBorder="1" applyAlignment="1">
      <alignment horizontal="left" vertical="center" wrapText="1" shrinkToFit="1"/>
    </xf>
    <xf numFmtId="0" fontId="29" fillId="0" borderId="4" xfId="0" applyFont="1" applyBorder="1" applyAlignment="1">
      <alignment horizontal="center" vertical="center" wrapText="1" shrinkToFit="1"/>
    </xf>
    <xf numFmtId="0" fontId="29" fillId="0" borderId="4" xfId="0" applyFont="1" applyBorder="1" applyAlignment="1">
      <alignment horizontal="center" vertical="center" shrinkToFit="1"/>
    </xf>
    <xf numFmtId="0" fontId="29" fillId="0" borderId="11" xfId="0" applyFont="1" applyBorder="1" applyAlignment="1">
      <alignment horizontal="center" vertical="center" shrinkToFit="1"/>
    </xf>
    <xf numFmtId="0" fontId="29" fillId="0" borderId="11" xfId="0" applyFont="1" applyBorder="1" applyAlignment="1">
      <alignment horizontal="center" vertical="center" wrapText="1" shrinkToFit="1"/>
    </xf>
    <xf numFmtId="0" fontId="29" fillId="0" borderId="17" xfId="0" applyFont="1" applyBorder="1" applyAlignment="1">
      <alignment horizontal="center" vertical="center" shrinkToFit="1"/>
    </xf>
    <xf numFmtId="0" fontId="29" fillId="0" borderId="3" xfId="0" applyFont="1" applyBorder="1" applyAlignment="1">
      <alignment horizontal="center" vertical="center" shrinkToFit="1"/>
    </xf>
    <xf numFmtId="0" fontId="30" fillId="0" borderId="3" xfId="0" applyFont="1" applyBorder="1" applyAlignment="1">
      <alignment horizontal="left" vertical="center" wrapText="1" shrinkToFit="1"/>
    </xf>
    <xf numFmtId="0" fontId="29" fillId="0" borderId="3" xfId="0" applyFont="1" applyBorder="1" applyAlignment="1">
      <alignment horizontal="center" vertical="center" wrapText="1" shrinkToFit="1"/>
    </xf>
    <xf numFmtId="0" fontId="20" fillId="3" borderId="8" xfId="0" applyFont="1" applyFill="1" applyBorder="1" applyAlignment="1">
      <alignment horizontal="center" vertical="center" shrinkToFit="1"/>
    </xf>
    <xf numFmtId="49" fontId="18" fillId="3" borderId="4" xfId="0" applyNumberFormat="1" applyFont="1" applyFill="1" applyBorder="1" applyAlignment="1">
      <alignment horizontal="center" vertical="center" shrinkToFit="1"/>
    </xf>
    <xf numFmtId="0" fontId="29" fillId="3" borderId="4" xfId="0" applyFont="1" applyFill="1" applyBorder="1" applyAlignment="1">
      <alignment horizontal="center" vertical="center" wrapText="1" shrinkToFit="1"/>
    </xf>
    <xf numFmtId="0" fontId="29" fillId="3" borderId="11" xfId="0" applyFont="1" applyFill="1" applyBorder="1" applyAlignment="1">
      <alignment horizontal="center" vertical="center" shrinkToFit="1"/>
    </xf>
    <xf numFmtId="0" fontId="29" fillId="3" borderId="4" xfId="0" applyFont="1" applyFill="1" applyBorder="1" applyAlignment="1">
      <alignment horizontal="center" vertical="center" shrinkToFit="1"/>
    </xf>
    <xf numFmtId="0" fontId="29" fillId="3" borderId="11" xfId="0" applyFont="1" applyFill="1" applyBorder="1" applyAlignment="1">
      <alignment horizontal="center" vertical="center" wrapText="1" shrinkToFit="1"/>
    </xf>
    <xf numFmtId="0" fontId="30" fillId="3" borderId="4" xfId="0" applyFont="1" applyFill="1" applyBorder="1" applyAlignment="1">
      <alignment horizontal="left" vertical="center" wrapText="1" shrinkToFit="1"/>
    </xf>
    <xf numFmtId="49" fontId="18" fillId="3" borderId="11" xfId="0" applyNumberFormat="1" applyFont="1" applyFill="1" applyBorder="1" applyAlignment="1">
      <alignment horizontal="center" vertical="center" shrinkToFit="1"/>
    </xf>
    <xf numFmtId="0" fontId="18" fillId="3" borderId="4" xfId="0" applyFont="1" applyFill="1" applyBorder="1" applyAlignment="1">
      <alignment horizontal="center" vertical="center" shrinkToFit="1"/>
    </xf>
    <xf numFmtId="0" fontId="18" fillId="3" borderId="5" xfId="0" applyFont="1" applyFill="1" applyBorder="1" applyAlignment="1">
      <alignment horizontal="center" vertical="center" shrinkToFit="1"/>
    </xf>
    <xf numFmtId="0" fontId="18" fillId="3" borderId="6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wrapText="1"/>
    </xf>
    <xf numFmtId="49" fontId="18" fillId="0" borderId="0" xfId="0" applyNumberFormat="1" applyFont="1" applyAlignment="1">
      <alignment horizontal="left" vertical="center" wrapText="1"/>
    </xf>
    <xf numFmtId="0" fontId="18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5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25" fillId="0" borderId="45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/>
    </xf>
    <xf numFmtId="166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top" wrapText="1"/>
    </xf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7" fillId="0" borderId="0" xfId="0" applyFont="1">
      <alignment vertical="center"/>
    </xf>
    <xf numFmtId="0" fontId="25" fillId="0" borderId="34" xfId="0" applyFont="1" applyBorder="1" applyAlignment="1">
      <alignment horizontal="center" vertical="center" wrapText="1"/>
    </xf>
    <xf numFmtId="0" fontId="7" fillId="0" borderId="41" xfId="0" applyFont="1" applyBorder="1">
      <alignment vertical="center"/>
    </xf>
    <xf numFmtId="0" fontId="7" fillId="0" borderId="30" xfId="0" applyFont="1" applyBorder="1">
      <alignment vertical="center"/>
    </xf>
    <xf numFmtId="0" fontId="7" fillId="0" borderId="43" xfId="0" applyFont="1" applyBorder="1" applyAlignment="1">
      <alignment horizontal="center" vertical="center"/>
    </xf>
    <xf numFmtId="0" fontId="7" fillId="0" borderId="45" xfId="0" applyFont="1" applyBorder="1">
      <alignment vertical="center"/>
    </xf>
    <xf numFmtId="0" fontId="7" fillId="0" borderId="17" xfId="0" applyFont="1" applyBorder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16" xfId="0" applyFont="1" applyBorder="1">
      <alignment vertical="center"/>
    </xf>
    <xf numFmtId="0" fontId="7" fillId="0" borderId="4" xfId="0" applyFont="1" applyBorder="1">
      <alignment vertical="center"/>
    </xf>
    <xf numFmtId="0" fontId="7" fillId="0" borderId="9" xfId="0" applyFont="1" applyBorder="1" applyAlignment="1">
      <alignment horizontal="center" vertical="center"/>
    </xf>
    <xf numFmtId="0" fontId="7" fillId="0" borderId="50" xfId="0" applyFont="1" applyBorder="1">
      <alignment vertical="center"/>
    </xf>
    <xf numFmtId="0" fontId="7" fillId="0" borderId="3" xfId="0" applyFont="1" applyBorder="1">
      <alignment vertical="center"/>
    </xf>
    <xf numFmtId="0" fontId="10" fillId="0" borderId="0" xfId="0" applyFont="1">
      <alignment vertical="center"/>
    </xf>
    <xf numFmtId="0" fontId="10" fillId="0" borderId="0" xfId="0" applyFont="1" applyAlignment="1">
      <alignment vertical="center" wrapText="1"/>
    </xf>
    <xf numFmtId="0" fontId="25" fillId="0" borderId="49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25" fillId="0" borderId="54" xfId="0" applyFont="1" applyBorder="1" applyAlignment="1">
      <alignment horizontal="center" vertical="center" wrapText="1"/>
    </xf>
    <xf numFmtId="0" fontId="38" fillId="0" borderId="0" xfId="0" applyFont="1" applyAlignment="1">
      <alignment horizontal="left" vertical="center"/>
    </xf>
    <xf numFmtId="0" fontId="21" fillId="0" borderId="0" xfId="0" applyFont="1" applyAlignment="1">
      <alignment horizontal="center" vertical="center"/>
    </xf>
    <xf numFmtId="0" fontId="11" fillId="0" borderId="0" xfId="0" quotePrefix="1" applyFont="1" applyAlignment="1">
      <alignment horizontal="center" vertical="center"/>
    </xf>
    <xf numFmtId="0" fontId="5" fillId="0" borderId="0" xfId="0" quotePrefix="1" applyFont="1" applyAlignment="1">
      <alignment horizontal="center" vertical="center"/>
    </xf>
    <xf numFmtId="49" fontId="18" fillId="0" borderId="4" xfId="0" quotePrefix="1" applyNumberFormat="1" applyFont="1" applyBorder="1" applyAlignment="1">
      <alignment horizontal="center" vertical="center" shrinkToFit="1"/>
    </xf>
    <xf numFmtId="49" fontId="18" fillId="0" borderId="11" xfId="0" quotePrefix="1" applyNumberFormat="1" applyFont="1" applyBorder="1" applyAlignment="1">
      <alignment horizontal="center" vertical="center" shrinkToFit="1"/>
    </xf>
    <xf numFmtId="167" fontId="18" fillId="0" borderId="11" xfId="0" quotePrefix="1" applyNumberFormat="1" applyFont="1" applyBorder="1" applyAlignment="1">
      <alignment horizontal="center" vertical="center" shrinkToFit="1"/>
    </xf>
    <xf numFmtId="0" fontId="7" fillId="0" borderId="4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7" fontId="18" fillId="0" borderId="4" xfId="0" quotePrefix="1" applyNumberFormat="1" applyFont="1" applyBorder="1" applyAlignment="1">
      <alignment horizontal="center" vertical="center" shrinkToFit="1"/>
    </xf>
    <xf numFmtId="167" fontId="7" fillId="0" borderId="4" xfId="0" applyNumberFormat="1" applyFont="1" applyBorder="1" applyAlignment="1">
      <alignment horizontal="center" vertical="center" wrapText="1"/>
    </xf>
    <xf numFmtId="167" fontId="3" fillId="0" borderId="4" xfId="0" quotePrefix="1" applyNumberFormat="1" applyFont="1" applyBorder="1" applyAlignment="1">
      <alignment horizontal="center" vertical="center" shrinkToFit="1"/>
    </xf>
    <xf numFmtId="168" fontId="39" fillId="0" borderId="11" xfId="0" quotePrefix="1" applyNumberFormat="1" applyFont="1" applyBorder="1" applyAlignment="1">
      <alignment horizontal="center" vertical="center" shrinkToFit="1"/>
    </xf>
    <xf numFmtId="167" fontId="7" fillId="0" borderId="3" xfId="0" applyNumberFormat="1" applyFont="1" applyBorder="1" applyAlignment="1">
      <alignment horizontal="center" vertical="center" wrapText="1"/>
    </xf>
    <xf numFmtId="0" fontId="29" fillId="3" borderId="4" xfId="0" quotePrefix="1" applyFont="1" applyFill="1" applyBorder="1" applyAlignment="1">
      <alignment horizontal="center" vertical="center" wrapText="1" shrinkToFit="1"/>
    </xf>
    <xf numFmtId="0" fontId="19" fillId="0" borderId="13" xfId="0" applyFont="1" applyBorder="1" applyAlignment="1">
      <alignment horizontal="left" vertical="top" shrinkToFit="1"/>
    </xf>
    <xf numFmtId="0" fontId="19" fillId="0" borderId="14" xfId="0" applyFont="1" applyBorder="1" applyAlignment="1">
      <alignment horizontal="center" vertical="top" shrinkToFit="1"/>
    </xf>
    <xf numFmtId="0" fontId="19" fillId="0" borderId="5" xfId="0" applyFont="1" applyBorder="1" applyAlignment="1">
      <alignment horizontal="left" vertical="top" shrinkToFit="1"/>
    </xf>
    <xf numFmtId="0" fontId="19" fillId="0" borderId="14" xfId="0" applyFont="1" applyBorder="1" applyAlignment="1">
      <alignment horizontal="left" vertical="top" shrinkToFit="1"/>
    </xf>
    <xf numFmtId="0" fontId="19" fillId="3" borderId="5" xfId="0" applyFont="1" applyFill="1" applyBorder="1" applyAlignment="1">
      <alignment horizontal="left" vertical="top" shrinkToFit="1"/>
    </xf>
    <xf numFmtId="0" fontId="24" fillId="2" borderId="0" xfId="0" applyFont="1" applyFill="1" applyAlignment="1">
      <alignment horizontal="center" vertical="center" wrapText="1"/>
    </xf>
    <xf numFmtId="0" fontId="24" fillId="2" borderId="4" xfId="0" applyFont="1" applyFill="1" applyBorder="1" applyAlignment="1">
      <alignment horizontal="center" vertical="center" wrapText="1"/>
    </xf>
    <xf numFmtId="0" fontId="24" fillId="2" borderId="4" xfId="0" quotePrefix="1" applyFont="1" applyFill="1" applyBorder="1" applyAlignment="1">
      <alignment horizontal="center" vertical="center" wrapText="1"/>
    </xf>
    <xf numFmtId="0" fontId="8" fillId="2" borderId="4" xfId="1" applyNumberFormat="1" applyFill="1" applyBorder="1" applyAlignment="1" applyProtection="1">
      <alignment horizontal="center" vertical="center" wrapText="1"/>
    </xf>
    <xf numFmtId="0" fontId="0" fillId="2" borderId="0" xfId="0" applyFill="1">
      <alignment vertical="center"/>
    </xf>
    <xf numFmtId="0" fontId="0" fillId="2" borderId="4" xfId="0" applyFill="1" applyBorder="1">
      <alignment vertical="center"/>
    </xf>
    <xf numFmtId="3" fontId="24" fillId="2" borderId="4" xfId="0" applyNumberFormat="1" applyFont="1" applyFill="1" applyBorder="1" applyAlignment="1">
      <alignment horizontal="center" vertical="center" wrapText="1"/>
    </xf>
    <xf numFmtId="49" fontId="18" fillId="0" borderId="3" xfId="0" quotePrefix="1" applyNumberFormat="1" applyFont="1" applyBorder="1" applyAlignment="1">
      <alignment horizontal="center" vertical="center" shrinkToFit="1"/>
    </xf>
    <xf numFmtId="14" fontId="29" fillId="3" borderId="4" xfId="0" quotePrefix="1" applyNumberFormat="1" applyFont="1" applyFill="1" applyBorder="1" applyAlignment="1">
      <alignment horizontal="center" vertical="center" wrapText="1" shrinkToFit="1"/>
    </xf>
    <xf numFmtId="0" fontId="18" fillId="3" borderId="13" xfId="0" applyFont="1" applyFill="1" applyBorder="1" applyAlignment="1">
      <alignment horizontal="center" vertical="center" shrinkToFit="1"/>
    </xf>
    <xf numFmtId="0" fontId="29" fillId="0" borderId="3" xfId="0" quotePrefix="1" applyFont="1" applyBorder="1" applyAlignment="1">
      <alignment horizontal="center" vertical="center" shrinkToFit="1"/>
    </xf>
    <xf numFmtId="0" fontId="29" fillId="3" borderId="11" xfId="0" quotePrefix="1" applyFont="1" applyFill="1" applyBorder="1" applyAlignment="1">
      <alignment horizontal="center" vertical="center" wrapText="1" shrinkToFit="1"/>
    </xf>
    <xf numFmtId="167" fontId="18" fillId="0" borderId="3" xfId="0" quotePrefix="1" applyNumberFormat="1" applyFont="1" applyBorder="1" applyAlignment="1">
      <alignment horizontal="center" vertical="center" shrinkToFit="1"/>
    </xf>
    <xf numFmtId="0" fontId="10" fillId="0" borderId="3" xfId="0" applyFont="1" applyBorder="1" applyAlignment="1">
      <alignment horizontal="center" vertical="top" wrapText="1"/>
    </xf>
    <xf numFmtId="0" fontId="41" fillId="0" borderId="14" xfId="0" applyFont="1" applyBorder="1" applyAlignment="1">
      <alignment horizontal="center" vertical="top" wrapText="1"/>
    </xf>
    <xf numFmtId="0" fontId="41" fillId="0" borderId="3" xfId="0" applyFont="1" applyBorder="1" applyAlignment="1">
      <alignment horizontal="center" vertical="top" wrapText="1"/>
    </xf>
    <xf numFmtId="0" fontId="10" fillId="0" borderId="15" xfId="0" applyFont="1" applyBorder="1" applyAlignment="1">
      <alignment horizontal="center" vertical="top" wrapText="1"/>
    </xf>
    <xf numFmtId="0" fontId="17" fillId="0" borderId="17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43" fillId="0" borderId="0" xfId="0" applyFont="1">
      <alignment vertical="center"/>
    </xf>
    <xf numFmtId="0" fontId="43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>
      <alignment vertical="center"/>
    </xf>
    <xf numFmtId="0" fontId="18" fillId="0" borderId="11" xfId="0" applyFont="1" applyBorder="1" applyAlignment="1">
      <alignment horizontal="left" vertical="top" shrinkToFit="1"/>
    </xf>
    <xf numFmtId="0" fontId="18" fillId="0" borderId="4" xfId="0" applyFont="1" applyBorder="1" applyAlignment="1">
      <alignment horizontal="left" vertical="top" shrinkToFit="1"/>
    </xf>
    <xf numFmtId="0" fontId="18" fillId="3" borderId="4" xfId="0" applyFont="1" applyFill="1" applyBorder="1" applyAlignment="1">
      <alignment horizontal="left" vertical="top" shrinkToFit="1"/>
    </xf>
    <xf numFmtId="0" fontId="18" fillId="0" borderId="3" xfId="0" applyFont="1" applyBorder="1" applyAlignment="1">
      <alignment horizontal="left" vertical="top" shrinkToFit="1"/>
    </xf>
    <xf numFmtId="0" fontId="2" fillId="0" borderId="0" xfId="2"/>
    <xf numFmtId="0" fontId="2" fillId="4" borderId="0" xfId="2" applyFill="1"/>
    <xf numFmtId="0" fontId="2" fillId="5" borderId="0" xfId="2" applyFill="1"/>
    <xf numFmtId="0" fontId="2" fillId="6" borderId="0" xfId="2" applyFill="1"/>
    <xf numFmtId="0" fontId="47" fillId="0" borderId="0" xfId="2" applyFont="1"/>
    <xf numFmtId="0" fontId="2" fillId="0" borderId="0" xfId="2" applyAlignment="1">
      <alignment horizontal="right"/>
    </xf>
    <xf numFmtId="0" fontId="2" fillId="0" borderId="0" xfId="2" applyAlignment="1">
      <alignment horizontal="left" wrapText="1"/>
    </xf>
    <xf numFmtId="0" fontId="2" fillId="7" borderId="0" xfId="2" applyFill="1"/>
    <xf numFmtId="0" fontId="2" fillId="8" borderId="0" xfId="2" applyFill="1"/>
    <xf numFmtId="0" fontId="1" fillId="7" borderId="0" xfId="2" applyFont="1" applyFill="1"/>
    <xf numFmtId="0" fontId="44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3" fillId="0" borderId="29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/>
    </xf>
    <xf numFmtId="49" fontId="3" fillId="0" borderId="30" xfId="0" applyNumberFormat="1" applyFont="1" applyBorder="1" applyAlignment="1">
      <alignment horizontal="center" vertical="center" wrapText="1"/>
    </xf>
    <xf numFmtId="0" fontId="5" fillId="0" borderId="31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11" fillId="0" borderId="18" xfId="0" applyFont="1" applyBorder="1" applyAlignment="1">
      <alignment vertical="center" wrapText="1"/>
    </xf>
    <xf numFmtId="0" fontId="5" fillId="0" borderId="18" xfId="0" applyFont="1" applyBorder="1" applyAlignment="1">
      <alignment vertical="center" wrapText="1"/>
    </xf>
    <xf numFmtId="0" fontId="5" fillId="0" borderId="16" xfId="0" applyFont="1" applyBorder="1" applyAlignment="1">
      <alignment vertical="center" wrapText="1"/>
    </xf>
    <xf numFmtId="14" fontId="11" fillId="0" borderId="18" xfId="0" applyNumberFormat="1" applyFont="1" applyBorder="1" applyAlignment="1">
      <alignment horizontal="left" vertical="center"/>
    </xf>
    <xf numFmtId="0" fontId="5" fillId="0" borderId="18" xfId="0" applyFont="1" applyBorder="1">
      <alignment vertical="center"/>
    </xf>
    <xf numFmtId="0" fontId="5" fillId="0" borderId="16" xfId="0" applyFont="1" applyBorder="1">
      <alignment vertical="center"/>
    </xf>
    <xf numFmtId="0" fontId="13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55" xfId="0" applyFont="1" applyBorder="1" applyAlignment="1">
      <alignment horizontal="center" vertical="center" wrapText="1"/>
    </xf>
    <xf numFmtId="0" fontId="20" fillId="0" borderId="55" xfId="0" applyFont="1" applyBorder="1" applyAlignment="1">
      <alignment horizontal="center" vertical="center"/>
    </xf>
    <xf numFmtId="164" fontId="20" fillId="0" borderId="28" xfId="0" applyNumberFormat="1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 wrapText="1"/>
    </xf>
    <xf numFmtId="0" fontId="3" fillId="0" borderId="41" xfId="0" applyFont="1" applyBorder="1" applyAlignment="1">
      <alignment horizontal="center" vertical="center" wrapText="1"/>
    </xf>
    <xf numFmtId="0" fontId="23" fillId="0" borderId="55" xfId="0" applyFont="1" applyBorder="1" applyAlignment="1">
      <alignment horizontal="center" vertical="center"/>
    </xf>
    <xf numFmtId="0" fontId="23" fillId="0" borderId="28" xfId="0" applyFont="1" applyBorder="1" applyAlignment="1">
      <alignment horizontal="center" vertical="center" wrapText="1"/>
    </xf>
    <xf numFmtId="0" fontId="20" fillId="0" borderId="28" xfId="0" applyFont="1" applyBorder="1" applyAlignment="1">
      <alignment horizontal="center" vertical="center"/>
    </xf>
    <xf numFmtId="14" fontId="18" fillId="0" borderId="0" xfId="0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33" fillId="0" borderId="0" xfId="0" applyFont="1" applyAlignment="1">
      <alignment horizontal="center" vertical="top" wrapText="1"/>
    </xf>
    <xf numFmtId="0" fontId="33" fillId="0" borderId="0" xfId="0" applyFont="1" applyAlignment="1">
      <alignment horizontal="center" vertical="top"/>
    </xf>
    <xf numFmtId="0" fontId="5" fillId="0" borderId="28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5" fontId="5" fillId="0" borderId="28" xfId="0" applyNumberFormat="1" applyFont="1" applyBorder="1">
      <alignment vertical="center"/>
    </xf>
    <xf numFmtId="0" fontId="36" fillId="0" borderId="34" xfId="0" applyFont="1" applyBorder="1" applyAlignment="1">
      <alignment horizontal="left" vertical="center"/>
    </xf>
    <xf numFmtId="0" fontId="37" fillId="0" borderId="34" xfId="0" applyFont="1" applyBorder="1" applyAlignment="1">
      <alignment horizontal="left" vertical="center"/>
    </xf>
    <xf numFmtId="0" fontId="25" fillId="0" borderId="30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49" fontId="25" fillId="0" borderId="30" xfId="0" applyNumberFormat="1" applyFont="1" applyBorder="1" applyAlignment="1">
      <alignment horizontal="center" vertical="center" wrapText="1"/>
    </xf>
    <xf numFmtId="49" fontId="11" fillId="0" borderId="17" xfId="0" applyNumberFormat="1" applyFont="1" applyBorder="1" applyAlignment="1">
      <alignment horizontal="center" vertical="center" wrapText="1"/>
    </xf>
    <xf numFmtId="0" fontId="25" fillId="0" borderId="31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4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53" xfId="0" applyBorder="1" applyAlignment="1">
      <alignment horizontal="center" vertical="center" wrapText="1"/>
    </xf>
    <xf numFmtId="0" fontId="25" fillId="0" borderId="17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3" fillId="0" borderId="46" xfId="0" applyFont="1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25" fillId="0" borderId="29" xfId="0" applyFont="1" applyBorder="1" applyAlignment="1">
      <alignment horizontal="center" vertical="center" wrapText="1"/>
    </xf>
    <xf numFmtId="0" fontId="11" fillId="0" borderId="43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 wrapText="1"/>
    </xf>
    <xf numFmtId="0" fontId="11" fillId="0" borderId="44" xfId="0" applyFont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 wrapText="1"/>
    </xf>
    <xf numFmtId="0" fontId="25" fillId="0" borderId="37" xfId="0" applyFont="1" applyBorder="1" applyAlignment="1">
      <alignment horizontal="center" vertical="center" wrapText="1"/>
    </xf>
    <xf numFmtId="0" fontId="25" fillId="0" borderId="38" xfId="0" applyFont="1" applyBorder="1" applyAlignment="1">
      <alignment horizontal="center" vertical="center" wrapText="1"/>
    </xf>
    <xf numFmtId="0" fontId="25" fillId="0" borderId="39" xfId="0" applyFont="1" applyBorder="1" applyAlignment="1">
      <alignment horizontal="center" vertical="center" wrapText="1"/>
    </xf>
    <xf numFmtId="0" fontId="11" fillId="0" borderId="40" xfId="0" applyFont="1" applyBorder="1" applyAlignment="1">
      <alignment horizontal="center" vertical="center" wrapText="1"/>
    </xf>
    <xf numFmtId="0" fontId="25" fillId="0" borderId="36" xfId="0" applyFont="1" applyBorder="1" applyAlignment="1">
      <alignment horizontal="center" vertical="center" wrapText="1"/>
    </xf>
    <xf numFmtId="0" fontId="32" fillId="0" borderId="1" xfId="0" applyFont="1" applyBorder="1" applyAlignment="1">
      <alignment horizontal="center" vertical="center" wrapText="1"/>
    </xf>
    <xf numFmtId="0" fontId="7" fillId="0" borderId="4" xfId="0" applyFont="1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7" fillId="0" borderId="4" xfId="0" applyFont="1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6" xfId="0" applyBorder="1" applyAlignment="1">
      <alignment horizontal="center" vertical="top" wrapText="1"/>
    </xf>
    <xf numFmtId="0" fontId="25" fillId="0" borderId="49" xfId="0" applyFont="1" applyBorder="1" applyAlignment="1">
      <alignment horizontal="center" vertical="center" wrapTex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38" fillId="0" borderId="0" xfId="0" applyFont="1" applyAlignment="1">
      <alignment horizontal="left" vertical="center"/>
    </xf>
    <xf numFmtId="0" fontId="7" fillId="0" borderId="14" xfId="0" applyFont="1" applyBorder="1" applyAlignment="1">
      <alignment vertical="top" wrapText="1"/>
    </xf>
    <xf numFmtId="0" fontId="7" fillId="0" borderId="50" xfId="0" applyFont="1" applyBorder="1" applyAlignment="1">
      <alignment vertical="top" wrapText="1"/>
    </xf>
    <xf numFmtId="0" fontId="7" fillId="0" borderId="15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7" fillId="0" borderId="31" xfId="0" applyFont="1" applyBorder="1" applyAlignment="1">
      <alignment vertical="top" wrapText="1"/>
    </xf>
    <xf numFmtId="0" fontId="7" fillId="0" borderId="41" xfId="0" applyFont="1" applyBorder="1" applyAlignment="1">
      <alignment vertical="top" wrapText="1"/>
    </xf>
    <xf numFmtId="0" fontId="7" fillId="0" borderId="47" xfId="0" applyFont="1" applyBorder="1" applyAlignment="1">
      <alignment vertical="top" wrapText="1"/>
    </xf>
    <xf numFmtId="0" fontId="7" fillId="0" borderId="5" xfId="0" applyFont="1" applyBorder="1" applyAlignment="1">
      <alignment vertical="top" wrapText="1"/>
    </xf>
    <xf numFmtId="0" fontId="7" fillId="0" borderId="16" xfId="0" applyFont="1" applyBorder="1" applyAlignment="1">
      <alignment vertical="top" wrapText="1"/>
    </xf>
    <xf numFmtId="0" fontId="7" fillId="0" borderId="48" xfId="0" applyFont="1" applyBorder="1" applyAlignment="1">
      <alignment vertical="top" wrapText="1"/>
    </xf>
    <xf numFmtId="49" fontId="25" fillId="0" borderId="36" xfId="0" applyNumberFormat="1" applyFont="1" applyBorder="1" applyAlignment="1">
      <alignment horizontal="center" vertical="center" wrapText="1"/>
    </xf>
    <xf numFmtId="49" fontId="25" fillId="0" borderId="49" xfId="0" applyNumberFormat="1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49" xfId="0" applyFont="1" applyBorder="1" applyAlignment="1">
      <alignment horizontal="center" vertical="center" wrapText="1"/>
    </xf>
    <xf numFmtId="0" fontId="25" fillId="0" borderId="35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25" fillId="0" borderId="51" xfId="0" applyFont="1" applyBorder="1" applyAlignment="1">
      <alignment horizontal="center" vertical="center" wrapText="1"/>
    </xf>
    <xf numFmtId="0" fontId="25" fillId="0" borderId="52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left" vertical="center" wrapText="1"/>
    </xf>
    <xf numFmtId="0" fontId="0" fillId="0" borderId="0" xfId="0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B7C6F292-CFF9-47E5-9AE2-B5DA42919A2F}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54769</xdr:colOff>
      <xdr:row>6</xdr:row>
      <xdr:rowOff>40482</xdr:rowOff>
    </xdr:from>
    <xdr:to>
      <xdr:col>15</xdr:col>
      <xdr:colOff>148252</xdr:colOff>
      <xdr:row>6</xdr:row>
      <xdr:rowOff>138113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745" t="60419" r="79855" b="33267"/>
        <a:stretch/>
      </xdr:blipFill>
      <xdr:spPr bwMode="auto">
        <a:xfrm>
          <a:off x="9036844" y="1574007"/>
          <a:ext cx="93483" cy="9763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9</xdr:col>
      <xdr:colOff>406677</xdr:colOff>
      <xdr:row>20</xdr:row>
      <xdr:rowOff>60698</xdr:rowOff>
    </xdr:from>
    <xdr:to>
      <xdr:col>9</xdr:col>
      <xdr:colOff>500160</xdr:colOff>
      <xdr:row>20</xdr:row>
      <xdr:rowOff>158329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745" t="60419" r="79855" b="33267"/>
        <a:stretch/>
      </xdr:blipFill>
      <xdr:spPr bwMode="auto">
        <a:xfrm>
          <a:off x="5359677" y="7310904"/>
          <a:ext cx="93483" cy="9763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395471</xdr:colOff>
      <xdr:row>20</xdr:row>
      <xdr:rowOff>38286</xdr:rowOff>
    </xdr:from>
    <xdr:to>
      <xdr:col>10</xdr:col>
      <xdr:colOff>488954</xdr:colOff>
      <xdr:row>20</xdr:row>
      <xdr:rowOff>135917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745" t="60419" r="79855" b="33267"/>
        <a:stretch/>
      </xdr:blipFill>
      <xdr:spPr bwMode="auto">
        <a:xfrm>
          <a:off x="5929496" y="7296336"/>
          <a:ext cx="93483" cy="9763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15</xdr:col>
      <xdr:colOff>54769</xdr:colOff>
      <xdr:row>6</xdr:row>
      <xdr:rowOff>40482</xdr:rowOff>
    </xdr:from>
    <xdr:to>
      <xdr:col>15</xdr:col>
      <xdr:colOff>148252</xdr:colOff>
      <xdr:row>6</xdr:row>
      <xdr:rowOff>138113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745" t="60419" r="79855" b="33267"/>
        <a:stretch/>
      </xdr:blipFill>
      <xdr:spPr bwMode="auto">
        <a:xfrm>
          <a:off x="9036844" y="1574007"/>
          <a:ext cx="93483" cy="9763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54769</xdr:colOff>
      <xdr:row>6</xdr:row>
      <xdr:rowOff>40482</xdr:rowOff>
    </xdr:from>
    <xdr:to>
      <xdr:col>15</xdr:col>
      <xdr:colOff>148252</xdr:colOff>
      <xdr:row>6</xdr:row>
      <xdr:rowOff>138113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745" t="60419" r="79855" b="33267"/>
        <a:stretch/>
      </xdr:blipFill>
      <xdr:spPr bwMode="auto">
        <a:xfrm>
          <a:off x="9036844" y="1574007"/>
          <a:ext cx="93483" cy="9763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8</xdr:col>
      <xdr:colOff>279515</xdr:colOff>
      <xdr:row>20</xdr:row>
      <xdr:rowOff>54851</xdr:rowOff>
    </xdr:from>
    <xdr:to>
      <xdr:col>8</xdr:col>
      <xdr:colOff>372998</xdr:colOff>
      <xdr:row>20</xdr:row>
      <xdr:rowOff>152482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6745" t="60419" r="79855" b="33267"/>
        <a:stretch/>
      </xdr:blipFill>
      <xdr:spPr bwMode="auto">
        <a:xfrm>
          <a:off x="5265645" y="7169612"/>
          <a:ext cx="93483" cy="97631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42</xdr:row>
      <xdr:rowOff>50800</xdr:rowOff>
    </xdr:from>
    <xdr:ext cx="11877675" cy="4400550"/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1200" y="12306300"/>
          <a:ext cx="11877675" cy="440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</xdr:colOff>
      <xdr:row>64</xdr:row>
      <xdr:rowOff>174625</xdr:rowOff>
    </xdr:from>
    <xdr:ext cx="13342785" cy="6731000"/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7049750"/>
          <a:ext cx="13342785" cy="673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9</xdr:row>
          <xdr:rowOff>38100</xdr:rowOff>
        </xdr:from>
        <xdr:to>
          <xdr:col>0</xdr:col>
          <xdr:colOff>1524000</xdr:colOff>
          <xdr:row>10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9</xdr:row>
          <xdr:rowOff>38100</xdr:rowOff>
        </xdr:from>
        <xdr:to>
          <xdr:col>0</xdr:col>
          <xdr:colOff>1524000</xdr:colOff>
          <xdr:row>10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LS2-SHD5@E" TargetMode="External"/><Relationship Id="rId3" Type="http://schemas.openxmlformats.org/officeDocument/2006/relationships/hyperlink" Target="mailto:M2-SHD6@E" TargetMode="External"/><Relationship Id="rId7" Type="http://schemas.openxmlformats.org/officeDocument/2006/relationships/hyperlink" Target="mailto:LS1-SHD5@E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mailto:M1-SHD6@E" TargetMode="External"/><Relationship Id="rId1" Type="http://schemas.openxmlformats.org/officeDocument/2006/relationships/hyperlink" Target="mailto:M3-M2@E" TargetMode="External"/><Relationship Id="rId6" Type="http://schemas.openxmlformats.org/officeDocument/2006/relationships/hyperlink" Target="mailto:M5-SHD6@E" TargetMode="External"/><Relationship Id="rId11" Type="http://schemas.openxmlformats.org/officeDocument/2006/relationships/hyperlink" Target="mailto:AB9-SHD5@E" TargetMode="External"/><Relationship Id="rId5" Type="http://schemas.openxmlformats.org/officeDocument/2006/relationships/hyperlink" Target="mailto:M4-SHD6@E" TargetMode="External"/><Relationship Id="rId10" Type="http://schemas.openxmlformats.org/officeDocument/2006/relationships/hyperlink" Target="mailto:LB-SHD5@E" TargetMode="External"/><Relationship Id="rId4" Type="http://schemas.openxmlformats.org/officeDocument/2006/relationships/hyperlink" Target="mailto:M3-SHD6@E" TargetMode="External"/><Relationship Id="rId9" Type="http://schemas.openxmlformats.org/officeDocument/2006/relationships/hyperlink" Target="mailto:LS3-SHD5@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IO59"/>
  <sheetViews>
    <sheetView view="pageBreakPreview" topLeftCell="A7" zoomScaleNormal="100" zoomScaleSheetLayoutView="100" workbookViewId="0">
      <selection activeCell="J8" sqref="J8"/>
    </sheetView>
  </sheetViews>
  <sheetFormatPr defaultColWidth="9" defaultRowHeight="15"/>
  <cols>
    <col min="1" max="1" width="1.109375" style="5" customWidth="1"/>
    <col min="2" max="2" width="3.77734375" style="6" customWidth="1"/>
    <col min="3" max="3" width="5.33203125" style="2" customWidth="1"/>
    <col min="4" max="4" width="21.5546875" style="48" customWidth="1"/>
    <col min="5" max="5" width="6.5546875" style="6" customWidth="1"/>
    <col min="6" max="6" width="6.5546875" style="2" customWidth="1"/>
    <col min="7" max="7" width="6.5546875" style="9" customWidth="1"/>
    <col min="8" max="8" width="6.5546875" style="3" customWidth="1"/>
    <col min="9" max="9" width="6.44140625" style="3" bestFit="1" customWidth="1"/>
    <col min="10" max="10" width="7.5546875" style="9" bestFit="1" customWidth="1"/>
    <col min="11" max="11" width="15.33203125" style="11" customWidth="1"/>
    <col min="12" max="12" width="6.33203125" style="10" customWidth="1"/>
    <col min="13" max="13" width="8.33203125" style="7" customWidth="1"/>
    <col min="14" max="14" width="8.21875" style="7" bestFit="1" customWidth="1"/>
    <col min="15" max="16" width="6.77734375" style="7" customWidth="1"/>
    <col min="17" max="18" width="7.21875" style="7" bestFit="1" customWidth="1"/>
    <col min="19" max="19" width="10.33203125" style="8" bestFit="1" customWidth="1"/>
    <col min="20" max="20" width="3.33203125" style="5" customWidth="1"/>
    <col min="21" max="25" width="6.5546875" style="5" customWidth="1"/>
    <col min="26" max="26" width="1.77734375" style="5" customWidth="1"/>
    <col min="27" max="27" width="8.44140625" style="5" hidden="1" customWidth="1"/>
    <col min="28" max="28" width="12.109375" style="5" hidden="1" customWidth="1"/>
    <col min="29" max="29" width="11.77734375" style="5" hidden="1" customWidth="1"/>
    <col min="30" max="31" width="9" style="5" hidden="1" customWidth="1"/>
    <col min="32" max="32" width="26.44140625" style="5" hidden="1" customWidth="1"/>
    <col min="33" max="33" width="8" style="5" hidden="1" customWidth="1"/>
    <col min="34" max="34" width="17.77734375" style="5" hidden="1" customWidth="1"/>
    <col min="35" max="35" width="32.77734375" style="5" hidden="1" customWidth="1"/>
    <col min="36" max="41" width="9" style="5" hidden="1" customWidth="1"/>
    <col min="42" max="42" width="88" style="5" hidden="1" customWidth="1"/>
    <col min="43" max="43" width="20.109375" style="5" hidden="1" customWidth="1"/>
    <col min="44" max="223" width="9" style="5" hidden="1" customWidth="1"/>
    <col min="224" max="224" width="12.33203125" style="5" bestFit="1" customWidth="1"/>
    <col min="225" max="227" width="9" style="5"/>
    <col min="228" max="228" width="19.33203125" style="5" hidden="1" customWidth="1"/>
    <col min="229" max="229" width="9" style="5"/>
    <col min="230" max="233" width="9" style="5" hidden="1" customWidth="1"/>
    <col min="234" max="235" width="9" style="5"/>
    <col min="236" max="249" width="9" style="5" hidden="1" customWidth="1"/>
    <col min="250" max="16384" width="9" style="5"/>
  </cols>
  <sheetData>
    <row r="1" spans="1:249" ht="24" customHeight="1">
      <c r="B1" s="2"/>
      <c r="D1" s="3"/>
      <c r="E1" s="2"/>
      <c r="G1" s="3"/>
      <c r="J1" s="3"/>
      <c r="K1" s="16"/>
      <c r="L1" s="17" t="s">
        <v>0</v>
      </c>
      <c r="M1" s="56" t="s">
        <v>1</v>
      </c>
      <c r="N1" s="215" t="s">
        <v>2</v>
      </c>
      <c r="O1" s="216"/>
      <c r="P1" s="216"/>
      <c r="Q1" s="216"/>
      <c r="R1" s="216"/>
      <c r="S1" s="217"/>
      <c r="U1" s="5" t="s">
        <v>3</v>
      </c>
    </row>
    <row r="2" spans="1:249" ht="19.5" customHeight="1">
      <c r="B2" s="2"/>
      <c r="D2" s="3"/>
      <c r="E2" s="2"/>
      <c r="G2" s="3"/>
      <c r="J2" s="3"/>
      <c r="K2" s="16"/>
      <c r="L2" s="19" t="s">
        <v>4</v>
      </c>
      <c r="M2" s="18" t="s">
        <v>5</v>
      </c>
      <c r="N2" s="218">
        <v>45387</v>
      </c>
      <c r="O2" s="219"/>
      <c r="P2" s="219"/>
      <c r="Q2" s="219"/>
      <c r="R2" s="219"/>
      <c r="S2" s="220"/>
      <c r="W2" s="5" t="s">
        <v>90</v>
      </c>
      <c r="X2" s="5" t="s">
        <v>91</v>
      </c>
    </row>
    <row r="3" spans="1:249" s="2" customFormat="1" ht="24" customHeight="1">
      <c r="B3" s="221" t="s">
        <v>8</v>
      </c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W3" s="2" t="s">
        <v>9</v>
      </c>
      <c r="X3" s="2">
        <v>1300</v>
      </c>
    </row>
    <row r="4" spans="1:249" s="34" customFormat="1" ht="15" customHeight="1" thickBot="1">
      <c r="B4" s="35" t="s">
        <v>10</v>
      </c>
      <c r="C4" s="228" t="str">
        <f>CONCATENATE('Train Movement Log (page.1)'!$C$4,"2")</f>
        <v>SHD Early (Planning &amp; Briefing)2</v>
      </c>
      <c r="D4" s="228"/>
      <c r="E4" s="147"/>
      <c r="G4" s="36"/>
      <c r="H4" s="36"/>
      <c r="I4" s="36"/>
      <c r="J4" s="36"/>
      <c r="K4" s="36"/>
      <c r="L4" s="37"/>
      <c r="N4" s="38" t="s">
        <v>11</v>
      </c>
      <c r="O4" s="225">
        <f ca="1">TODAY()</f>
        <v>45526</v>
      </c>
      <c r="P4" s="225"/>
      <c r="Q4" s="225"/>
      <c r="R4" s="225"/>
      <c r="S4" s="225"/>
      <c r="W4" s="34">
        <v>1200</v>
      </c>
      <c r="X4" s="34">
        <v>1800</v>
      </c>
    </row>
    <row r="5" spans="1:249" s="2" customFormat="1" ht="1.5" customHeight="1" thickBot="1"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  <c r="R5" s="111"/>
      <c r="S5" s="111"/>
    </row>
    <row r="6" spans="1:249" s="2" customFormat="1" ht="36.75" customHeight="1" thickTop="1">
      <c r="B6" s="206" t="s">
        <v>12</v>
      </c>
      <c r="C6" s="208" t="s">
        <v>13</v>
      </c>
      <c r="D6" s="208" t="s">
        <v>92</v>
      </c>
      <c r="E6" s="226" t="s">
        <v>15</v>
      </c>
      <c r="F6" s="227"/>
      <c r="G6" s="208" t="s">
        <v>16</v>
      </c>
      <c r="H6" s="211"/>
      <c r="I6" s="208" t="s">
        <v>17</v>
      </c>
      <c r="J6" s="208" t="s">
        <v>18</v>
      </c>
      <c r="K6" s="208" t="s">
        <v>19</v>
      </c>
      <c r="L6" s="212" t="s">
        <v>20</v>
      </c>
      <c r="M6" s="208" t="s">
        <v>21</v>
      </c>
      <c r="N6" s="211"/>
      <c r="O6" s="211"/>
      <c r="P6" s="213"/>
      <c r="Q6" s="213"/>
      <c r="R6" s="213"/>
      <c r="S6" s="214"/>
    </row>
    <row r="7" spans="1:249" s="2" customFormat="1" ht="111" customHeight="1" thickBot="1">
      <c r="B7" s="207"/>
      <c r="C7" s="209"/>
      <c r="D7" s="210"/>
      <c r="E7" s="15" t="s">
        <v>22</v>
      </c>
      <c r="F7" s="15" t="s">
        <v>23</v>
      </c>
      <c r="G7" s="15" t="s">
        <v>22</v>
      </c>
      <c r="H7" s="15" t="s">
        <v>23</v>
      </c>
      <c r="I7" s="209"/>
      <c r="J7" s="209"/>
      <c r="K7" s="209"/>
      <c r="L7" s="209"/>
      <c r="M7" s="55" t="s">
        <v>93</v>
      </c>
      <c r="N7" s="55" t="s">
        <v>94</v>
      </c>
      <c r="O7" s="55" t="s">
        <v>95</v>
      </c>
      <c r="P7" s="55" t="s">
        <v>27</v>
      </c>
      <c r="Q7" s="57" t="s">
        <v>96</v>
      </c>
      <c r="R7" s="58" t="s">
        <v>97</v>
      </c>
      <c r="S7" s="59" t="s">
        <v>98</v>
      </c>
      <c r="U7" s="85" t="s">
        <v>31</v>
      </c>
      <c r="V7" s="85" t="s">
        <v>32</v>
      </c>
      <c r="W7" s="85" t="s">
        <v>33</v>
      </c>
      <c r="X7" s="85" t="s">
        <v>34</v>
      </c>
      <c r="Y7" s="85" t="s">
        <v>35</v>
      </c>
      <c r="AR7" s="2">
        <v>1</v>
      </c>
      <c r="AS7" s="2">
        <f>AR7+1</f>
        <v>2</v>
      </c>
      <c r="AT7" s="2">
        <f t="shared" ref="AT7:BX7" si="0">AS7+1</f>
        <v>3</v>
      </c>
      <c r="AU7" s="2">
        <f t="shared" si="0"/>
        <v>4</v>
      </c>
      <c r="AV7" s="2">
        <f t="shared" si="0"/>
        <v>5</v>
      </c>
      <c r="AW7" s="2">
        <f t="shared" si="0"/>
        <v>6</v>
      </c>
      <c r="AX7" s="2">
        <f t="shared" si="0"/>
        <v>7</v>
      </c>
      <c r="AY7" s="2">
        <f t="shared" si="0"/>
        <v>8</v>
      </c>
      <c r="AZ7" s="2">
        <f t="shared" si="0"/>
        <v>9</v>
      </c>
      <c r="BA7" s="2">
        <f>AZ7+1</f>
        <v>10</v>
      </c>
      <c r="BB7" s="2">
        <f t="shared" si="0"/>
        <v>11</v>
      </c>
      <c r="BC7" s="2">
        <f t="shared" si="0"/>
        <v>12</v>
      </c>
      <c r="BD7" s="2">
        <f t="shared" si="0"/>
        <v>13</v>
      </c>
      <c r="BE7" s="2">
        <f t="shared" si="0"/>
        <v>14</v>
      </c>
      <c r="BF7" s="2">
        <f t="shared" si="0"/>
        <v>15</v>
      </c>
      <c r="BG7" s="2">
        <f t="shared" si="0"/>
        <v>16</v>
      </c>
      <c r="BH7" s="2">
        <f>BG7+1</f>
        <v>17</v>
      </c>
      <c r="BI7" s="2">
        <f t="shared" si="0"/>
        <v>18</v>
      </c>
      <c r="BJ7" s="2">
        <f t="shared" si="0"/>
        <v>19</v>
      </c>
      <c r="BK7" s="2">
        <f t="shared" si="0"/>
        <v>20</v>
      </c>
      <c r="BL7" s="2">
        <f t="shared" si="0"/>
        <v>21</v>
      </c>
      <c r="BM7" s="2">
        <f t="shared" si="0"/>
        <v>22</v>
      </c>
      <c r="BN7" s="2">
        <f t="shared" si="0"/>
        <v>23</v>
      </c>
      <c r="BO7" s="2">
        <f t="shared" si="0"/>
        <v>24</v>
      </c>
      <c r="BP7" s="2">
        <f>BO7+1</f>
        <v>25</v>
      </c>
      <c r="BQ7" s="2">
        <f t="shared" si="0"/>
        <v>26</v>
      </c>
      <c r="BR7" s="2">
        <f t="shared" si="0"/>
        <v>27</v>
      </c>
      <c r="BS7" s="2">
        <f t="shared" si="0"/>
        <v>28</v>
      </c>
      <c r="BT7" s="2">
        <f t="shared" si="0"/>
        <v>29</v>
      </c>
      <c r="BU7" s="2">
        <f>BT7+1</f>
        <v>30</v>
      </c>
      <c r="BV7" s="2">
        <f t="shared" si="0"/>
        <v>31</v>
      </c>
      <c r="BW7" s="2">
        <f t="shared" si="0"/>
        <v>32</v>
      </c>
      <c r="BX7" s="2">
        <f t="shared" si="0"/>
        <v>33</v>
      </c>
      <c r="BY7" s="2">
        <f t="shared" ref="BY7:CD7" si="1">BX7+1</f>
        <v>34</v>
      </c>
      <c r="BZ7" s="2">
        <f t="shared" si="1"/>
        <v>35</v>
      </c>
      <c r="CA7" s="2">
        <f t="shared" si="1"/>
        <v>36</v>
      </c>
      <c r="CB7" s="2">
        <f t="shared" si="1"/>
        <v>37</v>
      </c>
      <c r="CC7" s="2">
        <f t="shared" si="1"/>
        <v>38</v>
      </c>
      <c r="CD7" s="2">
        <f t="shared" si="1"/>
        <v>39</v>
      </c>
      <c r="CE7" s="2">
        <f t="shared" ref="CE7:CJ7" si="2">CD7+1</f>
        <v>40</v>
      </c>
      <c r="CF7" s="2">
        <f t="shared" si="2"/>
        <v>41</v>
      </c>
      <c r="CG7" s="2">
        <f t="shared" si="2"/>
        <v>42</v>
      </c>
      <c r="CH7" s="2">
        <f t="shared" si="2"/>
        <v>43</v>
      </c>
      <c r="CI7" s="2">
        <f t="shared" si="2"/>
        <v>44</v>
      </c>
      <c r="CJ7" s="2">
        <f t="shared" si="2"/>
        <v>45</v>
      </c>
      <c r="CK7" s="2">
        <v>1</v>
      </c>
      <c r="CL7" s="2">
        <f>CK7+1</f>
        <v>2</v>
      </c>
      <c r="CM7" s="2">
        <f t="shared" ref="CM7:DQ7" si="3">CL7+1</f>
        <v>3</v>
      </c>
      <c r="CN7" s="2">
        <f t="shared" si="3"/>
        <v>4</v>
      </c>
      <c r="CO7" s="2">
        <f t="shared" si="3"/>
        <v>5</v>
      </c>
      <c r="CP7" s="2">
        <f t="shared" si="3"/>
        <v>6</v>
      </c>
      <c r="CQ7" s="2">
        <f t="shared" si="3"/>
        <v>7</v>
      </c>
      <c r="CR7" s="2">
        <f t="shared" si="3"/>
        <v>8</v>
      </c>
      <c r="CS7" s="2">
        <f t="shared" si="3"/>
        <v>9</v>
      </c>
      <c r="CT7" s="2">
        <f>CS7+1</f>
        <v>10</v>
      </c>
      <c r="CU7" s="2">
        <f t="shared" si="3"/>
        <v>11</v>
      </c>
      <c r="CV7" s="2">
        <f t="shared" si="3"/>
        <v>12</v>
      </c>
      <c r="CW7" s="2">
        <f t="shared" si="3"/>
        <v>13</v>
      </c>
      <c r="CX7" s="2">
        <f t="shared" si="3"/>
        <v>14</v>
      </c>
      <c r="CY7" s="2">
        <f t="shared" si="3"/>
        <v>15</v>
      </c>
      <c r="CZ7" s="2">
        <f t="shared" si="3"/>
        <v>16</v>
      </c>
      <c r="DA7" s="2">
        <f>CZ7+1</f>
        <v>17</v>
      </c>
      <c r="DB7" s="2">
        <f t="shared" si="3"/>
        <v>18</v>
      </c>
      <c r="DC7" s="2">
        <f t="shared" si="3"/>
        <v>19</v>
      </c>
      <c r="DD7" s="2">
        <f t="shared" si="3"/>
        <v>20</v>
      </c>
      <c r="DE7" s="2">
        <f t="shared" si="3"/>
        <v>21</v>
      </c>
      <c r="DF7" s="2">
        <f t="shared" si="3"/>
        <v>22</v>
      </c>
      <c r="DG7" s="2">
        <f t="shared" si="3"/>
        <v>23</v>
      </c>
      <c r="DH7" s="2">
        <f t="shared" si="3"/>
        <v>24</v>
      </c>
      <c r="DI7" s="2">
        <f>DH7+1</f>
        <v>25</v>
      </c>
      <c r="DJ7" s="2">
        <f t="shared" si="3"/>
        <v>26</v>
      </c>
      <c r="DK7" s="2">
        <f t="shared" si="3"/>
        <v>27</v>
      </c>
      <c r="DL7" s="2">
        <f t="shared" si="3"/>
        <v>28</v>
      </c>
      <c r="DM7" s="2">
        <f t="shared" si="3"/>
        <v>29</v>
      </c>
      <c r="DN7" s="2">
        <f>DM7+1</f>
        <v>30</v>
      </c>
      <c r="DO7" s="2">
        <f t="shared" si="3"/>
        <v>31</v>
      </c>
      <c r="DP7" s="2">
        <f t="shared" si="3"/>
        <v>32</v>
      </c>
      <c r="DQ7" s="2">
        <f t="shared" si="3"/>
        <v>33</v>
      </c>
      <c r="DR7" s="2">
        <f t="shared" ref="DR7:DW7" si="4">DQ7+1</f>
        <v>34</v>
      </c>
      <c r="DS7" s="2">
        <f t="shared" si="4"/>
        <v>35</v>
      </c>
      <c r="DT7" s="2">
        <f t="shared" si="4"/>
        <v>36</v>
      </c>
      <c r="DU7" s="2">
        <f t="shared" si="4"/>
        <v>37</v>
      </c>
      <c r="DV7" s="2">
        <f t="shared" si="4"/>
        <v>38</v>
      </c>
      <c r="DW7" s="2">
        <f t="shared" si="4"/>
        <v>39</v>
      </c>
      <c r="DX7" s="2">
        <f t="shared" ref="DX7:EC7" si="5">DW7+1</f>
        <v>40</v>
      </c>
      <c r="DY7" s="2">
        <f t="shared" si="5"/>
        <v>41</v>
      </c>
      <c r="DZ7" s="2">
        <f t="shared" si="5"/>
        <v>42</v>
      </c>
      <c r="EA7" s="2">
        <f t="shared" si="5"/>
        <v>43</v>
      </c>
      <c r="EB7" s="2">
        <f t="shared" si="5"/>
        <v>44</v>
      </c>
      <c r="EC7" s="2">
        <f t="shared" si="5"/>
        <v>45</v>
      </c>
      <c r="ED7" s="2">
        <v>1</v>
      </c>
      <c r="EE7" s="2">
        <f>ED7+1</f>
        <v>2</v>
      </c>
      <c r="EF7" s="2">
        <f t="shared" ref="EF7:FJ7" si="6">EE7+1</f>
        <v>3</v>
      </c>
      <c r="EG7" s="2">
        <f t="shared" si="6"/>
        <v>4</v>
      </c>
      <c r="EH7" s="2">
        <f t="shared" si="6"/>
        <v>5</v>
      </c>
      <c r="EI7" s="2">
        <f t="shared" si="6"/>
        <v>6</v>
      </c>
      <c r="EJ7" s="2">
        <f t="shared" si="6"/>
        <v>7</v>
      </c>
      <c r="EK7" s="2">
        <f t="shared" si="6"/>
        <v>8</v>
      </c>
      <c r="EL7" s="2">
        <f t="shared" si="6"/>
        <v>9</v>
      </c>
      <c r="EM7" s="2">
        <f>EL7+1</f>
        <v>10</v>
      </c>
      <c r="EN7" s="2">
        <f t="shared" si="6"/>
        <v>11</v>
      </c>
      <c r="EO7" s="2">
        <f t="shared" si="6"/>
        <v>12</v>
      </c>
      <c r="EP7" s="2">
        <f t="shared" si="6"/>
        <v>13</v>
      </c>
      <c r="EQ7" s="2">
        <f t="shared" si="6"/>
        <v>14</v>
      </c>
      <c r="ER7" s="2">
        <f t="shared" si="6"/>
        <v>15</v>
      </c>
      <c r="ES7" s="2">
        <f t="shared" si="6"/>
        <v>16</v>
      </c>
      <c r="ET7" s="2">
        <f>ES7+1</f>
        <v>17</v>
      </c>
      <c r="EU7" s="2">
        <f t="shared" si="6"/>
        <v>18</v>
      </c>
      <c r="EV7" s="2">
        <f t="shared" si="6"/>
        <v>19</v>
      </c>
      <c r="EW7" s="2">
        <f t="shared" si="6"/>
        <v>20</v>
      </c>
      <c r="EX7" s="2">
        <f t="shared" si="6"/>
        <v>21</v>
      </c>
      <c r="EY7" s="2">
        <f t="shared" si="6"/>
        <v>22</v>
      </c>
      <c r="EZ7" s="2">
        <f t="shared" si="6"/>
        <v>23</v>
      </c>
      <c r="FA7" s="2">
        <f t="shared" si="6"/>
        <v>24</v>
      </c>
      <c r="FB7" s="2">
        <f>FA7+1</f>
        <v>25</v>
      </c>
      <c r="FC7" s="2">
        <f t="shared" si="6"/>
        <v>26</v>
      </c>
      <c r="FD7" s="2">
        <f t="shared" si="6"/>
        <v>27</v>
      </c>
      <c r="FE7" s="2">
        <f t="shared" si="6"/>
        <v>28</v>
      </c>
      <c r="FF7" s="2">
        <f t="shared" si="6"/>
        <v>29</v>
      </c>
      <c r="FG7" s="2">
        <f>FF7+1</f>
        <v>30</v>
      </c>
      <c r="FH7" s="2">
        <f t="shared" si="6"/>
        <v>31</v>
      </c>
      <c r="FI7" s="2">
        <f t="shared" si="6"/>
        <v>32</v>
      </c>
      <c r="FJ7" s="2">
        <f t="shared" si="6"/>
        <v>33</v>
      </c>
      <c r="FK7" s="2">
        <f t="shared" ref="FK7:FP7" si="7">FJ7+1</f>
        <v>34</v>
      </c>
      <c r="FL7" s="2">
        <f t="shared" si="7"/>
        <v>35</v>
      </c>
      <c r="FM7" s="2">
        <f t="shared" si="7"/>
        <v>36</v>
      </c>
      <c r="FN7" s="2">
        <f t="shared" si="7"/>
        <v>37</v>
      </c>
      <c r="FO7" s="2">
        <f t="shared" si="7"/>
        <v>38</v>
      </c>
      <c r="FP7" s="2">
        <f t="shared" si="7"/>
        <v>39</v>
      </c>
      <c r="FQ7" s="2">
        <f t="shared" ref="FQ7:FV7" si="8">FP7+1</f>
        <v>40</v>
      </c>
      <c r="FR7" s="2">
        <f t="shared" si="8"/>
        <v>41</v>
      </c>
      <c r="FS7" s="2">
        <f t="shared" si="8"/>
        <v>42</v>
      </c>
      <c r="FT7" s="2">
        <f t="shared" si="8"/>
        <v>43</v>
      </c>
      <c r="FU7" s="2">
        <f t="shared" si="8"/>
        <v>44</v>
      </c>
      <c r="FV7" s="2">
        <f t="shared" si="8"/>
        <v>45</v>
      </c>
      <c r="FW7" s="2">
        <v>1</v>
      </c>
      <c r="FX7" s="2">
        <f>FW7+1</f>
        <v>2</v>
      </c>
      <c r="FY7" s="2">
        <f t="shared" ref="FY7:HC7" si="9">FX7+1</f>
        <v>3</v>
      </c>
      <c r="FZ7" s="2">
        <f t="shared" si="9"/>
        <v>4</v>
      </c>
      <c r="GA7" s="2">
        <f t="shared" si="9"/>
        <v>5</v>
      </c>
      <c r="GB7" s="2">
        <f t="shared" si="9"/>
        <v>6</v>
      </c>
      <c r="GC7" s="2">
        <f t="shared" si="9"/>
        <v>7</v>
      </c>
      <c r="GD7" s="2">
        <f t="shared" si="9"/>
        <v>8</v>
      </c>
      <c r="GE7" s="2">
        <f t="shared" si="9"/>
        <v>9</v>
      </c>
      <c r="GF7" s="2">
        <f>GE7+1</f>
        <v>10</v>
      </c>
      <c r="GG7" s="2">
        <f t="shared" si="9"/>
        <v>11</v>
      </c>
      <c r="GH7" s="2">
        <f t="shared" si="9"/>
        <v>12</v>
      </c>
      <c r="GI7" s="2">
        <f t="shared" si="9"/>
        <v>13</v>
      </c>
      <c r="GJ7" s="2">
        <f t="shared" si="9"/>
        <v>14</v>
      </c>
      <c r="GK7" s="2">
        <f t="shared" si="9"/>
        <v>15</v>
      </c>
      <c r="GL7" s="2">
        <f t="shared" si="9"/>
        <v>16</v>
      </c>
      <c r="GM7" s="2">
        <f>GL7+1</f>
        <v>17</v>
      </c>
      <c r="GN7" s="2">
        <f t="shared" si="9"/>
        <v>18</v>
      </c>
      <c r="GO7" s="2">
        <f t="shared" si="9"/>
        <v>19</v>
      </c>
      <c r="GP7" s="2">
        <f t="shared" si="9"/>
        <v>20</v>
      </c>
      <c r="GQ7" s="2">
        <f t="shared" si="9"/>
        <v>21</v>
      </c>
      <c r="GR7" s="2">
        <f t="shared" si="9"/>
        <v>22</v>
      </c>
      <c r="GS7" s="2">
        <f t="shared" si="9"/>
        <v>23</v>
      </c>
      <c r="GT7" s="2">
        <f t="shared" si="9"/>
        <v>24</v>
      </c>
      <c r="GU7" s="2">
        <f>GT7+1</f>
        <v>25</v>
      </c>
      <c r="GV7" s="2">
        <f t="shared" si="9"/>
        <v>26</v>
      </c>
      <c r="GW7" s="2">
        <f t="shared" si="9"/>
        <v>27</v>
      </c>
      <c r="GX7" s="2">
        <f t="shared" si="9"/>
        <v>28</v>
      </c>
      <c r="GY7" s="2">
        <f t="shared" si="9"/>
        <v>29</v>
      </c>
      <c r="GZ7" s="2">
        <f>GY7+1</f>
        <v>30</v>
      </c>
      <c r="HA7" s="2">
        <f t="shared" si="9"/>
        <v>31</v>
      </c>
      <c r="HB7" s="2">
        <f t="shared" si="9"/>
        <v>32</v>
      </c>
      <c r="HC7" s="2">
        <f t="shared" si="9"/>
        <v>33</v>
      </c>
      <c r="HD7" s="2">
        <f t="shared" ref="HD7:HI7" si="10">HC7+1</f>
        <v>34</v>
      </c>
      <c r="HE7" s="2">
        <f t="shared" si="10"/>
        <v>35</v>
      </c>
      <c r="HF7" s="2">
        <f t="shared" si="10"/>
        <v>36</v>
      </c>
      <c r="HG7" s="2">
        <f t="shared" si="10"/>
        <v>37</v>
      </c>
      <c r="HH7" s="2">
        <f t="shared" si="10"/>
        <v>38</v>
      </c>
      <c r="HI7" s="2">
        <f t="shared" si="10"/>
        <v>39</v>
      </c>
      <c r="HJ7" s="2">
        <f t="shared" ref="HJ7:HO7" si="11">HI7+1</f>
        <v>40</v>
      </c>
      <c r="HK7" s="2">
        <f t="shared" si="11"/>
        <v>41</v>
      </c>
      <c r="HL7" s="2">
        <f t="shared" si="11"/>
        <v>42</v>
      </c>
      <c r="HM7" s="2">
        <f t="shared" si="11"/>
        <v>43</v>
      </c>
      <c r="HN7" s="2">
        <f t="shared" si="11"/>
        <v>44</v>
      </c>
      <c r="HO7" s="2">
        <f t="shared" si="11"/>
        <v>45</v>
      </c>
      <c r="HV7" s="2" t="s">
        <v>36</v>
      </c>
      <c r="HW7" s="2" t="s">
        <v>37</v>
      </c>
      <c r="HX7" s="2" t="s">
        <v>38</v>
      </c>
      <c r="HY7" s="2" t="s">
        <v>39</v>
      </c>
      <c r="HZ7" s="3" t="s">
        <v>40</v>
      </c>
      <c r="IA7" s="3" t="s">
        <v>41</v>
      </c>
      <c r="IB7" s="2" t="s">
        <v>42</v>
      </c>
      <c r="IC7" s="184" t="str">
        <f>'Train Movement Log (page.1)'!IC20</f>
        <v/>
      </c>
      <c r="IH7" s="3" t="s">
        <v>43</v>
      </c>
      <c r="II7" s="3" t="s">
        <v>44</v>
      </c>
      <c r="IJ7" s="3" t="s">
        <v>45</v>
      </c>
      <c r="IK7" s="3" t="s">
        <v>46</v>
      </c>
      <c r="IL7" s="3" t="s">
        <v>47</v>
      </c>
      <c r="IM7" s="3" t="s">
        <v>48</v>
      </c>
      <c r="IN7" s="3" t="s">
        <v>49</v>
      </c>
      <c r="IO7" s="3" t="s">
        <v>50</v>
      </c>
    </row>
    <row r="8" spans="1:249" s="20" customFormat="1" ht="33.75" customHeight="1" thickTop="1">
      <c r="A8" s="33"/>
      <c r="B8" s="39">
        <v>14</v>
      </c>
      <c r="C8" s="158"/>
      <c r="D8" s="174"/>
      <c r="E8" s="88" t="e">
        <f>VLOOKUP(F8,'Radio Call Sign'!A:B,2)</f>
        <v>#N/A</v>
      </c>
      <c r="F8" s="88"/>
      <c r="G8" s="88" t="e">
        <f>VLOOKUP(H8,'Radio Call Sign'!A:B,2)</f>
        <v>#N/A</v>
      </c>
      <c r="H8" s="89"/>
      <c r="I8" s="89" t="str">
        <f t="shared" ref="I8:I19" si="12">IF(U8="","",IF(Y8="",IF(X8="",IF(W8="",CONCATENATE(U8,"-",V8),CONCATENATE(U8,"-",W8)),CONCATENATE(U8,"-",X8)),CONCATENATE(U8,"-",Y8)))</f>
        <v/>
      </c>
      <c r="J8" s="90" t="str">
        <f>AQ8</f>
        <v/>
      </c>
      <c r="K8" s="86" t="str">
        <f>AP8</f>
        <v/>
      </c>
      <c r="L8" s="158"/>
      <c r="M8" s="189" t="str">
        <f>IF(J8="","",IF(J8=0,"*",""))</f>
        <v/>
      </c>
      <c r="N8" s="42"/>
      <c r="O8" s="43"/>
      <c r="P8" s="52"/>
      <c r="Q8" s="161" t="str">
        <f>IF(AA8="","",IF(COUNTIFS('overhead line area'!$D$3:$D$100,AA8)+COUNTIFS('overhead line area'!$D$3:$D$100,AB8)+COUNTIFS('overhead line area'!$D$3:$D$100,AC8)+COUNTIFS('overhead line area'!$D$3:$D$100,AD8)=0,"","*               "))</f>
        <v/>
      </c>
      <c r="R8" s="52"/>
      <c r="S8" s="44"/>
      <c r="U8" s="74"/>
      <c r="V8" s="74"/>
      <c r="W8" s="74"/>
      <c r="X8" s="74"/>
      <c r="Y8" s="74"/>
      <c r="AA8" s="74" t="str">
        <f t="shared" ref="AA8:AA19" si="13">IF(U8="","",CONCATENATE(U8,"-",V8))</f>
        <v/>
      </c>
      <c r="AB8" s="74" t="str">
        <f t="shared" ref="AB8:AD9" si="14">IF(W8="","",CONCATENATE(V8,"-",W8))</f>
        <v/>
      </c>
      <c r="AC8" s="74" t="str">
        <f t="shared" si="14"/>
        <v/>
      </c>
      <c r="AD8" s="74" t="str">
        <f t="shared" si="14"/>
        <v/>
      </c>
      <c r="AF8" s="74" t="str">
        <f>IF(AA8="","",IF(COUNTIF(Route!$AM:$AM,'Train Movement Log (page.2)'!AA8)=0,"未有資料",VLOOKUP('Train Movement Log (page.2)'!AA8,Route!$AM:$AP,3,0)))</f>
        <v/>
      </c>
      <c r="AG8" s="74" t="str">
        <f>IF(AB8="","",IF(COUNTIF(Route!$AM:$AM,'Train Movement Log (page.2)'!AB8)=0,"未有資料",VLOOKUP('Train Movement Log (page.2)'!AB8,Route!$AM:$AP,3,0)))</f>
        <v/>
      </c>
      <c r="AH8" s="74" t="str">
        <f>IF(AC8="","",IF(COUNTIF(Route!$AM:$AM,'Train Movement Log (page.2)'!AC8)=0,"未有資料",VLOOKUP('Train Movement Log (page.2)'!AC8,Route!$AM:$AP,3,0)))</f>
        <v/>
      </c>
      <c r="AI8" s="74" t="str">
        <f>IF(AD8="","",IF(COUNTIF(Route!$AM:$AM,'Train Movement Log (page.2)'!AD8)=0,"未有資料",VLOOKUP('Train Movement Log (page.2)'!AD8,Route!$AM:$AP,3,0)))</f>
        <v/>
      </c>
      <c r="AK8" s="74" t="str">
        <f>IF(AA8="","",IF(COUNTIF(Route!$AM:$AM,'Train Movement Log (page.2)'!AA8)=0,"未有資料",VLOOKUP('Train Movement Log (page.2)'!AA8,Route!$AM:$AP,4,0)))</f>
        <v/>
      </c>
      <c r="AL8" s="74" t="str">
        <f>IF(AB8="","",IF(COUNTIF(Route!$AM:$AM,'Train Movement Log (page.2)'!AB8)=0,"未有資料",VLOOKUP('Train Movement Log (page.2)'!AB8,Route!$AM:$AP,4,0)))</f>
        <v/>
      </c>
      <c r="AM8" s="74" t="str">
        <f>IF(AC8="","",IF(COUNTIF(Route!$AM:$AM,'Train Movement Log (page.2)'!AC8)=0,"未有資料",VLOOKUP('Train Movement Log (page.2)'!AC8,Route!$AM:$AP,4,0)))</f>
        <v/>
      </c>
      <c r="AN8" s="74" t="str">
        <f>IF(AD8="","",IF(COUNTIF(Route!$AM:$AM,'Train Movement Log (page.2)'!AD8)=0,"未有資料",VLOOKUP('Train Movement Log (page.2)'!AD8,Route!$AM:$AP,4,0)))</f>
        <v/>
      </c>
      <c r="AP8" s="74" t="str">
        <f t="shared" ref="AP8:AP20" si="15">IF(AI8="",IF(AH8="",IF(AG8="",AF8,CONCATENATE(AF8,", ",AG8)),CONCATENATE(AF8,", ",AG8,", ",AH8)),CONCATENATE(AF8,", ",AG8,", ",AH8,", ",AI8))</f>
        <v/>
      </c>
      <c r="AQ8" s="76" t="str">
        <f t="shared" ref="AQ8:AQ20" si="16">IF(AN8="",IF(AM8="",IF(AL8="",AK8,CONCATENATE(AK8,", ",AL8)),CONCATENATE(AK8,", ",AL8,", ",AM8)),CONCATENATE(AK8,", ",AL8,", ",AM8,", ",AN8))</f>
        <v/>
      </c>
      <c r="AR8" s="77" t="str">
        <f>IF($U8="","",IF(COUNTIF(choice!$D:$D,CONCATENATE($U8,"@",AR$7))=0,"",VLOOKUP(CONCATENATE($U8,"@",AR$7),choice!$D:$E,2,0)))</f>
        <v/>
      </c>
      <c r="AS8" s="78" t="str">
        <f>IF($U8="","",IF(COUNTIF(choice!$D:$D,CONCATENATE($U8,"@",AS$7))=0,"",VLOOKUP(CONCATENATE($U8,"@",AS$7),choice!$D:$E,2,0)))</f>
        <v/>
      </c>
      <c r="AT8" s="78" t="str">
        <f>IF($U8="","",IF(COUNTIF(choice!$D:$D,CONCATENATE($U8,"@",AT$7))=0,"",VLOOKUP(CONCATENATE($U8,"@",AT$7),choice!$D:$E,2,0)))</f>
        <v/>
      </c>
      <c r="AU8" s="78" t="str">
        <f>IF($U8="","",IF(COUNTIF(choice!$D:$D,CONCATENATE($U8,"@",AU$7))=0,"",VLOOKUP(CONCATENATE($U8,"@",AU$7),choice!$D:$E,2,0)))</f>
        <v/>
      </c>
      <c r="AV8" s="78" t="str">
        <f>IF($U8="","",IF(COUNTIF(choice!$D:$D,CONCATENATE($U8,"@",AV$7))=0,"",VLOOKUP(CONCATENATE($U8,"@",AV$7),choice!$D:$E,2,0)))</f>
        <v/>
      </c>
      <c r="AW8" s="78" t="str">
        <f>IF($U8="","",IF(COUNTIF(choice!$D:$D,CONCATENATE($U8,"@",AW$7))=0,"",VLOOKUP(CONCATENATE($U8,"@",AW$7),choice!$D:$E,2,0)))</f>
        <v/>
      </c>
      <c r="AX8" s="78" t="str">
        <f>IF($U8="","",IF(COUNTIF(choice!$D:$D,CONCATENATE($U8,"@",AX$7))=0,"",VLOOKUP(CONCATENATE($U8,"@",AX$7),choice!$D:$E,2,0)))</f>
        <v/>
      </c>
      <c r="AY8" s="78" t="str">
        <f>IF($U8="","",IF(COUNTIF(choice!$D:$D,CONCATENATE($U8,"@",AY$7))=0,"",VLOOKUP(CONCATENATE($U8,"@",AY$7),choice!$D:$E,2,0)))</f>
        <v/>
      </c>
      <c r="AZ8" s="78" t="str">
        <f>IF($U8="","",IF(COUNTIF(choice!$D:$D,CONCATENATE($U8,"@",AZ$7))=0,"",VLOOKUP(CONCATENATE($U8,"@",AZ$7),choice!$D:$E,2,0)))</f>
        <v/>
      </c>
      <c r="BA8" s="78" t="str">
        <f>IF($U8="","",IF(COUNTIF(choice!$D:$D,CONCATENATE($U8,"@",BA$7))=0,"",VLOOKUP(CONCATENATE($U8,"@",BA$7),choice!$D:$E,2,0)))</f>
        <v/>
      </c>
      <c r="BB8" s="78" t="str">
        <f>IF($U8="","",IF(COUNTIF(choice!$D:$D,CONCATENATE($U8,"@",BB$7))=0,"",VLOOKUP(CONCATENATE($U8,"@",BB$7),choice!$D:$E,2,0)))</f>
        <v/>
      </c>
      <c r="BC8" s="78" t="str">
        <f>IF($U8="","",IF(COUNTIF(choice!$D:$D,CONCATENATE($U8,"@",BC$7))=0,"",VLOOKUP(CONCATENATE($U8,"@",BC$7),choice!$D:$E,2,0)))</f>
        <v/>
      </c>
      <c r="BD8" s="78" t="str">
        <f>IF($U8="","",IF(COUNTIF(choice!$D:$D,CONCATENATE($U8,"@",BD$7))=0,"",VLOOKUP(CONCATENATE($U8,"@",BD$7),choice!$D:$E,2,0)))</f>
        <v/>
      </c>
      <c r="BE8" s="78" t="str">
        <f>IF($U8="","",IF(COUNTIF(choice!$D:$D,CONCATENATE($U8,"@",BE$7))=0,"",VLOOKUP(CONCATENATE($U8,"@",BE$7),choice!$D:$E,2,0)))</f>
        <v/>
      </c>
      <c r="BF8" s="78" t="str">
        <f>IF($U8="","",IF(COUNTIF(choice!$D:$D,CONCATENATE($U8,"@",BF$7))=0,"",VLOOKUP(CONCATENATE($U8,"@",BF$7),choice!$D:$E,2,0)))</f>
        <v/>
      </c>
      <c r="BG8" s="78" t="str">
        <f>IF($U8="","",IF(COUNTIF(choice!$D:$D,CONCATENATE($U8,"@",BG$7))=0,"",VLOOKUP(CONCATENATE($U8,"@",BG$7),choice!$D:$E,2,0)))</f>
        <v/>
      </c>
      <c r="BH8" s="78" t="str">
        <f>IF($U8="","",IF(COUNTIF(choice!$D:$D,CONCATENATE($U8,"@",BH$7))=0,"",VLOOKUP(CONCATENATE($U8,"@",BH$7),choice!$D:$E,2,0)))</f>
        <v/>
      </c>
      <c r="BI8" s="78" t="str">
        <f>IF($U8="","",IF(COUNTIF(choice!$D:$D,CONCATENATE($U8,"@",BI$7))=0,"",VLOOKUP(CONCATENATE($U8,"@",BI$7),choice!$D:$E,2,0)))</f>
        <v/>
      </c>
      <c r="BJ8" s="78" t="str">
        <f>IF($U8="","",IF(COUNTIF(choice!$D:$D,CONCATENATE($U8,"@",BJ$7))=0,"",VLOOKUP(CONCATENATE($U8,"@",BJ$7),choice!$D:$E,2,0)))</f>
        <v/>
      </c>
      <c r="BK8" s="78" t="str">
        <f>IF($U8="","",IF(COUNTIF(choice!$D:$D,CONCATENATE($U8,"@",BK$7))=0,"",VLOOKUP(CONCATENATE($U8,"@",BK$7),choice!$D:$E,2,0)))</f>
        <v/>
      </c>
      <c r="BL8" s="78" t="str">
        <f>IF($U8="","",IF(COUNTIF(choice!$D:$D,CONCATENATE($U8,"@",BL$7))=0,"",VLOOKUP(CONCATENATE($U8,"@",BL$7),choice!$D:$E,2,0)))</f>
        <v/>
      </c>
      <c r="BM8" s="78" t="str">
        <f>IF($U8="","",IF(COUNTIF(choice!$D:$D,CONCATENATE($U8,"@",BM$7))=0,"",VLOOKUP(CONCATENATE($U8,"@",BM$7),choice!$D:$E,2,0)))</f>
        <v/>
      </c>
      <c r="BN8" s="78" t="str">
        <f>IF($U8="","",IF(COUNTIF(choice!$D:$D,CONCATENATE($U8,"@",BN$7))=0,"",VLOOKUP(CONCATENATE($U8,"@",BN$7),choice!$D:$E,2,0)))</f>
        <v/>
      </c>
      <c r="BO8" s="78" t="str">
        <f>IF($U8="","",IF(COUNTIF(choice!$D:$D,CONCATENATE($U8,"@",BO$7))=0,"",VLOOKUP(CONCATENATE($U8,"@",BO$7),choice!$D:$E,2,0)))</f>
        <v/>
      </c>
      <c r="BP8" s="78" t="str">
        <f>IF($U8="","",IF(COUNTIF(choice!$D:$D,CONCATENATE($U8,"@",BP$7))=0,"",VLOOKUP(CONCATENATE($U8,"@",BP$7),choice!$D:$E,2,0)))</f>
        <v/>
      </c>
      <c r="BQ8" s="78" t="str">
        <f>IF($U8="","",IF(COUNTIF(choice!$D:$D,CONCATENATE($U8,"@",BQ$7))=0,"",VLOOKUP(CONCATENATE($U8,"@",BQ$7),choice!$D:$E,2,0)))</f>
        <v/>
      </c>
      <c r="BR8" s="78" t="str">
        <f>IF($U8="","",IF(COUNTIF(choice!$D:$D,CONCATENATE($U8,"@",BR$7))=0,"",VLOOKUP(CONCATENATE($U8,"@",BR$7),choice!$D:$E,2,0)))</f>
        <v/>
      </c>
      <c r="BS8" s="78" t="str">
        <f>IF($U8="","",IF(COUNTIF(choice!$D:$D,CONCATENATE($U8,"@",BS$7))=0,"",VLOOKUP(CONCATENATE($U8,"@",BS$7),choice!$D:$E,2,0)))</f>
        <v/>
      </c>
      <c r="BT8" s="78" t="str">
        <f>IF($U8="","",IF(COUNTIF(choice!$D:$D,CONCATENATE($U8,"@",BT$7))=0,"",VLOOKUP(CONCATENATE($U8,"@",BT$7),choice!$D:$E,2,0)))</f>
        <v/>
      </c>
      <c r="BU8" s="78" t="str">
        <f>IF($U8="","",IF(COUNTIF(choice!$D:$D,CONCATENATE($U8,"@",BU$7))=0,"",VLOOKUP(CONCATENATE($U8,"@",BU$7),choice!$D:$E,2,0)))</f>
        <v/>
      </c>
      <c r="BV8" s="78" t="str">
        <f>IF($U8="","",IF(COUNTIF(choice!$D:$D,CONCATENATE($U8,"@",BV$7))=0,"",VLOOKUP(CONCATENATE($U8,"@",BV$7),choice!$D:$E,2,0)))</f>
        <v/>
      </c>
      <c r="BW8" s="78" t="str">
        <f>IF($U8="","",IF(COUNTIF(choice!$D:$D,CONCATENATE($U8,"@",BW$7))=0,"",VLOOKUP(CONCATENATE($U8,"@",BW$7),choice!$D:$E,2,0)))</f>
        <v/>
      </c>
      <c r="BX8" s="78" t="str">
        <f>IF($U8="","",IF(COUNTIF(choice!$D:$D,CONCATENATE($U8,"@",BX$7))=0,"",VLOOKUP(CONCATENATE($U8,"@",BX$7),choice!$D:$E,2,0)))</f>
        <v/>
      </c>
      <c r="BY8" s="78" t="str">
        <f>IF($U8="","",IF(COUNTIF(choice!$D:$D,CONCATENATE($U8,"@",BY$7))=0,"",VLOOKUP(CONCATENATE($U8,"@",BY$7),choice!$D:$E,2,0)))</f>
        <v/>
      </c>
      <c r="BZ8" s="78" t="str">
        <f>IF($U8="","",IF(COUNTIF(choice!$D:$D,CONCATENATE($U8,"@",BZ$7))=0,"",VLOOKUP(CONCATENATE($U8,"@",BZ$7),choice!$D:$E,2,0)))</f>
        <v/>
      </c>
      <c r="CA8" s="78" t="str">
        <f>IF($U8="","",IF(COUNTIF(choice!$D:$D,CONCATENATE($U8,"@",CA$7))=0,"",VLOOKUP(CONCATENATE($U8,"@",CA$7),choice!$D:$E,2,0)))</f>
        <v/>
      </c>
      <c r="CB8" s="78" t="str">
        <f>IF($U8="","",IF(COUNTIF(choice!$D:$D,CONCATENATE($U8,"@",CB$7))=0,"",VLOOKUP(CONCATENATE($U8,"@",CB$7),choice!$D:$E,2,0)))</f>
        <v/>
      </c>
      <c r="CC8" s="78" t="str">
        <f>IF($U8="","",IF(COUNTIF(choice!$D:$D,CONCATENATE($U8,"@",CC$7))=0,"",VLOOKUP(CONCATENATE($U8,"@",CC$7),choice!$D:$E,2,0)))</f>
        <v/>
      </c>
      <c r="CD8" s="78" t="str">
        <f>IF($U8="","",IF(COUNTIF(choice!$D:$D,CONCATENATE($U8,"@",CD$7))=0,"",VLOOKUP(CONCATENATE($U8,"@",CD$7),choice!$D:$E,2,0)))</f>
        <v/>
      </c>
      <c r="CE8" s="78" t="str">
        <f>IF($U8="","",IF(COUNTIF(choice!$D:$D,CONCATENATE($U8,"@",CE$7))=0,"",VLOOKUP(CONCATENATE($U8,"@",CE$7),choice!$D:$E,2,0)))</f>
        <v/>
      </c>
      <c r="CF8" s="78" t="str">
        <f>IF($U8="","",IF(COUNTIF(choice!$D:$D,CONCATENATE($U8,"@",CF$7))=0,"",VLOOKUP(CONCATENATE($U8,"@",CF$7),choice!$D:$E,2,0)))</f>
        <v/>
      </c>
      <c r="CG8" s="78" t="str">
        <f>IF($U8="","",IF(COUNTIF(choice!$D:$D,CONCATENATE($U8,"@",CG$7))=0,"",VLOOKUP(CONCATENATE($U8,"@",CG$7),choice!$D:$E,2,0)))</f>
        <v/>
      </c>
      <c r="CH8" s="78" t="str">
        <f>IF($U8="","",IF(COUNTIF(choice!$D:$D,CONCATENATE($U8,"@",CH$7))=0,"",VLOOKUP(CONCATENATE($U8,"@",CH$7),choice!$D:$E,2,0)))</f>
        <v/>
      </c>
      <c r="CI8" s="78" t="str">
        <f>IF($U8="","",IF(COUNTIF(choice!$D:$D,CONCATENATE($U8,"@",CI$7))=0,"",VLOOKUP(CONCATENATE($U8,"@",CI$7),choice!$D:$E,2,0)))</f>
        <v/>
      </c>
      <c r="CJ8" s="79" t="str">
        <f>IF($U8="","",IF(COUNTIF(choice!$D:$D,CONCATENATE($U8,"@",CJ$7))=0,"",VLOOKUP(CONCATENATE($U8,"@",CJ$7),choice!$D:$E,2,0)))</f>
        <v/>
      </c>
      <c r="CK8" s="77" t="str">
        <f>IF($V8="","",IF(COUNTIF(choice!$D:$D,CONCATENATE($V8,"@",CK$7))=0,"",VLOOKUP(CONCATENATE($V8,"@",CK$7),choice!$D:$E,2,0)))</f>
        <v/>
      </c>
      <c r="CL8" s="78" t="str">
        <f>IF($V8="","",IF(COUNTIF(choice!$D:$D,CONCATENATE($V8,"@",CL$7))=0,"",VLOOKUP(CONCATENATE($V8,"@",CL$7),choice!$D:$E,2,0)))</f>
        <v/>
      </c>
      <c r="CM8" s="78" t="str">
        <f>IF($V8="","",IF(COUNTIF(choice!$D:$D,CONCATENATE($V8,"@",CM$7))=0,"",VLOOKUP(CONCATENATE($V8,"@",CM$7),choice!$D:$E,2,0)))</f>
        <v/>
      </c>
      <c r="CN8" s="78" t="str">
        <f>IF($V8="","",IF(COUNTIF(choice!$D:$D,CONCATENATE($V8,"@",CN$7))=0,"",VLOOKUP(CONCATENATE($V8,"@",CN$7),choice!$D:$E,2,0)))</f>
        <v/>
      </c>
      <c r="CO8" s="78" t="str">
        <f>IF($V8="","",IF(COUNTIF(choice!$D:$D,CONCATENATE($V8,"@",CO$7))=0,"",VLOOKUP(CONCATENATE($V8,"@",CO$7),choice!$D:$E,2,0)))</f>
        <v/>
      </c>
      <c r="CP8" s="78" t="str">
        <f>IF($V8="","",IF(COUNTIF(choice!$D:$D,CONCATENATE($V8,"@",CP$7))=0,"",VLOOKUP(CONCATENATE($V8,"@",CP$7),choice!$D:$E,2,0)))</f>
        <v/>
      </c>
      <c r="CQ8" s="78" t="str">
        <f>IF($V8="","",IF(COUNTIF(choice!$D:$D,CONCATENATE($V8,"@",CQ$7))=0,"",VLOOKUP(CONCATENATE($V8,"@",CQ$7),choice!$D:$E,2,0)))</f>
        <v/>
      </c>
      <c r="CR8" s="78" t="str">
        <f>IF($V8="","",IF(COUNTIF(choice!$D:$D,CONCATENATE($V8,"@",CR$7))=0,"",VLOOKUP(CONCATENATE($V8,"@",CR$7),choice!$D:$E,2,0)))</f>
        <v/>
      </c>
      <c r="CS8" s="78" t="str">
        <f>IF($V8="","",IF(COUNTIF(choice!$D:$D,CONCATENATE($V8,"@",CS$7))=0,"",VLOOKUP(CONCATENATE($V8,"@",CS$7),choice!$D:$E,2,0)))</f>
        <v/>
      </c>
      <c r="CT8" s="78" t="str">
        <f>IF($V8="","",IF(COUNTIF(choice!$D:$D,CONCATENATE($V8,"@",CT$7))=0,"",VLOOKUP(CONCATENATE($V8,"@",CT$7),choice!$D:$E,2,0)))</f>
        <v/>
      </c>
      <c r="CU8" s="78" t="str">
        <f>IF($V8="","",IF(COUNTIF(choice!$D:$D,CONCATENATE($V8,"@",CU$7))=0,"",VLOOKUP(CONCATENATE($V8,"@",CU$7),choice!$D:$E,2,0)))</f>
        <v/>
      </c>
      <c r="CV8" s="78" t="str">
        <f>IF($V8="","",IF(COUNTIF(choice!$D:$D,CONCATENATE($V8,"@",CV$7))=0,"",VLOOKUP(CONCATENATE($V8,"@",CV$7),choice!$D:$E,2,0)))</f>
        <v/>
      </c>
      <c r="CW8" s="78" t="str">
        <f>IF($V8="","",IF(COUNTIF(choice!$D:$D,CONCATENATE($V8,"@",CW$7))=0,"",VLOOKUP(CONCATENATE($V8,"@",CW$7),choice!$D:$E,2,0)))</f>
        <v/>
      </c>
      <c r="CX8" s="78" t="str">
        <f>IF($V8="","",IF(COUNTIF(choice!$D:$D,CONCATENATE($V8,"@",CX$7))=0,"",VLOOKUP(CONCATENATE($V8,"@",CX$7),choice!$D:$E,2,0)))</f>
        <v/>
      </c>
      <c r="CY8" s="78" t="str">
        <f>IF($V8="","",IF(COUNTIF(choice!$D:$D,CONCATENATE($V8,"@",CY$7))=0,"",VLOOKUP(CONCATENATE($V8,"@",CY$7),choice!$D:$E,2,0)))</f>
        <v/>
      </c>
      <c r="CZ8" s="78" t="str">
        <f>IF($V8="","",IF(COUNTIF(choice!$D:$D,CONCATENATE($V8,"@",CZ$7))=0,"",VLOOKUP(CONCATENATE($V8,"@",CZ$7),choice!$D:$E,2,0)))</f>
        <v/>
      </c>
      <c r="DA8" s="78" t="str">
        <f>IF($V8="","",IF(COUNTIF(choice!$D:$D,CONCATENATE($V8,"@",DA$7))=0,"",VLOOKUP(CONCATENATE($V8,"@",DA$7),choice!$D:$E,2,0)))</f>
        <v/>
      </c>
      <c r="DB8" s="78" t="str">
        <f>IF($V8="","",IF(COUNTIF(choice!$D:$D,CONCATENATE($V8,"@",DB$7))=0,"",VLOOKUP(CONCATENATE($V8,"@",DB$7),choice!$D:$E,2,0)))</f>
        <v/>
      </c>
      <c r="DC8" s="78" t="str">
        <f>IF($V8="","",IF(COUNTIF(choice!$D:$D,CONCATENATE($V8,"@",DC$7))=0,"",VLOOKUP(CONCATENATE($V8,"@",DC$7),choice!$D:$E,2,0)))</f>
        <v/>
      </c>
      <c r="DD8" s="78" t="str">
        <f>IF($V8="","",IF(COUNTIF(choice!$D:$D,CONCATENATE($V8,"@",DD$7))=0,"",VLOOKUP(CONCATENATE($V8,"@",DD$7),choice!$D:$E,2,0)))</f>
        <v/>
      </c>
      <c r="DE8" s="78" t="str">
        <f>IF($V8="","",IF(COUNTIF(choice!$D:$D,CONCATENATE($V8,"@",DE$7))=0,"",VLOOKUP(CONCATENATE($V8,"@",DE$7),choice!$D:$E,2,0)))</f>
        <v/>
      </c>
      <c r="DF8" s="78" t="str">
        <f>IF($V8="","",IF(COUNTIF(choice!$D:$D,CONCATENATE($V8,"@",DF$7))=0,"",VLOOKUP(CONCATENATE($V8,"@",DF$7),choice!$D:$E,2,0)))</f>
        <v/>
      </c>
      <c r="DG8" s="78" t="str">
        <f>IF($V8="","",IF(COUNTIF(choice!$D:$D,CONCATENATE($V8,"@",DG$7))=0,"",VLOOKUP(CONCATENATE($V8,"@",DG$7),choice!$D:$E,2,0)))</f>
        <v/>
      </c>
      <c r="DH8" s="78" t="str">
        <f>IF($V8="","",IF(COUNTIF(choice!$D:$D,CONCATENATE($V8,"@",DH$7))=0,"",VLOOKUP(CONCATENATE($V8,"@",DH$7),choice!$D:$E,2,0)))</f>
        <v/>
      </c>
      <c r="DI8" s="78" t="str">
        <f>IF($V8="","",IF(COUNTIF(choice!$D:$D,CONCATENATE($V8,"@",DI$7))=0,"",VLOOKUP(CONCATENATE($V8,"@",DI$7),choice!$D:$E,2,0)))</f>
        <v/>
      </c>
      <c r="DJ8" s="78" t="str">
        <f>IF($V8="","",IF(COUNTIF(choice!$D:$D,CONCATENATE($V8,"@",DJ$7))=0,"",VLOOKUP(CONCATENATE($V8,"@",DJ$7),choice!$D:$E,2,0)))</f>
        <v/>
      </c>
      <c r="DK8" s="78" t="str">
        <f>IF($V8="","",IF(COUNTIF(choice!$D:$D,CONCATENATE($V8,"@",DK$7))=0,"",VLOOKUP(CONCATENATE($V8,"@",DK$7),choice!$D:$E,2,0)))</f>
        <v/>
      </c>
      <c r="DL8" s="78" t="str">
        <f>IF($V8="","",IF(COUNTIF(choice!$D:$D,CONCATENATE($V8,"@",DL$7))=0,"",VLOOKUP(CONCATENATE($V8,"@",DL$7),choice!$D:$E,2,0)))</f>
        <v/>
      </c>
      <c r="DM8" s="78" t="str">
        <f>IF($V8="","",IF(COUNTIF(choice!$D:$D,CONCATENATE($V8,"@",DM$7))=0,"",VLOOKUP(CONCATENATE($V8,"@",DM$7),choice!$D:$E,2,0)))</f>
        <v/>
      </c>
      <c r="DN8" s="78" t="str">
        <f>IF($V8="","",IF(COUNTIF(choice!$D:$D,CONCATENATE($V8,"@",DN$7))=0,"",VLOOKUP(CONCATENATE($V8,"@",DN$7),choice!$D:$E,2,0)))</f>
        <v/>
      </c>
      <c r="DO8" s="78" t="str">
        <f>IF($V8="","",IF(COUNTIF(choice!$D:$D,CONCATENATE($V8,"@",DO$7))=0,"",VLOOKUP(CONCATENATE($V8,"@",DO$7),choice!$D:$E,2,0)))</f>
        <v/>
      </c>
      <c r="DP8" s="78" t="str">
        <f>IF($V8="","",IF(COUNTIF(choice!$D:$D,CONCATENATE($V8,"@",DP$7))=0,"",VLOOKUP(CONCATENATE($V8,"@",DP$7),choice!$D:$E,2,0)))</f>
        <v/>
      </c>
      <c r="DQ8" s="78" t="str">
        <f>IF($V8="","",IF(COUNTIF(choice!$D:$D,CONCATENATE($V8,"@",DQ$7))=0,"",VLOOKUP(CONCATENATE($V8,"@",DQ$7),choice!$D:$E,2,0)))</f>
        <v/>
      </c>
      <c r="DR8" s="78" t="str">
        <f>IF($V8="","",IF(COUNTIF(choice!$D:$D,CONCATENATE($V8,"@",DR$7))=0,"",VLOOKUP(CONCATENATE($V8,"@",DR$7),choice!$D:$E,2,0)))</f>
        <v/>
      </c>
      <c r="DS8" s="78" t="str">
        <f>IF($V8="","",IF(COUNTIF(choice!$D:$D,CONCATENATE($V8,"@",DS$7))=0,"",VLOOKUP(CONCATENATE($V8,"@",DS$7),choice!$D:$E,2,0)))</f>
        <v/>
      </c>
      <c r="DT8" s="78" t="str">
        <f>IF($V8="","",IF(COUNTIF(choice!$D:$D,CONCATENATE($V8,"@",DT$7))=0,"",VLOOKUP(CONCATENATE($V8,"@",DT$7),choice!$D:$E,2,0)))</f>
        <v/>
      </c>
      <c r="DU8" s="78" t="str">
        <f>IF($V8="","",IF(COUNTIF(choice!$D:$D,CONCATENATE($V8,"@",DU$7))=0,"",VLOOKUP(CONCATENATE($V8,"@",DU$7),choice!$D:$E,2,0)))</f>
        <v/>
      </c>
      <c r="DV8" s="78" t="str">
        <f>IF($V8="","",IF(COUNTIF(choice!$D:$D,CONCATENATE($V8,"@",DV$7))=0,"",VLOOKUP(CONCATENATE($V8,"@",DV$7),choice!$D:$E,2,0)))</f>
        <v/>
      </c>
      <c r="DW8" s="78" t="str">
        <f>IF($V8="","",IF(COUNTIF(choice!$D:$D,CONCATENATE($V8,"@",DW$7))=0,"",VLOOKUP(CONCATENATE($V8,"@",DW$7),choice!$D:$E,2,0)))</f>
        <v/>
      </c>
      <c r="DX8" s="78" t="str">
        <f>IF($V8="","",IF(COUNTIF(choice!$D:$D,CONCATENATE($V8,"@",DX$7))=0,"",VLOOKUP(CONCATENATE($V8,"@",DX$7),choice!$D:$E,2,0)))</f>
        <v/>
      </c>
      <c r="DY8" s="78" t="str">
        <f>IF($V8="","",IF(COUNTIF(choice!$D:$D,CONCATENATE($V8,"@",DY$7))=0,"",VLOOKUP(CONCATENATE($V8,"@",DY$7),choice!$D:$E,2,0)))</f>
        <v/>
      </c>
      <c r="DZ8" s="78" t="str">
        <f>IF($V8="","",IF(COUNTIF(choice!$D:$D,CONCATENATE($V8,"@",DZ$7))=0,"",VLOOKUP(CONCATENATE($V8,"@",DZ$7),choice!$D:$E,2,0)))</f>
        <v/>
      </c>
      <c r="EA8" s="78" t="str">
        <f>IF($V8="","",IF(COUNTIF(choice!$D:$D,CONCATENATE($V8,"@",EA$7))=0,"",VLOOKUP(CONCATENATE($V8,"@",EA$7),choice!$D:$E,2,0)))</f>
        <v/>
      </c>
      <c r="EB8" s="78" t="str">
        <f>IF($V8="","",IF(COUNTIF(choice!$D:$D,CONCATENATE($V8,"@",EB$7))=0,"",VLOOKUP(CONCATENATE($V8,"@",EB$7),choice!$D:$E,2,0)))</f>
        <v/>
      </c>
      <c r="EC8" s="79" t="str">
        <f>IF($V8="","",IF(COUNTIF(choice!$D:$D,CONCATENATE($V8,"@",EC$7))=0,"",VLOOKUP(CONCATENATE($V8,"@",EC$7),choice!$D:$E,2,0)))</f>
        <v/>
      </c>
      <c r="ED8" s="77" t="str">
        <f>IF($W8="","",IF(COUNTIF(choice!$D:$D,CONCATENATE($W8,"@",ED$7))=0,"",VLOOKUP(CONCATENATE($W8,"@",ED$7),choice!$D:$E,2,0)))</f>
        <v/>
      </c>
      <c r="EE8" s="78" t="str">
        <f>IF($W8="","",IF(COUNTIF(choice!$D:$D,CONCATENATE($W8,"@",EE$7))=0,"",VLOOKUP(CONCATENATE($W8,"@",EE$7),choice!$D:$E,2,0)))</f>
        <v/>
      </c>
      <c r="EF8" s="78" t="str">
        <f>IF($W8="","",IF(COUNTIF(choice!$D:$D,CONCATENATE($W8,"@",EF$7))=0,"",VLOOKUP(CONCATENATE($W8,"@",EF$7),choice!$D:$E,2,0)))</f>
        <v/>
      </c>
      <c r="EG8" s="78" t="str">
        <f>IF($W8="","",IF(COUNTIF(choice!$D:$D,CONCATENATE($W8,"@",EG$7))=0,"",VLOOKUP(CONCATENATE($W8,"@",EG$7),choice!$D:$E,2,0)))</f>
        <v/>
      </c>
      <c r="EH8" s="78" t="str">
        <f>IF($W8="","",IF(COUNTIF(choice!$D:$D,CONCATENATE($W8,"@",EH$7))=0,"",VLOOKUP(CONCATENATE($W8,"@",EH$7),choice!$D:$E,2,0)))</f>
        <v/>
      </c>
      <c r="EI8" s="78" t="str">
        <f>IF($W8="","",IF(COUNTIF(choice!$D:$D,CONCATENATE($W8,"@",EI$7))=0,"",VLOOKUP(CONCATENATE($W8,"@",EI$7),choice!$D:$E,2,0)))</f>
        <v/>
      </c>
      <c r="EJ8" s="78" t="str">
        <f>IF($W8="","",IF(COUNTIF(choice!$D:$D,CONCATENATE($W8,"@",EJ$7))=0,"",VLOOKUP(CONCATENATE($W8,"@",EJ$7),choice!$D:$E,2,0)))</f>
        <v/>
      </c>
      <c r="EK8" s="78" t="str">
        <f>IF($W8="","",IF(COUNTIF(choice!$D:$D,CONCATENATE($W8,"@",EK$7))=0,"",VLOOKUP(CONCATENATE($W8,"@",EK$7),choice!$D:$E,2,0)))</f>
        <v/>
      </c>
      <c r="EL8" s="78" t="str">
        <f>IF($W8="","",IF(COUNTIF(choice!$D:$D,CONCATENATE($W8,"@",EL$7))=0,"",VLOOKUP(CONCATENATE($W8,"@",EL$7),choice!$D:$E,2,0)))</f>
        <v/>
      </c>
      <c r="EM8" s="78" t="str">
        <f>IF($W8="","",IF(COUNTIF(choice!$D:$D,CONCATENATE($W8,"@",EM$7))=0,"",VLOOKUP(CONCATENATE($W8,"@",EM$7),choice!$D:$E,2,0)))</f>
        <v/>
      </c>
      <c r="EN8" s="78" t="str">
        <f>IF($W8="","",IF(COUNTIF(choice!$D:$D,CONCATENATE($W8,"@",EN$7))=0,"",VLOOKUP(CONCATENATE($W8,"@",EN$7),choice!$D:$E,2,0)))</f>
        <v/>
      </c>
      <c r="EO8" s="78" t="str">
        <f>IF($W8="","",IF(COUNTIF(choice!$D:$D,CONCATENATE($W8,"@",EO$7))=0,"",VLOOKUP(CONCATENATE($W8,"@",EO$7),choice!$D:$E,2,0)))</f>
        <v/>
      </c>
      <c r="EP8" s="78" t="str">
        <f>IF($W8="","",IF(COUNTIF(choice!$D:$D,CONCATENATE($W8,"@",EP$7))=0,"",VLOOKUP(CONCATENATE($W8,"@",EP$7),choice!$D:$E,2,0)))</f>
        <v/>
      </c>
      <c r="EQ8" s="78" t="str">
        <f>IF($W8="","",IF(COUNTIF(choice!$D:$D,CONCATENATE($W8,"@",EQ$7))=0,"",VLOOKUP(CONCATENATE($W8,"@",EQ$7),choice!$D:$E,2,0)))</f>
        <v/>
      </c>
      <c r="ER8" s="78" t="str">
        <f>IF($W8="","",IF(COUNTIF(choice!$D:$D,CONCATENATE($W8,"@",ER$7))=0,"",VLOOKUP(CONCATENATE($W8,"@",ER$7),choice!$D:$E,2,0)))</f>
        <v/>
      </c>
      <c r="ES8" s="78" t="str">
        <f>IF($W8="","",IF(COUNTIF(choice!$D:$D,CONCATENATE($W8,"@",ES$7))=0,"",VLOOKUP(CONCATENATE($W8,"@",ES$7),choice!$D:$E,2,0)))</f>
        <v/>
      </c>
      <c r="ET8" s="78" t="str">
        <f>IF($W8="","",IF(COUNTIF(choice!$D:$D,CONCATENATE($W8,"@",ET$7))=0,"",VLOOKUP(CONCATENATE($W8,"@",ET$7),choice!$D:$E,2,0)))</f>
        <v/>
      </c>
      <c r="EU8" s="78" t="str">
        <f>IF($W8="","",IF(COUNTIF(choice!$D:$D,CONCATENATE($W8,"@",EU$7))=0,"",VLOOKUP(CONCATENATE($W8,"@",EU$7),choice!$D:$E,2,0)))</f>
        <v/>
      </c>
      <c r="EV8" s="78" t="str">
        <f>IF($W8="","",IF(COUNTIF(choice!$D:$D,CONCATENATE($W8,"@",EV$7))=0,"",VLOOKUP(CONCATENATE($W8,"@",EV$7),choice!$D:$E,2,0)))</f>
        <v/>
      </c>
      <c r="EW8" s="78" t="str">
        <f>IF($W8="","",IF(COUNTIF(choice!$D:$D,CONCATENATE($W8,"@",EW$7))=0,"",VLOOKUP(CONCATENATE($W8,"@",EW$7),choice!$D:$E,2,0)))</f>
        <v/>
      </c>
      <c r="EX8" s="78" t="str">
        <f>IF($W8="","",IF(COUNTIF(choice!$D:$D,CONCATENATE($W8,"@",EX$7))=0,"",VLOOKUP(CONCATENATE($W8,"@",EX$7),choice!$D:$E,2,0)))</f>
        <v/>
      </c>
      <c r="EY8" s="78" t="str">
        <f>IF($W8="","",IF(COUNTIF(choice!$D:$D,CONCATENATE($W8,"@",EY$7))=0,"",VLOOKUP(CONCATENATE($W8,"@",EY$7),choice!$D:$E,2,0)))</f>
        <v/>
      </c>
      <c r="EZ8" s="78" t="str">
        <f>IF($W8="","",IF(COUNTIF(choice!$D:$D,CONCATENATE($W8,"@",EZ$7))=0,"",VLOOKUP(CONCATENATE($W8,"@",EZ$7),choice!$D:$E,2,0)))</f>
        <v/>
      </c>
      <c r="FA8" s="78" t="str">
        <f>IF($W8="","",IF(COUNTIF(choice!$D:$D,CONCATENATE($W8,"@",FA$7))=0,"",VLOOKUP(CONCATENATE($W8,"@",FA$7),choice!$D:$E,2,0)))</f>
        <v/>
      </c>
      <c r="FB8" s="78" t="str">
        <f>IF($W8="","",IF(COUNTIF(choice!$D:$D,CONCATENATE($W8,"@",FB$7))=0,"",VLOOKUP(CONCATENATE($W8,"@",FB$7),choice!$D:$E,2,0)))</f>
        <v/>
      </c>
      <c r="FC8" s="78" t="str">
        <f>IF($W8="","",IF(COUNTIF(choice!$D:$D,CONCATENATE($W8,"@",FC$7))=0,"",VLOOKUP(CONCATENATE($W8,"@",FC$7),choice!$D:$E,2,0)))</f>
        <v/>
      </c>
      <c r="FD8" s="78" t="str">
        <f>IF($W8="","",IF(COUNTIF(choice!$D:$D,CONCATENATE($W8,"@",FD$7))=0,"",VLOOKUP(CONCATENATE($W8,"@",FD$7),choice!$D:$E,2,0)))</f>
        <v/>
      </c>
      <c r="FE8" s="78" t="str">
        <f>IF($W8="","",IF(COUNTIF(choice!$D:$D,CONCATENATE($W8,"@",FE$7))=0,"",VLOOKUP(CONCATENATE($W8,"@",FE$7),choice!$D:$E,2,0)))</f>
        <v/>
      </c>
      <c r="FF8" s="78" t="str">
        <f>IF($W8="","",IF(COUNTIF(choice!$D:$D,CONCATENATE($W8,"@",FF$7))=0,"",VLOOKUP(CONCATENATE($W8,"@",FF$7),choice!$D:$E,2,0)))</f>
        <v/>
      </c>
      <c r="FG8" s="78" t="str">
        <f>IF($W8="","",IF(COUNTIF(choice!$D:$D,CONCATENATE($W8,"@",FG$7))=0,"",VLOOKUP(CONCATENATE($W8,"@",FG$7),choice!$D:$E,2,0)))</f>
        <v/>
      </c>
      <c r="FH8" s="78" t="str">
        <f>IF($W8="","",IF(COUNTIF(choice!$D:$D,CONCATENATE($W8,"@",FH$7))=0,"",VLOOKUP(CONCATENATE($W8,"@",FH$7),choice!$D:$E,2,0)))</f>
        <v/>
      </c>
      <c r="FI8" s="78" t="str">
        <f>IF($W8="","",IF(COUNTIF(choice!$D:$D,CONCATENATE($W8,"@",FI$7))=0,"",VLOOKUP(CONCATENATE($W8,"@",FI$7),choice!$D:$E,2,0)))</f>
        <v/>
      </c>
      <c r="FJ8" s="78" t="str">
        <f>IF($W8="","",IF(COUNTIF(choice!$D:$D,CONCATENATE($W8,"@",FJ$7))=0,"",VLOOKUP(CONCATENATE($W8,"@",FJ$7),choice!$D:$E,2,0)))</f>
        <v/>
      </c>
      <c r="FK8" s="78" t="str">
        <f>IF($W8="","",IF(COUNTIF(choice!$D:$D,CONCATENATE($W8,"@",FK$7))=0,"",VLOOKUP(CONCATENATE($W8,"@",FK$7),choice!$D:$E,2,0)))</f>
        <v/>
      </c>
      <c r="FL8" s="78" t="str">
        <f>IF($W8="","",IF(COUNTIF(choice!$D:$D,CONCATENATE($W8,"@",FL$7))=0,"",VLOOKUP(CONCATENATE($W8,"@",FL$7),choice!$D:$E,2,0)))</f>
        <v/>
      </c>
      <c r="FM8" s="78" t="str">
        <f>IF($W8="","",IF(COUNTIF(choice!$D:$D,CONCATENATE($W8,"@",FM$7))=0,"",VLOOKUP(CONCATENATE($W8,"@",FM$7),choice!$D:$E,2,0)))</f>
        <v/>
      </c>
      <c r="FN8" s="78" t="str">
        <f>IF($W8="","",IF(COUNTIF(choice!$D:$D,CONCATENATE($W8,"@",FN$7))=0,"",VLOOKUP(CONCATENATE($W8,"@",FN$7),choice!$D:$E,2,0)))</f>
        <v/>
      </c>
      <c r="FO8" s="78" t="str">
        <f>IF($W8="","",IF(COUNTIF(choice!$D:$D,CONCATENATE($W8,"@",FO$7))=0,"",VLOOKUP(CONCATENATE($W8,"@",FO$7),choice!$D:$E,2,0)))</f>
        <v/>
      </c>
      <c r="FP8" s="78" t="str">
        <f>IF($W8="","",IF(COUNTIF(choice!$D:$D,CONCATENATE($W8,"@",FP$7))=0,"",VLOOKUP(CONCATENATE($W8,"@",FP$7),choice!$D:$E,2,0)))</f>
        <v/>
      </c>
      <c r="FQ8" s="78" t="str">
        <f>IF($W8="","",IF(COUNTIF(choice!$D:$D,CONCATENATE($W8,"@",FQ$7))=0,"",VLOOKUP(CONCATENATE($W8,"@",FQ$7),choice!$D:$E,2,0)))</f>
        <v/>
      </c>
      <c r="FR8" s="78" t="str">
        <f>IF($W8="","",IF(COUNTIF(choice!$D:$D,CONCATENATE($W8,"@",FR$7))=0,"",VLOOKUP(CONCATENATE($W8,"@",FR$7),choice!$D:$E,2,0)))</f>
        <v/>
      </c>
      <c r="FS8" s="78" t="str">
        <f>IF($W8="","",IF(COUNTIF(choice!$D:$D,CONCATENATE($W8,"@",FS$7))=0,"",VLOOKUP(CONCATENATE($W8,"@",FS$7),choice!$D:$E,2,0)))</f>
        <v/>
      </c>
      <c r="FT8" s="78" t="str">
        <f>IF($W8="","",IF(COUNTIF(choice!$D:$D,CONCATENATE($W8,"@",FT$7))=0,"",VLOOKUP(CONCATENATE($W8,"@",FT$7),choice!$D:$E,2,0)))</f>
        <v/>
      </c>
      <c r="FU8" s="78" t="str">
        <f>IF($W8="","",IF(COUNTIF(choice!$D:$D,CONCATENATE($W8,"@",FU$7))=0,"",VLOOKUP(CONCATENATE($W8,"@",FU$7),choice!$D:$E,2,0)))</f>
        <v/>
      </c>
      <c r="FV8" s="79" t="str">
        <f>IF($W8="","",IF(COUNTIF(choice!$D:$D,CONCATENATE($W8,"@",FV$7))=0,"",VLOOKUP(CONCATENATE($W8,"@",FV$7),choice!$D:$E,2,0)))</f>
        <v/>
      </c>
      <c r="FW8" s="77" t="str">
        <f>IF($X8="","",IF(COUNTIF(choice!$D:$D,CONCATENATE($X8,"@",FW$7))=0,"",VLOOKUP(CONCATENATE($X8,"@",FW$7),choice!$D:$E,2,0)))</f>
        <v/>
      </c>
      <c r="FX8" s="78" t="str">
        <f>IF($X8="","",IF(COUNTIF(choice!$D:$D,CONCATENATE($X8,"@",FX$7))=0,"",VLOOKUP(CONCATENATE($X8,"@",FX$7),choice!$D:$E,2,0)))</f>
        <v/>
      </c>
      <c r="FY8" s="78" t="str">
        <f>IF($X8="","",IF(COUNTIF(choice!$D:$D,CONCATENATE($X8,"@",FY$7))=0,"",VLOOKUP(CONCATENATE($X8,"@",FY$7),choice!$D:$E,2,0)))</f>
        <v/>
      </c>
      <c r="FZ8" s="78" t="str">
        <f>IF($X8="","",IF(COUNTIF(choice!$D:$D,CONCATENATE($X8,"@",FZ$7))=0,"",VLOOKUP(CONCATENATE($X8,"@",FZ$7),choice!$D:$E,2,0)))</f>
        <v/>
      </c>
      <c r="GA8" s="78" t="str">
        <f>IF($X8="","",IF(COUNTIF(choice!$D:$D,CONCATENATE($X8,"@",GA$7))=0,"",VLOOKUP(CONCATENATE($X8,"@",GA$7),choice!$D:$E,2,0)))</f>
        <v/>
      </c>
      <c r="GB8" s="78" t="str">
        <f>IF($X8="","",IF(COUNTIF(choice!$D:$D,CONCATENATE($X8,"@",GB$7))=0,"",VLOOKUP(CONCATENATE($X8,"@",GB$7),choice!$D:$E,2,0)))</f>
        <v/>
      </c>
      <c r="GC8" s="78" t="str">
        <f>IF($X8="","",IF(COUNTIF(choice!$D:$D,CONCATENATE($X8,"@",GC$7))=0,"",VLOOKUP(CONCATENATE($X8,"@",GC$7),choice!$D:$E,2,0)))</f>
        <v/>
      </c>
      <c r="GD8" s="78" t="str">
        <f>IF($X8="","",IF(COUNTIF(choice!$D:$D,CONCATENATE($X8,"@",GD$7))=0,"",VLOOKUP(CONCATENATE($X8,"@",GD$7),choice!$D:$E,2,0)))</f>
        <v/>
      </c>
      <c r="GE8" s="78" t="str">
        <f>IF($X8="","",IF(COUNTIF(choice!$D:$D,CONCATENATE($X8,"@",GE$7))=0,"",VLOOKUP(CONCATENATE($X8,"@",GE$7),choice!$D:$E,2,0)))</f>
        <v/>
      </c>
      <c r="GF8" s="78" t="str">
        <f>IF($X8="","",IF(COUNTIF(choice!$D:$D,CONCATENATE($X8,"@",GF$7))=0,"",VLOOKUP(CONCATENATE($X8,"@",GF$7),choice!$D:$E,2,0)))</f>
        <v/>
      </c>
      <c r="GG8" s="78" t="str">
        <f>IF($X8="","",IF(COUNTIF(choice!$D:$D,CONCATENATE($X8,"@",GG$7))=0,"",VLOOKUP(CONCATENATE($X8,"@",GG$7),choice!$D:$E,2,0)))</f>
        <v/>
      </c>
      <c r="GH8" s="78" t="str">
        <f>IF($X8="","",IF(COUNTIF(choice!$D:$D,CONCATENATE($X8,"@",GH$7))=0,"",VLOOKUP(CONCATENATE($X8,"@",GH$7),choice!$D:$E,2,0)))</f>
        <v/>
      </c>
      <c r="GI8" s="78" t="str">
        <f>IF($X8="","",IF(COUNTIF(choice!$D:$D,CONCATENATE($X8,"@",GI$7))=0,"",VLOOKUP(CONCATENATE($X8,"@",GI$7),choice!$D:$E,2,0)))</f>
        <v/>
      </c>
      <c r="GJ8" s="78" t="str">
        <f>IF($X8="","",IF(COUNTIF(choice!$D:$D,CONCATENATE($X8,"@",GJ$7))=0,"",VLOOKUP(CONCATENATE($X8,"@",GJ$7),choice!$D:$E,2,0)))</f>
        <v/>
      </c>
      <c r="GK8" s="78" t="str">
        <f>IF($X8="","",IF(COUNTIF(choice!$D:$D,CONCATENATE($X8,"@",GK$7))=0,"",VLOOKUP(CONCATENATE($X8,"@",GK$7),choice!$D:$E,2,0)))</f>
        <v/>
      </c>
      <c r="GL8" s="78" t="str">
        <f>IF($X8="","",IF(COUNTIF(choice!$D:$D,CONCATENATE($X8,"@",GL$7))=0,"",VLOOKUP(CONCATENATE($X8,"@",GL$7),choice!$D:$E,2,0)))</f>
        <v/>
      </c>
      <c r="GM8" s="78" t="str">
        <f>IF($X8="","",IF(COUNTIF(choice!$D:$D,CONCATENATE($X8,"@",GM$7))=0,"",VLOOKUP(CONCATENATE($X8,"@",GM$7),choice!$D:$E,2,0)))</f>
        <v/>
      </c>
      <c r="GN8" s="78" t="str">
        <f>IF($X8="","",IF(COUNTIF(choice!$D:$D,CONCATENATE($X8,"@",GN$7))=0,"",VLOOKUP(CONCATENATE($X8,"@",GN$7),choice!$D:$E,2,0)))</f>
        <v/>
      </c>
      <c r="GO8" s="78" t="str">
        <f>IF($X8="","",IF(COUNTIF(choice!$D:$D,CONCATENATE($X8,"@",GO$7))=0,"",VLOOKUP(CONCATENATE($X8,"@",GO$7),choice!$D:$E,2,0)))</f>
        <v/>
      </c>
      <c r="GP8" s="78" t="str">
        <f>IF($X8="","",IF(COUNTIF(choice!$D:$D,CONCATENATE($X8,"@",GP$7))=0,"",VLOOKUP(CONCATENATE($X8,"@",GP$7),choice!$D:$E,2,0)))</f>
        <v/>
      </c>
      <c r="GQ8" s="78" t="str">
        <f>IF($X8="","",IF(COUNTIF(choice!$D:$D,CONCATENATE($X8,"@",GQ$7))=0,"",VLOOKUP(CONCATENATE($X8,"@",GQ$7),choice!$D:$E,2,0)))</f>
        <v/>
      </c>
      <c r="GR8" s="78" t="str">
        <f>IF($X8="","",IF(COUNTIF(choice!$D:$D,CONCATENATE($X8,"@",GR$7))=0,"",VLOOKUP(CONCATENATE($X8,"@",GR$7),choice!$D:$E,2,0)))</f>
        <v/>
      </c>
      <c r="GS8" s="78" t="str">
        <f>IF($X8="","",IF(COUNTIF(choice!$D:$D,CONCATENATE($X8,"@",GS$7))=0,"",VLOOKUP(CONCATENATE($X8,"@",GS$7),choice!$D:$E,2,0)))</f>
        <v/>
      </c>
      <c r="GT8" s="78" t="str">
        <f>IF($X8="","",IF(COUNTIF(choice!$D:$D,CONCATENATE($X8,"@",GT$7))=0,"",VLOOKUP(CONCATENATE($X8,"@",GT$7),choice!$D:$E,2,0)))</f>
        <v/>
      </c>
      <c r="GU8" s="78" t="str">
        <f>IF($X8="","",IF(COUNTIF(choice!$D:$D,CONCATENATE($X8,"@",GU$7))=0,"",VLOOKUP(CONCATENATE($X8,"@",GU$7),choice!$D:$E,2,0)))</f>
        <v/>
      </c>
      <c r="GV8" s="78" t="str">
        <f>IF($X8="","",IF(COUNTIF(choice!$D:$D,CONCATENATE($X8,"@",GV$7))=0,"",VLOOKUP(CONCATENATE($X8,"@",GV$7),choice!$D:$E,2,0)))</f>
        <v/>
      </c>
      <c r="GW8" s="78" t="str">
        <f>IF($X8="","",IF(COUNTIF(choice!$D:$D,CONCATENATE($X8,"@",GW$7))=0,"",VLOOKUP(CONCATENATE($X8,"@",GW$7),choice!$D:$E,2,0)))</f>
        <v/>
      </c>
      <c r="GX8" s="78" t="str">
        <f>IF($X8="","",IF(COUNTIF(choice!$D:$D,CONCATENATE($X8,"@",GX$7))=0,"",VLOOKUP(CONCATENATE($X8,"@",GX$7),choice!$D:$E,2,0)))</f>
        <v/>
      </c>
      <c r="GY8" s="78" t="str">
        <f>IF($X8="","",IF(COUNTIF(choice!$D:$D,CONCATENATE($X8,"@",GY$7))=0,"",VLOOKUP(CONCATENATE($X8,"@",GY$7),choice!$D:$E,2,0)))</f>
        <v/>
      </c>
      <c r="GZ8" s="78" t="str">
        <f>IF($X8="","",IF(COUNTIF(choice!$D:$D,CONCATENATE($X8,"@",GZ$7))=0,"",VLOOKUP(CONCATENATE($X8,"@",GZ$7),choice!$D:$E,2,0)))</f>
        <v/>
      </c>
      <c r="HA8" s="78" t="str">
        <f>IF($X8="","",IF(COUNTIF(choice!$D:$D,CONCATENATE($X8,"@",HA$7))=0,"",VLOOKUP(CONCATENATE($X8,"@",HA$7),choice!$D:$E,2,0)))</f>
        <v/>
      </c>
      <c r="HB8" s="78" t="str">
        <f>IF($X8="","",IF(COUNTIF(choice!$D:$D,CONCATENATE($X8,"@",HB$7))=0,"",VLOOKUP(CONCATENATE($X8,"@",HB$7),choice!$D:$E,2,0)))</f>
        <v/>
      </c>
      <c r="HC8" s="78" t="str">
        <f>IF($X8="","",IF(COUNTIF(choice!$D:$D,CONCATENATE($X8,"@",HC$7))=0,"",VLOOKUP(CONCATENATE($X8,"@",HC$7),choice!$D:$E,2,0)))</f>
        <v/>
      </c>
      <c r="HD8" s="78" t="str">
        <f>IF($X8="","",IF(COUNTIF(choice!$D:$D,CONCATENATE($X8,"@",HD$7))=0,"",VLOOKUP(CONCATENATE($X8,"@",HD$7),choice!$D:$E,2,0)))</f>
        <v/>
      </c>
      <c r="HE8" s="78" t="str">
        <f>IF($X8="","",IF(COUNTIF(choice!$D:$D,CONCATENATE($X8,"@",HE$7))=0,"",VLOOKUP(CONCATENATE($X8,"@",HE$7),choice!$D:$E,2,0)))</f>
        <v/>
      </c>
      <c r="HF8" s="78" t="str">
        <f>IF($X8="","",IF(COUNTIF(choice!$D:$D,CONCATENATE($X8,"@",HF$7))=0,"",VLOOKUP(CONCATENATE($X8,"@",HF$7),choice!$D:$E,2,0)))</f>
        <v/>
      </c>
      <c r="HG8" s="78" t="str">
        <f>IF($X8="","",IF(COUNTIF(choice!$D:$D,CONCATENATE($X8,"@",HG$7))=0,"",VLOOKUP(CONCATENATE($X8,"@",HG$7),choice!$D:$E,2,0)))</f>
        <v/>
      </c>
      <c r="HH8" s="78" t="str">
        <f>IF($X8="","",IF(COUNTIF(choice!$D:$D,CONCATENATE($X8,"@",HH$7))=0,"",VLOOKUP(CONCATENATE($X8,"@",HH$7),choice!$D:$E,2,0)))</f>
        <v/>
      </c>
      <c r="HI8" s="78" t="str">
        <f>IF($X8="","",IF(COUNTIF(choice!$D:$D,CONCATENATE($X8,"@",HI$7))=0,"",VLOOKUP(CONCATENATE($X8,"@",HI$7),choice!$D:$E,2,0)))</f>
        <v/>
      </c>
      <c r="HJ8" s="78" t="str">
        <f>IF($X8="","",IF(COUNTIF(choice!$D:$D,CONCATENATE($X8,"@",HJ$7))=0,"",VLOOKUP(CONCATENATE($X8,"@",HJ$7),choice!$D:$E,2,0)))</f>
        <v/>
      </c>
      <c r="HK8" s="78" t="str">
        <f>IF($X8="","",IF(COUNTIF(choice!$D:$D,CONCATENATE($X8,"@",HK$7))=0,"",VLOOKUP(CONCATENATE($X8,"@",HK$7),choice!$D:$E,2,0)))</f>
        <v/>
      </c>
      <c r="HL8" s="78" t="str">
        <f>IF($X8="","",IF(COUNTIF(choice!$D:$D,CONCATENATE($X8,"@",HL$7))=0,"",VLOOKUP(CONCATENATE($X8,"@",HL$7),choice!$D:$E,2,0)))</f>
        <v/>
      </c>
      <c r="HM8" s="78" t="str">
        <f>IF($X8="","",IF(COUNTIF(choice!$D:$D,CONCATENATE($X8,"@",HM$7))=0,"",VLOOKUP(CONCATENATE($X8,"@",HM$7),choice!$D:$E,2,0)))</f>
        <v/>
      </c>
      <c r="HN8" s="78" t="str">
        <f>IF($X8="","",IF(COUNTIF(choice!$D:$D,CONCATENATE($X8,"@",HN$7))=0,"",VLOOKUP(CONCATENATE($X8,"@",HN$7),choice!$D:$E,2,0)))</f>
        <v/>
      </c>
      <c r="HO8" s="79" t="str">
        <f>IF($X8="","",IF(COUNTIF(choice!$D:$D,CONCATENATE($X8,"@",HO$7))=0,"",VLOOKUP(CONCATENATE($X8,"@",HO$7),choice!$D:$E,2,0)))</f>
        <v/>
      </c>
      <c r="HP8" s="20" t="s">
        <v>52</v>
      </c>
      <c r="HQ8" s="20" t="s">
        <v>53</v>
      </c>
      <c r="HT8" s="74" t="s">
        <v>6</v>
      </c>
      <c r="HV8" s="74">
        <f>IF(RIGHT(I8,4)="E AV",LEN(IC8)-LEN(SUBSTITUTE(IC8,"+",""))+1,0)</f>
        <v>0</v>
      </c>
      <c r="HW8" s="74">
        <f>IF(RIGHT(I8,4)="E DT",LEN(IC8)-LEN(SUBSTITUTE(IC8,"+",""))+1,0)</f>
        <v>0</v>
      </c>
      <c r="HX8" s="74">
        <f>IF(LEFT(I8,4)="E AV",LEN(IC8)-LEN(SUBSTITUTE(IC8,"+",""))+1,0)</f>
        <v>0</v>
      </c>
      <c r="HY8" s="74">
        <f>IF(LEFT(I8,4)="E DT",LEN(IC8)-LEN(SUBSTITUTE(IC8,"+",""))+1,0)</f>
        <v>0</v>
      </c>
      <c r="HZ8" s="74">
        <f>HV8-HX8+'Train Movement Log (page.1)'!HZ20</f>
        <v>0</v>
      </c>
      <c r="IA8" s="74">
        <f>HW8-HY8+'Train Movement Log (page.1)'!IA20</f>
        <v>0</v>
      </c>
      <c r="IB8" s="74" t="str">
        <f>IF(COUNTIF(AQ8,"*02*")=0,IF(COUNTIF(AQ8,"*04*")=0,IF(RIGHT(I8,4)="E AV",IF('Train Movement Log (page.1)'!HZ20=0,"","SPAD"),IF(RIGHT(I8,4)="E DT",IF('Train Movement Log (page.1)'!IA20=0,"","SPAD"),"")),""))</f>
        <v/>
      </c>
      <c r="IC8" s="74" t="str">
        <f>IF(D8="","",IF(COUNTIFS(D8,"*'")++COUNTIFS(D8,"*""")=0,D8,'Train Movement Log (page.1)'!IC20))</f>
        <v/>
      </c>
      <c r="ID8" s="74"/>
      <c r="IE8" s="74">
        <f>IF(B8="","",B8)</f>
        <v>14</v>
      </c>
      <c r="IF8" s="74">
        <f>COUNTIFS(ID$8:ID8,"BLUE")</f>
        <v>0</v>
      </c>
      <c r="IG8" s="74" t="str">
        <f>IF(ID8="","",IF(IF8=1,IE8,IF(IF8=0,"",CONCATENATE(", ",IE8))))</f>
        <v/>
      </c>
      <c r="IH8" s="74" t="str">
        <f>IF(COUNTIFS($AQ8,"*02*")=0,"",COUNTIFS(IJ$8:IJ8,"BLUE"))</f>
        <v/>
      </c>
      <c r="II8" s="74" t="str">
        <f>IF(COUNTIFS($AQ8,"*04*")=0,"",COUNTIFS(IK$8:IK8,"BLUE"))</f>
        <v/>
      </c>
      <c r="IJ8" s="74" t="str">
        <f>IF(COUNTIFS(AQ8,"*02*")&gt;0,IF(RIGHT(I8,4)="E AV",IF('Train Movement Log (page.1)'!HZ20=0,"","BLUE"),IF(RIGHT(I8,4)="E DT",IF('Train Movement Log (page.1)'!IA20=0,"","BLUE"),"")),"")</f>
        <v/>
      </c>
      <c r="IK8" s="74" t="str">
        <f>IF(COUNTIFS(AQ8,"*04*")&gt;0,IF(RIGHT(I8,4)="E AV",IF('Train Movement Log (page.1)'!HZ20=0,"","BLUE"),IF(RIGHT(I8,4)="E DT",IF('Train Movement Log (page.1)'!IA20=0,"","BLUE"),"")),"")</f>
        <v/>
      </c>
      <c r="IL8" s="74" t="str">
        <f>IF(IJ8="","",IF(IH8=1,$IE8,CONCATENATE(", ",$IE8)))</f>
        <v/>
      </c>
      <c r="IM8" s="74" t="str">
        <f>IF(IK8="","",IF(II8=1,$IE8,CONCATENATE(", ",$IE8)))</f>
        <v/>
      </c>
      <c r="IN8" s="74">
        <f>COUNTIFS(IJ$8:IJ8,"BLUE")</f>
        <v>0</v>
      </c>
      <c r="IO8" s="74">
        <f>COUNTIFS(IK$8:IK8,"BLUE")</f>
        <v>0</v>
      </c>
    </row>
    <row r="9" spans="1:249" s="20" customFormat="1" ht="27.75" customHeight="1">
      <c r="A9" s="33"/>
      <c r="B9" s="39">
        <v>15</v>
      </c>
      <c r="C9" s="157"/>
      <c r="D9" s="174"/>
      <c r="E9" s="88" t="e">
        <f>VLOOKUP(F9,'Radio Call Sign'!A:B,2)</f>
        <v>#N/A</v>
      </c>
      <c r="F9" s="88"/>
      <c r="G9" s="88" t="e">
        <f>VLOOKUP(H9,'Radio Call Sign'!A:B,2)</f>
        <v>#N/A</v>
      </c>
      <c r="H9" s="89"/>
      <c r="I9" s="89" t="str">
        <f t="shared" si="12"/>
        <v/>
      </c>
      <c r="J9" s="90" t="str">
        <f t="shared" ref="J9:J20" si="17">AQ9</f>
        <v/>
      </c>
      <c r="K9" s="86" t="str">
        <f t="shared" ref="K9:K20" si="18">AP9</f>
        <v/>
      </c>
      <c r="L9" s="157"/>
      <c r="M9" s="190" t="str">
        <f t="shared" ref="M9:M20" si="19">IF(J9="","",IF(J9=0,"*",""))</f>
        <v/>
      </c>
      <c r="N9" s="21"/>
      <c r="O9" s="21"/>
      <c r="P9" s="53"/>
      <c r="Q9" s="163" t="str">
        <f>IF(AA9="","",IF(COUNTIFS('overhead line area'!$D$3:$D$100,AA9)+COUNTIFS('overhead line area'!$D$3:$D$100,AB9)+COUNTIFS('overhead line area'!$D$3:$D$100,AC9)+COUNTIFS('overhead line area'!$D$3:$D$100,AD9)=0,"","*               "))</f>
        <v/>
      </c>
      <c r="R9" s="53"/>
      <c r="S9" s="24"/>
      <c r="U9" s="74"/>
      <c r="V9" s="74"/>
      <c r="W9" s="74"/>
      <c r="X9" s="74"/>
      <c r="Y9" s="74"/>
      <c r="AA9" s="74" t="str">
        <f t="shared" si="13"/>
        <v/>
      </c>
      <c r="AB9" s="74" t="str">
        <f t="shared" si="14"/>
        <v/>
      </c>
      <c r="AC9" s="74" t="str">
        <f t="shared" si="14"/>
        <v/>
      </c>
      <c r="AD9" s="74" t="str">
        <f t="shared" si="14"/>
        <v/>
      </c>
      <c r="AF9" s="74" t="str">
        <f>IF(AA9="","",IF(COUNTIF(Route!$AM:$AM,'Train Movement Log (page.2)'!AA9)=0,"未有資料",VLOOKUP('Train Movement Log (page.2)'!AA9,Route!$AM:$AP,3,0)))</f>
        <v/>
      </c>
      <c r="AG9" s="74" t="str">
        <f>IF(AB9="","",IF(COUNTIF(Route!$AM:$AM,'Train Movement Log (page.2)'!AB9)=0,"未有資料",VLOOKUP('Train Movement Log (page.2)'!AB9,Route!$AM:$AP,3,0)))</f>
        <v/>
      </c>
      <c r="AH9" s="74" t="str">
        <f>IF(AC9="","",IF(COUNTIF(Route!$AM:$AM,'Train Movement Log (page.2)'!AC9)=0,"未有資料",VLOOKUP('Train Movement Log (page.2)'!AC9,Route!$AM:$AP,3,0)))</f>
        <v/>
      </c>
      <c r="AI9" s="74" t="str">
        <f>IF(AD9="","",IF(COUNTIF(Route!$AM:$AM,'Train Movement Log (page.2)'!AD9)=0,"未有資料",VLOOKUP('Train Movement Log (page.2)'!AD9,Route!$AM:$AP,3,0)))</f>
        <v/>
      </c>
      <c r="AK9" s="74" t="str">
        <f>IF(AA9="","",IF(COUNTIF(Route!$AM:$AM,'Train Movement Log (page.2)'!AA9)=0,"未有資料",VLOOKUP('Train Movement Log (page.2)'!AA9,Route!$AM:$AP,4,0)))</f>
        <v/>
      </c>
      <c r="AL9" s="74" t="str">
        <f>IF(AB9="","",IF(COUNTIF(Route!$AM:$AM,'Train Movement Log (page.2)'!AB9)=0,"未有資料",VLOOKUP('Train Movement Log (page.2)'!AB9,Route!$AM:$AP,4,0)))</f>
        <v/>
      </c>
      <c r="AM9" s="74" t="str">
        <f>IF(AC9="","",IF(COUNTIF(Route!$AM:$AM,'Train Movement Log (page.2)'!AC9)=0,"未有資料",VLOOKUP('Train Movement Log (page.2)'!AC9,Route!$AM:$AP,4,0)))</f>
        <v/>
      </c>
      <c r="AN9" s="74" t="str">
        <f>IF(AD9="","",IF(COUNTIF(Route!$AM:$AM,'Train Movement Log (page.2)'!AD9)=0,"未有資料",VLOOKUP('Train Movement Log (page.2)'!AD9,Route!$AM:$AP,4,0)))</f>
        <v/>
      </c>
      <c r="AP9" s="74" t="str">
        <f t="shared" si="15"/>
        <v/>
      </c>
      <c r="AQ9" s="76" t="str">
        <f t="shared" si="16"/>
        <v/>
      </c>
      <c r="AR9" s="80" t="str">
        <f>IF($U9="","",IF(COUNTIF(choice!$D:$D,CONCATENATE($U9,"@",AR$7))=0,"",VLOOKUP(CONCATENATE($U9,"@",AR$7),choice!$D:$E,2,0)))</f>
        <v/>
      </c>
      <c r="AS9" s="74" t="str">
        <f>IF($U9="","",IF(COUNTIF(choice!$D:$D,CONCATENATE($U9,"@",AS$7))=0,"",VLOOKUP(CONCATENATE($U9,"@",AS$7),choice!$D:$E,2,0)))</f>
        <v/>
      </c>
      <c r="AT9" s="74" t="str">
        <f>IF($U9="","",IF(COUNTIF(choice!$D:$D,CONCATENATE($U9,"@",AT$7))=0,"",VLOOKUP(CONCATENATE($U9,"@",AT$7),choice!$D:$E,2,0)))</f>
        <v/>
      </c>
      <c r="AU9" s="74" t="str">
        <f>IF($U9="","",IF(COUNTIF(choice!$D:$D,CONCATENATE($U9,"@",AU$7))=0,"",VLOOKUP(CONCATENATE($U9,"@",AU$7),choice!$D:$E,2,0)))</f>
        <v/>
      </c>
      <c r="AV9" s="74" t="str">
        <f>IF($U9="","",IF(COUNTIF(choice!$D:$D,CONCATENATE($U9,"@",AV$7))=0,"",VLOOKUP(CONCATENATE($U9,"@",AV$7),choice!$D:$E,2,0)))</f>
        <v/>
      </c>
      <c r="AW9" s="74" t="str">
        <f>IF($U9="","",IF(COUNTIF(choice!$D:$D,CONCATENATE($U9,"@",AW$7))=0,"",VLOOKUP(CONCATENATE($U9,"@",AW$7),choice!$D:$E,2,0)))</f>
        <v/>
      </c>
      <c r="AX9" s="74" t="str">
        <f>IF($U9="","",IF(COUNTIF(choice!$D:$D,CONCATENATE($U9,"@",AX$7))=0,"",VLOOKUP(CONCATENATE($U9,"@",AX$7),choice!$D:$E,2,0)))</f>
        <v/>
      </c>
      <c r="AY9" s="74" t="str">
        <f>IF($U9="","",IF(COUNTIF(choice!$D:$D,CONCATENATE($U9,"@",AY$7))=0,"",VLOOKUP(CONCATENATE($U9,"@",AY$7),choice!$D:$E,2,0)))</f>
        <v/>
      </c>
      <c r="AZ9" s="74" t="str">
        <f>IF($U9="","",IF(COUNTIF(choice!$D:$D,CONCATENATE($U9,"@",AZ$7))=0,"",VLOOKUP(CONCATENATE($U9,"@",AZ$7),choice!$D:$E,2,0)))</f>
        <v/>
      </c>
      <c r="BA9" s="74" t="str">
        <f>IF($U9="","",IF(COUNTIF(choice!$D:$D,CONCATENATE($U9,"@",BA$7))=0,"",VLOOKUP(CONCATENATE($U9,"@",BA$7),choice!$D:$E,2,0)))</f>
        <v/>
      </c>
      <c r="BB9" s="74" t="str">
        <f>IF($U9="","",IF(COUNTIF(choice!$D:$D,CONCATENATE($U9,"@",BB$7))=0,"",VLOOKUP(CONCATENATE($U9,"@",BB$7),choice!$D:$E,2,0)))</f>
        <v/>
      </c>
      <c r="BC9" s="74" t="str">
        <f>IF($U9="","",IF(COUNTIF(choice!$D:$D,CONCATENATE($U9,"@",BC$7))=0,"",VLOOKUP(CONCATENATE($U9,"@",BC$7),choice!$D:$E,2,0)))</f>
        <v/>
      </c>
      <c r="BD9" s="74" t="str">
        <f>IF($U9="","",IF(COUNTIF(choice!$D:$D,CONCATENATE($U9,"@",BD$7))=0,"",VLOOKUP(CONCATENATE($U9,"@",BD$7),choice!$D:$E,2,0)))</f>
        <v/>
      </c>
      <c r="BE9" s="74" t="str">
        <f>IF($U9="","",IF(COUNTIF(choice!$D:$D,CONCATENATE($U9,"@",BE$7))=0,"",VLOOKUP(CONCATENATE($U9,"@",BE$7),choice!$D:$E,2,0)))</f>
        <v/>
      </c>
      <c r="BF9" s="74" t="str">
        <f>IF($U9="","",IF(COUNTIF(choice!$D:$D,CONCATENATE($U9,"@",BF$7))=0,"",VLOOKUP(CONCATENATE($U9,"@",BF$7),choice!$D:$E,2,0)))</f>
        <v/>
      </c>
      <c r="BG9" s="74" t="str">
        <f>IF($U9="","",IF(COUNTIF(choice!$D:$D,CONCATENATE($U9,"@",BG$7))=0,"",VLOOKUP(CONCATENATE($U9,"@",BG$7),choice!$D:$E,2,0)))</f>
        <v/>
      </c>
      <c r="BH9" s="74" t="str">
        <f>IF($U9="","",IF(COUNTIF(choice!$D:$D,CONCATENATE($U9,"@",BH$7))=0,"",VLOOKUP(CONCATENATE($U9,"@",BH$7),choice!$D:$E,2,0)))</f>
        <v/>
      </c>
      <c r="BI9" s="74" t="str">
        <f>IF($U9="","",IF(COUNTIF(choice!$D:$D,CONCATENATE($U9,"@",BI$7))=0,"",VLOOKUP(CONCATENATE($U9,"@",BI$7),choice!$D:$E,2,0)))</f>
        <v/>
      </c>
      <c r="BJ9" s="74" t="str">
        <f>IF($U9="","",IF(COUNTIF(choice!$D:$D,CONCATENATE($U9,"@",BJ$7))=0,"",VLOOKUP(CONCATENATE($U9,"@",BJ$7),choice!$D:$E,2,0)))</f>
        <v/>
      </c>
      <c r="BK9" s="74" t="str">
        <f>IF($U9="","",IF(COUNTIF(choice!$D:$D,CONCATENATE($U9,"@",BK$7))=0,"",VLOOKUP(CONCATENATE($U9,"@",BK$7),choice!$D:$E,2,0)))</f>
        <v/>
      </c>
      <c r="BL9" s="74" t="str">
        <f>IF($U9="","",IF(COUNTIF(choice!$D:$D,CONCATENATE($U9,"@",BL$7))=0,"",VLOOKUP(CONCATENATE($U9,"@",BL$7),choice!$D:$E,2,0)))</f>
        <v/>
      </c>
      <c r="BM9" s="74" t="str">
        <f>IF($U9="","",IF(COUNTIF(choice!$D:$D,CONCATENATE($U9,"@",BM$7))=0,"",VLOOKUP(CONCATENATE($U9,"@",BM$7),choice!$D:$E,2,0)))</f>
        <v/>
      </c>
      <c r="BN9" s="74" t="str">
        <f>IF($U9="","",IF(COUNTIF(choice!$D:$D,CONCATENATE($U9,"@",BN$7))=0,"",VLOOKUP(CONCATENATE($U9,"@",BN$7),choice!$D:$E,2,0)))</f>
        <v/>
      </c>
      <c r="BO9" s="74" t="str">
        <f>IF($U9="","",IF(COUNTIF(choice!$D:$D,CONCATENATE($U9,"@",BO$7))=0,"",VLOOKUP(CONCATENATE($U9,"@",BO$7),choice!$D:$E,2,0)))</f>
        <v/>
      </c>
      <c r="BP9" s="74" t="str">
        <f>IF($U9="","",IF(COUNTIF(choice!$D:$D,CONCATENATE($U9,"@",BP$7))=0,"",VLOOKUP(CONCATENATE($U9,"@",BP$7),choice!$D:$E,2,0)))</f>
        <v/>
      </c>
      <c r="BQ9" s="74" t="str">
        <f>IF($U9="","",IF(COUNTIF(choice!$D:$D,CONCATENATE($U9,"@",BQ$7))=0,"",VLOOKUP(CONCATENATE($U9,"@",BQ$7),choice!$D:$E,2,0)))</f>
        <v/>
      </c>
      <c r="BR9" s="74" t="str">
        <f>IF($U9="","",IF(COUNTIF(choice!$D:$D,CONCATENATE($U9,"@",BR$7))=0,"",VLOOKUP(CONCATENATE($U9,"@",BR$7),choice!$D:$E,2,0)))</f>
        <v/>
      </c>
      <c r="BS9" s="74" t="str">
        <f>IF($U9="","",IF(COUNTIF(choice!$D:$D,CONCATENATE($U9,"@",BS$7))=0,"",VLOOKUP(CONCATENATE($U9,"@",BS$7),choice!$D:$E,2,0)))</f>
        <v/>
      </c>
      <c r="BT9" s="74" t="str">
        <f>IF($U9="","",IF(COUNTIF(choice!$D:$D,CONCATENATE($U9,"@",BT$7))=0,"",VLOOKUP(CONCATENATE($U9,"@",BT$7),choice!$D:$E,2,0)))</f>
        <v/>
      </c>
      <c r="BU9" s="74" t="str">
        <f>IF($U9="","",IF(COUNTIF(choice!$D:$D,CONCATENATE($U9,"@",BU$7))=0,"",VLOOKUP(CONCATENATE($U9,"@",BU$7),choice!$D:$E,2,0)))</f>
        <v/>
      </c>
      <c r="BV9" s="74" t="str">
        <f>IF($U9="","",IF(COUNTIF(choice!$D:$D,CONCATENATE($U9,"@",BV$7))=0,"",VLOOKUP(CONCATENATE($U9,"@",BV$7),choice!$D:$E,2,0)))</f>
        <v/>
      </c>
      <c r="BW9" s="74" t="str">
        <f>IF($U9="","",IF(COUNTIF(choice!$D:$D,CONCATENATE($U9,"@",BW$7))=0,"",VLOOKUP(CONCATENATE($U9,"@",BW$7),choice!$D:$E,2,0)))</f>
        <v/>
      </c>
      <c r="BX9" s="74" t="str">
        <f>IF($U9="","",IF(COUNTIF(choice!$D:$D,CONCATENATE($U9,"@",BX$7))=0,"",VLOOKUP(CONCATENATE($U9,"@",BX$7),choice!$D:$E,2,0)))</f>
        <v/>
      </c>
      <c r="BY9" s="74" t="str">
        <f>IF($U9="","",IF(COUNTIF(choice!$D:$D,CONCATENATE($U9,"@",BY$7))=0,"",VLOOKUP(CONCATENATE($U9,"@",BY$7),choice!$D:$E,2,0)))</f>
        <v/>
      </c>
      <c r="BZ9" s="74" t="str">
        <f>IF($U9="","",IF(COUNTIF(choice!$D:$D,CONCATENATE($U9,"@",BZ$7))=0,"",VLOOKUP(CONCATENATE($U9,"@",BZ$7),choice!$D:$E,2,0)))</f>
        <v/>
      </c>
      <c r="CA9" s="74" t="str">
        <f>IF($U9="","",IF(COUNTIF(choice!$D:$D,CONCATENATE($U9,"@",CA$7))=0,"",VLOOKUP(CONCATENATE($U9,"@",CA$7),choice!$D:$E,2,0)))</f>
        <v/>
      </c>
      <c r="CB9" s="74" t="str">
        <f>IF($U9="","",IF(COUNTIF(choice!$D:$D,CONCATENATE($U9,"@",CB$7))=0,"",VLOOKUP(CONCATENATE($U9,"@",CB$7),choice!$D:$E,2,0)))</f>
        <v/>
      </c>
      <c r="CC9" s="74" t="str">
        <f>IF($U9="","",IF(COUNTIF(choice!$D:$D,CONCATENATE($U9,"@",CC$7))=0,"",VLOOKUP(CONCATENATE($U9,"@",CC$7),choice!$D:$E,2,0)))</f>
        <v/>
      </c>
      <c r="CD9" s="74" t="str">
        <f>IF($U9="","",IF(COUNTIF(choice!$D:$D,CONCATENATE($U9,"@",CD$7))=0,"",VLOOKUP(CONCATENATE($U9,"@",CD$7),choice!$D:$E,2,0)))</f>
        <v/>
      </c>
      <c r="CE9" s="74" t="str">
        <f>IF($U9="","",IF(COUNTIF(choice!$D:$D,CONCATENATE($U9,"@",CE$7))=0,"",VLOOKUP(CONCATENATE($U9,"@",CE$7),choice!$D:$E,2,0)))</f>
        <v/>
      </c>
      <c r="CF9" s="74" t="str">
        <f>IF($U9="","",IF(COUNTIF(choice!$D:$D,CONCATENATE($U9,"@",CF$7))=0,"",VLOOKUP(CONCATENATE($U9,"@",CF$7),choice!$D:$E,2,0)))</f>
        <v/>
      </c>
      <c r="CG9" s="74" t="str">
        <f>IF($U9="","",IF(COUNTIF(choice!$D:$D,CONCATENATE($U9,"@",CG$7))=0,"",VLOOKUP(CONCATENATE($U9,"@",CG$7),choice!$D:$E,2,0)))</f>
        <v/>
      </c>
      <c r="CH9" s="74" t="str">
        <f>IF($U9="","",IF(COUNTIF(choice!$D:$D,CONCATENATE($U9,"@",CH$7))=0,"",VLOOKUP(CONCATENATE($U9,"@",CH$7),choice!$D:$E,2,0)))</f>
        <v/>
      </c>
      <c r="CI9" s="74" t="str">
        <f>IF($U9="","",IF(COUNTIF(choice!$D:$D,CONCATENATE($U9,"@",CI$7))=0,"",VLOOKUP(CONCATENATE($U9,"@",CI$7),choice!$D:$E,2,0)))</f>
        <v/>
      </c>
      <c r="CJ9" s="81" t="str">
        <f>IF($U9="","",IF(COUNTIF(choice!$D:$D,CONCATENATE($U9,"@",CJ$7))=0,"",VLOOKUP(CONCATENATE($U9,"@",CJ$7),choice!$D:$E,2,0)))</f>
        <v/>
      </c>
      <c r="CK9" s="80" t="str">
        <f>IF($V9="","",IF(COUNTIF(choice!$D:$D,CONCATENATE($V9,"@",CK$7))=0,"",VLOOKUP(CONCATENATE($V9,"@",CK$7),choice!$D:$E,2,0)))</f>
        <v/>
      </c>
      <c r="CL9" s="74" t="str">
        <f>IF($V9="","",IF(COUNTIF(choice!$D:$D,CONCATENATE($V9,"@",CL$7))=0,"",VLOOKUP(CONCATENATE($V9,"@",CL$7),choice!$D:$E,2,0)))</f>
        <v/>
      </c>
      <c r="CM9" s="74" t="str">
        <f>IF($V9="","",IF(COUNTIF(choice!$D:$D,CONCATENATE($V9,"@",CM$7))=0,"",VLOOKUP(CONCATENATE($V9,"@",CM$7),choice!$D:$E,2,0)))</f>
        <v/>
      </c>
      <c r="CN9" s="74" t="str">
        <f>IF($V9="","",IF(COUNTIF(choice!$D:$D,CONCATENATE($V9,"@",CN$7))=0,"",VLOOKUP(CONCATENATE($V9,"@",CN$7),choice!$D:$E,2,0)))</f>
        <v/>
      </c>
      <c r="CO9" s="74" t="str">
        <f>IF($V9="","",IF(COUNTIF(choice!$D:$D,CONCATENATE($V9,"@",CO$7))=0,"",VLOOKUP(CONCATENATE($V9,"@",CO$7),choice!$D:$E,2,0)))</f>
        <v/>
      </c>
      <c r="CP9" s="74" t="str">
        <f>IF($V9="","",IF(COUNTIF(choice!$D:$D,CONCATENATE($V9,"@",CP$7))=0,"",VLOOKUP(CONCATENATE($V9,"@",CP$7),choice!$D:$E,2,0)))</f>
        <v/>
      </c>
      <c r="CQ9" s="74" t="str">
        <f>IF($V9="","",IF(COUNTIF(choice!$D:$D,CONCATENATE($V9,"@",CQ$7))=0,"",VLOOKUP(CONCATENATE($V9,"@",CQ$7),choice!$D:$E,2,0)))</f>
        <v/>
      </c>
      <c r="CR9" s="74" t="str">
        <f>IF($V9="","",IF(COUNTIF(choice!$D:$D,CONCATENATE($V9,"@",CR$7))=0,"",VLOOKUP(CONCATENATE($V9,"@",CR$7),choice!$D:$E,2,0)))</f>
        <v/>
      </c>
      <c r="CS9" s="74" t="str">
        <f>IF($V9="","",IF(COUNTIF(choice!$D:$D,CONCATENATE($V9,"@",CS$7))=0,"",VLOOKUP(CONCATENATE($V9,"@",CS$7),choice!$D:$E,2,0)))</f>
        <v/>
      </c>
      <c r="CT9" s="74" t="str">
        <f>IF($V9="","",IF(COUNTIF(choice!$D:$D,CONCATENATE($V9,"@",CT$7))=0,"",VLOOKUP(CONCATENATE($V9,"@",CT$7),choice!$D:$E,2,0)))</f>
        <v/>
      </c>
      <c r="CU9" s="74" t="str">
        <f>IF($V9="","",IF(COUNTIF(choice!$D:$D,CONCATENATE($V9,"@",CU$7))=0,"",VLOOKUP(CONCATENATE($V9,"@",CU$7),choice!$D:$E,2,0)))</f>
        <v/>
      </c>
      <c r="CV9" s="74" t="str">
        <f>IF($V9="","",IF(COUNTIF(choice!$D:$D,CONCATENATE($V9,"@",CV$7))=0,"",VLOOKUP(CONCATENATE($V9,"@",CV$7),choice!$D:$E,2,0)))</f>
        <v/>
      </c>
      <c r="CW9" s="74" t="str">
        <f>IF($V9="","",IF(COUNTIF(choice!$D:$D,CONCATENATE($V9,"@",CW$7))=0,"",VLOOKUP(CONCATENATE($V9,"@",CW$7),choice!$D:$E,2,0)))</f>
        <v/>
      </c>
      <c r="CX9" s="74" t="str">
        <f>IF($V9="","",IF(COUNTIF(choice!$D:$D,CONCATENATE($V9,"@",CX$7))=0,"",VLOOKUP(CONCATENATE($V9,"@",CX$7),choice!$D:$E,2,0)))</f>
        <v/>
      </c>
      <c r="CY9" s="74" t="str">
        <f>IF($V9="","",IF(COUNTIF(choice!$D:$D,CONCATENATE($V9,"@",CY$7))=0,"",VLOOKUP(CONCATENATE($V9,"@",CY$7),choice!$D:$E,2,0)))</f>
        <v/>
      </c>
      <c r="CZ9" s="74" t="str">
        <f>IF($V9="","",IF(COUNTIF(choice!$D:$D,CONCATENATE($V9,"@",CZ$7))=0,"",VLOOKUP(CONCATENATE($V9,"@",CZ$7),choice!$D:$E,2,0)))</f>
        <v/>
      </c>
      <c r="DA9" s="74" t="str">
        <f>IF($V9="","",IF(COUNTIF(choice!$D:$D,CONCATENATE($V9,"@",DA$7))=0,"",VLOOKUP(CONCATENATE($V9,"@",DA$7),choice!$D:$E,2,0)))</f>
        <v/>
      </c>
      <c r="DB9" s="74" t="str">
        <f>IF($V9="","",IF(COUNTIF(choice!$D:$D,CONCATENATE($V9,"@",DB$7))=0,"",VLOOKUP(CONCATENATE($V9,"@",DB$7),choice!$D:$E,2,0)))</f>
        <v/>
      </c>
      <c r="DC9" s="74" t="str">
        <f>IF($V9="","",IF(COUNTIF(choice!$D:$D,CONCATENATE($V9,"@",DC$7))=0,"",VLOOKUP(CONCATENATE($V9,"@",DC$7),choice!$D:$E,2,0)))</f>
        <v/>
      </c>
      <c r="DD9" s="74" t="str">
        <f>IF($V9="","",IF(COUNTIF(choice!$D:$D,CONCATENATE($V9,"@",DD$7))=0,"",VLOOKUP(CONCATENATE($V9,"@",DD$7),choice!$D:$E,2,0)))</f>
        <v/>
      </c>
      <c r="DE9" s="74" t="str">
        <f>IF($V9="","",IF(COUNTIF(choice!$D:$D,CONCATENATE($V9,"@",DE$7))=0,"",VLOOKUP(CONCATENATE($V9,"@",DE$7),choice!$D:$E,2,0)))</f>
        <v/>
      </c>
      <c r="DF9" s="74" t="str">
        <f>IF($V9="","",IF(COUNTIF(choice!$D:$D,CONCATENATE($V9,"@",DF$7))=0,"",VLOOKUP(CONCATENATE($V9,"@",DF$7),choice!$D:$E,2,0)))</f>
        <v/>
      </c>
      <c r="DG9" s="74" t="str">
        <f>IF($V9="","",IF(COUNTIF(choice!$D:$D,CONCATENATE($V9,"@",DG$7))=0,"",VLOOKUP(CONCATENATE($V9,"@",DG$7),choice!$D:$E,2,0)))</f>
        <v/>
      </c>
      <c r="DH9" s="74" t="str">
        <f>IF($V9="","",IF(COUNTIF(choice!$D:$D,CONCATENATE($V9,"@",DH$7))=0,"",VLOOKUP(CONCATENATE($V9,"@",DH$7),choice!$D:$E,2,0)))</f>
        <v/>
      </c>
      <c r="DI9" s="74" t="str">
        <f>IF($V9="","",IF(COUNTIF(choice!$D:$D,CONCATENATE($V9,"@",DI$7))=0,"",VLOOKUP(CONCATENATE($V9,"@",DI$7),choice!$D:$E,2,0)))</f>
        <v/>
      </c>
      <c r="DJ9" s="74" t="str">
        <f>IF($V9="","",IF(COUNTIF(choice!$D:$D,CONCATENATE($V9,"@",DJ$7))=0,"",VLOOKUP(CONCATENATE($V9,"@",DJ$7),choice!$D:$E,2,0)))</f>
        <v/>
      </c>
      <c r="DK9" s="74" t="str">
        <f>IF($V9="","",IF(COUNTIF(choice!$D:$D,CONCATENATE($V9,"@",DK$7))=0,"",VLOOKUP(CONCATENATE($V9,"@",DK$7),choice!$D:$E,2,0)))</f>
        <v/>
      </c>
      <c r="DL9" s="74" t="str">
        <f>IF($V9="","",IF(COUNTIF(choice!$D:$D,CONCATENATE($V9,"@",DL$7))=0,"",VLOOKUP(CONCATENATE($V9,"@",DL$7),choice!$D:$E,2,0)))</f>
        <v/>
      </c>
      <c r="DM9" s="74" t="str">
        <f>IF($V9="","",IF(COUNTIF(choice!$D:$D,CONCATENATE($V9,"@",DM$7))=0,"",VLOOKUP(CONCATENATE($V9,"@",DM$7),choice!$D:$E,2,0)))</f>
        <v/>
      </c>
      <c r="DN9" s="74" t="str">
        <f>IF($V9="","",IF(COUNTIF(choice!$D:$D,CONCATENATE($V9,"@",DN$7))=0,"",VLOOKUP(CONCATENATE($V9,"@",DN$7),choice!$D:$E,2,0)))</f>
        <v/>
      </c>
      <c r="DO9" s="74" t="str">
        <f>IF($V9="","",IF(COUNTIF(choice!$D:$D,CONCATENATE($V9,"@",DO$7))=0,"",VLOOKUP(CONCATENATE($V9,"@",DO$7),choice!$D:$E,2,0)))</f>
        <v/>
      </c>
      <c r="DP9" s="74" t="str">
        <f>IF($V9="","",IF(COUNTIF(choice!$D:$D,CONCATENATE($V9,"@",DP$7))=0,"",VLOOKUP(CONCATENATE($V9,"@",DP$7),choice!$D:$E,2,0)))</f>
        <v/>
      </c>
      <c r="DQ9" s="74" t="str">
        <f>IF($V9="","",IF(COUNTIF(choice!$D:$D,CONCATENATE($V9,"@",DQ$7))=0,"",VLOOKUP(CONCATENATE($V9,"@",DQ$7),choice!$D:$E,2,0)))</f>
        <v/>
      </c>
      <c r="DR9" s="74" t="str">
        <f>IF($V9="","",IF(COUNTIF(choice!$D:$D,CONCATENATE($V9,"@",DR$7))=0,"",VLOOKUP(CONCATENATE($V9,"@",DR$7),choice!$D:$E,2,0)))</f>
        <v/>
      </c>
      <c r="DS9" s="74" t="str">
        <f>IF($V9="","",IF(COUNTIF(choice!$D:$D,CONCATENATE($V9,"@",DS$7))=0,"",VLOOKUP(CONCATENATE($V9,"@",DS$7),choice!$D:$E,2,0)))</f>
        <v/>
      </c>
      <c r="DT9" s="74" t="str">
        <f>IF($V9="","",IF(COUNTIF(choice!$D:$D,CONCATENATE($V9,"@",DT$7))=0,"",VLOOKUP(CONCATENATE($V9,"@",DT$7),choice!$D:$E,2,0)))</f>
        <v/>
      </c>
      <c r="DU9" s="74" t="str">
        <f>IF($V9="","",IF(COUNTIF(choice!$D:$D,CONCATENATE($V9,"@",DU$7))=0,"",VLOOKUP(CONCATENATE($V9,"@",DU$7),choice!$D:$E,2,0)))</f>
        <v/>
      </c>
      <c r="DV9" s="74" t="str">
        <f>IF($V9="","",IF(COUNTIF(choice!$D:$D,CONCATENATE($V9,"@",DV$7))=0,"",VLOOKUP(CONCATENATE($V9,"@",DV$7),choice!$D:$E,2,0)))</f>
        <v/>
      </c>
      <c r="DW9" s="74" t="str">
        <f>IF($V9="","",IF(COUNTIF(choice!$D:$D,CONCATENATE($V9,"@",DW$7))=0,"",VLOOKUP(CONCATENATE($V9,"@",DW$7),choice!$D:$E,2,0)))</f>
        <v/>
      </c>
      <c r="DX9" s="74" t="str">
        <f>IF($V9="","",IF(COUNTIF(choice!$D:$D,CONCATENATE($V9,"@",DX$7))=0,"",VLOOKUP(CONCATENATE($V9,"@",DX$7),choice!$D:$E,2,0)))</f>
        <v/>
      </c>
      <c r="DY9" s="74" t="str">
        <f>IF($V9="","",IF(COUNTIF(choice!$D:$D,CONCATENATE($V9,"@",DY$7))=0,"",VLOOKUP(CONCATENATE($V9,"@",DY$7),choice!$D:$E,2,0)))</f>
        <v/>
      </c>
      <c r="DZ9" s="74" t="str">
        <f>IF($V9="","",IF(COUNTIF(choice!$D:$D,CONCATENATE($V9,"@",DZ$7))=0,"",VLOOKUP(CONCATENATE($V9,"@",DZ$7),choice!$D:$E,2,0)))</f>
        <v/>
      </c>
      <c r="EA9" s="74" t="str">
        <f>IF($V9="","",IF(COUNTIF(choice!$D:$D,CONCATENATE($V9,"@",EA$7))=0,"",VLOOKUP(CONCATENATE($V9,"@",EA$7),choice!$D:$E,2,0)))</f>
        <v/>
      </c>
      <c r="EB9" s="74" t="str">
        <f>IF($V9="","",IF(COUNTIF(choice!$D:$D,CONCATENATE($V9,"@",EB$7))=0,"",VLOOKUP(CONCATENATE($V9,"@",EB$7),choice!$D:$E,2,0)))</f>
        <v/>
      </c>
      <c r="EC9" s="81" t="str">
        <f>IF($V9="","",IF(COUNTIF(choice!$D:$D,CONCATENATE($V9,"@",EC$7))=0,"",VLOOKUP(CONCATENATE($V9,"@",EC$7),choice!$D:$E,2,0)))</f>
        <v/>
      </c>
      <c r="ED9" s="80" t="str">
        <f>IF($W9="","",IF(COUNTIF(choice!$D:$D,CONCATENATE($W9,"@",ED$7))=0,"",VLOOKUP(CONCATENATE($W9,"@",ED$7),choice!$D:$E,2,0)))</f>
        <v/>
      </c>
      <c r="EE9" s="74" t="str">
        <f>IF($W9="","",IF(COUNTIF(choice!$D:$D,CONCATENATE($W9,"@",EE$7))=0,"",VLOOKUP(CONCATENATE($W9,"@",EE$7),choice!$D:$E,2,0)))</f>
        <v/>
      </c>
      <c r="EF9" s="74" t="str">
        <f>IF($W9="","",IF(COUNTIF(choice!$D:$D,CONCATENATE($W9,"@",EF$7))=0,"",VLOOKUP(CONCATENATE($W9,"@",EF$7),choice!$D:$E,2,0)))</f>
        <v/>
      </c>
      <c r="EG9" s="74" t="str">
        <f>IF($W9="","",IF(COUNTIF(choice!$D:$D,CONCATENATE($W9,"@",EG$7))=0,"",VLOOKUP(CONCATENATE($W9,"@",EG$7),choice!$D:$E,2,0)))</f>
        <v/>
      </c>
      <c r="EH9" s="74" t="str">
        <f>IF($W9="","",IF(COUNTIF(choice!$D:$D,CONCATENATE($W9,"@",EH$7))=0,"",VLOOKUP(CONCATENATE($W9,"@",EH$7),choice!$D:$E,2,0)))</f>
        <v/>
      </c>
      <c r="EI9" s="74" t="str">
        <f>IF($W9="","",IF(COUNTIF(choice!$D:$D,CONCATENATE($W9,"@",EI$7))=0,"",VLOOKUP(CONCATENATE($W9,"@",EI$7),choice!$D:$E,2,0)))</f>
        <v/>
      </c>
      <c r="EJ9" s="74" t="str">
        <f>IF($W9="","",IF(COUNTIF(choice!$D:$D,CONCATENATE($W9,"@",EJ$7))=0,"",VLOOKUP(CONCATENATE($W9,"@",EJ$7),choice!$D:$E,2,0)))</f>
        <v/>
      </c>
      <c r="EK9" s="74" t="str">
        <f>IF($W9="","",IF(COUNTIF(choice!$D:$D,CONCATENATE($W9,"@",EK$7))=0,"",VLOOKUP(CONCATENATE($W9,"@",EK$7),choice!$D:$E,2,0)))</f>
        <v/>
      </c>
      <c r="EL9" s="74" t="str">
        <f>IF($W9="","",IF(COUNTIF(choice!$D:$D,CONCATENATE($W9,"@",EL$7))=0,"",VLOOKUP(CONCATENATE($W9,"@",EL$7),choice!$D:$E,2,0)))</f>
        <v/>
      </c>
      <c r="EM9" s="74" t="str">
        <f>IF($W9="","",IF(COUNTIF(choice!$D:$D,CONCATENATE($W9,"@",EM$7))=0,"",VLOOKUP(CONCATENATE($W9,"@",EM$7),choice!$D:$E,2,0)))</f>
        <v/>
      </c>
      <c r="EN9" s="74" t="str">
        <f>IF($W9="","",IF(COUNTIF(choice!$D:$D,CONCATENATE($W9,"@",EN$7))=0,"",VLOOKUP(CONCATENATE($W9,"@",EN$7),choice!$D:$E,2,0)))</f>
        <v/>
      </c>
      <c r="EO9" s="74" t="str">
        <f>IF($W9="","",IF(COUNTIF(choice!$D:$D,CONCATENATE($W9,"@",EO$7))=0,"",VLOOKUP(CONCATENATE($W9,"@",EO$7),choice!$D:$E,2,0)))</f>
        <v/>
      </c>
      <c r="EP9" s="74" t="str">
        <f>IF($W9="","",IF(COUNTIF(choice!$D:$D,CONCATENATE($W9,"@",EP$7))=0,"",VLOOKUP(CONCATENATE($W9,"@",EP$7),choice!$D:$E,2,0)))</f>
        <v/>
      </c>
      <c r="EQ9" s="74" t="str">
        <f>IF($W9="","",IF(COUNTIF(choice!$D:$D,CONCATENATE($W9,"@",EQ$7))=0,"",VLOOKUP(CONCATENATE($W9,"@",EQ$7),choice!$D:$E,2,0)))</f>
        <v/>
      </c>
      <c r="ER9" s="74" t="str">
        <f>IF($W9="","",IF(COUNTIF(choice!$D:$D,CONCATENATE($W9,"@",ER$7))=0,"",VLOOKUP(CONCATENATE($W9,"@",ER$7),choice!$D:$E,2,0)))</f>
        <v/>
      </c>
      <c r="ES9" s="74" t="str">
        <f>IF($W9="","",IF(COUNTIF(choice!$D:$D,CONCATENATE($W9,"@",ES$7))=0,"",VLOOKUP(CONCATENATE($W9,"@",ES$7),choice!$D:$E,2,0)))</f>
        <v/>
      </c>
      <c r="ET9" s="74" t="str">
        <f>IF($W9="","",IF(COUNTIF(choice!$D:$D,CONCATENATE($W9,"@",ET$7))=0,"",VLOOKUP(CONCATENATE($W9,"@",ET$7),choice!$D:$E,2,0)))</f>
        <v/>
      </c>
      <c r="EU9" s="74" t="str">
        <f>IF($W9="","",IF(COUNTIF(choice!$D:$D,CONCATENATE($W9,"@",EU$7))=0,"",VLOOKUP(CONCATENATE($W9,"@",EU$7),choice!$D:$E,2,0)))</f>
        <v/>
      </c>
      <c r="EV9" s="74" t="str">
        <f>IF($W9="","",IF(COUNTIF(choice!$D:$D,CONCATENATE($W9,"@",EV$7))=0,"",VLOOKUP(CONCATENATE($W9,"@",EV$7),choice!$D:$E,2,0)))</f>
        <v/>
      </c>
      <c r="EW9" s="74" t="str">
        <f>IF($W9="","",IF(COUNTIF(choice!$D:$D,CONCATENATE($W9,"@",EW$7))=0,"",VLOOKUP(CONCATENATE($W9,"@",EW$7),choice!$D:$E,2,0)))</f>
        <v/>
      </c>
      <c r="EX9" s="74" t="str">
        <f>IF($W9="","",IF(COUNTIF(choice!$D:$D,CONCATENATE($W9,"@",EX$7))=0,"",VLOOKUP(CONCATENATE($W9,"@",EX$7),choice!$D:$E,2,0)))</f>
        <v/>
      </c>
      <c r="EY9" s="74" t="str">
        <f>IF($W9="","",IF(COUNTIF(choice!$D:$D,CONCATENATE($W9,"@",EY$7))=0,"",VLOOKUP(CONCATENATE($W9,"@",EY$7),choice!$D:$E,2,0)))</f>
        <v/>
      </c>
      <c r="EZ9" s="74" t="str">
        <f>IF($W9="","",IF(COUNTIF(choice!$D:$D,CONCATENATE($W9,"@",EZ$7))=0,"",VLOOKUP(CONCATENATE($W9,"@",EZ$7),choice!$D:$E,2,0)))</f>
        <v/>
      </c>
      <c r="FA9" s="74" t="str">
        <f>IF($W9="","",IF(COUNTIF(choice!$D:$D,CONCATENATE($W9,"@",FA$7))=0,"",VLOOKUP(CONCATENATE($W9,"@",FA$7),choice!$D:$E,2,0)))</f>
        <v/>
      </c>
      <c r="FB9" s="74" t="str">
        <f>IF($W9="","",IF(COUNTIF(choice!$D:$D,CONCATENATE($W9,"@",FB$7))=0,"",VLOOKUP(CONCATENATE($W9,"@",FB$7),choice!$D:$E,2,0)))</f>
        <v/>
      </c>
      <c r="FC9" s="74" t="str">
        <f>IF($W9="","",IF(COUNTIF(choice!$D:$D,CONCATENATE($W9,"@",FC$7))=0,"",VLOOKUP(CONCATENATE($W9,"@",FC$7),choice!$D:$E,2,0)))</f>
        <v/>
      </c>
      <c r="FD9" s="74" t="str">
        <f>IF($W9="","",IF(COUNTIF(choice!$D:$D,CONCATENATE($W9,"@",FD$7))=0,"",VLOOKUP(CONCATENATE($W9,"@",FD$7),choice!$D:$E,2,0)))</f>
        <v/>
      </c>
      <c r="FE9" s="74" t="str">
        <f>IF($W9="","",IF(COUNTIF(choice!$D:$D,CONCATENATE($W9,"@",FE$7))=0,"",VLOOKUP(CONCATENATE($W9,"@",FE$7),choice!$D:$E,2,0)))</f>
        <v/>
      </c>
      <c r="FF9" s="74" t="str">
        <f>IF($W9="","",IF(COUNTIF(choice!$D:$D,CONCATENATE($W9,"@",FF$7))=0,"",VLOOKUP(CONCATENATE($W9,"@",FF$7),choice!$D:$E,2,0)))</f>
        <v/>
      </c>
      <c r="FG9" s="74" t="str">
        <f>IF($W9="","",IF(COUNTIF(choice!$D:$D,CONCATENATE($W9,"@",FG$7))=0,"",VLOOKUP(CONCATENATE($W9,"@",FG$7),choice!$D:$E,2,0)))</f>
        <v/>
      </c>
      <c r="FH9" s="74" t="str">
        <f>IF($W9="","",IF(COUNTIF(choice!$D:$D,CONCATENATE($W9,"@",FH$7))=0,"",VLOOKUP(CONCATENATE($W9,"@",FH$7),choice!$D:$E,2,0)))</f>
        <v/>
      </c>
      <c r="FI9" s="74" t="str">
        <f>IF($W9="","",IF(COUNTIF(choice!$D:$D,CONCATENATE($W9,"@",FI$7))=0,"",VLOOKUP(CONCATENATE($W9,"@",FI$7),choice!$D:$E,2,0)))</f>
        <v/>
      </c>
      <c r="FJ9" s="74" t="str">
        <f>IF($W9="","",IF(COUNTIF(choice!$D:$D,CONCATENATE($W9,"@",FJ$7))=0,"",VLOOKUP(CONCATENATE($W9,"@",FJ$7),choice!$D:$E,2,0)))</f>
        <v/>
      </c>
      <c r="FK9" s="74" t="str">
        <f>IF($W9="","",IF(COUNTIF(choice!$D:$D,CONCATENATE($W9,"@",FK$7))=0,"",VLOOKUP(CONCATENATE($W9,"@",FK$7),choice!$D:$E,2,0)))</f>
        <v/>
      </c>
      <c r="FL9" s="74" t="str">
        <f>IF($W9="","",IF(COUNTIF(choice!$D:$D,CONCATENATE($W9,"@",FL$7))=0,"",VLOOKUP(CONCATENATE($W9,"@",FL$7),choice!$D:$E,2,0)))</f>
        <v/>
      </c>
      <c r="FM9" s="74" t="str">
        <f>IF($W9="","",IF(COUNTIF(choice!$D:$D,CONCATENATE($W9,"@",FM$7))=0,"",VLOOKUP(CONCATENATE($W9,"@",FM$7),choice!$D:$E,2,0)))</f>
        <v/>
      </c>
      <c r="FN9" s="74" t="str">
        <f>IF($W9="","",IF(COUNTIF(choice!$D:$D,CONCATENATE($W9,"@",FN$7))=0,"",VLOOKUP(CONCATENATE($W9,"@",FN$7),choice!$D:$E,2,0)))</f>
        <v/>
      </c>
      <c r="FO9" s="74" t="str">
        <f>IF($W9="","",IF(COUNTIF(choice!$D:$D,CONCATENATE($W9,"@",FO$7))=0,"",VLOOKUP(CONCATENATE($W9,"@",FO$7),choice!$D:$E,2,0)))</f>
        <v/>
      </c>
      <c r="FP9" s="74" t="str">
        <f>IF($W9="","",IF(COUNTIF(choice!$D:$D,CONCATENATE($W9,"@",FP$7))=0,"",VLOOKUP(CONCATENATE($W9,"@",FP$7),choice!$D:$E,2,0)))</f>
        <v/>
      </c>
      <c r="FQ9" s="74" t="str">
        <f>IF($W9="","",IF(COUNTIF(choice!$D:$D,CONCATENATE($W9,"@",FQ$7))=0,"",VLOOKUP(CONCATENATE($W9,"@",FQ$7),choice!$D:$E,2,0)))</f>
        <v/>
      </c>
      <c r="FR9" s="74" t="str">
        <f>IF($W9="","",IF(COUNTIF(choice!$D:$D,CONCATENATE($W9,"@",FR$7))=0,"",VLOOKUP(CONCATENATE($W9,"@",FR$7),choice!$D:$E,2,0)))</f>
        <v/>
      </c>
      <c r="FS9" s="74" t="str">
        <f>IF($W9="","",IF(COUNTIF(choice!$D:$D,CONCATENATE($W9,"@",FS$7))=0,"",VLOOKUP(CONCATENATE($W9,"@",FS$7),choice!$D:$E,2,0)))</f>
        <v/>
      </c>
      <c r="FT9" s="74" t="str">
        <f>IF($W9="","",IF(COUNTIF(choice!$D:$D,CONCATENATE($W9,"@",FT$7))=0,"",VLOOKUP(CONCATENATE($W9,"@",FT$7),choice!$D:$E,2,0)))</f>
        <v/>
      </c>
      <c r="FU9" s="74" t="str">
        <f>IF($W9="","",IF(COUNTIF(choice!$D:$D,CONCATENATE($W9,"@",FU$7))=0,"",VLOOKUP(CONCATENATE($W9,"@",FU$7),choice!$D:$E,2,0)))</f>
        <v/>
      </c>
      <c r="FV9" s="81" t="str">
        <f>IF($W9="","",IF(COUNTIF(choice!$D:$D,CONCATENATE($W9,"@",FV$7))=0,"",VLOOKUP(CONCATENATE($W9,"@",FV$7),choice!$D:$E,2,0)))</f>
        <v/>
      </c>
      <c r="FW9" s="80" t="str">
        <f>IF($X9="","",IF(COUNTIF(choice!$D:$D,CONCATENATE($X9,"@",FW$7))=0,"",VLOOKUP(CONCATENATE($X9,"@",FW$7),choice!$D:$E,2,0)))</f>
        <v/>
      </c>
      <c r="FX9" s="74" t="str">
        <f>IF($X9="","",IF(COUNTIF(choice!$D:$D,CONCATENATE($X9,"@",FX$7))=0,"",VLOOKUP(CONCATENATE($X9,"@",FX$7),choice!$D:$E,2,0)))</f>
        <v/>
      </c>
      <c r="FY9" s="74" t="str">
        <f>IF($X9="","",IF(COUNTIF(choice!$D:$D,CONCATENATE($X9,"@",FY$7))=0,"",VLOOKUP(CONCATENATE($X9,"@",FY$7),choice!$D:$E,2,0)))</f>
        <v/>
      </c>
      <c r="FZ9" s="74" t="str">
        <f>IF($X9="","",IF(COUNTIF(choice!$D:$D,CONCATENATE($X9,"@",FZ$7))=0,"",VLOOKUP(CONCATENATE($X9,"@",FZ$7),choice!$D:$E,2,0)))</f>
        <v/>
      </c>
      <c r="GA9" s="74" t="str">
        <f>IF($X9="","",IF(COUNTIF(choice!$D:$D,CONCATENATE($X9,"@",GA$7))=0,"",VLOOKUP(CONCATENATE($X9,"@",GA$7),choice!$D:$E,2,0)))</f>
        <v/>
      </c>
      <c r="GB9" s="74" t="str">
        <f>IF($X9="","",IF(COUNTIF(choice!$D:$D,CONCATENATE($X9,"@",GB$7))=0,"",VLOOKUP(CONCATENATE($X9,"@",GB$7),choice!$D:$E,2,0)))</f>
        <v/>
      </c>
      <c r="GC9" s="74" t="str">
        <f>IF($X9="","",IF(COUNTIF(choice!$D:$D,CONCATENATE($X9,"@",GC$7))=0,"",VLOOKUP(CONCATENATE($X9,"@",GC$7),choice!$D:$E,2,0)))</f>
        <v/>
      </c>
      <c r="GD9" s="74" t="str">
        <f>IF($X9="","",IF(COUNTIF(choice!$D:$D,CONCATENATE($X9,"@",GD$7))=0,"",VLOOKUP(CONCATENATE($X9,"@",GD$7),choice!$D:$E,2,0)))</f>
        <v/>
      </c>
      <c r="GE9" s="74" t="str">
        <f>IF($X9="","",IF(COUNTIF(choice!$D:$D,CONCATENATE($X9,"@",GE$7))=0,"",VLOOKUP(CONCATENATE($X9,"@",GE$7),choice!$D:$E,2,0)))</f>
        <v/>
      </c>
      <c r="GF9" s="74" t="str">
        <f>IF($X9="","",IF(COUNTIF(choice!$D:$D,CONCATENATE($X9,"@",GF$7))=0,"",VLOOKUP(CONCATENATE($X9,"@",GF$7),choice!$D:$E,2,0)))</f>
        <v/>
      </c>
      <c r="GG9" s="74" t="str">
        <f>IF($X9="","",IF(COUNTIF(choice!$D:$D,CONCATENATE($X9,"@",GG$7))=0,"",VLOOKUP(CONCATENATE($X9,"@",GG$7),choice!$D:$E,2,0)))</f>
        <v/>
      </c>
      <c r="GH9" s="74" t="str">
        <f>IF($X9="","",IF(COUNTIF(choice!$D:$D,CONCATENATE($X9,"@",GH$7))=0,"",VLOOKUP(CONCATENATE($X9,"@",GH$7),choice!$D:$E,2,0)))</f>
        <v/>
      </c>
      <c r="GI9" s="74" t="str">
        <f>IF($X9="","",IF(COUNTIF(choice!$D:$D,CONCATENATE($X9,"@",GI$7))=0,"",VLOOKUP(CONCATENATE($X9,"@",GI$7),choice!$D:$E,2,0)))</f>
        <v/>
      </c>
      <c r="GJ9" s="74" t="str">
        <f>IF($X9="","",IF(COUNTIF(choice!$D:$D,CONCATENATE($X9,"@",GJ$7))=0,"",VLOOKUP(CONCATENATE($X9,"@",GJ$7),choice!$D:$E,2,0)))</f>
        <v/>
      </c>
      <c r="GK9" s="74" t="str">
        <f>IF($X9="","",IF(COUNTIF(choice!$D:$D,CONCATENATE($X9,"@",GK$7))=0,"",VLOOKUP(CONCATENATE($X9,"@",GK$7),choice!$D:$E,2,0)))</f>
        <v/>
      </c>
      <c r="GL9" s="74" t="str">
        <f>IF($X9="","",IF(COUNTIF(choice!$D:$D,CONCATENATE($X9,"@",GL$7))=0,"",VLOOKUP(CONCATENATE($X9,"@",GL$7),choice!$D:$E,2,0)))</f>
        <v/>
      </c>
      <c r="GM9" s="74" t="str">
        <f>IF($X9="","",IF(COUNTIF(choice!$D:$D,CONCATENATE($X9,"@",GM$7))=0,"",VLOOKUP(CONCATENATE($X9,"@",GM$7),choice!$D:$E,2,0)))</f>
        <v/>
      </c>
      <c r="GN9" s="74" t="str">
        <f>IF($X9="","",IF(COUNTIF(choice!$D:$D,CONCATENATE($X9,"@",GN$7))=0,"",VLOOKUP(CONCATENATE($X9,"@",GN$7),choice!$D:$E,2,0)))</f>
        <v/>
      </c>
      <c r="GO9" s="74" t="str">
        <f>IF($X9="","",IF(COUNTIF(choice!$D:$D,CONCATENATE($X9,"@",GO$7))=0,"",VLOOKUP(CONCATENATE($X9,"@",GO$7),choice!$D:$E,2,0)))</f>
        <v/>
      </c>
      <c r="GP9" s="74" t="str">
        <f>IF($X9="","",IF(COUNTIF(choice!$D:$D,CONCATENATE($X9,"@",GP$7))=0,"",VLOOKUP(CONCATENATE($X9,"@",GP$7),choice!$D:$E,2,0)))</f>
        <v/>
      </c>
      <c r="GQ9" s="74" t="str">
        <f>IF($X9="","",IF(COUNTIF(choice!$D:$D,CONCATENATE($X9,"@",GQ$7))=0,"",VLOOKUP(CONCATENATE($X9,"@",GQ$7),choice!$D:$E,2,0)))</f>
        <v/>
      </c>
      <c r="GR9" s="74" t="str">
        <f>IF($X9="","",IF(COUNTIF(choice!$D:$D,CONCATENATE($X9,"@",GR$7))=0,"",VLOOKUP(CONCATENATE($X9,"@",GR$7),choice!$D:$E,2,0)))</f>
        <v/>
      </c>
      <c r="GS9" s="74" t="str">
        <f>IF($X9="","",IF(COUNTIF(choice!$D:$D,CONCATENATE($X9,"@",GS$7))=0,"",VLOOKUP(CONCATENATE($X9,"@",GS$7),choice!$D:$E,2,0)))</f>
        <v/>
      </c>
      <c r="GT9" s="74" t="str">
        <f>IF($X9="","",IF(COUNTIF(choice!$D:$D,CONCATENATE($X9,"@",GT$7))=0,"",VLOOKUP(CONCATENATE($X9,"@",GT$7),choice!$D:$E,2,0)))</f>
        <v/>
      </c>
      <c r="GU9" s="74" t="str">
        <f>IF($X9="","",IF(COUNTIF(choice!$D:$D,CONCATENATE($X9,"@",GU$7))=0,"",VLOOKUP(CONCATENATE($X9,"@",GU$7),choice!$D:$E,2,0)))</f>
        <v/>
      </c>
      <c r="GV9" s="74" t="str">
        <f>IF($X9="","",IF(COUNTIF(choice!$D:$D,CONCATENATE($X9,"@",GV$7))=0,"",VLOOKUP(CONCATENATE($X9,"@",GV$7),choice!$D:$E,2,0)))</f>
        <v/>
      </c>
      <c r="GW9" s="74" t="str">
        <f>IF($X9="","",IF(COUNTIF(choice!$D:$D,CONCATENATE($X9,"@",GW$7))=0,"",VLOOKUP(CONCATENATE($X9,"@",GW$7),choice!$D:$E,2,0)))</f>
        <v/>
      </c>
      <c r="GX9" s="74" t="str">
        <f>IF($X9="","",IF(COUNTIF(choice!$D:$D,CONCATENATE($X9,"@",GX$7))=0,"",VLOOKUP(CONCATENATE($X9,"@",GX$7),choice!$D:$E,2,0)))</f>
        <v/>
      </c>
      <c r="GY9" s="74" t="str">
        <f>IF($X9="","",IF(COUNTIF(choice!$D:$D,CONCATENATE($X9,"@",GY$7))=0,"",VLOOKUP(CONCATENATE($X9,"@",GY$7),choice!$D:$E,2,0)))</f>
        <v/>
      </c>
      <c r="GZ9" s="74" t="str">
        <f>IF($X9="","",IF(COUNTIF(choice!$D:$D,CONCATENATE($X9,"@",GZ$7))=0,"",VLOOKUP(CONCATENATE($X9,"@",GZ$7),choice!$D:$E,2,0)))</f>
        <v/>
      </c>
      <c r="HA9" s="74" t="str">
        <f>IF($X9="","",IF(COUNTIF(choice!$D:$D,CONCATENATE($X9,"@",HA$7))=0,"",VLOOKUP(CONCATENATE($X9,"@",HA$7),choice!$D:$E,2,0)))</f>
        <v/>
      </c>
      <c r="HB9" s="74" t="str">
        <f>IF($X9="","",IF(COUNTIF(choice!$D:$D,CONCATENATE($X9,"@",HB$7))=0,"",VLOOKUP(CONCATENATE($X9,"@",HB$7),choice!$D:$E,2,0)))</f>
        <v/>
      </c>
      <c r="HC9" s="74" t="str">
        <f>IF($X9="","",IF(COUNTIF(choice!$D:$D,CONCATENATE($X9,"@",HC$7))=0,"",VLOOKUP(CONCATENATE($X9,"@",HC$7),choice!$D:$E,2,0)))</f>
        <v/>
      </c>
      <c r="HD9" s="74" t="str">
        <f>IF($X9="","",IF(COUNTIF(choice!$D:$D,CONCATENATE($X9,"@",HD$7))=0,"",VLOOKUP(CONCATENATE($X9,"@",HD$7),choice!$D:$E,2,0)))</f>
        <v/>
      </c>
      <c r="HE9" s="74" t="str">
        <f>IF($X9="","",IF(COUNTIF(choice!$D:$D,CONCATENATE($X9,"@",HE$7))=0,"",VLOOKUP(CONCATENATE($X9,"@",HE$7),choice!$D:$E,2,0)))</f>
        <v/>
      </c>
      <c r="HF9" s="74" t="str">
        <f>IF($X9="","",IF(COUNTIF(choice!$D:$D,CONCATENATE($X9,"@",HF$7))=0,"",VLOOKUP(CONCATENATE($X9,"@",HF$7),choice!$D:$E,2,0)))</f>
        <v/>
      </c>
      <c r="HG9" s="74" t="str">
        <f>IF($X9="","",IF(COUNTIF(choice!$D:$D,CONCATENATE($X9,"@",HG$7))=0,"",VLOOKUP(CONCATENATE($X9,"@",HG$7),choice!$D:$E,2,0)))</f>
        <v/>
      </c>
      <c r="HH9" s="74" t="str">
        <f>IF($X9="","",IF(COUNTIF(choice!$D:$D,CONCATENATE($X9,"@",HH$7))=0,"",VLOOKUP(CONCATENATE($X9,"@",HH$7),choice!$D:$E,2,0)))</f>
        <v/>
      </c>
      <c r="HI9" s="74" t="str">
        <f>IF($X9="","",IF(COUNTIF(choice!$D:$D,CONCATENATE($X9,"@",HI$7))=0,"",VLOOKUP(CONCATENATE($X9,"@",HI$7),choice!$D:$E,2,0)))</f>
        <v/>
      </c>
      <c r="HJ9" s="74" t="str">
        <f>IF($X9="","",IF(COUNTIF(choice!$D:$D,CONCATENATE($X9,"@",HJ$7))=0,"",VLOOKUP(CONCATENATE($X9,"@",HJ$7),choice!$D:$E,2,0)))</f>
        <v/>
      </c>
      <c r="HK9" s="74" t="str">
        <f>IF($X9="","",IF(COUNTIF(choice!$D:$D,CONCATENATE($X9,"@",HK$7))=0,"",VLOOKUP(CONCATENATE($X9,"@",HK$7),choice!$D:$E,2,0)))</f>
        <v/>
      </c>
      <c r="HL9" s="74" t="str">
        <f>IF($X9="","",IF(COUNTIF(choice!$D:$D,CONCATENATE($X9,"@",HL$7))=0,"",VLOOKUP(CONCATENATE($X9,"@",HL$7),choice!$D:$E,2,0)))</f>
        <v/>
      </c>
      <c r="HM9" s="74" t="str">
        <f>IF($X9="","",IF(COUNTIF(choice!$D:$D,CONCATENATE($X9,"@",HM$7))=0,"",VLOOKUP(CONCATENATE($X9,"@",HM$7),choice!$D:$E,2,0)))</f>
        <v/>
      </c>
      <c r="HN9" s="74" t="str">
        <f>IF($X9="","",IF(COUNTIF(choice!$D:$D,CONCATENATE($X9,"@",HN$7))=0,"",VLOOKUP(CONCATENATE($X9,"@",HN$7),choice!$D:$E,2,0)))</f>
        <v/>
      </c>
      <c r="HO9" s="81" t="str">
        <f>IF($X9="","",IF(COUNTIF(choice!$D:$D,CONCATENATE($X9,"@",HO$7))=0,"",VLOOKUP(CONCATENATE($X9,"@",HO$7),choice!$D:$E,2,0)))</f>
        <v/>
      </c>
      <c r="HP9" s="20" t="s">
        <v>54</v>
      </c>
      <c r="HQ9" s="20" t="s">
        <v>55</v>
      </c>
      <c r="HT9" s="74" t="s">
        <v>7</v>
      </c>
      <c r="HV9" s="74">
        <f t="shared" ref="HV9:HV21" si="20">IF(RIGHT(I9,4)="E AV",LEN(IC9)-LEN(SUBSTITUTE(IC9,"+",""))+1,0)</f>
        <v>0</v>
      </c>
      <c r="HW9" s="74">
        <f t="shared" ref="HW9:HW21" si="21">IF(RIGHT(I9,4)="E DT",LEN(IC9)-LEN(SUBSTITUTE(IC9,"+",""))+1,0)</f>
        <v>0</v>
      </c>
      <c r="HX9" s="74">
        <f t="shared" ref="HX9:HX21" si="22">IF(LEFT(I9,4)="E AV",LEN(IC9)-LEN(SUBSTITUTE(IC9,"+",""))+1,0)</f>
        <v>0</v>
      </c>
      <c r="HY9" s="74">
        <f t="shared" ref="HY9:HY21" si="23">IF(LEFT(I9,4)="E DT",LEN(IC9)-LEN(SUBSTITUTE(IC9,"+",""))+1,0)</f>
        <v>0</v>
      </c>
      <c r="HZ9" s="74">
        <f>HV9-HX9+HZ8</f>
        <v>0</v>
      </c>
      <c r="IA9" s="74">
        <f>HW9-HY9+IA8</f>
        <v>0</v>
      </c>
      <c r="IB9" s="74" t="str">
        <f>IF(COUNTIF(AQ9,"*02*")=0,IF(COUNTIF(AQ9,"*04*")=0,IF(RIGHT(I9,4)="E AV",IF(HZ8=0,"","SPAD"),IF(RIGHT(I9,4)="E DT",IF(IA8=0,"","SPAD"),"")),""),"")</f>
        <v/>
      </c>
      <c r="IC9" s="74" t="str">
        <f>IF(D9="","",IF(COUNTIFS(D9,"*'")++COUNTIFS(D9,"*""")=0,D9,IC8))</f>
        <v/>
      </c>
      <c r="ID9" s="74" t="str">
        <f t="shared" ref="ID9:ID20" si="24">IF(COUNTIFS(AQ9,"*04*")+COUNTIFS(AQ9,"*02*")&gt;0,IF(RIGHT(I9,4)="E AV",IF(HZ8=0,"","BLUE"),IF(RIGHT(I9,4)="E DT",IF(IA8=0,"","BLUE"),"")),"")</f>
        <v/>
      </c>
      <c r="IE9" s="74">
        <f t="shared" ref="IE9:IE20" si="25">IF(B9="","",B9)</f>
        <v>15</v>
      </c>
      <c r="IF9" s="74">
        <f>COUNTIFS(ID$8:ID9,"BLUE")</f>
        <v>0</v>
      </c>
      <c r="IG9" s="74" t="str">
        <f t="shared" ref="IG9:IG20" si="26">IF(ID9="","",IF(IF9=1,IE9,IF(IF9=0,"",CONCATENATE(", ",IE9))))</f>
        <v/>
      </c>
      <c r="IH9" s="74" t="str">
        <f>IF(COUNTIFS($AQ9,"*02*")=0,"",COUNTIFS(IJ$8:IJ9,"BLUE"))</f>
        <v/>
      </c>
      <c r="II9" s="74" t="str">
        <f>IF(COUNTIFS($AQ9,"*04*")=0,"",COUNTIFS(IK$8:IK9,"BLUE"))</f>
        <v/>
      </c>
      <c r="IJ9" s="74" t="str">
        <f>IF(COUNTIFS(AQ9,"*02*")&gt;0,IF(RIGHT(I9,4)="E AV",IF(HZ8=0,"","BLUE"),IF(RIGHT(I9,4)="E DT",IF(IA8=0,"","BLUE"),"")),"")</f>
        <v/>
      </c>
      <c r="IK9" s="74" t="str">
        <f>IF(COUNTIFS(AQ9,"*04*")&gt;0,IF(RIGHT(I9,4)="E AV",IF(HZ8=0,"","BLUE"),IF(RIGHT(I9,4)="E DT",IF(IA8=0,"","BLUE"),"")),"")</f>
        <v/>
      </c>
      <c r="IL9" s="74" t="str">
        <f t="shared" ref="IL9:IL20" si="27">IF(IJ9="","",IF(IH9=1,IE9,CONCATENATE(", ",IE9)))</f>
        <v/>
      </c>
      <c r="IM9" s="74" t="str">
        <f t="shared" ref="IM9:IM20" si="28">IF(IK9="","",IF(II9=1,$IE9,CONCATENATE(", ",$IE9)))</f>
        <v/>
      </c>
      <c r="IN9" s="74">
        <f>COUNTIFS(IJ$8:IJ9,"BLUE")</f>
        <v>0</v>
      </c>
      <c r="IO9" s="74">
        <f>COUNTIFS(IK$8:IK9,"BLUE")</f>
        <v>0</v>
      </c>
    </row>
    <row r="10" spans="1:249" s="20" customFormat="1" ht="28.5" customHeight="1">
      <c r="A10" s="33"/>
      <c r="B10" s="39">
        <v>16</v>
      </c>
      <c r="C10" s="155"/>
      <c r="D10" s="174"/>
      <c r="E10" s="88" t="e">
        <f>VLOOKUP(F10,'Radio Call Sign'!A:B,2)</f>
        <v>#N/A</v>
      </c>
      <c r="F10" s="88"/>
      <c r="G10" s="88" t="e">
        <f>VLOOKUP(H10,'Radio Call Sign'!A:B,2)</f>
        <v>#N/A</v>
      </c>
      <c r="H10" s="89"/>
      <c r="I10" s="89" t="str">
        <f t="shared" si="12"/>
        <v/>
      </c>
      <c r="J10" s="90" t="str">
        <f t="shared" si="17"/>
        <v/>
      </c>
      <c r="K10" s="86" t="str">
        <f t="shared" si="18"/>
        <v/>
      </c>
      <c r="L10" s="155"/>
      <c r="M10" s="190" t="str">
        <f t="shared" si="19"/>
        <v/>
      </c>
      <c r="N10" s="21"/>
      <c r="O10" s="21"/>
      <c r="P10" s="53"/>
      <c r="Q10" s="163" t="str">
        <f>IF(AA10="","",IF(COUNTIFS('overhead line area'!$D$3:$D$100,AA10)+COUNTIFS('overhead line area'!$D$3:$D$100,AB10)+COUNTIFS('overhead line area'!$D$3:$D$100,AC10)+COUNTIFS('overhead line area'!$D$3:$D$100,AD10)=0,"","*               "))</f>
        <v/>
      </c>
      <c r="R10" s="53"/>
      <c r="S10" s="24"/>
      <c r="U10" s="74"/>
      <c r="V10" s="74"/>
      <c r="W10" s="74"/>
      <c r="X10" s="74"/>
      <c r="Y10" s="74"/>
      <c r="AA10" s="74" t="str">
        <f t="shared" si="13"/>
        <v/>
      </c>
      <c r="AB10" s="74" t="str">
        <f t="shared" ref="AB10:AB20" si="29">IF(W10="","",CONCATENATE(V10,"-",W10))</f>
        <v/>
      </c>
      <c r="AC10" s="74" t="str">
        <f>IF(X10="","",CONCATENATE(W10,"-",X10))</f>
        <v/>
      </c>
      <c r="AD10" s="74" t="str">
        <f>IF(Y10="","",CONCATENATE(X10,"-",Y10))</f>
        <v/>
      </c>
      <c r="AF10" s="74" t="str">
        <f>IF(AA10="","",IF(COUNTIF(Route!$AM:$AM,'Train Movement Log (page.2)'!AA10)=0,"未有資料",VLOOKUP('Train Movement Log (page.2)'!AA10,Route!$AM:$AP,3,0)))</f>
        <v/>
      </c>
      <c r="AG10" s="74" t="str">
        <f>IF(AB10="","",IF(COUNTIF(Route!$AM:$AM,'Train Movement Log (page.2)'!AB10)=0,"未有資料",VLOOKUP('Train Movement Log (page.2)'!AB10,Route!$AM:$AP,3,0)))</f>
        <v/>
      </c>
      <c r="AH10" s="74" t="str">
        <f>IF(AC10="","",IF(COUNTIF(Route!$AM:$AM,'Train Movement Log (page.2)'!AC10)=0,"未有資料",VLOOKUP('Train Movement Log (page.2)'!AC10,Route!$AM:$AP,3,0)))</f>
        <v/>
      </c>
      <c r="AI10" s="74" t="str">
        <f>IF(AD10="","",IF(COUNTIF(Route!$AM:$AM,'Train Movement Log (page.2)'!AD10)=0,"未有資料",VLOOKUP('Train Movement Log (page.2)'!AD10,Route!$AM:$AP,3,0)))</f>
        <v/>
      </c>
      <c r="AK10" s="74" t="str">
        <f>IF(AA10="","",IF(COUNTIF(Route!$AM:$AM,'Train Movement Log (page.2)'!AA10)=0,"未有資料",VLOOKUP('Train Movement Log (page.2)'!AA10,Route!$AM:$AP,4,0)))</f>
        <v/>
      </c>
      <c r="AL10" s="74" t="str">
        <f>IF(AB10="","",IF(COUNTIF(Route!$AM:$AM,'Train Movement Log (page.2)'!AB10)=0,"未有資料",VLOOKUP('Train Movement Log (page.2)'!AB10,Route!$AM:$AP,4,0)))</f>
        <v/>
      </c>
      <c r="AM10" s="74" t="str">
        <f>IF(AC10="","",IF(COUNTIF(Route!$AM:$AM,'Train Movement Log (page.2)'!AC10)=0,"未有資料",VLOOKUP('Train Movement Log (page.2)'!AC10,Route!$AM:$AP,4,0)))</f>
        <v/>
      </c>
      <c r="AN10" s="74" t="str">
        <f>IF(AD10="","",IF(COUNTIF(Route!$AM:$AM,'Train Movement Log (page.2)'!AD10)=0,"未有資料",VLOOKUP('Train Movement Log (page.2)'!AD10,Route!$AM:$AP,4,0)))</f>
        <v/>
      </c>
      <c r="AP10" s="74" t="str">
        <f t="shared" si="15"/>
        <v/>
      </c>
      <c r="AQ10" s="76" t="str">
        <f t="shared" si="16"/>
        <v/>
      </c>
      <c r="AR10" s="80" t="str">
        <f>IF($U10="","",IF(COUNTIF(choice!$D:$D,CONCATENATE($U10,"@",AR$7))=0,"",VLOOKUP(CONCATENATE($U10,"@",AR$7),choice!$D:$E,2,0)))</f>
        <v/>
      </c>
      <c r="AS10" s="74" t="str">
        <f>IF($U10="","",IF(COUNTIF(choice!$D:$D,CONCATENATE($U10,"@",AS$7))=0,"",VLOOKUP(CONCATENATE($U10,"@",AS$7),choice!$D:$E,2,0)))</f>
        <v/>
      </c>
      <c r="AT10" s="74" t="str">
        <f>IF($U10="","",IF(COUNTIF(choice!$D:$D,CONCATENATE($U10,"@",AT$7))=0,"",VLOOKUP(CONCATENATE($U10,"@",AT$7),choice!$D:$E,2,0)))</f>
        <v/>
      </c>
      <c r="AU10" s="74" t="str">
        <f>IF($U10="","",IF(COUNTIF(choice!$D:$D,CONCATENATE($U10,"@",AU$7))=0,"",VLOOKUP(CONCATENATE($U10,"@",AU$7),choice!$D:$E,2,0)))</f>
        <v/>
      </c>
      <c r="AV10" s="74" t="str">
        <f>IF($U10="","",IF(COUNTIF(choice!$D:$D,CONCATENATE($U10,"@",AV$7))=0,"",VLOOKUP(CONCATENATE($U10,"@",AV$7),choice!$D:$E,2,0)))</f>
        <v/>
      </c>
      <c r="AW10" s="74" t="str">
        <f>IF($U10="","",IF(COUNTIF(choice!$D:$D,CONCATENATE($U10,"@",AW$7))=0,"",VLOOKUP(CONCATENATE($U10,"@",AW$7),choice!$D:$E,2,0)))</f>
        <v/>
      </c>
      <c r="AX10" s="74" t="str">
        <f>IF($U10="","",IF(COUNTIF(choice!$D:$D,CONCATENATE($U10,"@",AX$7))=0,"",VLOOKUP(CONCATENATE($U10,"@",AX$7),choice!$D:$E,2,0)))</f>
        <v/>
      </c>
      <c r="AY10" s="74" t="str">
        <f>IF($U10="","",IF(COUNTIF(choice!$D:$D,CONCATENATE($U10,"@",AY$7))=0,"",VLOOKUP(CONCATENATE($U10,"@",AY$7),choice!$D:$E,2,0)))</f>
        <v/>
      </c>
      <c r="AZ10" s="74" t="str">
        <f>IF($U10="","",IF(COUNTIF(choice!$D:$D,CONCATENATE($U10,"@",AZ$7))=0,"",VLOOKUP(CONCATENATE($U10,"@",AZ$7),choice!$D:$E,2,0)))</f>
        <v/>
      </c>
      <c r="BA10" s="74" t="str">
        <f>IF($U10="","",IF(COUNTIF(choice!$D:$D,CONCATENATE($U10,"@",BA$7))=0,"",VLOOKUP(CONCATENATE($U10,"@",BA$7),choice!$D:$E,2,0)))</f>
        <v/>
      </c>
      <c r="BB10" s="74" t="str">
        <f>IF($U10="","",IF(COUNTIF(choice!$D:$D,CONCATENATE($U10,"@",BB$7))=0,"",VLOOKUP(CONCATENATE($U10,"@",BB$7),choice!$D:$E,2,0)))</f>
        <v/>
      </c>
      <c r="BC10" s="74" t="str">
        <f>IF($U10="","",IF(COUNTIF(choice!$D:$D,CONCATENATE($U10,"@",BC$7))=0,"",VLOOKUP(CONCATENATE($U10,"@",BC$7),choice!$D:$E,2,0)))</f>
        <v/>
      </c>
      <c r="BD10" s="74" t="str">
        <f>IF($U10="","",IF(COUNTIF(choice!$D:$D,CONCATENATE($U10,"@",BD$7))=0,"",VLOOKUP(CONCATENATE($U10,"@",BD$7),choice!$D:$E,2,0)))</f>
        <v/>
      </c>
      <c r="BE10" s="74" t="str">
        <f>IF($U10="","",IF(COUNTIF(choice!$D:$D,CONCATENATE($U10,"@",BE$7))=0,"",VLOOKUP(CONCATENATE($U10,"@",BE$7),choice!$D:$E,2,0)))</f>
        <v/>
      </c>
      <c r="BF10" s="74" t="str">
        <f>IF($U10="","",IF(COUNTIF(choice!$D:$D,CONCATENATE($U10,"@",BF$7))=0,"",VLOOKUP(CONCATENATE($U10,"@",BF$7),choice!$D:$E,2,0)))</f>
        <v/>
      </c>
      <c r="BG10" s="74" t="str">
        <f>IF($U10="","",IF(COUNTIF(choice!$D:$D,CONCATENATE($U10,"@",BG$7))=0,"",VLOOKUP(CONCATENATE($U10,"@",BG$7),choice!$D:$E,2,0)))</f>
        <v/>
      </c>
      <c r="BH10" s="74" t="str">
        <f>IF($U10="","",IF(COUNTIF(choice!$D:$D,CONCATENATE($U10,"@",BH$7))=0,"",VLOOKUP(CONCATENATE($U10,"@",BH$7),choice!$D:$E,2,0)))</f>
        <v/>
      </c>
      <c r="BI10" s="74" t="str">
        <f>IF($U10="","",IF(COUNTIF(choice!$D:$D,CONCATENATE($U10,"@",BI$7))=0,"",VLOOKUP(CONCATENATE($U10,"@",BI$7),choice!$D:$E,2,0)))</f>
        <v/>
      </c>
      <c r="BJ10" s="74" t="str">
        <f>IF($U10="","",IF(COUNTIF(choice!$D:$D,CONCATENATE($U10,"@",BJ$7))=0,"",VLOOKUP(CONCATENATE($U10,"@",BJ$7),choice!$D:$E,2,0)))</f>
        <v/>
      </c>
      <c r="BK10" s="74" t="str">
        <f>IF($U10="","",IF(COUNTIF(choice!$D:$D,CONCATENATE($U10,"@",BK$7))=0,"",VLOOKUP(CONCATENATE($U10,"@",BK$7),choice!$D:$E,2,0)))</f>
        <v/>
      </c>
      <c r="BL10" s="74" t="str">
        <f>IF($U10="","",IF(COUNTIF(choice!$D:$D,CONCATENATE($U10,"@",BL$7))=0,"",VLOOKUP(CONCATENATE($U10,"@",BL$7),choice!$D:$E,2,0)))</f>
        <v/>
      </c>
      <c r="BM10" s="74" t="str">
        <f>IF($U10="","",IF(COUNTIF(choice!$D:$D,CONCATENATE($U10,"@",BM$7))=0,"",VLOOKUP(CONCATENATE($U10,"@",BM$7),choice!$D:$E,2,0)))</f>
        <v/>
      </c>
      <c r="BN10" s="74" t="str">
        <f>IF($U10="","",IF(COUNTIF(choice!$D:$D,CONCATENATE($U10,"@",BN$7))=0,"",VLOOKUP(CONCATENATE($U10,"@",BN$7),choice!$D:$E,2,0)))</f>
        <v/>
      </c>
      <c r="BO10" s="74" t="str">
        <f>IF($U10="","",IF(COUNTIF(choice!$D:$D,CONCATENATE($U10,"@",BO$7))=0,"",VLOOKUP(CONCATENATE($U10,"@",BO$7),choice!$D:$E,2,0)))</f>
        <v/>
      </c>
      <c r="BP10" s="74" t="str">
        <f>IF($U10="","",IF(COUNTIF(choice!$D:$D,CONCATENATE($U10,"@",BP$7))=0,"",VLOOKUP(CONCATENATE($U10,"@",BP$7),choice!$D:$E,2,0)))</f>
        <v/>
      </c>
      <c r="BQ10" s="74" t="str">
        <f>IF($U10="","",IF(COUNTIF(choice!$D:$D,CONCATENATE($U10,"@",BQ$7))=0,"",VLOOKUP(CONCATENATE($U10,"@",BQ$7),choice!$D:$E,2,0)))</f>
        <v/>
      </c>
      <c r="BR10" s="74" t="str">
        <f>IF($U10="","",IF(COUNTIF(choice!$D:$D,CONCATENATE($U10,"@",BR$7))=0,"",VLOOKUP(CONCATENATE($U10,"@",BR$7),choice!$D:$E,2,0)))</f>
        <v/>
      </c>
      <c r="BS10" s="74" t="str">
        <f>IF($U10="","",IF(COUNTIF(choice!$D:$D,CONCATENATE($U10,"@",BS$7))=0,"",VLOOKUP(CONCATENATE($U10,"@",BS$7),choice!$D:$E,2,0)))</f>
        <v/>
      </c>
      <c r="BT10" s="74" t="str">
        <f>IF($U10="","",IF(COUNTIF(choice!$D:$D,CONCATENATE($U10,"@",BT$7))=0,"",VLOOKUP(CONCATENATE($U10,"@",BT$7),choice!$D:$E,2,0)))</f>
        <v/>
      </c>
      <c r="BU10" s="74" t="str">
        <f>IF($U10="","",IF(COUNTIF(choice!$D:$D,CONCATENATE($U10,"@",BU$7))=0,"",VLOOKUP(CONCATENATE($U10,"@",BU$7),choice!$D:$E,2,0)))</f>
        <v/>
      </c>
      <c r="BV10" s="74" t="str">
        <f>IF($U10="","",IF(COUNTIF(choice!$D:$D,CONCATENATE($U10,"@",BV$7))=0,"",VLOOKUP(CONCATENATE($U10,"@",BV$7),choice!$D:$E,2,0)))</f>
        <v/>
      </c>
      <c r="BW10" s="74" t="str">
        <f>IF($U10="","",IF(COUNTIF(choice!$D:$D,CONCATENATE($U10,"@",BW$7))=0,"",VLOOKUP(CONCATENATE($U10,"@",BW$7),choice!$D:$E,2,0)))</f>
        <v/>
      </c>
      <c r="BX10" s="74" t="str">
        <f>IF($U10="","",IF(COUNTIF(choice!$D:$D,CONCATENATE($U10,"@",BX$7))=0,"",VLOOKUP(CONCATENATE($U10,"@",BX$7),choice!$D:$E,2,0)))</f>
        <v/>
      </c>
      <c r="BY10" s="74" t="str">
        <f>IF($U10="","",IF(COUNTIF(choice!$D:$D,CONCATENATE($U10,"@",BY$7))=0,"",VLOOKUP(CONCATENATE($U10,"@",BY$7),choice!$D:$E,2,0)))</f>
        <v/>
      </c>
      <c r="BZ10" s="74" t="str">
        <f>IF($U10="","",IF(COUNTIF(choice!$D:$D,CONCATENATE($U10,"@",BZ$7))=0,"",VLOOKUP(CONCATENATE($U10,"@",BZ$7),choice!$D:$E,2,0)))</f>
        <v/>
      </c>
      <c r="CA10" s="74" t="str">
        <f>IF($U10="","",IF(COUNTIF(choice!$D:$D,CONCATENATE($U10,"@",CA$7))=0,"",VLOOKUP(CONCATENATE($U10,"@",CA$7),choice!$D:$E,2,0)))</f>
        <v/>
      </c>
      <c r="CB10" s="74" t="str">
        <f>IF($U10="","",IF(COUNTIF(choice!$D:$D,CONCATENATE($U10,"@",CB$7))=0,"",VLOOKUP(CONCATENATE($U10,"@",CB$7),choice!$D:$E,2,0)))</f>
        <v/>
      </c>
      <c r="CC10" s="74" t="str">
        <f>IF($U10="","",IF(COUNTIF(choice!$D:$D,CONCATENATE($U10,"@",CC$7))=0,"",VLOOKUP(CONCATENATE($U10,"@",CC$7),choice!$D:$E,2,0)))</f>
        <v/>
      </c>
      <c r="CD10" s="74" t="str">
        <f>IF($U10="","",IF(COUNTIF(choice!$D:$D,CONCATENATE($U10,"@",CD$7))=0,"",VLOOKUP(CONCATENATE($U10,"@",CD$7),choice!$D:$E,2,0)))</f>
        <v/>
      </c>
      <c r="CE10" s="74" t="str">
        <f>IF($U10="","",IF(COUNTIF(choice!$D:$D,CONCATENATE($U10,"@",CE$7))=0,"",VLOOKUP(CONCATENATE($U10,"@",CE$7),choice!$D:$E,2,0)))</f>
        <v/>
      </c>
      <c r="CF10" s="74" t="str">
        <f>IF($U10="","",IF(COUNTIF(choice!$D:$D,CONCATENATE($U10,"@",CF$7))=0,"",VLOOKUP(CONCATENATE($U10,"@",CF$7),choice!$D:$E,2,0)))</f>
        <v/>
      </c>
      <c r="CG10" s="74" t="str">
        <f>IF($U10="","",IF(COUNTIF(choice!$D:$D,CONCATENATE($U10,"@",CG$7))=0,"",VLOOKUP(CONCATENATE($U10,"@",CG$7),choice!$D:$E,2,0)))</f>
        <v/>
      </c>
      <c r="CH10" s="74" t="str">
        <f>IF($U10="","",IF(COUNTIF(choice!$D:$D,CONCATENATE($U10,"@",CH$7))=0,"",VLOOKUP(CONCATENATE($U10,"@",CH$7),choice!$D:$E,2,0)))</f>
        <v/>
      </c>
      <c r="CI10" s="74" t="str">
        <f>IF($U10="","",IF(COUNTIF(choice!$D:$D,CONCATENATE($U10,"@",CI$7))=0,"",VLOOKUP(CONCATENATE($U10,"@",CI$7),choice!$D:$E,2,0)))</f>
        <v/>
      </c>
      <c r="CJ10" s="81" t="str">
        <f>IF($U10="","",IF(COUNTIF(choice!$D:$D,CONCATENATE($U10,"@",CJ$7))=0,"",VLOOKUP(CONCATENATE($U10,"@",CJ$7),choice!$D:$E,2,0)))</f>
        <v/>
      </c>
      <c r="CK10" s="80" t="str">
        <f>IF($V10="","",IF(COUNTIF(choice!$D:$D,CONCATENATE($V10,"@",CK$7))=0,"",VLOOKUP(CONCATENATE($V10,"@",CK$7),choice!$D:$E,2,0)))</f>
        <v/>
      </c>
      <c r="CL10" s="74" t="str">
        <f>IF($V10="","",IF(COUNTIF(choice!$D:$D,CONCATENATE($V10,"@",CL$7))=0,"",VLOOKUP(CONCATENATE($V10,"@",CL$7),choice!$D:$E,2,0)))</f>
        <v/>
      </c>
      <c r="CM10" s="74" t="str">
        <f>IF($V10="","",IF(COUNTIF(choice!$D:$D,CONCATENATE($V10,"@",CM$7))=0,"",VLOOKUP(CONCATENATE($V10,"@",CM$7),choice!$D:$E,2,0)))</f>
        <v/>
      </c>
      <c r="CN10" s="74" t="str">
        <f>IF($V10="","",IF(COUNTIF(choice!$D:$D,CONCATENATE($V10,"@",CN$7))=0,"",VLOOKUP(CONCATENATE($V10,"@",CN$7),choice!$D:$E,2,0)))</f>
        <v/>
      </c>
      <c r="CO10" s="74" t="str">
        <f>IF($V10="","",IF(COUNTIF(choice!$D:$D,CONCATENATE($V10,"@",CO$7))=0,"",VLOOKUP(CONCATENATE($V10,"@",CO$7),choice!$D:$E,2,0)))</f>
        <v/>
      </c>
      <c r="CP10" s="74" t="str">
        <f>IF($V10="","",IF(COUNTIF(choice!$D:$D,CONCATENATE($V10,"@",CP$7))=0,"",VLOOKUP(CONCATENATE($V10,"@",CP$7),choice!$D:$E,2,0)))</f>
        <v/>
      </c>
      <c r="CQ10" s="74" t="str">
        <f>IF($V10="","",IF(COUNTIF(choice!$D:$D,CONCATENATE($V10,"@",CQ$7))=0,"",VLOOKUP(CONCATENATE($V10,"@",CQ$7),choice!$D:$E,2,0)))</f>
        <v/>
      </c>
      <c r="CR10" s="74" t="str">
        <f>IF($V10="","",IF(COUNTIF(choice!$D:$D,CONCATENATE($V10,"@",CR$7))=0,"",VLOOKUP(CONCATENATE($V10,"@",CR$7),choice!$D:$E,2,0)))</f>
        <v/>
      </c>
      <c r="CS10" s="74" t="str">
        <f>IF($V10="","",IF(COUNTIF(choice!$D:$D,CONCATENATE($V10,"@",CS$7))=0,"",VLOOKUP(CONCATENATE($V10,"@",CS$7),choice!$D:$E,2,0)))</f>
        <v/>
      </c>
      <c r="CT10" s="74" t="str">
        <f>IF($V10="","",IF(COUNTIF(choice!$D:$D,CONCATENATE($V10,"@",CT$7))=0,"",VLOOKUP(CONCATENATE($V10,"@",CT$7),choice!$D:$E,2,0)))</f>
        <v/>
      </c>
      <c r="CU10" s="74" t="str">
        <f>IF($V10="","",IF(COUNTIF(choice!$D:$D,CONCATENATE($V10,"@",CU$7))=0,"",VLOOKUP(CONCATENATE($V10,"@",CU$7),choice!$D:$E,2,0)))</f>
        <v/>
      </c>
      <c r="CV10" s="74" t="str">
        <f>IF($V10="","",IF(COUNTIF(choice!$D:$D,CONCATENATE($V10,"@",CV$7))=0,"",VLOOKUP(CONCATENATE($V10,"@",CV$7),choice!$D:$E,2,0)))</f>
        <v/>
      </c>
      <c r="CW10" s="74" t="str">
        <f>IF($V10="","",IF(COUNTIF(choice!$D:$D,CONCATENATE($V10,"@",CW$7))=0,"",VLOOKUP(CONCATENATE($V10,"@",CW$7),choice!$D:$E,2,0)))</f>
        <v/>
      </c>
      <c r="CX10" s="74" t="str">
        <f>IF($V10="","",IF(COUNTIF(choice!$D:$D,CONCATENATE($V10,"@",CX$7))=0,"",VLOOKUP(CONCATENATE($V10,"@",CX$7),choice!$D:$E,2,0)))</f>
        <v/>
      </c>
      <c r="CY10" s="74" t="str">
        <f>IF($V10="","",IF(COUNTIF(choice!$D:$D,CONCATENATE($V10,"@",CY$7))=0,"",VLOOKUP(CONCATENATE($V10,"@",CY$7),choice!$D:$E,2,0)))</f>
        <v/>
      </c>
      <c r="CZ10" s="74" t="str">
        <f>IF($V10="","",IF(COUNTIF(choice!$D:$D,CONCATENATE($V10,"@",CZ$7))=0,"",VLOOKUP(CONCATENATE($V10,"@",CZ$7),choice!$D:$E,2,0)))</f>
        <v/>
      </c>
      <c r="DA10" s="74" t="str">
        <f>IF($V10="","",IF(COUNTIF(choice!$D:$D,CONCATENATE($V10,"@",DA$7))=0,"",VLOOKUP(CONCATENATE($V10,"@",DA$7),choice!$D:$E,2,0)))</f>
        <v/>
      </c>
      <c r="DB10" s="74" t="str">
        <f>IF($V10="","",IF(COUNTIF(choice!$D:$D,CONCATENATE($V10,"@",DB$7))=0,"",VLOOKUP(CONCATENATE($V10,"@",DB$7),choice!$D:$E,2,0)))</f>
        <v/>
      </c>
      <c r="DC10" s="74" t="str">
        <f>IF($V10="","",IF(COUNTIF(choice!$D:$D,CONCATENATE($V10,"@",DC$7))=0,"",VLOOKUP(CONCATENATE($V10,"@",DC$7),choice!$D:$E,2,0)))</f>
        <v/>
      </c>
      <c r="DD10" s="74" t="str">
        <f>IF($V10="","",IF(COUNTIF(choice!$D:$D,CONCATENATE($V10,"@",DD$7))=0,"",VLOOKUP(CONCATENATE($V10,"@",DD$7),choice!$D:$E,2,0)))</f>
        <v/>
      </c>
      <c r="DE10" s="74" t="str">
        <f>IF($V10="","",IF(COUNTIF(choice!$D:$D,CONCATENATE($V10,"@",DE$7))=0,"",VLOOKUP(CONCATENATE($V10,"@",DE$7),choice!$D:$E,2,0)))</f>
        <v/>
      </c>
      <c r="DF10" s="74" t="str">
        <f>IF($V10="","",IF(COUNTIF(choice!$D:$D,CONCATENATE($V10,"@",DF$7))=0,"",VLOOKUP(CONCATENATE($V10,"@",DF$7),choice!$D:$E,2,0)))</f>
        <v/>
      </c>
      <c r="DG10" s="74" t="str">
        <f>IF($V10="","",IF(COUNTIF(choice!$D:$D,CONCATENATE($V10,"@",DG$7))=0,"",VLOOKUP(CONCATENATE($V10,"@",DG$7),choice!$D:$E,2,0)))</f>
        <v/>
      </c>
      <c r="DH10" s="74" t="str">
        <f>IF($V10="","",IF(COUNTIF(choice!$D:$D,CONCATENATE($V10,"@",DH$7))=0,"",VLOOKUP(CONCATENATE($V10,"@",DH$7),choice!$D:$E,2,0)))</f>
        <v/>
      </c>
      <c r="DI10" s="74" t="str">
        <f>IF($V10="","",IF(COUNTIF(choice!$D:$D,CONCATENATE($V10,"@",DI$7))=0,"",VLOOKUP(CONCATENATE($V10,"@",DI$7),choice!$D:$E,2,0)))</f>
        <v/>
      </c>
      <c r="DJ10" s="74" t="str">
        <f>IF($V10="","",IF(COUNTIF(choice!$D:$D,CONCATENATE($V10,"@",DJ$7))=0,"",VLOOKUP(CONCATENATE($V10,"@",DJ$7),choice!$D:$E,2,0)))</f>
        <v/>
      </c>
      <c r="DK10" s="74" t="str">
        <f>IF($V10="","",IF(COUNTIF(choice!$D:$D,CONCATENATE($V10,"@",DK$7))=0,"",VLOOKUP(CONCATENATE($V10,"@",DK$7),choice!$D:$E,2,0)))</f>
        <v/>
      </c>
      <c r="DL10" s="74" t="str">
        <f>IF($V10="","",IF(COUNTIF(choice!$D:$D,CONCATENATE($V10,"@",DL$7))=0,"",VLOOKUP(CONCATENATE($V10,"@",DL$7),choice!$D:$E,2,0)))</f>
        <v/>
      </c>
      <c r="DM10" s="74" t="str">
        <f>IF($V10="","",IF(COUNTIF(choice!$D:$D,CONCATENATE($V10,"@",DM$7))=0,"",VLOOKUP(CONCATENATE($V10,"@",DM$7),choice!$D:$E,2,0)))</f>
        <v/>
      </c>
      <c r="DN10" s="74" t="str">
        <f>IF($V10="","",IF(COUNTIF(choice!$D:$D,CONCATENATE($V10,"@",DN$7))=0,"",VLOOKUP(CONCATENATE($V10,"@",DN$7),choice!$D:$E,2,0)))</f>
        <v/>
      </c>
      <c r="DO10" s="74" t="str">
        <f>IF($V10="","",IF(COUNTIF(choice!$D:$D,CONCATENATE($V10,"@",DO$7))=0,"",VLOOKUP(CONCATENATE($V10,"@",DO$7),choice!$D:$E,2,0)))</f>
        <v/>
      </c>
      <c r="DP10" s="74" t="str">
        <f>IF($V10="","",IF(COUNTIF(choice!$D:$D,CONCATENATE($V10,"@",DP$7))=0,"",VLOOKUP(CONCATENATE($V10,"@",DP$7),choice!$D:$E,2,0)))</f>
        <v/>
      </c>
      <c r="DQ10" s="74" t="str">
        <f>IF($V10="","",IF(COUNTIF(choice!$D:$D,CONCATENATE($V10,"@",DQ$7))=0,"",VLOOKUP(CONCATENATE($V10,"@",DQ$7),choice!$D:$E,2,0)))</f>
        <v/>
      </c>
      <c r="DR10" s="74" t="str">
        <f>IF($V10="","",IF(COUNTIF(choice!$D:$D,CONCATENATE($V10,"@",DR$7))=0,"",VLOOKUP(CONCATENATE($V10,"@",DR$7),choice!$D:$E,2,0)))</f>
        <v/>
      </c>
      <c r="DS10" s="74" t="str">
        <f>IF($V10="","",IF(COUNTIF(choice!$D:$D,CONCATENATE($V10,"@",DS$7))=0,"",VLOOKUP(CONCATENATE($V10,"@",DS$7),choice!$D:$E,2,0)))</f>
        <v/>
      </c>
      <c r="DT10" s="74" t="str">
        <f>IF($V10="","",IF(COUNTIF(choice!$D:$D,CONCATENATE($V10,"@",DT$7))=0,"",VLOOKUP(CONCATENATE($V10,"@",DT$7),choice!$D:$E,2,0)))</f>
        <v/>
      </c>
      <c r="DU10" s="74" t="str">
        <f>IF($V10="","",IF(COUNTIF(choice!$D:$D,CONCATENATE($V10,"@",DU$7))=0,"",VLOOKUP(CONCATENATE($V10,"@",DU$7),choice!$D:$E,2,0)))</f>
        <v/>
      </c>
      <c r="DV10" s="74" t="str">
        <f>IF($V10="","",IF(COUNTIF(choice!$D:$D,CONCATENATE($V10,"@",DV$7))=0,"",VLOOKUP(CONCATENATE($V10,"@",DV$7),choice!$D:$E,2,0)))</f>
        <v/>
      </c>
      <c r="DW10" s="74" t="str">
        <f>IF($V10="","",IF(COUNTIF(choice!$D:$D,CONCATENATE($V10,"@",DW$7))=0,"",VLOOKUP(CONCATENATE($V10,"@",DW$7),choice!$D:$E,2,0)))</f>
        <v/>
      </c>
      <c r="DX10" s="74" t="str">
        <f>IF($V10="","",IF(COUNTIF(choice!$D:$D,CONCATENATE($V10,"@",DX$7))=0,"",VLOOKUP(CONCATENATE($V10,"@",DX$7),choice!$D:$E,2,0)))</f>
        <v/>
      </c>
      <c r="DY10" s="74" t="str">
        <f>IF($V10="","",IF(COUNTIF(choice!$D:$D,CONCATENATE($V10,"@",DY$7))=0,"",VLOOKUP(CONCATENATE($V10,"@",DY$7),choice!$D:$E,2,0)))</f>
        <v/>
      </c>
      <c r="DZ10" s="74" t="str">
        <f>IF($V10="","",IF(COUNTIF(choice!$D:$D,CONCATENATE($V10,"@",DZ$7))=0,"",VLOOKUP(CONCATENATE($V10,"@",DZ$7),choice!$D:$E,2,0)))</f>
        <v/>
      </c>
      <c r="EA10" s="74" t="str">
        <f>IF($V10="","",IF(COUNTIF(choice!$D:$D,CONCATENATE($V10,"@",EA$7))=0,"",VLOOKUP(CONCATENATE($V10,"@",EA$7),choice!$D:$E,2,0)))</f>
        <v/>
      </c>
      <c r="EB10" s="74" t="str">
        <f>IF($V10="","",IF(COUNTIF(choice!$D:$D,CONCATENATE($V10,"@",EB$7))=0,"",VLOOKUP(CONCATENATE($V10,"@",EB$7),choice!$D:$E,2,0)))</f>
        <v/>
      </c>
      <c r="EC10" s="81" t="str">
        <f>IF($V10="","",IF(COUNTIF(choice!$D:$D,CONCATENATE($V10,"@",EC$7))=0,"",VLOOKUP(CONCATENATE($V10,"@",EC$7),choice!$D:$E,2,0)))</f>
        <v/>
      </c>
      <c r="ED10" s="80" t="str">
        <f>IF($W10="","",IF(COUNTIF(choice!$D:$D,CONCATENATE($W10,"@",ED$7))=0,"",VLOOKUP(CONCATENATE($W10,"@",ED$7),choice!$D:$E,2,0)))</f>
        <v/>
      </c>
      <c r="EE10" s="74" t="str">
        <f>IF($W10="","",IF(COUNTIF(choice!$D:$D,CONCATENATE($W10,"@",EE$7))=0,"",VLOOKUP(CONCATENATE($W10,"@",EE$7),choice!$D:$E,2,0)))</f>
        <v/>
      </c>
      <c r="EF10" s="74" t="str">
        <f>IF($W10="","",IF(COUNTIF(choice!$D:$D,CONCATENATE($W10,"@",EF$7))=0,"",VLOOKUP(CONCATENATE($W10,"@",EF$7),choice!$D:$E,2,0)))</f>
        <v/>
      </c>
      <c r="EG10" s="74" t="str">
        <f>IF($W10="","",IF(COUNTIF(choice!$D:$D,CONCATENATE($W10,"@",EG$7))=0,"",VLOOKUP(CONCATENATE($W10,"@",EG$7),choice!$D:$E,2,0)))</f>
        <v/>
      </c>
      <c r="EH10" s="74" t="str">
        <f>IF($W10="","",IF(COUNTIF(choice!$D:$D,CONCATENATE($W10,"@",EH$7))=0,"",VLOOKUP(CONCATENATE($W10,"@",EH$7),choice!$D:$E,2,0)))</f>
        <v/>
      </c>
      <c r="EI10" s="74" t="str">
        <f>IF($W10="","",IF(COUNTIF(choice!$D:$D,CONCATENATE($W10,"@",EI$7))=0,"",VLOOKUP(CONCATENATE($W10,"@",EI$7),choice!$D:$E,2,0)))</f>
        <v/>
      </c>
      <c r="EJ10" s="74" t="str">
        <f>IF($W10="","",IF(COUNTIF(choice!$D:$D,CONCATENATE($W10,"@",EJ$7))=0,"",VLOOKUP(CONCATENATE($W10,"@",EJ$7),choice!$D:$E,2,0)))</f>
        <v/>
      </c>
      <c r="EK10" s="74" t="str">
        <f>IF($W10="","",IF(COUNTIF(choice!$D:$D,CONCATENATE($W10,"@",EK$7))=0,"",VLOOKUP(CONCATENATE($W10,"@",EK$7),choice!$D:$E,2,0)))</f>
        <v/>
      </c>
      <c r="EL10" s="74" t="str">
        <f>IF($W10="","",IF(COUNTIF(choice!$D:$D,CONCATENATE($W10,"@",EL$7))=0,"",VLOOKUP(CONCATENATE($W10,"@",EL$7),choice!$D:$E,2,0)))</f>
        <v/>
      </c>
      <c r="EM10" s="74" t="str">
        <f>IF($W10="","",IF(COUNTIF(choice!$D:$D,CONCATENATE($W10,"@",EM$7))=0,"",VLOOKUP(CONCATENATE($W10,"@",EM$7),choice!$D:$E,2,0)))</f>
        <v/>
      </c>
      <c r="EN10" s="74" t="str">
        <f>IF($W10="","",IF(COUNTIF(choice!$D:$D,CONCATENATE($W10,"@",EN$7))=0,"",VLOOKUP(CONCATENATE($W10,"@",EN$7),choice!$D:$E,2,0)))</f>
        <v/>
      </c>
      <c r="EO10" s="74" t="str">
        <f>IF($W10="","",IF(COUNTIF(choice!$D:$D,CONCATENATE($W10,"@",EO$7))=0,"",VLOOKUP(CONCATENATE($W10,"@",EO$7),choice!$D:$E,2,0)))</f>
        <v/>
      </c>
      <c r="EP10" s="74" t="str">
        <f>IF($W10="","",IF(COUNTIF(choice!$D:$D,CONCATENATE($W10,"@",EP$7))=0,"",VLOOKUP(CONCATENATE($W10,"@",EP$7),choice!$D:$E,2,0)))</f>
        <v/>
      </c>
      <c r="EQ10" s="74" t="str">
        <f>IF($W10="","",IF(COUNTIF(choice!$D:$D,CONCATENATE($W10,"@",EQ$7))=0,"",VLOOKUP(CONCATENATE($W10,"@",EQ$7),choice!$D:$E,2,0)))</f>
        <v/>
      </c>
      <c r="ER10" s="74" t="str">
        <f>IF($W10="","",IF(COUNTIF(choice!$D:$D,CONCATENATE($W10,"@",ER$7))=0,"",VLOOKUP(CONCATENATE($W10,"@",ER$7),choice!$D:$E,2,0)))</f>
        <v/>
      </c>
      <c r="ES10" s="74" t="str">
        <f>IF($W10="","",IF(COUNTIF(choice!$D:$D,CONCATENATE($W10,"@",ES$7))=0,"",VLOOKUP(CONCATENATE($W10,"@",ES$7),choice!$D:$E,2,0)))</f>
        <v/>
      </c>
      <c r="ET10" s="74" t="str">
        <f>IF($W10="","",IF(COUNTIF(choice!$D:$D,CONCATENATE($W10,"@",ET$7))=0,"",VLOOKUP(CONCATENATE($W10,"@",ET$7),choice!$D:$E,2,0)))</f>
        <v/>
      </c>
      <c r="EU10" s="74" t="str">
        <f>IF($W10="","",IF(COUNTIF(choice!$D:$D,CONCATENATE($W10,"@",EU$7))=0,"",VLOOKUP(CONCATENATE($W10,"@",EU$7),choice!$D:$E,2,0)))</f>
        <v/>
      </c>
      <c r="EV10" s="74" t="str">
        <f>IF($W10="","",IF(COUNTIF(choice!$D:$D,CONCATENATE($W10,"@",EV$7))=0,"",VLOOKUP(CONCATENATE($W10,"@",EV$7),choice!$D:$E,2,0)))</f>
        <v/>
      </c>
      <c r="EW10" s="74" t="str">
        <f>IF($W10="","",IF(COUNTIF(choice!$D:$D,CONCATENATE($W10,"@",EW$7))=0,"",VLOOKUP(CONCATENATE($W10,"@",EW$7),choice!$D:$E,2,0)))</f>
        <v/>
      </c>
      <c r="EX10" s="74" t="str">
        <f>IF($W10="","",IF(COUNTIF(choice!$D:$D,CONCATENATE($W10,"@",EX$7))=0,"",VLOOKUP(CONCATENATE($W10,"@",EX$7),choice!$D:$E,2,0)))</f>
        <v/>
      </c>
      <c r="EY10" s="74" t="str">
        <f>IF($W10="","",IF(COUNTIF(choice!$D:$D,CONCATENATE($W10,"@",EY$7))=0,"",VLOOKUP(CONCATENATE($W10,"@",EY$7),choice!$D:$E,2,0)))</f>
        <v/>
      </c>
      <c r="EZ10" s="74" t="str">
        <f>IF($W10="","",IF(COUNTIF(choice!$D:$D,CONCATENATE($W10,"@",EZ$7))=0,"",VLOOKUP(CONCATENATE($W10,"@",EZ$7),choice!$D:$E,2,0)))</f>
        <v/>
      </c>
      <c r="FA10" s="74" t="str">
        <f>IF($W10="","",IF(COUNTIF(choice!$D:$D,CONCATENATE($W10,"@",FA$7))=0,"",VLOOKUP(CONCATENATE($W10,"@",FA$7),choice!$D:$E,2,0)))</f>
        <v/>
      </c>
      <c r="FB10" s="74" t="str">
        <f>IF($W10="","",IF(COUNTIF(choice!$D:$D,CONCATENATE($W10,"@",FB$7))=0,"",VLOOKUP(CONCATENATE($W10,"@",FB$7),choice!$D:$E,2,0)))</f>
        <v/>
      </c>
      <c r="FC10" s="74" t="str">
        <f>IF($W10="","",IF(COUNTIF(choice!$D:$D,CONCATENATE($W10,"@",FC$7))=0,"",VLOOKUP(CONCATENATE($W10,"@",FC$7),choice!$D:$E,2,0)))</f>
        <v/>
      </c>
      <c r="FD10" s="74" t="str">
        <f>IF($W10="","",IF(COUNTIF(choice!$D:$D,CONCATENATE($W10,"@",FD$7))=0,"",VLOOKUP(CONCATENATE($W10,"@",FD$7),choice!$D:$E,2,0)))</f>
        <v/>
      </c>
      <c r="FE10" s="74" t="str">
        <f>IF($W10="","",IF(COUNTIF(choice!$D:$D,CONCATENATE($W10,"@",FE$7))=0,"",VLOOKUP(CONCATENATE($W10,"@",FE$7),choice!$D:$E,2,0)))</f>
        <v/>
      </c>
      <c r="FF10" s="74" t="str">
        <f>IF($W10="","",IF(COUNTIF(choice!$D:$D,CONCATENATE($W10,"@",FF$7))=0,"",VLOOKUP(CONCATENATE($W10,"@",FF$7),choice!$D:$E,2,0)))</f>
        <v/>
      </c>
      <c r="FG10" s="74" t="str">
        <f>IF($W10="","",IF(COUNTIF(choice!$D:$D,CONCATENATE($W10,"@",FG$7))=0,"",VLOOKUP(CONCATENATE($W10,"@",FG$7),choice!$D:$E,2,0)))</f>
        <v/>
      </c>
      <c r="FH10" s="74" t="str">
        <f>IF($W10="","",IF(COUNTIF(choice!$D:$D,CONCATENATE($W10,"@",FH$7))=0,"",VLOOKUP(CONCATENATE($W10,"@",FH$7),choice!$D:$E,2,0)))</f>
        <v/>
      </c>
      <c r="FI10" s="74" t="str">
        <f>IF($W10="","",IF(COUNTIF(choice!$D:$D,CONCATENATE($W10,"@",FI$7))=0,"",VLOOKUP(CONCATENATE($W10,"@",FI$7),choice!$D:$E,2,0)))</f>
        <v/>
      </c>
      <c r="FJ10" s="74" t="str">
        <f>IF($W10="","",IF(COUNTIF(choice!$D:$D,CONCATENATE($W10,"@",FJ$7))=0,"",VLOOKUP(CONCATENATE($W10,"@",FJ$7),choice!$D:$E,2,0)))</f>
        <v/>
      </c>
      <c r="FK10" s="74" t="str">
        <f>IF($W10="","",IF(COUNTIF(choice!$D:$D,CONCATENATE($W10,"@",FK$7))=0,"",VLOOKUP(CONCATENATE($W10,"@",FK$7),choice!$D:$E,2,0)))</f>
        <v/>
      </c>
      <c r="FL10" s="74" t="str">
        <f>IF($W10="","",IF(COUNTIF(choice!$D:$D,CONCATENATE($W10,"@",FL$7))=0,"",VLOOKUP(CONCATENATE($W10,"@",FL$7),choice!$D:$E,2,0)))</f>
        <v/>
      </c>
      <c r="FM10" s="74" t="str">
        <f>IF($W10="","",IF(COUNTIF(choice!$D:$D,CONCATENATE($W10,"@",FM$7))=0,"",VLOOKUP(CONCATENATE($W10,"@",FM$7),choice!$D:$E,2,0)))</f>
        <v/>
      </c>
      <c r="FN10" s="74" t="str">
        <f>IF($W10="","",IF(COUNTIF(choice!$D:$D,CONCATENATE($W10,"@",FN$7))=0,"",VLOOKUP(CONCATENATE($W10,"@",FN$7),choice!$D:$E,2,0)))</f>
        <v/>
      </c>
      <c r="FO10" s="74" t="str">
        <f>IF($W10="","",IF(COUNTIF(choice!$D:$D,CONCATENATE($W10,"@",FO$7))=0,"",VLOOKUP(CONCATENATE($W10,"@",FO$7),choice!$D:$E,2,0)))</f>
        <v/>
      </c>
      <c r="FP10" s="74" t="str">
        <f>IF($W10="","",IF(COUNTIF(choice!$D:$D,CONCATENATE($W10,"@",FP$7))=0,"",VLOOKUP(CONCATENATE($W10,"@",FP$7),choice!$D:$E,2,0)))</f>
        <v/>
      </c>
      <c r="FQ10" s="74" t="str">
        <f>IF($W10="","",IF(COUNTIF(choice!$D:$D,CONCATENATE($W10,"@",FQ$7))=0,"",VLOOKUP(CONCATENATE($W10,"@",FQ$7),choice!$D:$E,2,0)))</f>
        <v/>
      </c>
      <c r="FR10" s="74" t="str">
        <f>IF($W10="","",IF(COUNTIF(choice!$D:$D,CONCATENATE($W10,"@",FR$7))=0,"",VLOOKUP(CONCATENATE($W10,"@",FR$7),choice!$D:$E,2,0)))</f>
        <v/>
      </c>
      <c r="FS10" s="74" t="str">
        <f>IF($W10="","",IF(COUNTIF(choice!$D:$D,CONCATENATE($W10,"@",FS$7))=0,"",VLOOKUP(CONCATENATE($W10,"@",FS$7),choice!$D:$E,2,0)))</f>
        <v/>
      </c>
      <c r="FT10" s="74" t="str">
        <f>IF($W10="","",IF(COUNTIF(choice!$D:$D,CONCATENATE($W10,"@",FT$7))=0,"",VLOOKUP(CONCATENATE($W10,"@",FT$7),choice!$D:$E,2,0)))</f>
        <v/>
      </c>
      <c r="FU10" s="74" t="str">
        <f>IF($W10="","",IF(COUNTIF(choice!$D:$D,CONCATENATE($W10,"@",FU$7))=0,"",VLOOKUP(CONCATENATE($W10,"@",FU$7),choice!$D:$E,2,0)))</f>
        <v/>
      </c>
      <c r="FV10" s="81" t="str">
        <f>IF($W10="","",IF(COUNTIF(choice!$D:$D,CONCATENATE($W10,"@",FV$7))=0,"",VLOOKUP(CONCATENATE($W10,"@",FV$7),choice!$D:$E,2,0)))</f>
        <v/>
      </c>
      <c r="FW10" s="80" t="str">
        <f>IF($X10="","",IF(COUNTIF(choice!$D:$D,CONCATENATE($X10,"@",FW$7))=0,"",VLOOKUP(CONCATENATE($X10,"@",FW$7),choice!$D:$E,2,0)))</f>
        <v/>
      </c>
      <c r="FX10" s="74" t="str">
        <f>IF($X10="","",IF(COUNTIF(choice!$D:$D,CONCATENATE($X10,"@",FX$7))=0,"",VLOOKUP(CONCATENATE($X10,"@",FX$7),choice!$D:$E,2,0)))</f>
        <v/>
      </c>
      <c r="FY10" s="74" t="str">
        <f>IF($X10="","",IF(COUNTIF(choice!$D:$D,CONCATENATE($X10,"@",FY$7))=0,"",VLOOKUP(CONCATENATE($X10,"@",FY$7),choice!$D:$E,2,0)))</f>
        <v/>
      </c>
      <c r="FZ10" s="74" t="str">
        <f>IF($X10="","",IF(COUNTIF(choice!$D:$D,CONCATENATE($X10,"@",FZ$7))=0,"",VLOOKUP(CONCATENATE($X10,"@",FZ$7),choice!$D:$E,2,0)))</f>
        <v/>
      </c>
      <c r="GA10" s="74" t="str">
        <f>IF($X10="","",IF(COUNTIF(choice!$D:$D,CONCATENATE($X10,"@",GA$7))=0,"",VLOOKUP(CONCATENATE($X10,"@",GA$7),choice!$D:$E,2,0)))</f>
        <v/>
      </c>
      <c r="GB10" s="74" t="str">
        <f>IF($X10="","",IF(COUNTIF(choice!$D:$D,CONCATENATE($X10,"@",GB$7))=0,"",VLOOKUP(CONCATENATE($X10,"@",GB$7),choice!$D:$E,2,0)))</f>
        <v/>
      </c>
      <c r="GC10" s="74" t="str">
        <f>IF($X10="","",IF(COUNTIF(choice!$D:$D,CONCATENATE($X10,"@",GC$7))=0,"",VLOOKUP(CONCATENATE($X10,"@",GC$7),choice!$D:$E,2,0)))</f>
        <v/>
      </c>
      <c r="GD10" s="74" t="str">
        <f>IF($X10="","",IF(COUNTIF(choice!$D:$D,CONCATENATE($X10,"@",GD$7))=0,"",VLOOKUP(CONCATENATE($X10,"@",GD$7),choice!$D:$E,2,0)))</f>
        <v/>
      </c>
      <c r="GE10" s="74" t="str">
        <f>IF($X10="","",IF(COUNTIF(choice!$D:$D,CONCATENATE($X10,"@",GE$7))=0,"",VLOOKUP(CONCATENATE($X10,"@",GE$7),choice!$D:$E,2,0)))</f>
        <v/>
      </c>
      <c r="GF10" s="74" t="str">
        <f>IF($X10="","",IF(COUNTIF(choice!$D:$D,CONCATENATE($X10,"@",GF$7))=0,"",VLOOKUP(CONCATENATE($X10,"@",GF$7),choice!$D:$E,2,0)))</f>
        <v/>
      </c>
      <c r="GG10" s="74" t="str">
        <f>IF($X10="","",IF(COUNTIF(choice!$D:$D,CONCATENATE($X10,"@",GG$7))=0,"",VLOOKUP(CONCATENATE($X10,"@",GG$7),choice!$D:$E,2,0)))</f>
        <v/>
      </c>
      <c r="GH10" s="74" t="str">
        <f>IF($X10="","",IF(COUNTIF(choice!$D:$D,CONCATENATE($X10,"@",GH$7))=0,"",VLOOKUP(CONCATENATE($X10,"@",GH$7),choice!$D:$E,2,0)))</f>
        <v/>
      </c>
      <c r="GI10" s="74" t="str">
        <f>IF($X10="","",IF(COUNTIF(choice!$D:$D,CONCATENATE($X10,"@",GI$7))=0,"",VLOOKUP(CONCATENATE($X10,"@",GI$7),choice!$D:$E,2,0)))</f>
        <v/>
      </c>
      <c r="GJ10" s="74" t="str">
        <f>IF($X10="","",IF(COUNTIF(choice!$D:$D,CONCATENATE($X10,"@",GJ$7))=0,"",VLOOKUP(CONCATENATE($X10,"@",GJ$7),choice!$D:$E,2,0)))</f>
        <v/>
      </c>
      <c r="GK10" s="74" t="str">
        <f>IF($X10="","",IF(COUNTIF(choice!$D:$D,CONCATENATE($X10,"@",GK$7))=0,"",VLOOKUP(CONCATENATE($X10,"@",GK$7),choice!$D:$E,2,0)))</f>
        <v/>
      </c>
      <c r="GL10" s="74" t="str">
        <f>IF($X10="","",IF(COUNTIF(choice!$D:$D,CONCATENATE($X10,"@",GL$7))=0,"",VLOOKUP(CONCATENATE($X10,"@",GL$7),choice!$D:$E,2,0)))</f>
        <v/>
      </c>
      <c r="GM10" s="74" t="str">
        <f>IF($X10="","",IF(COUNTIF(choice!$D:$D,CONCATENATE($X10,"@",GM$7))=0,"",VLOOKUP(CONCATENATE($X10,"@",GM$7),choice!$D:$E,2,0)))</f>
        <v/>
      </c>
      <c r="GN10" s="74" t="str">
        <f>IF($X10="","",IF(COUNTIF(choice!$D:$D,CONCATENATE($X10,"@",GN$7))=0,"",VLOOKUP(CONCATENATE($X10,"@",GN$7),choice!$D:$E,2,0)))</f>
        <v/>
      </c>
      <c r="GO10" s="74" t="str">
        <f>IF($X10="","",IF(COUNTIF(choice!$D:$D,CONCATENATE($X10,"@",GO$7))=0,"",VLOOKUP(CONCATENATE($X10,"@",GO$7),choice!$D:$E,2,0)))</f>
        <v/>
      </c>
      <c r="GP10" s="74" t="str">
        <f>IF($X10="","",IF(COUNTIF(choice!$D:$D,CONCATENATE($X10,"@",GP$7))=0,"",VLOOKUP(CONCATENATE($X10,"@",GP$7),choice!$D:$E,2,0)))</f>
        <v/>
      </c>
      <c r="GQ10" s="74" t="str">
        <f>IF($X10="","",IF(COUNTIF(choice!$D:$D,CONCATENATE($X10,"@",GQ$7))=0,"",VLOOKUP(CONCATENATE($X10,"@",GQ$7),choice!$D:$E,2,0)))</f>
        <v/>
      </c>
      <c r="GR10" s="74" t="str">
        <f>IF($X10="","",IF(COUNTIF(choice!$D:$D,CONCATENATE($X10,"@",GR$7))=0,"",VLOOKUP(CONCATENATE($X10,"@",GR$7),choice!$D:$E,2,0)))</f>
        <v/>
      </c>
      <c r="GS10" s="74" t="str">
        <f>IF($X10="","",IF(COUNTIF(choice!$D:$D,CONCATENATE($X10,"@",GS$7))=0,"",VLOOKUP(CONCATENATE($X10,"@",GS$7),choice!$D:$E,2,0)))</f>
        <v/>
      </c>
      <c r="GT10" s="74" t="str">
        <f>IF($X10="","",IF(COUNTIF(choice!$D:$D,CONCATENATE($X10,"@",GT$7))=0,"",VLOOKUP(CONCATENATE($X10,"@",GT$7),choice!$D:$E,2,0)))</f>
        <v/>
      </c>
      <c r="GU10" s="74" t="str">
        <f>IF($X10="","",IF(COUNTIF(choice!$D:$D,CONCATENATE($X10,"@",GU$7))=0,"",VLOOKUP(CONCATENATE($X10,"@",GU$7),choice!$D:$E,2,0)))</f>
        <v/>
      </c>
      <c r="GV10" s="74" t="str">
        <f>IF($X10="","",IF(COUNTIF(choice!$D:$D,CONCATENATE($X10,"@",GV$7))=0,"",VLOOKUP(CONCATENATE($X10,"@",GV$7),choice!$D:$E,2,0)))</f>
        <v/>
      </c>
      <c r="GW10" s="74" t="str">
        <f>IF($X10="","",IF(COUNTIF(choice!$D:$D,CONCATENATE($X10,"@",GW$7))=0,"",VLOOKUP(CONCATENATE($X10,"@",GW$7),choice!$D:$E,2,0)))</f>
        <v/>
      </c>
      <c r="GX10" s="74" t="str">
        <f>IF($X10="","",IF(COUNTIF(choice!$D:$D,CONCATENATE($X10,"@",GX$7))=0,"",VLOOKUP(CONCATENATE($X10,"@",GX$7),choice!$D:$E,2,0)))</f>
        <v/>
      </c>
      <c r="GY10" s="74" t="str">
        <f>IF($X10="","",IF(COUNTIF(choice!$D:$D,CONCATENATE($X10,"@",GY$7))=0,"",VLOOKUP(CONCATENATE($X10,"@",GY$7),choice!$D:$E,2,0)))</f>
        <v/>
      </c>
      <c r="GZ10" s="74" t="str">
        <f>IF($X10="","",IF(COUNTIF(choice!$D:$D,CONCATENATE($X10,"@",GZ$7))=0,"",VLOOKUP(CONCATENATE($X10,"@",GZ$7),choice!$D:$E,2,0)))</f>
        <v/>
      </c>
      <c r="HA10" s="74" t="str">
        <f>IF($X10="","",IF(COUNTIF(choice!$D:$D,CONCATENATE($X10,"@",HA$7))=0,"",VLOOKUP(CONCATENATE($X10,"@",HA$7),choice!$D:$E,2,0)))</f>
        <v/>
      </c>
      <c r="HB10" s="74" t="str">
        <f>IF($X10="","",IF(COUNTIF(choice!$D:$D,CONCATENATE($X10,"@",HB$7))=0,"",VLOOKUP(CONCATENATE($X10,"@",HB$7),choice!$D:$E,2,0)))</f>
        <v/>
      </c>
      <c r="HC10" s="74" t="str">
        <f>IF($X10="","",IF(COUNTIF(choice!$D:$D,CONCATENATE($X10,"@",HC$7))=0,"",VLOOKUP(CONCATENATE($X10,"@",HC$7),choice!$D:$E,2,0)))</f>
        <v/>
      </c>
      <c r="HD10" s="74" t="str">
        <f>IF($X10="","",IF(COUNTIF(choice!$D:$D,CONCATENATE($X10,"@",HD$7))=0,"",VLOOKUP(CONCATENATE($X10,"@",HD$7),choice!$D:$E,2,0)))</f>
        <v/>
      </c>
      <c r="HE10" s="74" t="str">
        <f>IF($X10="","",IF(COUNTIF(choice!$D:$D,CONCATENATE($X10,"@",HE$7))=0,"",VLOOKUP(CONCATENATE($X10,"@",HE$7),choice!$D:$E,2,0)))</f>
        <v/>
      </c>
      <c r="HF10" s="74" t="str">
        <f>IF($X10="","",IF(COUNTIF(choice!$D:$D,CONCATENATE($X10,"@",HF$7))=0,"",VLOOKUP(CONCATENATE($X10,"@",HF$7),choice!$D:$E,2,0)))</f>
        <v/>
      </c>
      <c r="HG10" s="74" t="str">
        <f>IF($X10="","",IF(COUNTIF(choice!$D:$D,CONCATENATE($X10,"@",HG$7))=0,"",VLOOKUP(CONCATENATE($X10,"@",HG$7),choice!$D:$E,2,0)))</f>
        <v/>
      </c>
      <c r="HH10" s="74" t="str">
        <f>IF($X10="","",IF(COUNTIF(choice!$D:$D,CONCATENATE($X10,"@",HH$7))=0,"",VLOOKUP(CONCATENATE($X10,"@",HH$7),choice!$D:$E,2,0)))</f>
        <v/>
      </c>
      <c r="HI10" s="74" t="str">
        <f>IF($X10="","",IF(COUNTIF(choice!$D:$D,CONCATENATE($X10,"@",HI$7))=0,"",VLOOKUP(CONCATENATE($X10,"@",HI$7),choice!$D:$E,2,0)))</f>
        <v/>
      </c>
      <c r="HJ10" s="74" t="str">
        <f>IF($X10="","",IF(COUNTIF(choice!$D:$D,CONCATENATE($X10,"@",HJ$7))=0,"",VLOOKUP(CONCATENATE($X10,"@",HJ$7),choice!$D:$E,2,0)))</f>
        <v/>
      </c>
      <c r="HK10" s="74" t="str">
        <f>IF($X10="","",IF(COUNTIF(choice!$D:$D,CONCATENATE($X10,"@",HK$7))=0,"",VLOOKUP(CONCATENATE($X10,"@",HK$7),choice!$D:$E,2,0)))</f>
        <v/>
      </c>
      <c r="HL10" s="74" t="str">
        <f>IF($X10="","",IF(COUNTIF(choice!$D:$D,CONCATENATE($X10,"@",HL$7))=0,"",VLOOKUP(CONCATENATE($X10,"@",HL$7),choice!$D:$E,2,0)))</f>
        <v/>
      </c>
      <c r="HM10" s="74" t="str">
        <f>IF($X10="","",IF(COUNTIF(choice!$D:$D,CONCATENATE($X10,"@",HM$7))=0,"",VLOOKUP(CONCATENATE($X10,"@",HM$7),choice!$D:$E,2,0)))</f>
        <v/>
      </c>
      <c r="HN10" s="74" t="str">
        <f>IF($X10="","",IF(COUNTIF(choice!$D:$D,CONCATENATE($X10,"@",HN$7))=0,"",VLOOKUP(CONCATENATE($X10,"@",HN$7),choice!$D:$E,2,0)))</f>
        <v/>
      </c>
      <c r="HO10" s="81" t="str">
        <f>IF($X10="","",IF(COUNTIF(choice!$D:$D,CONCATENATE($X10,"@",HO$7))=0,"",VLOOKUP(CONCATENATE($X10,"@",HO$7),choice!$D:$E,2,0)))</f>
        <v/>
      </c>
      <c r="HP10" s="20" t="s">
        <v>56</v>
      </c>
      <c r="HQ10" s="20" t="s">
        <v>57</v>
      </c>
      <c r="HT10" s="74" t="s">
        <v>99</v>
      </c>
      <c r="HV10" s="74">
        <f t="shared" si="20"/>
        <v>0</v>
      </c>
      <c r="HW10" s="74">
        <f t="shared" si="21"/>
        <v>0</v>
      </c>
      <c r="HX10" s="74">
        <f t="shared" si="22"/>
        <v>0</v>
      </c>
      <c r="HY10" s="74">
        <f t="shared" si="23"/>
        <v>0</v>
      </c>
      <c r="HZ10" s="74">
        <f t="shared" ref="HZ10:IA21" si="30">HV10-HX10+HZ9</f>
        <v>0</v>
      </c>
      <c r="IA10" s="74">
        <f t="shared" si="30"/>
        <v>0</v>
      </c>
      <c r="IB10" s="74" t="str">
        <f t="shared" ref="IB10:IB20" si="31">IF(COUNTIF(AQ10,"*02*")=0,IF(COUNTIF(AQ10,"*04*")=0,IF(RIGHT(I10,4)="E AV",IF(HZ9=0,"","SPAD"),IF(RIGHT(I10,4)="E DT",IF(IA9=0,"","SPAD"),"")),""),"")</f>
        <v/>
      </c>
      <c r="IC10" s="74" t="str">
        <f t="shared" ref="IC10:IC20" si="32">IF(D10="","",IF(COUNTIFS(D10,"*'")++COUNTIFS(D10,"*""")=0,D10,IC9))</f>
        <v/>
      </c>
      <c r="ID10" s="74" t="str">
        <f t="shared" si="24"/>
        <v/>
      </c>
      <c r="IE10" s="74">
        <f t="shared" si="25"/>
        <v>16</v>
      </c>
      <c r="IF10" s="74">
        <f>COUNTIFS(ID$8:ID10,"BLUE")</f>
        <v>0</v>
      </c>
      <c r="IG10" s="74" t="str">
        <f t="shared" si="26"/>
        <v/>
      </c>
      <c r="IH10" s="74" t="str">
        <f>IF(COUNTIFS($AQ10,"*02*")=0,"",COUNTIFS(IJ$8:IJ10,"BLUE"))</f>
        <v/>
      </c>
      <c r="II10" s="74" t="str">
        <f>IF(COUNTIFS($AQ10,"*04*")=0,"",COUNTIFS(IK$8:IK10,"BLUE"))</f>
        <v/>
      </c>
      <c r="IJ10" s="74" t="str">
        <f t="shared" ref="IJ10:IJ20" si="33">IF(COUNTIFS(AQ10,"*02*")&gt;0,IF(RIGHT(I10,4)="E AV",IF(HZ9=0,"","BLUE"),IF(RIGHT(I10,4)="E DT",IF(IA9=0,"","BLUE"),"")),"")</f>
        <v/>
      </c>
      <c r="IK10" s="74" t="str">
        <f t="shared" ref="IK10:IK20" si="34">IF(COUNTIFS(AQ10,"*04*")&gt;0,IF(RIGHT(I10,4)="E AV",IF(HZ9=0,"","BLUE"),IF(RIGHT(I10,4)="E DT",IF(IA9=0,"","BLUE"),"")),"")</f>
        <v/>
      </c>
      <c r="IL10" s="74" t="str">
        <f t="shared" si="27"/>
        <v/>
      </c>
      <c r="IM10" s="74" t="str">
        <f t="shared" si="28"/>
        <v/>
      </c>
      <c r="IN10" s="74">
        <f>COUNTIFS(IJ$8:IJ10,"BLUE")</f>
        <v>0</v>
      </c>
      <c r="IO10" s="74">
        <f>COUNTIFS(IK$8:IK10,"BLUE")</f>
        <v>0</v>
      </c>
    </row>
    <row r="11" spans="1:249" s="20" customFormat="1" ht="24.9" customHeight="1">
      <c r="A11" s="33"/>
      <c r="B11" s="39">
        <v>17</v>
      </c>
      <c r="C11" s="155"/>
      <c r="D11" s="174"/>
      <c r="E11" s="88" t="e">
        <f>VLOOKUP(F11,'Radio Call Sign'!A:B,2)</f>
        <v>#N/A</v>
      </c>
      <c r="F11" s="88"/>
      <c r="G11" s="88" t="e">
        <f>VLOOKUP(H11,'Radio Call Sign'!A:B,2)</f>
        <v>#N/A</v>
      </c>
      <c r="H11" s="88"/>
      <c r="I11" s="89" t="str">
        <f t="shared" si="12"/>
        <v/>
      </c>
      <c r="J11" s="90" t="str">
        <f t="shared" si="17"/>
        <v/>
      </c>
      <c r="K11" s="86" t="str">
        <f t="shared" si="18"/>
        <v/>
      </c>
      <c r="L11" s="155"/>
      <c r="M11" s="190" t="str">
        <f t="shared" si="19"/>
        <v/>
      </c>
      <c r="N11" s="21"/>
      <c r="O11" s="21"/>
      <c r="P11" s="53"/>
      <c r="Q11" s="163" t="str">
        <f>IF(AA11="","",IF(COUNTIFS('overhead line area'!$D$3:$D$100,AA11)+COUNTIFS('overhead line area'!$D$3:$D$100,AB11)+COUNTIFS('overhead line area'!$D$3:$D$100,AC11)+COUNTIFS('overhead line area'!$D$3:$D$100,AD11)=0,"","*               "))</f>
        <v/>
      </c>
      <c r="R11" s="53"/>
      <c r="S11" s="24"/>
      <c r="U11" s="74"/>
      <c r="V11" s="74"/>
      <c r="W11" s="74"/>
      <c r="X11" s="74"/>
      <c r="Y11" s="74"/>
      <c r="AA11" s="74" t="str">
        <f t="shared" si="13"/>
        <v/>
      </c>
      <c r="AB11" s="74" t="str">
        <f t="shared" si="29"/>
        <v/>
      </c>
      <c r="AC11" s="74" t="str">
        <f t="shared" ref="AC11:AC20" si="35">IF(X11="","",CONCATENATE(W11,"-",X11))</f>
        <v/>
      </c>
      <c r="AD11" s="74" t="str">
        <f t="shared" ref="AD11:AD20" si="36">IF(Y11="","",CONCATENATE(X11,"-",Y11))</f>
        <v/>
      </c>
      <c r="AF11" s="74" t="str">
        <f>IF(AA11="","",IF(COUNTIF(Route!$AM:$AM,'Train Movement Log (page.2)'!AA11)=0,"未有資料",VLOOKUP('Train Movement Log (page.2)'!AA11,Route!$AM:$AP,3,0)))</f>
        <v/>
      </c>
      <c r="AG11" s="74" t="str">
        <f>IF(AB11="","",IF(COUNTIF(Route!$AM:$AM,'Train Movement Log (page.2)'!AB11)=0,"未有資料",VLOOKUP('Train Movement Log (page.2)'!AB11,Route!$AM:$AP,3,0)))</f>
        <v/>
      </c>
      <c r="AH11" s="74" t="str">
        <f>IF(AC11="","",IF(COUNTIF(Route!$AM:$AM,'Train Movement Log (page.2)'!AC11)=0,"未有資料",VLOOKUP('Train Movement Log (page.2)'!AC11,Route!$AM:$AP,3,0)))</f>
        <v/>
      </c>
      <c r="AI11" s="74" t="str">
        <f>IF(AD11="","",IF(COUNTIF(Route!$AM:$AM,'Train Movement Log (page.2)'!AD11)=0,"未有資料",VLOOKUP('Train Movement Log (page.2)'!AD11,Route!$AM:$AP,3,0)))</f>
        <v/>
      </c>
      <c r="AK11" s="74" t="str">
        <f>IF(AA11="","",IF(COUNTIF(Route!$AM:$AM,'Train Movement Log (page.2)'!AA11)=0,"未有資料",VLOOKUP('Train Movement Log (page.2)'!AA11,Route!$AM:$AP,4,0)))</f>
        <v/>
      </c>
      <c r="AL11" s="74" t="str">
        <f>IF(AB11="","",IF(COUNTIF(Route!$AM:$AM,'Train Movement Log (page.2)'!AB11)=0,"未有資料",VLOOKUP('Train Movement Log (page.2)'!AB11,Route!$AM:$AP,4,0)))</f>
        <v/>
      </c>
      <c r="AM11" s="74" t="str">
        <f>IF(AC11="","",IF(COUNTIF(Route!$AM:$AM,'Train Movement Log (page.2)'!AC11)=0,"未有資料",VLOOKUP('Train Movement Log (page.2)'!AC11,Route!$AM:$AP,4,0)))</f>
        <v/>
      </c>
      <c r="AN11" s="74" t="str">
        <f>IF(AD11="","",IF(COUNTIF(Route!$AM:$AM,'Train Movement Log (page.2)'!AD11)=0,"未有資料",VLOOKUP('Train Movement Log (page.2)'!AD11,Route!$AM:$AP,4,0)))</f>
        <v/>
      </c>
      <c r="AP11" s="74" t="str">
        <f t="shared" si="15"/>
        <v/>
      </c>
      <c r="AQ11" s="76" t="str">
        <f t="shared" si="16"/>
        <v/>
      </c>
      <c r="AR11" s="80" t="str">
        <f>IF($U11="","",IF(COUNTIF(choice!$D:$D,CONCATENATE($U11,"@",AR$7))=0,"",VLOOKUP(CONCATENATE($U11,"@",AR$7),choice!$D:$E,2,0)))</f>
        <v/>
      </c>
      <c r="AS11" s="74" t="str">
        <f>IF($U11="","",IF(COUNTIF(choice!$D:$D,CONCATENATE($U11,"@",AS$7))=0,"",VLOOKUP(CONCATENATE($U11,"@",AS$7),choice!$D:$E,2,0)))</f>
        <v/>
      </c>
      <c r="AT11" s="74" t="str">
        <f>IF($U11="","",IF(COUNTIF(choice!$D:$D,CONCATENATE($U11,"@",AT$7))=0,"",VLOOKUP(CONCATENATE($U11,"@",AT$7),choice!$D:$E,2,0)))</f>
        <v/>
      </c>
      <c r="AU11" s="74" t="str">
        <f>IF($U11="","",IF(COUNTIF(choice!$D:$D,CONCATENATE($U11,"@",AU$7))=0,"",VLOOKUP(CONCATENATE($U11,"@",AU$7),choice!$D:$E,2,0)))</f>
        <v/>
      </c>
      <c r="AV11" s="74" t="str">
        <f>IF($U11="","",IF(COUNTIF(choice!$D:$D,CONCATENATE($U11,"@",AV$7))=0,"",VLOOKUP(CONCATENATE($U11,"@",AV$7),choice!$D:$E,2,0)))</f>
        <v/>
      </c>
      <c r="AW11" s="74" t="str">
        <f>IF($U11="","",IF(COUNTIF(choice!$D:$D,CONCATENATE($U11,"@",AW$7))=0,"",VLOOKUP(CONCATENATE($U11,"@",AW$7),choice!$D:$E,2,0)))</f>
        <v/>
      </c>
      <c r="AX11" s="74" t="str">
        <f>IF($U11="","",IF(COUNTIF(choice!$D:$D,CONCATENATE($U11,"@",AX$7))=0,"",VLOOKUP(CONCATENATE($U11,"@",AX$7),choice!$D:$E,2,0)))</f>
        <v/>
      </c>
      <c r="AY11" s="74" t="str">
        <f>IF($U11="","",IF(COUNTIF(choice!$D:$D,CONCATENATE($U11,"@",AY$7))=0,"",VLOOKUP(CONCATENATE($U11,"@",AY$7),choice!$D:$E,2,0)))</f>
        <v/>
      </c>
      <c r="AZ11" s="74" t="str">
        <f>IF($U11="","",IF(COUNTIF(choice!$D:$D,CONCATENATE($U11,"@",AZ$7))=0,"",VLOOKUP(CONCATENATE($U11,"@",AZ$7),choice!$D:$E,2,0)))</f>
        <v/>
      </c>
      <c r="BA11" s="74" t="str">
        <f>IF($U11="","",IF(COUNTIF(choice!$D:$D,CONCATENATE($U11,"@",BA$7))=0,"",VLOOKUP(CONCATENATE($U11,"@",BA$7),choice!$D:$E,2,0)))</f>
        <v/>
      </c>
      <c r="BB11" s="74" t="str">
        <f>IF($U11="","",IF(COUNTIF(choice!$D:$D,CONCATENATE($U11,"@",BB$7))=0,"",VLOOKUP(CONCATENATE($U11,"@",BB$7),choice!$D:$E,2,0)))</f>
        <v/>
      </c>
      <c r="BC11" s="74" t="str">
        <f>IF($U11="","",IF(COUNTIF(choice!$D:$D,CONCATENATE($U11,"@",BC$7))=0,"",VLOOKUP(CONCATENATE($U11,"@",BC$7),choice!$D:$E,2,0)))</f>
        <v/>
      </c>
      <c r="BD11" s="74" t="str">
        <f>IF($U11="","",IF(COUNTIF(choice!$D:$D,CONCATENATE($U11,"@",BD$7))=0,"",VLOOKUP(CONCATENATE($U11,"@",BD$7),choice!$D:$E,2,0)))</f>
        <v/>
      </c>
      <c r="BE11" s="74" t="str">
        <f>IF($U11="","",IF(COUNTIF(choice!$D:$D,CONCATENATE($U11,"@",BE$7))=0,"",VLOOKUP(CONCATENATE($U11,"@",BE$7),choice!$D:$E,2,0)))</f>
        <v/>
      </c>
      <c r="BF11" s="74" t="str">
        <f>IF($U11="","",IF(COUNTIF(choice!$D:$D,CONCATENATE($U11,"@",BF$7))=0,"",VLOOKUP(CONCATENATE($U11,"@",BF$7),choice!$D:$E,2,0)))</f>
        <v/>
      </c>
      <c r="BG11" s="74" t="str">
        <f>IF($U11="","",IF(COUNTIF(choice!$D:$D,CONCATENATE($U11,"@",BG$7))=0,"",VLOOKUP(CONCATENATE($U11,"@",BG$7),choice!$D:$E,2,0)))</f>
        <v/>
      </c>
      <c r="BH11" s="74" t="str">
        <f>IF($U11="","",IF(COUNTIF(choice!$D:$D,CONCATENATE($U11,"@",BH$7))=0,"",VLOOKUP(CONCATENATE($U11,"@",BH$7),choice!$D:$E,2,0)))</f>
        <v/>
      </c>
      <c r="BI11" s="74" t="str">
        <f>IF($U11="","",IF(COUNTIF(choice!$D:$D,CONCATENATE($U11,"@",BI$7))=0,"",VLOOKUP(CONCATENATE($U11,"@",BI$7),choice!$D:$E,2,0)))</f>
        <v/>
      </c>
      <c r="BJ11" s="74" t="str">
        <f>IF($U11="","",IF(COUNTIF(choice!$D:$D,CONCATENATE($U11,"@",BJ$7))=0,"",VLOOKUP(CONCATENATE($U11,"@",BJ$7),choice!$D:$E,2,0)))</f>
        <v/>
      </c>
      <c r="BK11" s="74" t="str">
        <f>IF($U11="","",IF(COUNTIF(choice!$D:$D,CONCATENATE($U11,"@",BK$7))=0,"",VLOOKUP(CONCATENATE($U11,"@",BK$7),choice!$D:$E,2,0)))</f>
        <v/>
      </c>
      <c r="BL11" s="74" t="str">
        <f>IF($U11="","",IF(COUNTIF(choice!$D:$D,CONCATENATE($U11,"@",BL$7))=0,"",VLOOKUP(CONCATENATE($U11,"@",BL$7),choice!$D:$E,2,0)))</f>
        <v/>
      </c>
      <c r="BM11" s="74" t="str">
        <f>IF($U11="","",IF(COUNTIF(choice!$D:$D,CONCATENATE($U11,"@",BM$7))=0,"",VLOOKUP(CONCATENATE($U11,"@",BM$7),choice!$D:$E,2,0)))</f>
        <v/>
      </c>
      <c r="BN11" s="74" t="str">
        <f>IF($U11="","",IF(COUNTIF(choice!$D:$D,CONCATENATE($U11,"@",BN$7))=0,"",VLOOKUP(CONCATENATE($U11,"@",BN$7),choice!$D:$E,2,0)))</f>
        <v/>
      </c>
      <c r="BO11" s="74" t="str">
        <f>IF($U11="","",IF(COUNTIF(choice!$D:$D,CONCATENATE($U11,"@",BO$7))=0,"",VLOOKUP(CONCATENATE($U11,"@",BO$7),choice!$D:$E,2,0)))</f>
        <v/>
      </c>
      <c r="BP11" s="74" t="str">
        <f>IF($U11="","",IF(COUNTIF(choice!$D:$D,CONCATENATE($U11,"@",BP$7))=0,"",VLOOKUP(CONCATENATE($U11,"@",BP$7),choice!$D:$E,2,0)))</f>
        <v/>
      </c>
      <c r="BQ11" s="74" t="str">
        <f>IF($U11="","",IF(COUNTIF(choice!$D:$D,CONCATENATE($U11,"@",BQ$7))=0,"",VLOOKUP(CONCATENATE($U11,"@",BQ$7),choice!$D:$E,2,0)))</f>
        <v/>
      </c>
      <c r="BR11" s="74" t="str">
        <f>IF($U11="","",IF(COUNTIF(choice!$D:$D,CONCATENATE($U11,"@",BR$7))=0,"",VLOOKUP(CONCATENATE($U11,"@",BR$7),choice!$D:$E,2,0)))</f>
        <v/>
      </c>
      <c r="BS11" s="74" t="str">
        <f>IF($U11="","",IF(COUNTIF(choice!$D:$D,CONCATENATE($U11,"@",BS$7))=0,"",VLOOKUP(CONCATENATE($U11,"@",BS$7),choice!$D:$E,2,0)))</f>
        <v/>
      </c>
      <c r="BT11" s="74" t="str">
        <f>IF($U11="","",IF(COUNTIF(choice!$D:$D,CONCATENATE($U11,"@",BT$7))=0,"",VLOOKUP(CONCATENATE($U11,"@",BT$7),choice!$D:$E,2,0)))</f>
        <v/>
      </c>
      <c r="BU11" s="74" t="str">
        <f>IF($U11="","",IF(COUNTIF(choice!$D:$D,CONCATENATE($U11,"@",BU$7))=0,"",VLOOKUP(CONCATENATE($U11,"@",BU$7),choice!$D:$E,2,0)))</f>
        <v/>
      </c>
      <c r="BV11" s="74" t="str">
        <f>IF($U11="","",IF(COUNTIF(choice!$D:$D,CONCATENATE($U11,"@",BV$7))=0,"",VLOOKUP(CONCATENATE($U11,"@",BV$7),choice!$D:$E,2,0)))</f>
        <v/>
      </c>
      <c r="BW11" s="74" t="str">
        <f>IF($U11="","",IF(COUNTIF(choice!$D:$D,CONCATENATE($U11,"@",BW$7))=0,"",VLOOKUP(CONCATENATE($U11,"@",BW$7),choice!$D:$E,2,0)))</f>
        <v/>
      </c>
      <c r="BX11" s="74" t="str">
        <f>IF($U11="","",IF(COUNTIF(choice!$D:$D,CONCATENATE($U11,"@",BX$7))=0,"",VLOOKUP(CONCATENATE($U11,"@",BX$7),choice!$D:$E,2,0)))</f>
        <v/>
      </c>
      <c r="BY11" s="74" t="str">
        <f>IF($U11="","",IF(COUNTIF(choice!$D:$D,CONCATENATE($U11,"@",BY$7))=0,"",VLOOKUP(CONCATENATE($U11,"@",BY$7),choice!$D:$E,2,0)))</f>
        <v/>
      </c>
      <c r="BZ11" s="74" t="str">
        <f>IF($U11="","",IF(COUNTIF(choice!$D:$D,CONCATENATE($U11,"@",BZ$7))=0,"",VLOOKUP(CONCATENATE($U11,"@",BZ$7),choice!$D:$E,2,0)))</f>
        <v/>
      </c>
      <c r="CA11" s="74" t="str">
        <f>IF($U11="","",IF(COUNTIF(choice!$D:$D,CONCATENATE($U11,"@",CA$7))=0,"",VLOOKUP(CONCATENATE($U11,"@",CA$7),choice!$D:$E,2,0)))</f>
        <v/>
      </c>
      <c r="CB11" s="74" t="str">
        <f>IF($U11="","",IF(COUNTIF(choice!$D:$D,CONCATENATE($U11,"@",CB$7))=0,"",VLOOKUP(CONCATENATE($U11,"@",CB$7),choice!$D:$E,2,0)))</f>
        <v/>
      </c>
      <c r="CC11" s="74" t="str">
        <f>IF($U11="","",IF(COUNTIF(choice!$D:$D,CONCATENATE($U11,"@",CC$7))=0,"",VLOOKUP(CONCATENATE($U11,"@",CC$7),choice!$D:$E,2,0)))</f>
        <v/>
      </c>
      <c r="CD11" s="74" t="str">
        <f>IF($U11="","",IF(COUNTIF(choice!$D:$D,CONCATENATE($U11,"@",CD$7))=0,"",VLOOKUP(CONCATENATE($U11,"@",CD$7),choice!$D:$E,2,0)))</f>
        <v/>
      </c>
      <c r="CE11" s="74" t="str">
        <f>IF($U11="","",IF(COUNTIF(choice!$D:$D,CONCATENATE($U11,"@",CE$7))=0,"",VLOOKUP(CONCATENATE($U11,"@",CE$7),choice!$D:$E,2,0)))</f>
        <v/>
      </c>
      <c r="CF11" s="74" t="str">
        <f>IF($U11="","",IF(COUNTIF(choice!$D:$D,CONCATENATE($U11,"@",CF$7))=0,"",VLOOKUP(CONCATENATE($U11,"@",CF$7),choice!$D:$E,2,0)))</f>
        <v/>
      </c>
      <c r="CG11" s="74" t="str">
        <f>IF($U11="","",IF(COUNTIF(choice!$D:$D,CONCATENATE($U11,"@",CG$7))=0,"",VLOOKUP(CONCATENATE($U11,"@",CG$7),choice!$D:$E,2,0)))</f>
        <v/>
      </c>
      <c r="CH11" s="74" t="str">
        <f>IF($U11="","",IF(COUNTIF(choice!$D:$D,CONCATENATE($U11,"@",CH$7))=0,"",VLOOKUP(CONCATENATE($U11,"@",CH$7),choice!$D:$E,2,0)))</f>
        <v/>
      </c>
      <c r="CI11" s="74" t="str">
        <f>IF($U11="","",IF(COUNTIF(choice!$D:$D,CONCATENATE($U11,"@",CI$7))=0,"",VLOOKUP(CONCATENATE($U11,"@",CI$7),choice!$D:$E,2,0)))</f>
        <v/>
      </c>
      <c r="CJ11" s="81" t="str">
        <f>IF($U11="","",IF(COUNTIF(choice!$D:$D,CONCATENATE($U11,"@",CJ$7))=0,"",VLOOKUP(CONCATENATE($U11,"@",CJ$7),choice!$D:$E,2,0)))</f>
        <v/>
      </c>
      <c r="CK11" s="80" t="str">
        <f>IF($V11="","",IF(COUNTIF(choice!$D:$D,CONCATENATE($V11,"@",CK$7))=0,"",VLOOKUP(CONCATENATE($V11,"@",CK$7),choice!$D:$E,2,0)))</f>
        <v/>
      </c>
      <c r="CL11" s="74" t="str">
        <f>IF($V11="","",IF(COUNTIF(choice!$D:$D,CONCATENATE($V11,"@",CL$7))=0,"",VLOOKUP(CONCATENATE($V11,"@",CL$7),choice!$D:$E,2,0)))</f>
        <v/>
      </c>
      <c r="CM11" s="74" t="str">
        <f>IF($V11="","",IF(COUNTIF(choice!$D:$D,CONCATENATE($V11,"@",CM$7))=0,"",VLOOKUP(CONCATENATE($V11,"@",CM$7),choice!$D:$E,2,0)))</f>
        <v/>
      </c>
      <c r="CN11" s="74" t="str">
        <f>IF($V11="","",IF(COUNTIF(choice!$D:$D,CONCATENATE($V11,"@",CN$7))=0,"",VLOOKUP(CONCATENATE($V11,"@",CN$7),choice!$D:$E,2,0)))</f>
        <v/>
      </c>
      <c r="CO11" s="74" t="str">
        <f>IF($V11="","",IF(COUNTIF(choice!$D:$D,CONCATENATE($V11,"@",CO$7))=0,"",VLOOKUP(CONCATENATE($V11,"@",CO$7),choice!$D:$E,2,0)))</f>
        <v/>
      </c>
      <c r="CP11" s="74" t="str">
        <f>IF($V11="","",IF(COUNTIF(choice!$D:$D,CONCATENATE($V11,"@",CP$7))=0,"",VLOOKUP(CONCATENATE($V11,"@",CP$7),choice!$D:$E,2,0)))</f>
        <v/>
      </c>
      <c r="CQ11" s="74" t="str">
        <f>IF($V11="","",IF(COUNTIF(choice!$D:$D,CONCATENATE($V11,"@",CQ$7))=0,"",VLOOKUP(CONCATENATE($V11,"@",CQ$7),choice!$D:$E,2,0)))</f>
        <v/>
      </c>
      <c r="CR11" s="74" t="str">
        <f>IF($V11="","",IF(COUNTIF(choice!$D:$D,CONCATENATE($V11,"@",CR$7))=0,"",VLOOKUP(CONCATENATE($V11,"@",CR$7),choice!$D:$E,2,0)))</f>
        <v/>
      </c>
      <c r="CS11" s="74" t="str">
        <f>IF($V11="","",IF(COUNTIF(choice!$D:$D,CONCATENATE($V11,"@",CS$7))=0,"",VLOOKUP(CONCATENATE($V11,"@",CS$7),choice!$D:$E,2,0)))</f>
        <v/>
      </c>
      <c r="CT11" s="74" t="str">
        <f>IF($V11="","",IF(COUNTIF(choice!$D:$D,CONCATENATE($V11,"@",CT$7))=0,"",VLOOKUP(CONCATENATE($V11,"@",CT$7),choice!$D:$E,2,0)))</f>
        <v/>
      </c>
      <c r="CU11" s="74" t="str">
        <f>IF($V11="","",IF(COUNTIF(choice!$D:$D,CONCATENATE($V11,"@",CU$7))=0,"",VLOOKUP(CONCATENATE($V11,"@",CU$7),choice!$D:$E,2,0)))</f>
        <v/>
      </c>
      <c r="CV11" s="74" t="str">
        <f>IF($V11="","",IF(COUNTIF(choice!$D:$D,CONCATENATE($V11,"@",CV$7))=0,"",VLOOKUP(CONCATENATE($V11,"@",CV$7),choice!$D:$E,2,0)))</f>
        <v/>
      </c>
      <c r="CW11" s="74" t="str">
        <f>IF($V11="","",IF(COUNTIF(choice!$D:$D,CONCATENATE($V11,"@",CW$7))=0,"",VLOOKUP(CONCATENATE($V11,"@",CW$7),choice!$D:$E,2,0)))</f>
        <v/>
      </c>
      <c r="CX11" s="74" t="str">
        <f>IF($V11="","",IF(COUNTIF(choice!$D:$D,CONCATENATE($V11,"@",CX$7))=0,"",VLOOKUP(CONCATENATE($V11,"@",CX$7),choice!$D:$E,2,0)))</f>
        <v/>
      </c>
      <c r="CY11" s="74" t="str">
        <f>IF($V11="","",IF(COUNTIF(choice!$D:$D,CONCATENATE($V11,"@",CY$7))=0,"",VLOOKUP(CONCATENATE($V11,"@",CY$7),choice!$D:$E,2,0)))</f>
        <v/>
      </c>
      <c r="CZ11" s="74" t="str">
        <f>IF($V11="","",IF(COUNTIF(choice!$D:$D,CONCATENATE($V11,"@",CZ$7))=0,"",VLOOKUP(CONCATENATE($V11,"@",CZ$7),choice!$D:$E,2,0)))</f>
        <v/>
      </c>
      <c r="DA11" s="74" t="str">
        <f>IF($V11="","",IF(COUNTIF(choice!$D:$D,CONCATENATE($V11,"@",DA$7))=0,"",VLOOKUP(CONCATENATE($V11,"@",DA$7),choice!$D:$E,2,0)))</f>
        <v/>
      </c>
      <c r="DB11" s="74" t="str">
        <f>IF($V11="","",IF(COUNTIF(choice!$D:$D,CONCATENATE($V11,"@",DB$7))=0,"",VLOOKUP(CONCATENATE($V11,"@",DB$7),choice!$D:$E,2,0)))</f>
        <v/>
      </c>
      <c r="DC11" s="74" t="str">
        <f>IF($V11="","",IF(COUNTIF(choice!$D:$D,CONCATENATE($V11,"@",DC$7))=0,"",VLOOKUP(CONCATENATE($V11,"@",DC$7),choice!$D:$E,2,0)))</f>
        <v/>
      </c>
      <c r="DD11" s="74" t="str">
        <f>IF($V11="","",IF(COUNTIF(choice!$D:$D,CONCATENATE($V11,"@",DD$7))=0,"",VLOOKUP(CONCATENATE($V11,"@",DD$7),choice!$D:$E,2,0)))</f>
        <v/>
      </c>
      <c r="DE11" s="74" t="str">
        <f>IF($V11="","",IF(COUNTIF(choice!$D:$D,CONCATENATE($V11,"@",DE$7))=0,"",VLOOKUP(CONCATENATE($V11,"@",DE$7),choice!$D:$E,2,0)))</f>
        <v/>
      </c>
      <c r="DF11" s="74" t="str">
        <f>IF($V11="","",IF(COUNTIF(choice!$D:$D,CONCATENATE($V11,"@",DF$7))=0,"",VLOOKUP(CONCATENATE($V11,"@",DF$7),choice!$D:$E,2,0)))</f>
        <v/>
      </c>
      <c r="DG11" s="74" t="str">
        <f>IF($V11="","",IF(COUNTIF(choice!$D:$D,CONCATENATE($V11,"@",DG$7))=0,"",VLOOKUP(CONCATENATE($V11,"@",DG$7),choice!$D:$E,2,0)))</f>
        <v/>
      </c>
      <c r="DH11" s="74" t="str">
        <f>IF($V11="","",IF(COUNTIF(choice!$D:$D,CONCATENATE($V11,"@",DH$7))=0,"",VLOOKUP(CONCATENATE($V11,"@",DH$7),choice!$D:$E,2,0)))</f>
        <v/>
      </c>
      <c r="DI11" s="74" t="str">
        <f>IF($V11="","",IF(COUNTIF(choice!$D:$D,CONCATENATE($V11,"@",DI$7))=0,"",VLOOKUP(CONCATENATE($V11,"@",DI$7),choice!$D:$E,2,0)))</f>
        <v/>
      </c>
      <c r="DJ11" s="74" t="str">
        <f>IF($V11="","",IF(COUNTIF(choice!$D:$D,CONCATENATE($V11,"@",DJ$7))=0,"",VLOOKUP(CONCATENATE($V11,"@",DJ$7),choice!$D:$E,2,0)))</f>
        <v/>
      </c>
      <c r="DK11" s="74" t="str">
        <f>IF($V11="","",IF(COUNTIF(choice!$D:$D,CONCATENATE($V11,"@",DK$7))=0,"",VLOOKUP(CONCATENATE($V11,"@",DK$7),choice!$D:$E,2,0)))</f>
        <v/>
      </c>
      <c r="DL11" s="74" t="str">
        <f>IF($V11="","",IF(COUNTIF(choice!$D:$D,CONCATENATE($V11,"@",DL$7))=0,"",VLOOKUP(CONCATENATE($V11,"@",DL$7),choice!$D:$E,2,0)))</f>
        <v/>
      </c>
      <c r="DM11" s="74" t="str">
        <f>IF($V11="","",IF(COUNTIF(choice!$D:$D,CONCATENATE($V11,"@",DM$7))=0,"",VLOOKUP(CONCATENATE($V11,"@",DM$7),choice!$D:$E,2,0)))</f>
        <v/>
      </c>
      <c r="DN11" s="74" t="str">
        <f>IF($V11="","",IF(COUNTIF(choice!$D:$D,CONCATENATE($V11,"@",DN$7))=0,"",VLOOKUP(CONCATENATE($V11,"@",DN$7),choice!$D:$E,2,0)))</f>
        <v/>
      </c>
      <c r="DO11" s="74" t="str">
        <f>IF($V11="","",IF(COUNTIF(choice!$D:$D,CONCATENATE($V11,"@",DO$7))=0,"",VLOOKUP(CONCATENATE($V11,"@",DO$7),choice!$D:$E,2,0)))</f>
        <v/>
      </c>
      <c r="DP11" s="74" t="str">
        <f>IF($V11="","",IF(COUNTIF(choice!$D:$D,CONCATENATE($V11,"@",DP$7))=0,"",VLOOKUP(CONCATENATE($V11,"@",DP$7),choice!$D:$E,2,0)))</f>
        <v/>
      </c>
      <c r="DQ11" s="74" t="str">
        <f>IF($V11="","",IF(COUNTIF(choice!$D:$D,CONCATENATE($V11,"@",DQ$7))=0,"",VLOOKUP(CONCATENATE($V11,"@",DQ$7),choice!$D:$E,2,0)))</f>
        <v/>
      </c>
      <c r="DR11" s="74" t="str">
        <f>IF($V11="","",IF(COUNTIF(choice!$D:$D,CONCATENATE($V11,"@",DR$7))=0,"",VLOOKUP(CONCATENATE($V11,"@",DR$7),choice!$D:$E,2,0)))</f>
        <v/>
      </c>
      <c r="DS11" s="74" t="str">
        <f>IF($V11="","",IF(COUNTIF(choice!$D:$D,CONCATENATE($V11,"@",DS$7))=0,"",VLOOKUP(CONCATENATE($V11,"@",DS$7),choice!$D:$E,2,0)))</f>
        <v/>
      </c>
      <c r="DT11" s="74" t="str">
        <f>IF($V11="","",IF(COUNTIF(choice!$D:$D,CONCATENATE($V11,"@",DT$7))=0,"",VLOOKUP(CONCATENATE($V11,"@",DT$7),choice!$D:$E,2,0)))</f>
        <v/>
      </c>
      <c r="DU11" s="74" t="str">
        <f>IF($V11="","",IF(COUNTIF(choice!$D:$D,CONCATENATE($V11,"@",DU$7))=0,"",VLOOKUP(CONCATENATE($V11,"@",DU$7),choice!$D:$E,2,0)))</f>
        <v/>
      </c>
      <c r="DV11" s="74" t="str">
        <f>IF($V11="","",IF(COUNTIF(choice!$D:$D,CONCATENATE($V11,"@",DV$7))=0,"",VLOOKUP(CONCATENATE($V11,"@",DV$7),choice!$D:$E,2,0)))</f>
        <v/>
      </c>
      <c r="DW11" s="74" t="str">
        <f>IF($V11="","",IF(COUNTIF(choice!$D:$D,CONCATENATE($V11,"@",DW$7))=0,"",VLOOKUP(CONCATENATE($V11,"@",DW$7),choice!$D:$E,2,0)))</f>
        <v/>
      </c>
      <c r="DX11" s="74" t="str">
        <f>IF($V11="","",IF(COUNTIF(choice!$D:$D,CONCATENATE($V11,"@",DX$7))=0,"",VLOOKUP(CONCATENATE($V11,"@",DX$7),choice!$D:$E,2,0)))</f>
        <v/>
      </c>
      <c r="DY11" s="74" t="str">
        <f>IF($V11="","",IF(COUNTIF(choice!$D:$D,CONCATENATE($V11,"@",DY$7))=0,"",VLOOKUP(CONCATENATE($V11,"@",DY$7),choice!$D:$E,2,0)))</f>
        <v/>
      </c>
      <c r="DZ11" s="74" t="str">
        <f>IF($V11="","",IF(COUNTIF(choice!$D:$D,CONCATENATE($V11,"@",DZ$7))=0,"",VLOOKUP(CONCATENATE($V11,"@",DZ$7),choice!$D:$E,2,0)))</f>
        <v/>
      </c>
      <c r="EA11" s="74" t="str">
        <f>IF($V11="","",IF(COUNTIF(choice!$D:$D,CONCATENATE($V11,"@",EA$7))=0,"",VLOOKUP(CONCATENATE($V11,"@",EA$7),choice!$D:$E,2,0)))</f>
        <v/>
      </c>
      <c r="EB11" s="74" t="str">
        <f>IF($V11="","",IF(COUNTIF(choice!$D:$D,CONCATENATE($V11,"@",EB$7))=0,"",VLOOKUP(CONCATENATE($V11,"@",EB$7),choice!$D:$E,2,0)))</f>
        <v/>
      </c>
      <c r="EC11" s="81" t="str">
        <f>IF($V11="","",IF(COUNTIF(choice!$D:$D,CONCATENATE($V11,"@",EC$7))=0,"",VLOOKUP(CONCATENATE($V11,"@",EC$7),choice!$D:$E,2,0)))</f>
        <v/>
      </c>
      <c r="ED11" s="80" t="str">
        <f>IF($W11="","",IF(COUNTIF(choice!$D:$D,CONCATENATE($W11,"@",ED$7))=0,"",VLOOKUP(CONCATENATE($W11,"@",ED$7),choice!$D:$E,2,0)))</f>
        <v/>
      </c>
      <c r="EE11" s="74" t="str">
        <f>IF($W11="","",IF(COUNTIF(choice!$D:$D,CONCATENATE($W11,"@",EE$7))=0,"",VLOOKUP(CONCATENATE($W11,"@",EE$7),choice!$D:$E,2,0)))</f>
        <v/>
      </c>
      <c r="EF11" s="74" t="str">
        <f>IF($W11="","",IF(COUNTIF(choice!$D:$D,CONCATENATE($W11,"@",EF$7))=0,"",VLOOKUP(CONCATENATE($W11,"@",EF$7),choice!$D:$E,2,0)))</f>
        <v/>
      </c>
      <c r="EG11" s="74" t="str">
        <f>IF($W11="","",IF(COUNTIF(choice!$D:$D,CONCATENATE($W11,"@",EG$7))=0,"",VLOOKUP(CONCATENATE($W11,"@",EG$7),choice!$D:$E,2,0)))</f>
        <v/>
      </c>
      <c r="EH11" s="74" t="str">
        <f>IF($W11="","",IF(COUNTIF(choice!$D:$D,CONCATENATE($W11,"@",EH$7))=0,"",VLOOKUP(CONCATENATE($W11,"@",EH$7),choice!$D:$E,2,0)))</f>
        <v/>
      </c>
      <c r="EI11" s="74" t="str">
        <f>IF($W11="","",IF(COUNTIF(choice!$D:$D,CONCATENATE($W11,"@",EI$7))=0,"",VLOOKUP(CONCATENATE($W11,"@",EI$7),choice!$D:$E,2,0)))</f>
        <v/>
      </c>
      <c r="EJ11" s="74" t="str">
        <f>IF($W11="","",IF(COUNTIF(choice!$D:$D,CONCATENATE($W11,"@",EJ$7))=0,"",VLOOKUP(CONCATENATE($W11,"@",EJ$7),choice!$D:$E,2,0)))</f>
        <v/>
      </c>
      <c r="EK11" s="74" t="str">
        <f>IF($W11="","",IF(COUNTIF(choice!$D:$D,CONCATENATE($W11,"@",EK$7))=0,"",VLOOKUP(CONCATENATE($W11,"@",EK$7),choice!$D:$E,2,0)))</f>
        <v/>
      </c>
      <c r="EL11" s="74" t="str">
        <f>IF($W11="","",IF(COUNTIF(choice!$D:$D,CONCATENATE($W11,"@",EL$7))=0,"",VLOOKUP(CONCATENATE($W11,"@",EL$7),choice!$D:$E,2,0)))</f>
        <v/>
      </c>
      <c r="EM11" s="74" t="str">
        <f>IF($W11="","",IF(COUNTIF(choice!$D:$D,CONCATENATE($W11,"@",EM$7))=0,"",VLOOKUP(CONCATENATE($W11,"@",EM$7),choice!$D:$E,2,0)))</f>
        <v/>
      </c>
      <c r="EN11" s="74" t="str">
        <f>IF($W11="","",IF(COUNTIF(choice!$D:$D,CONCATENATE($W11,"@",EN$7))=0,"",VLOOKUP(CONCATENATE($W11,"@",EN$7),choice!$D:$E,2,0)))</f>
        <v/>
      </c>
      <c r="EO11" s="74" t="str">
        <f>IF($W11="","",IF(COUNTIF(choice!$D:$D,CONCATENATE($W11,"@",EO$7))=0,"",VLOOKUP(CONCATENATE($W11,"@",EO$7),choice!$D:$E,2,0)))</f>
        <v/>
      </c>
      <c r="EP11" s="74" t="str">
        <f>IF($W11="","",IF(COUNTIF(choice!$D:$D,CONCATENATE($W11,"@",EP$7))=0,"",VLOOKUP(CONCATENATE($W11,"@",EP$7),choice!$D:$E,2,0)))</f>
        <v/>
      </c>
      <c r="EQ11" s="74" t="str">
        <f>IF($W11="","",IF(COUNTIF(choice!$D:$D,CONCATENATE($W11,"@",EQ$7))=0,"",VLOOKUP(CONCATENATE($W11,"@",EQ$7),choice!$D:$E,2,0)))</f>
        <v/>
      </c>
      <c r="ER11" s="74" t="str">
        <f>IF($W11="","",IF(COUNTIF(choice!$D:$D,CONCATENATE($W11,"@",ER$7))=0,"",VLOOKUP(CONCATENATE($W11,"@",ER$7),choice!$D:$E,2,0)))</f>
        <v/>
      </c>
      <c r="ES11" s="74" t="str">
        <f>IF($W11="","",IF(COUNTIF(choice!$D:$D,CONCATENATE($W11,"@",ES$7))=0,"",VLOOKUP(CONCATENATE($W11,"@",ES$7),choice!$D:$E,2,0)))</f>
        <v/>
      </c>
      <c r="ET11" s="74" t="str">
        <f>IF($W11="","",IF(COUNTIF(choice!$D:$D,CONCATENATE($W11,"@",ET$7))=0,"",VLOOKUP(CONCATENATE($W11,"@",ET$7),choice!$D:$E,2,0)))</f>
        <v/>
      </c>
      <c r="EU11" s="74" t="str">
        <f>IF($W11="","",IF(COUNTIF(choice!$D:$D,CONCATENATE($W11,"@",EU$7))=0,"",VLOOKUP(CONCATENATE($W11,"@",EU$7),choice!$D:$E,2,0)))</f>
        <v/>
      </c>
      <c r="EV11" s="74" t="str">
        <f>IF($W11="","",IF(COUNTIF(choice!$D:$D,CONCATENATE($W11,"@",EV$7))=0,"",VLOOKUP(CONCATENATE($W11,"@",EV$7),choice!$D:$E,2,0)))</f>
        <v/>
      </c>
      <c r="EW11" s="74" t="str">
        <f>IF($W11="","",IF(COUNTIF(choice!$D:$D,CONCATENATE($W11,"@",EW$7))=0,"",VLOOKUP(CONCATENATE($W11,"@",EW$7),choice!$D:$E,2,0)))</f>
        <v/>
      </c>
      <c r="EX11" s="74" t="str">
        <f>IF($W11="","",IF(COUNTIF(choice!$D:$D,CONCATENATE($W11,"@",EX$7))=0,"",VLOOKUP(CONCATENATE($W11,"@",EX$7),choice!$D:$E,2,0)))</f>
        <v/>
      </c>
      <c r="EY11" s="74" t="str">
        <f>IF($W11="","",IF(COUNTIF(choice!$D:$D,CONCATENATE($W11,"@",EY$7))=0,"",VLOOKUP(CONCATENATE($W11,"@",EY$7),choice!$D:$E,2,0)))</f>
        <v/>
      </c>
      <c r="EZ11" s="74" t="str">
        <f>IF($W11="","",IF(COUNTIF(choice!$D:$D,CONCATENATE($W11,"@",EZ$7))=0,"",VLOOKUP(CONCATENATE($W11,"@",EZ$7),choice!$D:$E,2,0)))</f>
        <v/>
      </c>
      <c r="FA11" s="74" t="str">
        <f>IF($W11="","",IF(COUNTIF(choice!$D:$D,CONCATENATE($W11,"@",FA$7))=0,"",VLOOKUP(CONCATENATE($W11,"@",FA$7),choice!$D:$E,2,0)))</f>
        <v/>
      </c>
      <c r="FB11" s="74" t="str">
        <f>IF($W11="","",IF(COUNTIF(choice!$D:$D,CONCATENATE($W11,"@",FB$7))=0,"",VLOOKUP(CONCATENATE($W11,"@",FB$7),choice!$D:$E,2,0)))</f>
        <v/>
      </c>
      <c r="FC11" s="74" t="str">
        <f>IF($W11="","",IF(COUNTIF(choice!$D:$D,CONCATENATE($W11,"@",FC$7))=0,"",VLOOKUP(CONCATENATE($W11,"@",FC$7),choice!$D:$E,2,0)))</f>
        <v/>
      </c>
      <c r="FD11" s="74" t="str">
        <f>IF($W11="","",IF(COUNTIF(choice!$D:$D,CONCATENATE($W11,"@",FD$7))=0,"",VLOOKUP(CONCATENATE($W11,"@",FD$7),choice!$D:$E,2,0)))</f>
        <v/>
      </c>
      <c r="FE11" s="74" t="str">
        <f>IF($W11="","",IF(COUNTIF(choice!$D:$D,CONCATENATE($W11,"@",FE$7))=0,"",VLOOKUP(CONCATENATE($W11,"@",FE$7),choice!$D:$E,2,0)))</f>
        <v/>
      </c>
      <c r="FF11" s="74" t="str">
        <f>IF($W11="","",IF(COUNTIF(choice!$D:$D,CONCATENATE($W11,"@",FF$7))=0,"",VLOOKUP(CONCATENATE($W11,"@",FF$7),choice!$D:$E,2,0)))</f>
        <v/>
      </c>
      <c r="FG11" s="74" t="str">
        <f>IF($W11="","",IF(COUNTIF(choice!$D:$D,CONCATENATE($W11,"@",FG$7))=0,"",VLOOKUP(CONCATENATE($W11,"@",FG$7),choice!$D:$E,2,0)))</f>
        <v/>
      </c>
      <c r="FH11" s="74" t="str">
        <f>IF($W11="","",IF(COUNTIF(choice!$D:$D,CONCATENATE($W11,"@",FH$7))=0,"",VLOOKUP(CONCATENATE($W11,"@",FH$7),choice!$D:$E,2,0)))</f>
        <v/>
      </c>
      <c r="FI11" s="74" t="str">
        <f>IF($W11="","",IF(COUNTIF(choice!$D:$D,CONCATENATE($W11,"@",FI$7))=0,"",VLOOKUP(CONCATENATE($W11,"@",FI$7),choice!$D:$E,2,0)))</f>
        <v/>
      </c>
      <c r="FJ11" s="74" t="str">
        <f>IF($W11="","",IF(COUNTIF(choice!$D:$D,CONCATENATE($W11,"@",FJ$7))=0,"",VLOOKUP(CONCATENATE($W11,"@",FJ$7),choice!$D:$E,2,0)))</f>
        <v/>
      </c>
      <c r="FK11" s="74" t="str">
        <f>IF($W11="","",IF(COUNTIF(choice!$D:$D,CONCATENATE($W11,"@",FK$7))=0,"",VLOOKUP(CONCATENATE($W11,"@",FK$7),choice!$D:$E,2,0)))</f>
        <v/>
      </c>
      <c r="FL11" s="74" t="str">
        <f>IF($W11="","",IF(COUNTIF(choice!$D:$D,CONCATENATE($W11,"@",FL$7))=0,"",VLOOKUP(CONCATENATE($W11,"@",FL$7),choice!$D:$E,2,0)))</f>
        <v/>
      </c>
      <c r="FM11" s="74" t="str">
        <f>IF($W11="","",IF(COUNTIF(choice!$D:$D,CONCATENATE($W11,"@",FM$7))=0,"",VLOOKUP(CONCATENATE($W11,"@",FM$7),choice!$D:$E,2,0)))</f>
        <v/>
      </c>
      <c r="FN11" s="74" t="str">
        <f>IF($W11="","",IF(COUNTIF(choice!$D:$D,CONCATENATE($W11,"@",FN$7))=0,"",VLOOKUP(CONCATENATE($W11,"@",FN$7),choice!$D:$E,2,0)))</f>
        <v/>
      </c>
      <c r="FO11" s="74" t="str">
        <f>IF($W11="","",IF(COUNTIF(choice!$D:$D,CONCATENATE($W11,"@",FO$7))=0,"",VLOOKUP(CONCATENATE($W11,"@",FO$7),choice!$D:$E,2,0)))</f>
        <v/>
      </c>
      <c r="FP11" s="74" t="str">
        <f>IF($W11="","",IF(COUNTIF(choice!$D:$D,CONCATENATE($W11,"@",FP$7))=0,"",VLOOKUP(CONCATENATE($W11,"@",FP$7),choice!$D:$E,2,0)))</f>
        <v/>
      </c>
      <c r="FQ11" s="74" t="str">
        <f>IF($W11="","",IF(COUNTIF(choice!$D:$D,CONCATENATE($W11,"@",FQ$7))=0,"",VLOOKUP(CONCATENATE($W11,"@",FQ$7),choice!$D:$E,2,0)))</f>
        <v/>
      </c>
      <c r="FR11" s="74" t="str">
        <f>IF($W11="","",IF(COUNTIF(choice!$D:$D,CONCATENATE($W11,"@",FR$7))=0,"",VLOOKUP(CONCATENATE($W11,"@",FR$7),choice!$D:$E,2,0)))</f>
        <v/>
      </c>
      <c r="FS11" s="74" t="str">
        <f>IF($W11="","",IF(COUNTIF(choice!$D:$D,CONCATENATE($W11,"@",FS$7))=0,"",VLOOKUP(CONCATENATE($W11,"@",FS$7),choice!$D:$E,2,0)))</f>
        <v/>
      </c>
      <c r="FT11" s="74" t="str">
        <f>IF($W11="","",IF(COUNTIF(choice!$D:$D,CONCATENATE($W11,"@",FT$7))=0,"",VLOOKUP(CONCATENATE($W11,"@",FT$7),choice!$D:$E,2,0)))</f>
        <v/>
      </c>
      <c r="FU11" s="74" t="str">
        <f>IF($W11="","",IF(COUNTIF(choice!$D:$D,CONCATENATE($W11,"@",FU$7))=0,"",VLOOKUP(CONCATENATE($W11,"@",FU$7),choice!$D:$E,2,0)))</f>
        <v/>
      </c>
      <c r="FV11" s="81" t="str">
        <f>IF($W11="","",IF(COUNTIF(choice!$D:$D,CONCATENATE($W11,"@",FV$7))=0,"",VLOOKUP(CONCATENATE($W11,"@",FV$7),choice!$D:$E,2,0)))</f>
        <v/>
      </c>
      <c r="FW11" s="80" t="str">
        <f>IF($X11="","",IF(COUNTIF(choice!$D:$D,CONCATENATE($X11,"@",FW$7))=0,"",VLOOKUP(CONCATENATE($X11,"@",FW$7),choice!$D:$E,2,0)))</f>
        <v/>
      </c>
      <c r="FX11" s="74" t="str">
        <f>IF($X11="","",IF(COUNTIF(choice!$D:$D,CONCATENATE($X11,"@",FX$7))=0,"",VLOOKUP(CONCATENATE($X11,"@",FX$7),choice!$D:$E,2,0)))</f>
        <v/>
      </c>
      <c r="FY11" s="74" t="str">
        <f>IF($X11="","",IF(COUNTIF(choice!$D:$D,CONCATENATE($X11,"@",FY$7))=0,"",VLOOKUP(CONCATENATE($X11,"@",FY$7),choice!$D:$E,2,0)))</f>
        <v/>
      </c>
      <c r="FZ11" s="74" t="str">
        <f>IF($X11="","",IF(COUNTIF(choice!$D:$D,CONCATENATE($X11,"@",FZ$7))=0,"",VLOOKUP(CONCATENATE($X11,"@",FZ$7),choice!$D:$E,2,0)))</f>
        <v/>
      </c>
      <c r="GA11" s="74" t="str">
        <f>IF($X11="","",IF(COUNTIF(choice!$D:$D,CONCATENATE($X11,"@",GA$7))=0,"",VLOOKUP(CONCATENATE($X11,"@",GA$7),choice!$D:$E,2,0)))</f>
        <v/>
      </c>
      <c r="GB11" s="74" t="str">
        <f>IF($X11="","",IF(COUNTIF(choice!$D:$D,CONCATENATE($X11,"@",GB$7))=0,"",VLOOKUP(CONCATENATE($X11,"@",GB$7),choice!$D:$E,2,0)))</f>
        <v/>
      </c>
      <c r="GC11" s="74" t="str">
        <f>IF($X11="","",IF(COUNTIF(choice!$D:$D,CONCATENATE($X11,"@",GC$7))=0,"",VLOOKUP(CONCATENATE($X11,"@",GC$7),choice!$D:$E,2,0)))</f>
        <v/>
      </c>
      <c r="GD11" s="74" t="str">
        <f>IF($X11="","",IF(COUNTIF(choice!$D:$D,CONCATENATE($X11,"@",GD$7))=0,"",VLOOKUP(CONCATENATE($X11,"@",GD$7),choice!$D:$E,2,0)))</f>
        <v/>
      </c>
      <c r="GE11" s="74" t="str">
        <f>IF($X11="","",IF(COUNTIF(choice!$D:$D,CONCATENATE($X11,"@",GE$7))=0,"",VLOOKUP(CONCATENATE($X11,"@",GE$7),choice!$D:$E,2,0)))</f>
        <v/>
      </c>
      <c r="GF11" s="74" t="str">
        <f>IF($X11="","",IF(COUNTIF(choice!$D:$D,CONCATENATE($X11,"@",GF$7))=0,"",VLOOKUP(CONCATENATE($X11,"@",GF$7),choice!$D:$E,2,0)))</f>
        <v/>
      </c>
      <c r="GG11" s="74" t="str">
        <f>IF($X11="","",IF(COUNTIF(choice!$D:$D,CONCATENATE($X11,"@",GG$7))=0,"",VLOOKUP(CONCATENATE($X11,"@",GG$7),choice!$D:$E,2,0)))</f>
        <v/>
      </c>
      <c r="GH11" s="74" t="str">
        <f>IF($X11="","",IF(COUNTIF(choice!$D:$D,CONCATENATE($X11,"@",GH$7))=0,"",VLOOKUP(CONCATENATE($X11,"@",GH$7),choice!$D:$E,2,0)))</f>
        <v/>
      </c>
      <c r="GI11" s="74" t="str">
        <f>IF($X11="","",IF(COUNTIF(choice!$D:$D,CONCATENATE($X11,"@",GI$7))=0,"",VLOOKUP(CONCATENATE($X11,"@",GI$7),choice!$D:$E,2,0)))</f>
        <v/>
      </c>
      <c r="GJ11" s="74" t="str">
        <f>IF($X11="","",IF(COUNTIF(choice!$D:$D,CONCATENATE($X11,"@",GJ$7))=0,"",VLOOKUP(CONCATENATE($X11,"@",GJ$7),choice!$D:$E,2,0)))</f>
        <v/>
      </c>
      <c r="GK11" s="74" t="str">
        <f>IF($X11="","",IF(COUNTIF(choice!$D:$D,CONCATENATE($X11,"@",GK$7))=0,"",VLOOKUP(CONCATENATE($X11,"@",GK$7),choice!$D:$E,2,0)))</f>
        <v/>
      </c>
      <c r="GL11" s="74" t="str">
        <f>IF($X11="","",IF(COUNTIF(choice!$D:$D,CONCATENATE($X11,"@",GL$7))=0,"",VLOOKUP(CONCATENATE($X11,"@",GL$7),choice!$D:$E,2,0)))</f>
        <v/>
      </c>
      <c r="GM11" s="74" t="str">
        <f>IF($X11="","",IF(COUNTIF(choice!$D:$D,CONCATENATE($X11,"@",GM$7))=0,"",VLOOKUP(CONCATENATE($X11,"@",GM$7),choice!$D:$E,2,0)))</f>
        <v/>
      </c>
      <c r="GN11" s="74" t="str">
        <f>IF($X11="","",IF(COUNTIF(choice!$D:$D,CONCATENATE($X11,"@",GN$7))=0,"",VLOOKUP(CONCATENATE($X11,"@",GN$7),choice!$D:$E,2,0)))</f>
        <v/>
      </c>
      <c r="GO11" s="74" t="str">
        <f>IF($X11="","",IF(COUNTIF(choice!$D:$D,CONCATENATE($X11,"@",GO$7))=0,"",VLOOKUP(CONCATENATE($X11,"@",GO$7),choice!$D:$E,2,0)))</f>
        <v/>
      </c>
      <c r="GP11" s="74" t="str">
        <f>IF($X11="","",IF(COUNTIF(choice!$D:$D,CONCATENATE($X11,"@",GP$7))=0,"",VLOOKUP(CONCATENATE($X11,"@",GP$7),choice!$D:$E,2,0)))</f>
        <v/>
      </c>
      <c r="GQ11" s="74" t="str">
        <f>IF($X11="","",IF(COUNTIF(choice!$D:$D,CONCATENATE($X11,"@",GQ$7))=0,"",VLOOKUP(CONCATENATE($X11,"@",GQ$7),choice!$D:$E,2,0)))</f>
        <v/>
      </c>
      <c r="GR11" s="74" t="str">
        <f>IF($X11="","",IF(COUNTIF(choice!$D:$D,CONCATENATE($X11,"@",GR$7))=0,"",VLOOKUP(CONCATENATE($X11,"@",GR$7),choice!$D:$E,2,0)))</f>
        <v/>
      </c>
      <c r="GS11" s="74" t="str">
        <f>IF($X11="","",IF(COUNTIF(choice!$D:$D,CONCATENATE($X11,"@",GS$7))=0,"",VLOOKUP(CONCATENATE($X11,"@",GS$7),choice!$D:$E,2,0)))</f>
        <v/>
      </c>
      <c r="GT11" s="74" t="str">
        <f>IF($X11="","",IF(COUNTIF(choice!$D:$D,CONCATENATE($X11,"@",GT$7))=0,"",VLOOKUP(CONCATENATE($X11,"@",GT$7),choice!$D:$E,2,0)))</f>
        <v/>
      </c>
      <c r="GU11" s="74" t="str">
        <f>IF($X11="","",IF(COUNTIF(choice!$D:$D,CONCATENATE($X11,"@",GU$7))=0,"",VLOOKUP(CONCATENATE($X11,"@",GU$7),choice!$D:$E,2,0)))</f>
        <v/>
      </c>
      <c r="GV11" s="74" t="str">
        <f>IF($X11="","",IF(COUNTIF(choice!$D:$D,CONCATENATE($X11,"@",GV$7))=0,"",VLOOKUP(CONCATENATE($X11,"@",GV$7),choice!$D:$E,2,0)))</f>
        <v/>
      </c>
      <c r="GW11" s="74" t="str">
        <f>IF($X11="","",IF(COUNTIF(choice!$D:$D,CONCATENATE($X11,"@",GW$7))=0,"",VLOOKUP(CONCATENATE($X11,"@",GW$7),choice!$D:$E,2,0)))</f>
        <v/>
      </c>
      <c r="GX11" s="74" t="str">
        <f>IF($X11="","",IF(COUNTIF(choice!$D:$D,CONCATENATE($X11,"@",GX$7))=0,"",VLOOKUP(CONCATENATE($X11,"@",GX$7),choice!$D:$E,2,0)))</f>
        <v/>
      </c>
      <c r="GY11" s="74" t="str">
        <f>IF($X11="","",IF(COUNTIF(choice!$D:$D,CONCATENATE($X11,"@",GY$7))=0,"",VLOOKUP(CONCATENATE($X11,"@",GY$7),choice!$D:$E,2,0)))</f>
        <v/>
      </c>
      <c r="GZ11" s="74" t="str">
        <f>IF($X11="","",IF(COUNTIF(choice!$D:$D,CONCATENATE($X11,"@",GZ$7))=0,"",VLOOKUP(CONCATENATE($X11,"@",GZ$7),choice!$D:$E,2,0)))</f>
        <v/>
      </c>
      <c r="HA11" s="74" t="str">
        <f>IF($X11="","",IF(COUNTIF(choice!$D:$D,CONCATENATE($X11,"@",HA$7))=0,"",VLOOKUP(CONCATENATE($X11,"@",HA$7),choice!$D:$E,2,0)))</f>
        <v/>
      </c>
      <c r="HB11" s="74" t="str">
        <f>IF($X11="","",IF(COUNTIF(choice!$D:$D,CONCATENATE($X11,"@",HB$7))=0,"",VLOOKUP(CONCATENATE($X11,"@",HB$7),choice!$D:$E,2,0)))</f>
        <v/>
      </c>
      <c r="HC11" s="74" t="str">
        <f>IF($X11="","",IF(COUNTIF(choice!$D:$D,CONCATENATE($X11,"@",HC$7))=0,"",VLOOKUP(CONCATENATE($X11,"@",HC$7),choice!$D:$E,2,0)))</f>
        <v/>
      </c>
      <c r="HD11" s="74" t="str">
        <f>IF($X11="","",IF(COUNTIF(choice!$D:$D,CONCATENATE($X11,"@",HD$7))=0,"",VLOOKUP(CONCATENATE($X11,"@",HD$7),choice!$D:$E,2,0)))</f>
        <v/>
      </c>
      <c r="HE11" s="74" t="str">
        <f>IF($X11="","",IF(COUNTIF(choice!$D:$D,CONCATENATE($X11,"@",HE$7))=0,"",VLOOKUP(CONCATENATE($X11,"@",HE$7),choice!$D:$E,2,0)))</f>
        <v/>
      </c>
      <c r="HF11" s="74" t="str">
        <f>IF($X11="","",IF(COUNTIF(choice!$D:$D,CONCATENATE($X11,"@",HF$7))=0,"",VLOOKUP(CONCATENATE($X11,"@",HF$7),choice!$D:$E,2,0)))</f>
        <v/>
      </c>
      <c r="HG11" s="74" t="str">
        <f>IF($X11="","",IF(COUNTIF(choice!$D:$D,CONCATENATE($X11,"@",HG$7))=0,"",VLOOKUP(CONCATENATE($X11,"@",HG$7),choice!$D:$E,2,0)))</f>
        <v/>
      </c>
      <c r="HH11" s="74" t="str">
        <f>IF($X11="","",IF(COUNTIF(choice!$D:$D,CONCATENATE($X11,"@",HH$7))=0,"",VLOOKUP(CONCATENATE($X11,"@",HH$7),choice!$D:$E,2,0)))</f>
        <v/>
      </c>
      <c r="HI11" s="74" t="str">
        <f>IF($X11="","",IF(COUNTIF(choice!$D:$D,CONCATENATE($X11,"@",HI$7))=0,"",VLOOKUP(CONCATENATE($X11,"@",HI$7),choice!$D:$E,2,0)))</f>
        <v/>
      </c>
      <c r="HJ11" s="74" t="str">
        <f>IF($X11="","",IF(COUNTIF(choice!$D:$D,CONCATENATE($X11,"@",HJ$7))=0,"",VLOOKUP(CONCATENATE($X11,"@",HJ$7),choice!$D:$E,2,0)))</f>
        <v/>
      </c>
      <c r="HK11" s="74" t="str">
        <f>IF($X11="","",IF(COUNTIF(choice!$D:$D,CONCATENATE($X11,"@",HK$7))=0,"",VLOOKUP(CONCATENATE($X11,"@",HK$7),choice!$D:$E,2,0)))</f>
        <v/>
      </c>
      <c r="HL11" s="74" t="str">
        <f>IF($X11="","",IF(COUNTIF(choice!$D:$D,CONCATENATE($X11,"@",HL$7))=0,"",VLOOKUP(CONCATENATE($X11,"@",HL$7),choice!$D:$E,2,0)))</f>
        <v/>
      </c>
      <c r="HM11" s="74" t="str">
        <f>IF($X11="","",IF(COUNTIF(choice!$D:$D,CONCATENATE($X11,"@",HM$7))=0,"",VLOOKUP(CONCATENATE($X11,"@",HM$7),choice!$D:$E,2,0)))</f>
        <v/>
      </c>
      <c r="HN11" s="74" t="str">
        <f>IF($X11="","",IF(COUNTIF(choice!$D:$D,CONCATENATE($X11,"@",HN$7))=0,"",VLOOKUP(CONCATENATE($X11,"@",HN$7),choice!$D:$E,2,0)))</f>
        <v/>
      </c>
      <c r="HO11" s="81" t="str">
        <f>IF($X11="","",IF(COUNTIF(choice!$D:$D,CONCATENATE($X11,"@",HO$7))=0,"",VLOOKUP(CONCATENATE($X11,"@",HO$7),choice!$D:$E,2,0)))</f>
        <v/>
      </c>
      <c r="HP11" s="20" t="s">
        <v>58</v>
      </c>
      <c r="HQ11" s="20" t="s">
        <v>59</v>
      </c>
      <c r="HV11" s="74">
        <f t="shared" si="20"/>
        <v>0</v>
      </c>
      <c r="HW11" s="74">
        <f t="shared" si="21"/>
        <v>0</v>
      </c>
      <c r="HX11" s="74">
        <f t="shared" si="22"/>
        <v>0</v>
      </c>
      <c r="HY11" s="74">
        <f t="shared" si="23"/>
        <v>0</v>
      </c>
      <c r="HZ11" s="74">
        <f t="shared" si="30"/>
        <v>0</v>
      </c>
      <c r="IA11" s="74">
        <f t="shared" si="30"/>
        <v>0</v>
      </c>
      <c r="IB11" s="74" t="str">
        <f t="shared" si="31"/>
        <v/>
      </c>
      <c r="IC11" s="74" t="str">
        <f t="shared" si="32"/>
        <v/>
      </c>
      <c r="ID11" s="74" t="str">
        <f t="shared" si="24"/>
        <v/>
      </c>
      <c r="IE11" s="74">
        <f t="shared" si="25"/>
        <v>17</v>
      </c>
      <c r="IF11" s="74">
        <f>COUNTIFS(ID$8:ID11,"BLUE")</f>
        <v>0</v>
      </c>
      <c r="IG11" s="74" t="str">
        <f t="shared" si="26"/>
        <v/>
      </c>
      <c r="IH11" s="74" t="str">
        <f>IF(COUNTIFS($AQ11,"*02*")=0,"",COUNTIFS(IJ$8:IJ11,"BLUE"))</f>
        <v/>
      </c>
      <c r="II11" s="74" t="str">
        <f>IF(COUNTIFS($AQ11,"*04*")=0,"",COUNTIFS(IK$8:IK11,"BLUE"))</f>
        <v/>
      </c>
      <c r="IJ11" s="74" t="str">
        <f t="shared" si="33"/>
        <v/>
      </c>
      <c r="IK11" s="74" t="str">
        <f t="shared" si="34"/>
        <v/>
      </c>
      <c r="IL11" s="74" t="str">
        <f t="shared" si="27"/>
        <v/>
      </c>
      <c r="IM11" s="74" t="str">
        <f t="shared" si="28"/>
        <v/>
      </c>
      <c r="IN11" s="74">
        <f>COUNTIFS(IJ$8:IJ11,"BLUE")</f>
        <v>0</v>
      </c>
      <c r="IO11" s="74">
        <f>COUNTIFS(IK$8:IK11,"BLUE")</f>
        <v>0</v>
      </c>
    </row>
    <row r="12" spans="1:249" s="20" customFormat="1" ht="24.9" customHeight="1">
      <c r="A12" s="33"/>
      <c r="B12" s="39">
        <v>18</v>
      </c>
      <c r="C12" s="155"/>
      <c r="D12" s="174"/>
      <c r="E12" s="88" t="e">
        <f>VLOOKUP(F12,'Radio Call Sign'!A:B,2)</f>
        <v>#N/A</v>
      </c>
      <c r="F12" s="88"/>
      <c r="G12" s="88" t="e">
        <f>VLOOKUP(H12,'Radio Call Sign'!A:B,2)</f>
        <v>#N/A</v>
      </c>
      <c r="H12" s="89"/>
      <c r="I12" s="89" t="str">
        <f t="shared" si="12"/>
        <v/>
      </c>
      <c r="J12" s="90" t="str">
        <f t="shared" si="17"/>
        <v/>
      </c>
      <c r="K12" s="86" t="str">
        <f t="shared" si="18"/>
        <v/>
      </c>
      <c r="L12" s="155"/>
      <c r="M12" s="190" t="str">
        <f t="shared" si="19"/>
        <v/>
      </c>
      <c r="N12" s="21"/>
      <c r="O12" s="21"/>
      <c r="P12" s="53"/>
      <c r="Q12" s="163" t="str">
        <f>IF(AA12="","",IF(COUNTIFS('overhead line area'!$D$3:$D$100,AA12)+COUNTIFS('overhead line area'!$D$3:$D$100,AB12)+COUNTIFS('overhead line area'!$D$3:$D$100,AC12)+COUNTIFS('overhead line area'!$D$3:$D$100,AD12)=0,"","*               "))</f>
        <v/>
      </c>
      <c r="R12" s="53"/>
      <c r="S12" s="24"/>
      <c r="U12" s="74"/>
      <c r="V12" s="74"/>
      <c r="W12" s="74"/>
      <c r="X12" s="74"/>
      <c r="Y12" s="74"/>
      <c r="AA12" s="74" t="str">
        <f t="shared" si="13"/>
        <v/>
      </c>
      <c r="AB12" s="74" t="str">
        <f t="shared" si="29"/>
        <v/>
      </c>
      <c r="AC12" s="74" t="str">
        <f t="shared" si="35"/>
        <v/>
      </c>
      <c r="AD12" s="74" t="str">
        <f t="shared" si="36"/>
        <v/>
      </c>
      <c r="AF12" s="74" t="str">
        <f>IF(AA12="","",IF(COUNTIF(Route!$AM:$AM,'Train Movement Log (page.2)'!AA12)=0,"未有資料",VLOOKUP('Train Movement Log (page.2)'!AA12,Route!$AM:$AP,3,0)))</f>
        <v/>
      </c>
      <c r="AG12" s="74" t="str">
        <f>IF(AB12="","",IF(COUNTIF(Route!$AM:$AM,'Train Movement Log (page.2)'!AB12)=0,"未有資料",VLOOKUP('Train Movement Log (page.2)'!AB12,Route!$AM:$AP,3,0)))</f>
        <v/>
      </c>
      <c r="AH12" s="74" t="str">
        <f>IF(AC12="","",IF(COUNTIF(Route!$AM:$AM,'Train Movement Log (page.2)'!AC12)=0,"未有資料",VLOOKUP('Train Movement Log (page.2)'!AC12,Route!$AM:$AP,3,0)))</f>
        <v/>
      </c>
      <c r="AI12" s="74" t="str">
        <f>IF(AD12="","",IF(COUNTIF(Route!$AM:$AM,'Train Movement Log (page.2)'!AD12)=0,"未有資料",VLOOKUP('Train Movement Log (page.2)'!AD12,Route!$AM:$AP,3,0)))</f>
        <v/>
      </c>
      <c r="AK12" s="74" t="str">
        <f>IF(AA12="","",IF(COUNTIF(Route!$AM:$AM,'Train Movement Log (page.2)'!AA12)=0,"未有資料",VLOOKUP('Train Movement Log (page.2)'!AA12,Route!$AM:$AP,4,0)))</f>
        <v/>
      </c>
      <c r="AL12" s="74" t="str">
        <f>IF(AB12="","",IF(COUNTIF(Route!$AM:$AM,'Train Movement Log (page.2)'!AB12)=0,"未有資料",VLOOKUP('Train Movement Log (page.2)'!AB12,Route!$AM:$AP,4,0)))</f>
        <v/>
      </c>
      <c r="AM12" s="74" t="str">
        <f>IF(AC12="","",IF(COUNTIF(Route!$AM:$AM,'Train Movement Log (page.2)'!AC12)=0,"未有資料",VLOOKUP('Train Movement Log (page.2)'!AC12,Route!$AM:$AP,4,0)))</f>
        <v/>
      </c>
      <c r="AN12" s="74" t="str">
        <f>IF(AD12="","",IF(COUNTIF(Route!$AM:$AM,'Train Movement Log (page.2)'!AD12)=0,"未有資料",VLOOKUP('Train Movement Log (page.2)'!AD12,Route!$AM:$AP,4,0)))</f>
        <v/>
      </c>
      <c r="AP12" s="74" t="str">
        <f t="shared" si="15"/>
        <v/>
      </c>
      <c r="AQ12" s="76" t="str">
        <f t="shared" si="16"/>
        <v/>
      </c>
      <c r="AR12" s="80" t="str">
        <f>IF($U12="","",IF(COUNTIF(choice!$D:$D,CONCATENATE($U12,"@",AR$7))=0,"",VLOOKUP(CONCATENATE($U12,"@",AR$7),choice!$D:$E,2,0)))</f>
        <v/>
      </c>
      <c r="AS12" s="74" t="str">
        <f>IF($U12="","",IF(COUNTIF(choice!$D:$D,CONCATENATE($U12,"@",AS$7))=0,"",VLOOKUP(CONCATENATE($U12,"@",AS$7),choice!$D:$E,2,0)))</f>
        <v/>
      </c>
      <c r="AT12" s="74" t="str">
        <f>IF($U12="","",IF(COUNTIF(choice!$D:$D,CONCATENATE($U12,"@",AT$7))=0,"",VLOOKUP(CONCATENATE($U12,"@",AT$7),choice!$D:$E,2,0)))</f>
        <v/>
      </c>
      <c r="AU12" s="74" t="str">
        <f>IF($U12="","",IF(COUNTIF(choice!$D:$D,CONCATENATE($U12,"@",AU$7))=0,"",VLOOKUP(CONCATENATE($U12,"@",AU$7),choice!$D:$E,2,0)))</f>
        <v/>
      </c>
      <c r="AV12" s="74" t="str">
        <f>IF($U12="","",IF(COUNTIF(choice!$D:$D,CONCATENATE($U12,"@",AV$7))=0,"",VLOOKUP(CONCATENATE($U12,"@",AV$7),choice!$D:$E,2,0)))</f>
        <v/>
      </c>
      <c r="AW12" s="74" t="str">
        <f>IF($U12="","",IF(COUNTIF(choice!$D:$D,CONCATENATE($U12,"@",AW$7))=0,"",VLOOKUP(CONCATENATE($U12,"@",AW$7),choice!$D:$E,2,0)))</f>
        <v/>
      </c>
      <c r="AX12" s="74" t="str">
        <f>IF($U12="","",IF(COUNTIF(choice!$D:$D,CONCATENATE($U12,"@",AX$7))=0,"",VLOOKUP(CONCATENATE($U12,"@",AX$7),choice!$D:$E,2,0)))</f>
        <v/>
      </c>
      <c r="AY12" s="74" t="str">
        <f>IF($U12="","",IF(COUNTIF(choice!$D:$D,CONCATENATE($U12,"@",AY$7))=0,"",VLOOKUP(CONCATENATE($U12,"@",AY$7),choice!$D:$E,2,0)))</f>
        <v/>
      </c>
      <c r="AZ12" s="74" t="str">
        <f>IF($U12="","",IF(COUNTIF(choice!$D:$D,CONCATENATE($U12,"@",AZ$7))=0,"",VLOOKUP(CONCATENATE($U12,"@",AZ$7),choice!$D:$E,2,0)))</f>
        <v/>
      </c>
      <c r="BA12" s="74" t="str">
        <f>IF($U12="","",IF(COUNTIF(choice!$D:$D,CONCATENATE($U12,"@",BA$7))=0,"",VLOOKUP(CONCATENATE($U12,"@",BA$7),choice!$D:$E,2,0)))</f>
        <v/>
      </c>
      <c r="BB12" s="74" t="str">
        <f>IF($U12="","",IF(COUNTIF(choice!$D:$D,CONCATENATE($U12,"@",BB$7))=0,"",VLOOKUP(CONCATENATE($U12,"@",BB$7),choice!$D:$E,2,0)))</f>
        <v/>
      </c>
      <c r="BC12" s="74" t="str">
        <f>IF($U12="","",IF(COUNTIF(choice!$D:$D,CONCATENATE($U12,"@",BC$7))=0,"",VLOOKUP(CONCATENATE($U12,"@",BC$7),choice!$D:$E,2,0)))</f>
        <v/>
      </c>
      <c r="BD12" s="74" t="str">
        <f>IF($U12="","",IF(COUNTIF(choice!$D:$D,CONCATENATE($U12,"@",BD$7))=0,"",VLOOKUP(CONCATENATE($U12,"@",BD$7),choice!$D:$E,2,0)))</f>
        <v/>
      </c>
      <c r="BE12" s="74" t="str">
        <f>IF($U12="","",IF(COUNTIF(choice!$D:$D,CONCATENATE($U12,"@",BE$7))=0,"",VLOOKUP(CONCATENATE($U12,"@",BE$7),choice!$D:$E,2,0)))</f>
        <v/>
      </c>
      <c r="BF12" s="74" t="str">
        <f>IF($U12="","",IF(COUNTIF(choice!$D:$D,CONCATENATE($U12,"@",BF$7))=0,"",VLOOKUP(CONCATENATE($U12,"@",BF$7),choice!$D:$E,2,0)))</f>
        <v/>
      </c>
      <c r="BG12" s="74" t="str">
        <f>IF($U12="","",IF(COUNTIF(choice!$D:$D,CONCATENATE($U12,"@",BG$7))=0,"",VLOOKUP(CONCATENATE($U12,"@",BG$7),choice!$D:$E,2,0)))</f>
        <v/>
      </c>
      <c r="BH12" s="74" t="str">
        <f>IF($U12="","",IF(COUNTIF(choice!$D:$D,CONCATENATE($U12,"@",BH$7))=0,"",VLOOKUP(CONCATENATE($U12,"@",BH$7),choice!$D:$E,2,0)))</f>
        <v/>
      </c>
      <c r="BI12" s="74" t="str">
        <f>IF($U12="","",IF(COUNTIF(choice!$D:$D,CONCATENATE($U12,"@",BI$7))=0,"",VLOOKUP(CONCATENATE($U12,"@",BI$7),choice!$D:$E,2,0)))</f>
        <v/>
      </c>
      <c r="BJ12" s="74" t="str">
        <f>IF($U12="","",IF(COUNTIF(choice!$D:$D,CONCATENATE($U12,"@",BJ$7))=0,"",VLOOKUP(CONCATENATE($U12,"@",BJ$7),choice!$D:$E,2,0)))</f>
        <v/>
      </c>
      <c r="BK12" s="74" t="str">
        <f>IF($U12="","",IF(COUNTIF(choice!$D:$D,CONCATENATE($U12,"@",BK$7))=0,"",VLOOKUP(CONCATENATE($U12,"@",BK$7),choice!$D:$E,2,0)))</f>
        <v/>
      </c>
      <c r="BL12" s="74" t="str">
        <f>IF($U12="","",IF(COUNTIF(choice!$D:$D,CONCATENATE($U12,"@",BL$7))=0,"",VLOOKUP(CONCATENATE($U12,"@",BL$7),choice!$D:$E,2,0)))</f>
        <v/>
      </c>
      <c r="BM12" s="74" t="str">
        <f>IF($U12="","",IF(COUNTIF(choice!$D:$D,CONCATENATE($U12,"@",BM$7))=0,"",VLOOKUP(CONCATENATE($U12,"@",BM$7),choice!$D:$E,2,0)))</f>
        <v/>
      </c>
      <c r="BN12" s="74" t="str">
        <f>IF($U12="","",IF(COUNTIF(choice!$D:$D,CONCATENATE($U12,"@",BN$7))=0,"",VLOOKUP(CONCATENATE($U12,"@",BN$7),choice!$D:$E,2,0)))</f>
        <v/>
      </c>
      <c r="BO12" s="74" t="str">
        <f>IF($U12="","",IF(COUNTIF(choice!$D:$D,CONCATENATE($U12,"@",BO$7))=0,"",VLOOKUP(CONCATENATE($U12,"@",BO$7),choice!$D:$E,2,0)))</f>
        <v/>
      </c>
      <c r="BP12" s="74" t="str">
        <f>IF($U12="","",IF(COUNTIF(choice!$D:$D,CONCATENATE($U12,"@",BP$7))=0,"",VLOOKUP(CONCATENATE($U12,"@",BP$7),choice!$D:$E,2,0)))</f>
        <v/>
      </c>
      <c r="BQ12" s="74" t="str">
        <f>IF($U12="","",IF(COUNTIF(choice!$D:$D,CONCATENATE($U12,"@",BQ$7))=0,"",VLOOKUP(CONCATENATE($U12,"@",BQ$7),choice!$D:$E,2,0)))</f>
        <v/>
      </c>
      <c r="BR12" s="74" t="str">
        <f>IF($U12="","",IF(COUNTIF(choice!$D:$D,CONCATENATE($U12,"@",BR$7))=0,"",VLOOKUP(CONCATENATE($U12,"@",BR$7),choice!$D:$E,2,0)))</f>
        <v/>
      </c>
      <c r="BS12" s="74" t="str">
        <f>IF($U12="","",IF(COUNTIF(choice!$D:$D,CONCATENATE($U12,"@",BS$7))=0,"",VLOOKUP(CONCATENATE($U12,"@",BS$7),choice!$D:$E,2,0)))</f>
        <v/>
      </c>
      <c r="BT12" s="74" t="str">
        <f>IF($U12="","",IF(COUNTIF(choice!$D:$D,CONCATENATE($U12,"@",BT$7))=0,"",VLOOKUP(CONCATENATE($U12,"@",BT$7),choice!$D:$E,2,0)))</f>
        <v/>
      </c>
      <c r="BU12" s="74" t="str">
        <f>IF($U12="","",IF(COUNTIF(choice!$D:$D,CONCATENATE($U12,"@",BU$7))=0,"",VLOOKUP(CONCATENATE($U12,"@",BU$7),choice!$D:$E,2,0)))</f>
        <v/>
      </c>
      <c r="BV12" s="74" t="str">
        <f>IF($U12="","",IF(COUNTIF(choice!$D:$D,CONCATENATE($U12,"@",BV$7))=0,"",VLOOKUP(CONCATENATE($U12,"@",BV$7),choice!$D:$E,2,0)))</f>
        <v/>
      </c>
      <c r="BW12" s="74" t="str">
        <f>IF($U12="","",IF(COUNTIF(choice!$D:$D,CONCATENATE($U12,"@",BW$7))=0,"",VLOOKUP(CONCATENATE($U12,"@",BW$7),choice!$D:$E,2,0)))</f>
        <v/>
      </c>
      <c r="BX12" s="74" t="str">
        <f>IF($U12="","",IF(COUNTIF(choice!$D:$D,CONCATENATE($U12,"@",BX$7))=0,"",VLOOKUP(CONCATENATE($U12,"@",BX$7),choice!$D:$E,2,0)))</f>
        <v/>
      </c>
      <c r="BY12" s="74" t="str">
        <f>IF($U12="","",IF(COUNTIF(choice!$D:$D,CONCATENATE($U12,"@",BY$7))=0,"",VLOOKUP(CONCATENATE($U12,"@",BY$7),choice!$D:$E,2,0)))</f>
        <v/>
      </c>
      <c r="BZ12" s="74" t="str">
        <f>IF($U12="","",IF(COUNTIF(choice!$D:$D,CONCATENATE($U12,"@",BZ$7))=0,"",VLOOKUP(CONCATENATE($U12,"@",BZ$7),choice!$D:$E,2,0)))</f>
        <v/>
      </c>
      <c r="CA12" s="74" t="str">
        <f>IF($U12="","",IF(COUNTIF(choice!$D:$D,CONCATENATE($U12,"@",CA$7))=0,"",VLOOKUP(CONCATENATE($U12,"@",CA$7),choice!$D:$E,2,0)))</f>
        <v/>
      </c>
      <c r="CB12" s="74" t="str">
        <f>IF($U12="","",IF(COUNTIF(choice!$D:$D,CONCATENATE($U12,"@",CB$7))=0,"",VLOOKUP(CONCATENATE($U12,"@",CB$7),choice!$D:$E,2,0)))</f>
        <v/>
      </c>
      <c r="CC12" s="74" t="str">
        <f>IF($U12="","",IF(COUNTIF(choice!$D:$D,CONCATENATE($U12,"@",CC$7))=0,"",VLOOKUP(CONCATENATE($U12,"@",CC$7),choice!$D:$E,2,0)))</f>
        <v/>
      </c>
      <c r="CD12" s="74" t="str">
        <f>IF($U12="","",IF(COUNTIF(choice!$D:$D,CONCATENATE($U12,"@",CD$7))=0,"",VLOOKUP(CONCATENATE($U12,"@",CD$7),choice!$D:$E,2,0)))</f>
        <v/>
      </c>
      <c r="CE12" s="74" t="str">
        <f>IF($U12="","",IF(COUNTIF(choice!$D:$D,CONCATENATE($U12,"@",CE$7))=0,"",VLOOKUP(CONCATENATE($U12,"@",CE$7),choice!$D:$E,2,0)))</f>
        <v/>
      </c>
      <c r="CF12" s="74" t="str">
        <f>IF($U12="","",IF(COUNTIF(choice!$D:$D,CONCATENATE($U12,"@",CF$7))=0,"",VLOOKUP(CONCATENATE($U12,"@",CF$7),choice!$D:$E,2,0)))</f>
        <v/>
      </c>
      <c r="CG12" s="74" t="str">
        <f>IF($U12="","",IF(COUNTIF(choice!$D:$D,CONCATENATE($U12,"@",CG$7))=0,"",VLOOKUP(CONCATENATE($U12,"@",CG$7),choice!$D:$E,2,0)))</f>
        <v/>
      </c>
      <c r="CH12" s="74" t="str">
        <f>IF($U12="","",IF(COUNTIF(choice!$D:$D,CONCATENATE($U12,"@",CH$7))=0,"",VLOOKUP(CONCATENATE($U12,"@",CH$7),choice!$D:$E,2,0)))</f>
        <v/>
      </c>
      <c r="CI12" s="74" t="str">
        <f>IF($U12="","",IF(COUNTIF(choice!$D:$D,CONCATENATE($U12,"@",CI$7))=0,"",VLOOKUP(CONCATENATE($U12,"@",CI$7),choice!$D:$E,2,0)))</f>
        <v/>
      </c>
      <c r="CJ12" s="81" t="str">
        <f>IF($U12="","",IF(COUNTIF(choice!$D:$D,CONCATENATE($U12,"@",CJ$7))=0,"",VLOOKUP(CONCATENATE($U12,"@",CJ$7),choice!$D:$E,2,0)))</f>
        <v/>
      </c>
      <c r="CK12" s="80" t="str">
        <f>IF($V12="","",IF(COUNTIF(choice!$D:$D,CONCATENATE($V12,"@",CK$7))=0,"",VLOOKUP(CONCATENATE($V12,"@",CK$7),choice!$D:$E,2,0)))</f>
        <v/>
      </c>
      <c r="CL12" s="74" t="str">
        <f>IF($V12="","",IF(COUNTIF(choice!$D:$D,CONCATENATE($V12,"@",CL$7))=0,"",VLOOKUP(CONCATENATE($V12,"@",CL$7),choice!$D:$E,2,0)))</f>
        <v/>
      </c>
      <c r="CM12" s="74" t="str">
        <f>IF($V12="","",IF(COUNTIF(choice!$D:$D,CONCATENATE($V12,"@",CM$7))=0,"",VLOOKUP(CONCATENATE($V12,"@",CM$7),choice!$D:$E,2,0)))</f>
        <v/>
      </c>
      <c r="CN12" s="74" t="str">
        <f>IF($V12="","",IF(COUNTIF(choice!$D:$D,CONCATENATE($V12,"@",CN$7))=0,"",VLOOKUP(CONCATENATE($V12,"@",CN$7),choice!$D:$E,2,0)))</f>
        <v/>
      </c>
      <c r="CO12" s="74" t="str">
        <f>IF($V12="","",IF(COUNTIF(choice!$D:$D,CONCATENATE($V12,"@",CO$7))=0,"",VLOOKUP(CONCATENATE($V12,"@",CO$7),choice!$D:$E,2,0)))</f>
        <v/>
      </c>
      <c r="CP12" s="74" t="str">
        <f>IF($V12="","",IF(COUNTIF(choice!$D:$D,CONCATENATE($V12,"@",CP$7))=0,"",VLOOKUP(CONCATENATE($V12,"@",CP$7),choice!$D:$E,2,0)))</f>
        <v/>
      </c>
      <c r="CQ12" s="74" t="str">
        <f>IF($V12="","",IF(COUNTIF(choice!$D:$D,CONCATENATE($V12,"@",CQ$7))=0,"",VLOOKUP(CONCATENATE($V12,"@",CQ$7),choice!$D:$E,2,0)))</f>
        <v/>
      </c>
      <c r="CR12" s="74" t="str">
        <f>IF($V12="","",IF(COUNTIF(choice!$D:$D,CONCATENATE($V12,"@",CR$7))=0,"",VLOOKUP(CONCATENATE($V12,"@",CR$7),choice!$D:$E,2,0)))</f>
        <v/>
      </c>
      <c r="CS12" s="74" t="str">
        <f>IF($V12="","",IF(COUNTIF(choice!$D:$D,CONCATENATE($V12,"@",CS$7))=0,"",VLOOKUP(CONCATENATE($V12,"@",CS$7),choice!$D:$E,2,0)))</f>
        <v/>
      </c>
      <c r="CT12" s="74" t="str">
        <f>IF($V12="","",IF(COUNTIF(choice!$D:$D,CONCATENATE($V12,"@",CT$7))=0,"",VLOOKUP(CONCATENATE($V12,"@",CT$7),choice!$D:$E,2,0)))</f>
        <v/>
      </c>
      <c r="CU12" s="74" t="str">
        <f>IF($V12="","",IF(COUNTIF(choice!$D:$D,CONCATENATE($V12,"@",CU$7))=0,"",VLOOKUP(CONCATENATE($V12,"@",CU$7),choice!$D:$E,2,0)))</f>
        <v/>
      </c>
      <c r="CV12" s="74" t="str">
        <f>IF($V12="","",IF(COUNTIF(choice!$D:$D,CONCATENATE($V12,"@",CV$7))=0,"",VLOOKUP(CONCATENATE($V12,"@",CV$7),choice!$D:$E,2,0)))</f>
        <v/>
      </c>
      <c r="CW12" s="74" t="str">
        <f>IF($V12="","",IF(COUNTIF(choice!$D:$D,CONCATENATE($V12,"@",CW$7))=0,"",VLOOKUP(CONCATENATE($V12,"@",CW$7),choice!$D:$E,2,0)))</f>
        <v/>
      </c>
      <c r="CX12" s="74" t="str">
        <f>IF($V12="","",IF(COUNTIF(choice!$D:$D,CONCATENATE($V12,"@",CX$7))=0,"",VLOOKUP(CONCATENATE($V12,"@",CX$7),choice!$D:$E,2,0)))</f>
        <v/>
      </c>
      <c r="CY12" s="74" t="str">
        <f>IF($V12="","",IF(COUNTIF(choice!$D:$D,CONCATENATE($V12,"@",CY$7))=0,"",VLOOKUP(CONCATENATE($V12,"@",CY$7),choice!$D:$E,2,0)))</f>
        <v/>
      </c>
      <c r="CZ12" s="74" t="str">
        <f>IF($V12="","",IF(COUNTIF(choice!$D:$D,CONCATENATE($V12,"@",CZ$7))=0,"",VLOOKUP(CONCATENATE($V12,"@",CZ$7),choice!$D:$E,2,0)))</f>
        <v/>
      </c>
      <c r="DA12" s="74" t="str">
        <f>IF($V12="","",IF(COUNTIF(choice!$D:$D,CONCATENATE($V12,"@",DA$7))=0,"",VLOOKUP(CONCATENATE($V12,"@",DA$7),choice!$D:$E,2,0)))</f>
        <v/>
      </c>
      <c r="DB12" s="74" t="str">
        <f>IF($V12="","",IF(COUNTIF(choice!$D:$D,CONCATENATE($V12,"@",DB$7))=0,"",VLOOKUP(CONCATENATE($V12,"@",DB$7),choice!$D:$E,2,0)))</f>
        <v/>
      </c>
      <c r="DC12" s="74" t="str">
        <f>IF($V12="","",IF(COUNTIF(choice!$D:$D,CONCATENATE($V12,"@",DC$7))=0,"",VLOOKUP(CONCATENATE($V12,"@",DC$7),choice!$D:$E,2,0)))</f>
        <v/>
      </c>
      <c r="DD12" s="74" t="str">
        <f>IF($V12="","",IF(COUNTIF(choice!$D:$D,CONCATENATE($V12,"@",DD$7))=0,"",VLOOKUP(CONCATENATE($V12,"@",DD$7),choice!$D:$E,2,0)))</f>
        <v/>
      </c>
      <c r="DE12" s="74" t="str">
        <f>IF($V12="","",IF(COUNTIF(choice!$D:$D,CONCATENATE($V12,"@",DE$7))=0,"",VLOOKUP(CONCATENATE($V12,"@",DE$7),choice!$D:$E,2,0)))</f>
        <v/>
      </c>
      <c r="DF12" s="74" t="str">
        <f>IF($V12="","",IF(COUNTIF(choice!$D:$D,CONCATENATE($V12,"@",DF$7))=0,"",VLOOKUP(CONCATENATE($V12,"@",DF$7),choice!$D:$E,2,0)))</f>
        <v/>
      </c>
      <c r="DG12" s="74" t="str">
        <f>IF($V12="","",IF(COUNTIF(choice!$D:$D,CONCATENATE($V12,"@",DG$7))=0,"",VLOOKUP(CONCATENATE($V12,"@",DG$7),choice!$D:$E,2,0)))</f>
        <v/>
      </c>
      <c r="DH12" s="74" t="str">
        <f>IF($V12="","",IF(COUNTIF(choice!$D:$D,CONCATENATE($V12,"@",DH$7))=0,"",VLOOKUP(CONCATENATE($V12,"@",DH$7),choice!$D:$E,2,0)))</f>
        <v/>
      </c>
      <c r="DI12" s="74" t="str">
        <f>IF($V12="","",IF(COUNTIF(choice!$D:$D,CONCATENATE($V12,"@",DI$7))=0,"",VLOOKUP(CONCATENATE($V12,"@",DI$7),choice!$D:$E,2,0)))</f>
        <v/>
      </c>
      <c r="DJ12" s="74" t="str">
        <f>IF($V12="","",IF(COUNTIF(choice!$D:$D,CONCATENATE($V12,"@",DJ$7))=0,"",VLOOKUP(CONCATENATE($V12,"@",DJ$7),choice!$D:$E,2,0)))</f>
        <v/>
      </c>
      <c r="DK12" s="74" t="str">
        <f>IF($V12="","",IF(COUNTIF(choice!$D:$D,CONCATENATE($V12,"@",DK$7))=0,"",VLOOKUP(CONCATENATE($V12,"@",DK$7),choice!$D:$E,2,0)))</f>
        <v/>
      </c>
      <c r="DL12" s="74" t="str">
        <f>IF($V12="","",IF(COUNTIF(choice!$D:$D,CONCATENATE($V12,"@",DL$7))=0,"",VLOOKUP(CONCATENATE($V12,"@",DL$7),choice!$D:$E,2,0)))</f>
        <v/>
      </c>
      <c r="DM12" s="74" t="str">
        <f>IF($V12="","",IF(COUNTIF(choice!$D:$D,CONCATENATE($V12,"@",DM$7))=0,"",VLOOKUP(CONCATENATE($V12,"@",DM$7),choice!$D:$E,2,0)))</f>
        <v/>
      </c>
      <c r="DN12" s="74" t="str">
        <f>IF($V12="","",IF(COUNTIF(choice!$D:$D,CONCATENATE($V12,"@",DN$7))=0,"",VLOOKUP(CONCATENATE($V12,"@",DN$7),choice!$D:$E,2,0)))</f>
        <v/>
      </c>
      <c r="DO12" s="74" t="str">
        <f>IF($V12="","",IF(COUNTIF(choice!$D:$D,CONCATENATE($V12,"@",DO$7))=0,"",VLOOKUP(CONCATENATE($V12,"@",DO$7),choice!$D:$E,2,0)))</f>
        <v/>
      </c>
      <c r="DP12" s="74" t="str">
        <f>IF($V12="","",IF(COUNTIF(choice!$D:$D,CONCATENATE($V12,"@",DP$7))=0,"",VLOOKUP(CONCATENATE($V12,"@",DP$7),choice!$D:$E,2,0)))</f>
        <v/>
      </c>
      <c r="DQ12" s="74" t="str">
        <f>IF($V12="","",IF(COUNTIF(choice!$D:$D,CONCATENATE($V12,"@",DQ$7))=0,"",VLOOKUP(CONCATENATE($V12,"@",DQ$7),choice!$D:$E,2,0)))</f>
        <v/>
      </c>
      <c r="DR12" s="74" t="str">
        <f>IF($V12="","",IF(COUNTIF(choice!$D:$D,CONCATENATE($V12,"@",DR$7))=0,"",VLOOKUP(CONCATENATE($V12,"@",DR$7),choice!$D:$E,2,0)))</f>
        <v/>
      </c>
      <c r="DS12" s="74" t="str">
        <f>IF($V12="","",IF(COUNTIF(choice!$D:$D,CONCATENATE($V12,"@",DS$7))=0,"",VLOOKUP(CONCATENATE($V12,"@",DS$7),choice!$D:$E,2,0)))</f>
        <v/>
      </c>
      <c r="DT12" s="74" t="str">
        <f>IF($V12="","",IF(COUNTIF(choice!$D:$D,CONCATENATE($V12,"@",DT$7))=0,"",VLOOKUP(CONCATENATE($V12,"@",DT$7),choice!$D:$E,2,0)))</f>
        <v/>
      </c>
      <c r="DU12" s="74" t="str">
        <f>IF($V12="","",IF(COUNTIF(choice!$D:$D,CONCATENATE($V12,"@",DU$7))=0,"",VLOOKUP(CONCATENATE($V12,"@",DU$7),choice!$D:$E,2,0)))</f>
        <v/>
      </c>
      <c r="DV12" s="74" t="str">
        <f>IF($V12="","",IF(COUNTIF(choice!$D:$D,CONCATENATE($V12,"@",DV$7))=0,"",VLOOKUP(CONCATENATE($V12,"@",DV$7),choice!$D:$E,2,0)))</f>
        <v/>
      </c>
      <c r="DW12" s="74" t="str">
        <f>IF($V12="","",IF(COUNTIF(choice!$D:$D,CONCATENATE($V12,"@",DW$7))=0,"",VLOOKUP(CONCATENATE($V12,"@",DW$7),choice!$D:$E,2,0)))</f>
        <v/>
      </c>
      <c r="DX12" s="74" t="str">
        <f>IF($V12="","",IF(COUNTIF(choice!$D:$D,CONCATENATE($V12,"@",DX$7))=0,"",VLOOKUP(CONCATENATE($V12,"@",DX$7),choice!$D:$E,2,0)))</f>
        <v/>
      </c>
      <c r="DY12" s="74" t="str">
        <f>IF($V12="","",IF(COUNTIF(choice!$D:$D,CONCATENATE($V12,"@",DY$7))=0,"",VLOOKUP(CONCATENATE($V12,"@",DY$7),choice!$D:$E,2,0)))</f>
        <v/>
      </c>
      <c r="DZ12" s="74" t="str">
        <f>IF($V12="","",IF(COUNTIF(choice!$D:$D,CONCATENATE($V12,"@",DZ$7))=0,"",VLOOKUP(CONCATENATE($V12,"@",DZ$7),choice!$D:$E,2,0)))</f>
        <v/>
      </c>
      <c r="EA12" s="74" t="str">
        <f>IF($V12="","",IF(COUNTIF(choice!$D:$D,CONCATENATE($V12,"@",EA$7))=0,"",VLOOKUP(CONCATENATE($V12,"@",EA$7),choice!$D:$E,2,0)))</f>
        <v/>
      </c>
      <c r="EB12" s="74" t="str">
        <f>IF($V12="","",IF(COUNTIF(choice!$D:$D,CONCATENATE($V12,"@",EB$7))=0,"",VLOOKUP(CONCATENATE($V12,"@",EB$7),choice!$D:$E,2,0)))</f>
        <v/>
      </c>
      <c r="EC12" s="81" t="str">
        <f>IF($V12="","",IF(COUNTIF(choice!$D:$D,CONCATENATE($V12,"@",EC$7))=0,"",VLOOKUP(CONCATENATE($V12,"@",EC$7),choice!$D:$E,2,0)))</f>
        <v/>
      </c>
      <c r="ED12" s="80" t="str">
        <f>IF($W12="","",IF(COUNTIF(choice!$D:$D,CONCATENATE($W12,"@",ED$7))=0,"",VLOOKUP(CONCATENATE($W12,"@",ED$7),choice!$D:$E,2,0)))</f>
        <v/>
      </c>
      <c r="EE12" s="74" t="str">
        <f>IF($W12="","",IF(COUNTIF(choice!$D:$D,CONCATENATE($W12,"@",EE$7))=0,"",VLOOKUP(CONCATENATE($W12,"@",EE$7),choice!$D:$E,2,0)))</f>
        <v/>
      </c>
      <c r="EF12" s="74" t="str">
        <f>IF($W12="","",IF(COUNTIF(choice!$D:$D,CONCATENATE($W12,"@",EF$7))=0,"",VLOOKUP(CONCATENATE($W12,"@",EF$7),choice!$D:$E,2,0)))</f>
        <v/>
      </c>
      <c r="EG12" s="74" t="str">
        <f>IF($W12="","",IF(COUNTIF(choice!$D:$D,CONCATENATE($W12,"@",EG$7))=0,"",VLOOKUP(CONCATENATE($W12,"@",EG$7),choice!$D:$E,2,0)))</f>
        <v/>
      </c>
      <c r="EH12" s="74" t="str">
        <f>IF($W12="","",IF(COUNTIF(choice!$D:$D,CONCATENATE($W12,"@",EH$7))=0,"",VLOOKUP(CONCATENATE($W12,"@",EH$7),choice!$D:$E,2,0)))</f>
        <v/>
      </c>
      <c r="EI12" s="74" t="str">
        <f>IF($W12="","",IF(COUNTIF(choice!$D:$D,CONCATENATE($W12,"@",EI$7))=0,"",VLOOKUP(CONCATENATE($W12,"@",EI$7),choice!$D:$E,2,0)))</f>
        <v/>
      </c>
      <c r="EJ12" s="74" t="str">
        <f>IF($W12="","",IF(COUNTIF(choice!$D:$D,CONCATENATE($W12,"@",EJ$7))=0,"",VLOOKUP(CONCATENATE($W12,"@",EJ$7),choice!$D:$E,2,0)))</f>
        <v/>
      </c>
      <c r="EK12" s="74" t="str">
        <f>IF($W12="","",IF(COUNTIF(choice!$D:$D,CONCATENATE($W12,"@",EK$7))=0,"",VLOOKUP(CONCATENATE($W12,"@",EK$7),choice!$D:$E,2,0)))</f>
        <v/>
      </c>
      <c r="EL12" s="74" t="str">
        <f>IF($W12="","",IF(COUNTIF(choice!$D:$D,CONCATENATE($W12,"@",EL$7))=0,"",VLOOKUP(CONCATENATE($W12,"@",EL$7),choice!$D:$E,2,0)))</f>
        <v/>
      </c>
      <c r="EM12" s="74" t="str">
        <f>IF($W12="","",IF(COUNTIF(choice!$D:$D,CONCATENATE($W12,"@",EM$7))=0,"",VLOOKUP(CONCATENATE($W12,"@",EM$7),choice!$D:$E,2,0)))</f>
        <v/>
      </c>
      <c r="EN12" s="74" t="str">
        <f>IF($W12="","",IF(COUNTIF(choice!$D:$D,CONCATENATE($W12,"@",EN$7))=0,"",VLOOKUP(CONCATENATE($W12,"@",EN$7),choice!$D:$E,2,0)))</f>
        <v/>
      </c>
      <c r="EO12" s="74" t="str">
        <f>IF($W12="","",IF(COUNTIF(choice!$D:$D,CONCATENATE($W12,"@",EO$7))=0,"",VLOOKUP(CONCATENATE($W12,"@",EO$7),choice!$D:$E,2,0)))</f>
        <v/>
      </c>
      <c r="EP12" s="74" t="str">
        <f>IF($W12="","",IF(COUNTIF(choice!$D:$D,CONCATENATE($W12,"@",EP$7))=0,"",VLOOKUP(CONCATENATE($W12,"@",EP$7),choice!$D:$E,2,0)))</f>
        <v/>
      </c>
      <c r="EQ12" s="74" t="str">
        <f>IF($W12="","",IF(COUNTIF(choice!$D:$D,CONCATENATE($W12,"@",EQ$7))=0,"",VLOOKUP(CONCATENATE($W12,"@",EQ$7),choice!$D:$E,2,0)))</f>
        <v/>
      </c>
      <c r="ER12" s="74" t="str">
        <f>IF($W12="","",IF(COUNTIF(choice!$D:$D,CONCATENATE($W12,"@",ER$7))=0,"",VLOOKUP(CONCATENATE($W12,"@",ER$7),choice!$D:$E,2,0)))</f>
        <v/>
      </c>
      <c r="ES12" s="74" t="str">
        <f>IF($W12="","",IF(COUNTIF(choice!$D:$D,CONCATENATE($W12,"@",ES$7))=0,"",VLOOKUP(CONCATENATE($W12,"@",ES$7),choice!$D:$E,2,0)))</f>
        <v/>
      </c>
      <c r="ET12" s="74" t="str">
        <f>IF($W12="","",IF(COUNTIF(choice!$D:$D,CONCATENATE($W12,"@",ET$7))=0,"",VLOOKUP(CONCATENATE($W12,"@",ET$7),choice!$D:$E,2,0)))</f>
        <v/>
      </c>
      <c r="EU12" s="74" t="str">
        <f>IF($W12="","",IF(COUNTIF(choice!$D:$D,CONCATENATE($W12,"@",EU$7))=0,"",VLOOKUP(CONCATENATE($W12,"@",EU$7),choice!$D:$E,2,0)))</f>
        <v/>
      </c>
      <c r="EV12" s="74" t="str">
        <f>IF($W12="","",IF(COUNTIF(choice!$D:$D,CONCATENATE($W12,"@",EV$7))=0,"",VLOOKUP(CONCATENATE($W12,"@",EV$7),choice!$D:$E,2,0)))</f>
        <v/>
      </c>
      <c r="EW12" s="74" t="str">
        <f>IF($W12="","",IF(COUNTIF(choice!$D:$D,CONCATENATE($W12,"@",EW$7))=0,"",VLOOKUP(CONCATENATE($W12,"@",EW$7),choice!$D:$E,2,0)))</f>
        <v/>
      </c>
      <c r="EX12" s="74" t="str">
        <f>IF($W12="","",IF(COUNTIF(choice!$D:$D,CONCATENATE($W12,"@",EX$7))=0,"",VLOOKUP(CONCATENATE($W12,"@",EX$7),choice!$D:$E,2,0)))</f>
        <v/>
      </c>
      <c r="EY12" s="74" t="str">
        <f>IF($W12="","",IF(COUNTIF(choice!$D:$D,CONCATENATE($W12,"@",EY$7))=0,"",VLOOKUP(CONCATENATE($W12,"@",EY$7),choice!$D:$E,2,0)))</f>
        <v/>
      </c>
      <c r="EZ12" s="74" t="str">
        <f>IF($W12="","",IF(COUNTIF(choice!$D:$D,CONCATENATE($W12,"@",EZ$7))=0,"",VLOOKUP(CONCATENATE($W12,"@",EZ$7),choice!$D:$E,2,0)))</f>
        <v/>
      </c>
      <c r="FA12" s="74" t="str">
        <f>IF($W12="","",IF(COUNTIF(choice!$D:$D,CONCATENATE($W12,"@",FA$7))=0,"",VLOOKUP(CONCATENATE($W12,"@",FA$7),choice!$D:$E,2,0)))</f>
        <v/>
      </c>
      <c r="FB12" s="74" t="str">
        <f>IF($W12="","",IF(COUNTIF(choice!$D:$D,CONCATENATE($W12,"@",FB$7))=0,"",VLOOKUP(CONCATENATE($W12,"@",FB$7),choice!$D:$E,2,0)))</f>
        <v/>
      </c>
      <c r="FC12" s="74" t="str">
        <f>IF($W12="","",IF(COUNTIF(choice!$D:$D,CONCATENATE($W12,"@",FC$7))=0,"",VLOOKUP(CONCATENATE($W12,"@",FC$7),choice!$D:$E,2,0)))</f>
        <v/>
      </c>
      <c r="FD12" s="74" t="str">
        <f>IF($W12="","",IF(COUNTIF(choice!$D:$D,CONCATENATE($W12,"@",FD$7))=0,"",VLOOKUP(CONCATENATE($W12,"@",FD$7),choice!$D:$E,2,0)))</f>
        <v/>
      </c>
      <c r="FE12" s="74" t="str">
        <f>IF($W12="","",IF(COUNTIF(choice!$D:$D,CONCATENATE($W12,"@",FE$7))=0,"",VLOOKUP(CONCATENATE($W12,"@",FE$7),choice!$D:$E,2,0)))</f>
        <v/>
      </c>
      <c r="FF12" s="74" t="str">
        <f>IF($W12="","",IF(COUNTIF(choice!$D:$D,CONCATENATE($W12,"@",FF$7))=0,"",VLOOKUP(CONCATENATE($W12,"@",FF$7),choice!$D:$E,2,0)))</f>
        <v/>
      </c>
      <c r="FG12" s="74" t="str">
        <f>IF($W12="","",IF(COUNTIF(choice!$D:$D,CONCATENATE($W12,"@",FG$7))=0,"",VLOOKUP(CONCATENATE($W12,"@",FG$7),choice!$D:$E,2,0)))</f>
        <v/>
      </c>
      <c r="FH12" s="74" t="str">
        <f>IF($W12="","",IF(COUNTIF(choice!$D:$D,CONCATENATE($W12,"@",FH$7))=0,"",VLOOKUP(CONCATENATE($W12,"@",FH$7),choice!$D:$E,2,0)))</f>
        <v/>
      </c>
      <c r="FI12" s="74" t="str">
        <f>IF($W12="","",IF(COUNTIF(choice!$D:$D,CONCATENATE($W12,"@",FI$7))=0,"",VLOOKUP(CONCATENATE($W12,"@",FI$7),choice!$D:$E,2,0)))</f>
        <v/>
      </c>
      <c r="FJ12" s="74" t="str">
        <f>IF($W12="","",IF(COUNTIF(choice!$D:$D,CONCATENATE($W12,"@",FJ$7))=0,"",VLOOKUP(CONCATENATE($W12,"@",FJ$7),choice!$D:$E,2,0)))</f>
        <v/>
      </c>
      <c r="FK12" s="74" t="str">
        <f>IF($W12="","",IF(COUNTIF(choice!$D:$D,CONCATENATE($W12,"@",FK$7))=0,"",VLOOKUP(CONCATENATE($W12,"@",FK$7),choice!$D:$E,2,0)))</f>
        <v/>
      </c>
      <c r="FL12" s="74" t="str">
        <f>IF($W12="","",IF(COUNTIF(choice!$D:$D,CONCATENATE($W12,"@",FL$7))=0,"",VLOOKUP(CONCATENATE($W12,"@",FL$7),choice!$D:$E,2,0)))</f>
        <v/>
      </c>
      <c r="FM12" s="74" t="str">
        <f>IF($W12="","",IF(COUNTIF(choice!$D:$D,CONCATENATE($W12,"@",FM$7))=0,"",VLOOKUP(CONCATENATE($W12,"@",FM$7),choice!$D:$E,2,0)))</f>
        <v/>
      </c>
      <c r="FN12" s="74" t="str">
        <f>IF($W12="","",IF(COUNTIF(choice!$D:$D,CONCATENATE($W12,"@",FN$7))=0,"",VLOOKUP(CONCATENATE($W12,"@",FN$7),choice!$D:$E,2,0)))</f>
        <v/>
      </c>
      <c r="FO12" s="74" t="str">
        <f>IF($W12="","",IF(COUNTIF(choice!$D:$D,CONCATENATE($W12,"@",FO$7))=0,"",VLOOKUP(CONCATENATE($W12,"@",FO$7),choice!$D:$E,2,0)))</f>
        <v/>
      </c>
      <c r="FP12" s="74" t="str">
        <f>IF($W12="","",IF(COUNTIF(choice!$D:$D,CONCATENATE($W12,"@",FP$7))=0,"",VLOOKUP(CONCATENATE($W12,"@",FP$7),choice!$D:$E,2,0)))</f>
        <v/>
      </c>
      <c r="FQ12" s="74" t="str">
        <f>IF($W12="","",IF(COUNTIF(choice!$D:$D,CONCATENATE($W12,"@",FQ$7))=0,"",VLOOKUP(CONCATENATE($W12,"@",FQ$7),choice!$D:$E,2,0)))</f>
        <v/>
      </c>
      <c r="FR12" s="74" t="str">
        <f>IF($W12="","",IF(COUNTIF(choice!$D:$D,CONCATENATE($W12,"@",FR$7))=0,"",VLOOKUP(CONCATENATE($W12,"@",FR$7),choice!$D:$E,2,0)))</f>
        <v/>
      </c>
      <c r="FS12" s="74" t="str">
        <f>IF($W12="","",IF(COUNTIF(choice!$D:$D,CONCATENATE($W12,"@",FS$7))=0,"",VLOOKUP(CONCATENATE($W12,"@",FS$7),choice!$D:$E,2,0)))</f>
        <v/>
      </c>
      <c r="FT12" s="74" t="str">
        <f>IF($W12="","",IF(COUNTIF(choice!$D:$D,CONCATENATE($W12,"@",FT$7))=0,"",VLOOKUP(CONCATENATE($W12,"@",FT$7),choice!$D:$E,2,0)))</f>
        <v/>
      </c>
      <c r="FU12" s="74" t="str">
        <f>IF($W12="","",IF(COUNTIF(choice!$D:$D,CONCATENATE($W12,"@",FU$7))=0,"",VLOOKUP(CONCATENATE($W12,"@",FU$7),choice!$D:$E,2,0)))</f>
        <v/>
      </c>
      <c r="FV12" s="81" t="str">
        <f>IF($W12="","",IF(COUNTIF(choice!$D:$D,CONCATENATE($W12,"@",FV$7))=0,"",VLOOKUP(CONCATENATE($W12,"@",FV$7),choice!$D:$E,2,0)))</f>
        <v/>
      </c>
      <c r="FW12" s="80" t="str">
        <f>IF($X12="","",IF(COUNTIF(choice!$D:$D,CONCATENATE($X12,"@",FW$7))=0,"",VLOOKUP(CONCATENATE($X12,"@",FW$7),choice!$D:$E,2,0)))</f>
        <v/>
      </c>
      <c r="FX12" s="74" t="str">
        <f>IF($X12="","",IF(COUNTIF(choice!$D:$D,CONCATENATE($X12,"@",FX$7))=0,"",VLOOKUP(CONCATENATE($X12,"@",FX$7),choice!$D:$E,2,0)))</f>
        <v/>
      </c>
      <c r="FY12" s="74" t="str">
        <f>IF($X12="","",IF(COUNTIF(choice!$D:$D,CONCATENATE($X12,"@",FY$7))=0,"",VLOOKUP(CONCATENATE($X12,"@",FY$7),choice!$D:$E,2,0)))</f>
        <v/>
      </c>
      <c r="FZ12" s="74" t="str">
        <f>IF($X12="","",IF(COUNTIF(choice!$D:$D,CONCATENATE($X12,"@",FZ$7))=0,"",VLOOKUP(CONCATENATE($X12,"@",FZ$7),choice!$D:$E,2,0)))</f>
        <v/>
      </c>
      <c r="GA12" s="74" t="str">
        <f>IF($X12="","",IF(COUNTIF(choice!$D:$D,CONCATENATE($X12,"@",GA$7))=0,"",VLOOKUP(CONCATENATE($X12,"@",GA$7),choice!$D:$E,2,0)))</f>
        <v/>
      </c>
      <c r="GB12" s="74" t="str">
        <f>IF($X12="","",IF(COUNTIF(choice!$D:$D,CONCATENATE($X12,"@",GB$7))=0,"",VLOOKUP(CONCATENATE($X12,"@",GB$7),choice!$D:$E,2,0)))</f>
        <v/>
      </c>
      <c r="GC12" s="74" t="str">
        <f>IF($X12="","",IF(COUNTIF(choice!$D:$D,CONCATENATE($X12,"@",GC$7))=0,"",VLOOKUP(CONCATENATE($X12,"@",GC$7),choice!$D:$E,2,0)))</f>
        <v/>
      </c>
      <c r="GD12" s="74" t="str">
        <f>IF($X12="","",IF(COUNTIF(choice!$D:$D,CONCATENATE($X12,"@",GD$7))=0,"",VLOOKUP(CONCATENATE($X12,"@",GD$7),choice!$D:$E,2,0)))</f>
        <v/>
      </c>
      <c r="GE12" s="74" t="str">
        <f>IF($X12="","",IF(COUNTIF(choice!$D:$D,CONCATENATE($X12,"@",GE$7))=0,"",VLOOKUP(CONCATENATE($X12,"@",GE$7),choice!$D:$E,2,0)))</f>
        <v/>
      </c>
      <c r="GF12" s="74" t="str">
        <f>IF($X12="","",IF(COUNTIF(choice!$D:$D,CONCATENATE($X12,"@",GF$7))=0,"",VLOOKUP(CONCATENATE($X12,"@",GF$7),choice!$D:$E,2,0)))</f>
        <v/>
      </c>
      <c r="GG12" s="74" t="str">
        <f>IF($X12="","",IF(COUNTIF(choice!$D:$D,CONCATENATE($X12,"@",GG$7))=0,"",VLOOKUP(CONCATENATE($X12,"@",GG$7),choice!$D:$E,2,0)))</f>
        <v/>
      </c>
      <c r="GH12" s="74" t="str">
        <f>IF($X12="","",IF(COUNTIF(choice!$D:$D,CONCATENATE($X12,"@",GH$7))=0,"",VLOOKUP(CONCATENATE($X12,"@",GH$7),choice!$D:$E,2,0)))</f>
        <v/>
      </c>
      <c r="GI12" s="74" t="str">
        <f>IF($X12="","",IF(COUNTIF(choice!$D:$D,CONCATENATE($X12,"@",GI$7))=0,"",VLOOKUP(CONCATENATE($X12,"@",GI$7),choice!$D:$E,2,0)))</f>
        <v/>
      </c>
      <c r="GJ12" s="74" t="str">
        <f>IF($X12="","",IF(COUNTIF(choice!$D:$D,CONCATENATE($X12,"@",GJ$7))=0,"",VLOOKUP(CONCATENATE($X12,"@",GJ$7),choice!$D:$E,2,0)))</f>
        <v/>
      </c>
      <c r="GK12" s="74" t="str">
        <f>IF($X12="","",IF(COUNTIF(choice!$D:$D,CONCATENATE($X12,"@",GK$7))=0,"",VLOOKUP(CONCATENATE($X12,"@",GK$7),choice!$D:$E,2,0)))</f>
        <v/>
      </c>
      <c r="GL12" s="74" t="str">
        <f>IF($X12="","",IF(COUNTIF(choice!$D:$D,CONCATENATE($X12,"@",GL$7))=0,"",VLOOKUP(CONCATENATE($X12,"@",GL$7),choice!$D:$E,2,0)))</f>
        <v/>
      </c>
      <c r="GM12" s="74" t="str">
        <f>IF($X12="","",IF(COUNTIF(choice!$D:$D,CONCATENATE($X12,"@",GM$7))=0,"",VLOOKUP(CONCATENATE($X12,"@",GM$7),choice!$D:$E,2,0)))</f>
        <v/>
      </c>
      <c r="GN12" s="74" t="str">
        <f>IF($X12="","",IF(COUNTIF(choice!$D:$D,CONCATENATE($X12,"@",GN$7))=0,"",VLOOKUP(CONCATENATE($X12,"@",GN$7),choice!$D:$E,2,0)))</f>
        <v/>
      </c>
      <c r="GO12" s="74" t="str">
        <f>IF($X12="","",IF(COUNTIF(choice!$D:$D,CONCATENATE($X12,"@",GO$7))=0,"",VLOOKUP(CONCATENATE($X12,"@",GO$7),choice!$D:$E,2,0)))</f>
        <v/>
      </c>
      <c r="GP12" s="74" t="str">
        <f>IF($X12="","",IF(COUNTIF(choice!$D:$D,CONCATENATE($X12,"@",GP$7))=0,"",VLOOKUP(CONCATENATE($X12,"@",GP$7),choice!$D:$E,2,0)))</f>
        <v/>
      </c>
      <c r="GQ12" s="74" t="str">
        <f>IF($X12="","",IF(COUNTIF(choice!$D:$D,CONCATENATE($X12,"@",GQ$7))=0,"",VLOOKUP(CONCATENATE($X12,"@",GQ$7),choice!$D:$E,2,0)))</f>
        <v/>
      </c>
      <c r="GR12" s="74" t="str">
        <f>IF($X12="","",IF(COUNTIF(choice!$D:$D,CONCATENATE($X12,"@",GR$7))=0,"",VLOOKUP(CONCATENATE($X12,"@",GR$7),choice!$D:$E,2,0)))</f>
        <v/>
      </c>
      <c r="GS12" s="74" t="str">
        <f>IF($X12="","",IF(COUNTIF(choice!$D:$D,CONCATENATE($X12,"@",GS$7))=0,"",VLOOKUP(CONCATENATE($X12,"@",GS$7),choice!$D:$E,2,0)))</f>
        <v/>
      </c>
      <c r="GT12" s="74" t="str">
        <f>IF($X12="","",IF(COUNTIF(choice!$D:$D,CONCATENATE($X12,"@",GT$7))=0,"",VLOOKUP(CONCATENATE($X12,"@",GT$7),choice!$D:$E,2,0)))</f>
        <v/>
      </c>
      <c r="GU12" s="74" t="str">
        <f>IF($X12="","",IF(COUNTIF(choice!$D:$D,CONCATENATE($X12,"@",GU$7))=0,"",VLOOKUP(CONCATENATE($X12,"@",GU$7),choice!$D:$E,2,0)))</f>
        <v/>
      </c>
      <c r="GV12" s="74" t="str">
        <f>IF($X12="","",IF(COUNTIF(choice!$D:$D,CONCATENATE($X12,"@",GV$7))=0,"",VLOOKUP(CONCATENATE($X12,"@",GV$7),choice!$D:$E,2,0)))</f>
        <v/>
      </c>
      <c r="GW12" s="74" t="str">
        <f>IF($X12="","",IF(COUNTIF(choice!$D:$D,CONCATENATE($X12,"@",GW$7))=0,"",VLOOKUP(CONCATENATE($X12,"@",GW$7),choice!$D:$E,2,0)))</f>
        <v/>
      </c>
      <c r="GX12" s="74" t="str">
        <f>IF($X12="","",IF(COUNTIF(choice!$D:$D,CONCATENATE($X12,"@",GX$7))=0,"",VLOOKUP(CONCATENATE($X12,"@",GX$7),choice!$D:$E,2,0)))</f>
        <v/>
      </c>
      <c r="GY12" s="74" t="str">
        <f>IF($X12="","",IF(COUNTIF(choice!$D:$D,CONCATENATE($X12,"@",GY$7))=0,"",VLOOKUP(CONCATENATE($X12,"@",GY$7),choice!$D:$E,2,0)))</f>
        <v/>
      </c>
      <c r="GZ12" s="74" t="str">
        <f>IF($X12="","",IF(COUNTIF(choice!$D:$D,CONCATENATE($X12,"@",GZ$7))=0,"",VLOOKUP(CONCATENATE($X12,"@",GZ$7),choice!$D:$E,2,0)))</f>
        <v/>
      </c>
      <c r="HA12" s="74" t="str">
        <f>IF($X12="","",IF(COUNTIF(choice!$D:$D,CONCATENATE($X12,"@",HA$7))=0,"",VLOOKUP(CONCATENATE($X12,"@",HA$7),choice!$D:$E,2,0)))</f>
        <v/>
      </c>
      <c r="HB12" s="74" t="str">
        <f>IF($X12="","",IF(COUNTIF(choice!$D:$D,CONCATENATE($X12,"@",HB$7))=0,"",VLOOKUP(CONCATENATE($X12,"@",HB$7),choice!$D:$E,2,0)))</f>
        <v/>
      </c>
      <c r="HC12" s="74" t="str">
        <f>IF($X12="","",IF(COUNTIF(choice!$D:$D,CONCATENATE($X12,"@",HC$7))=0,"",VLOOKUP(CONCATENATE($X12,"@",HC$7),choice!$D:$E,2,0)))</f>
        <v/>
      </c>
      <c r="HD12" s="74" t="str">
        <f>IF($X12="","",IF(COUNTIF(choice!$D:$D,CONCATENATE($X12,"@",HD$7))=0,"",VLOOKUP(CONCATENATE($X12,"@",HD$7),choice!$D:$E,2,0)))</f>
        <v/>
      </c>
      <c r="HE12" s="74" t="str">
        <f>IF($X12="","",IF(COUNTIF(choice!$D:$D,CONCATENATE($X12,"@",HE$7))=0,"",VLOOKUP(CONCATENATE($X12,"@",HE$7),choice!$D:$E,2,0)))</f>
        <v/>
      </c>
      <c r="HF12" s="74" t="str">
        <f>IF($X12="","",IF(COUNTIF(choice!$D:$D,CONCATENATE($X12,"@",HF$7))=0,"",VLOOKUP(CONCATENATE($X12,"@",HF$7),choice!$D:$E,2,0)))</f>
        <v/>
      </c>
      <c r="HG12" s="74" t="str">
        <f>IF($X12="","",IF(COUNTIF(choice!$D:$D,CONCATENATE($X12,"@",HG$7))=0,"",VLOOKUP(CONCATENATE($X12,"@",HG$7),choice!$D:$E,2,0)))</f>
        <v/>
      </c>
      <c r="HH12" s="74" t="str">
        <f>IF($X12="","",IF(COUNTIF(choice!$D:$D,CONCATENATE($X12,"@",HH$7))=0,"",VLOOKUP(CONCATENATE($X12,"@",HH$7),choice!$D:$E,2,0)))</f>
        <v/>
      </c>
      <c r="HI12" s="74" t="str">
        <f>IF($X12="","",IF(COUNTIF(choice!$D:$D,CONCATENATE($X12,"@",HI$7))=0,"",VLOOKUP(CONCATENATE($X12,"@",HI$7),choice!$D:$E,2,0)))</f>
        <v/>
      </c>
      <c r="HJ12" s="74" t="str">
        <f>IF($X12="","",IF(COUNTIF(choice!$D:$D,CONCATENATE($X12,"@",HJ$7))=0,"",VLOOKUP(CONCATENATE($X12,"@",HJ$7),choice!$D:$E,2,0)))</f>
        <v/>
      </c>
      <c r="HK12" s="74" t="str">
        <f>IF($X12="","",IF(COUNTIF(choice!$D:$D,CONCATENATE($X12,"@",HK$7))=0,"",VLOOKUP(CONCATENATE($X12,"@",HK$7),choice!$D:$E,2,0)))</f>
        <v/>
      </c>
      <c r="HL12" s="74" t="str">
        <f>IF($X12="","",IF(COUNTIF(choice!$D:$D,CONCATENATE($X12,"@",HL$7))=0,"",VLOOKUP(CONCATENATE($X12,"@",HL$7),choice!$D:$E,2,0)))</f>
        <v/>
      </c>
      <c r="HM12" s="74" t="str">
        <f>IF($X12="","",IF(COUNTIF(choice!$D:$D,CONCATENATE($X12,"@",HM$7))=0,"",VLOOKUP(CONCATENATE($X12,"@",HM$7),choice!$D:$E,2,0)))</f>
        <v/>
      </c>
      <c r="HN12" s="74" t="str">
        <f>IF($X12="","",IF(COUNTIF(choice!$D:$D,CONCATENATE($X12,"@",HN$7))=0,"",VLOOKUP(CONCATENATE($X12,"@",HN$7),choice!$D:$E,2,0)))</f>
        <v/>
      </c>
      <c r="HO12" s="81" t="str">
        <f>IF($X12="","",IF(COUNTIF(choice!$D:$D,CONCATENATE($X12,"@",HO$7))=0,"",VLOOKUP(CONCATENATE($X12,"@",HO$7),choice!$D:$E,2,0)))</f>
        <v/>
      </c>
      <c r="HP12" s="20" t="s">
        <v>60</v>
      </c>
      <c r="HQ12" s="20" t="s">
        <v>61</v>
      </c>
      <c r="HV12" s="74">
        <f t="shared" si="20"/>
        <v>0</v>
      </c>
      <c r="HW12" s="74">
        <f t="shared" si="21"/>
        <v>0</v>
      </c>
      <c r="HX12" s="74">
        <f t="shared" si="22"/>
        <v>0</v>
      </c>
      <c r="HY12" s="74">
        <f t="shared" si="23"/>
        <v>0</v>
      </c>
      <c r="HZ12" s="74">
        <f t="shared" si="30"/>
        <v>0</v>
      </c>
      <c r="IA12" s="74">
        <f t="shared" si="30"/>
        <v>0</v>
      </c>
      <c r="IB12" s="74" t="str">
        <f t="shared" si="31"/>
        <v/>
      </c>
      <c r="IC12" s="74" t="str">
        <f t="shared" si="32"/>
        <v/>
      </c>
      <c r="ID12" s="74" t="str">
        <f t="shared" si="24"/>
        <v/>
      </c>
      <c r="IE12" s="74">
        <f t="shared" si="25"/>
        <v>18</v>
      </c>
      <c r="IF12" s="74">
        <f>COUNTIFS(ID$8:ID12,"BLUE")</f>
        <v>0</v>
      </c>
      <c r="IG12" s="74" t="str">
        <f t="shared" si="26"/>
        <v/>
      </c>
      <c r="IH12" s="74" t="str">
        <f>IF(COUNTIFS($AQ12,"*02*")=0,"",COUNTIFS(IJ$8:IJ12,"BLUE"))</f>
        <v/>
      </c>
      <c r="II12" s="74" t="str">
        <f>IF(COUNTIFS($AQ12,"*04*")=0,"",COUNTIFS(IK$8:IK12,"BLUE"))</f>
        <v/>
      </c>
      <c r="IJ12" s="74" t="str">
        <f t="shared" si="33"/>
        <v/>
      </c>
      <c r="IK12" s="74" t="str">
        <f t="shared" si="34"/>
        <v/>
      </c>
      <c r="IL12" s="74" t="str">
        <f t="shared" si="27"/>
        <v/>
      </c>
      <c r="IM12" s="74" t="str">
        <f t="shared" si="28"/>
        <v/>
      </c>
      <c r="IN12" s="74">
        <f>COUNTIFS(IJ$8:IJ12,"BLUE")</f>
        <v>0</v>
      </c>
      <c r="IO12" s="74">
        <f>COUNTIFS(IK$8:IK12,"BLUE")</f>
        <v>0</v>
      </c>
    </row>
    <row r="13" spans="1:249" s="20" customFormat="1" ht="31.5" customHeight="1">
      <c r="A13" s="33"/>
      <c r="B13" s="39">
        <v>19</v>
      </c>
      <c r="C13" s="155"/>
      <c r="D13" s="174"/>
      <c r="E13" s="91" t="e">
        <f>VLOOKUP(F13,'Radio Call Sign'!A:B,2)</f>
        <v>#N/A</v>
      </c>
      <c r="F13" s="88"/>
      <c r="G13" s="91" t="e">
        <f>VLOOKUP(H13,'Radio Call Sign'!A:B,2)</f>
        <v>#N/A</v>
      </c>
      <c r="H13" s="89"/>
      <c r="I13" s="89" t="str">
        <f t="shared" si="12"/>
        <v/>
      </c>
      <c r="J13" s="90" t="str">
        <f t="shared" si="17"/>
        <v/>
      </c>
      <c r="K13" s="86" t="str">
        <f t="shared" si="18"/>
        <v/>
      </c>
      <c r="L13" s="155"/>
      <c r="M13" s="190" t="str">
        <f t="shared" si="19"/>
        <v/>
      </c>
      <c r="N13" s="21"/>
      <c r="O13" s="21"/>
      <c r="P13" s="53"/>
      <c r="Q13" s="163" t="str">
        <f>IF(AA13="","",IF(COUNTIFS('overhead line area'!$D$3:$D$100,AA13)+COUNTIFS('overhead line area'!$D$3:$D$100,AB13)+COUNTIFS('overhead line area'!$D$3:$D$100,AC13)+COUNTIFS('overhead line area'!$D$3:$D$100,AD13)=0,"","*               "))</f>
        <v/>
      </c>
      <c r="R13" s="53"/>
      <c r="S13" s="24"/>
      <c r="U13" s="74"/>
      <c r="V13" s="74"/>
      <c r="W13" s="74"/>
      <c r="X13" s="74"/>
      <c r="Y13" s="74"/>
      <c r="AA13" s="74" t="str">
        <f t="shared" si="13"/>
        <v/>
      </c>
      <c r="AB13" s="74" t="str">
        <f t="shared" si="29"/>
        <v/>
      </c>
      <c r="AC13" s="74" t="str">
        <f t="shared" si="35"/>
        <v/>
      </c>
      <c r="AD13" s="74" t="str">
        <f t="shared" si="36"/>
        <v/>
      </c>
      <c r="AF13" s="74" t="str">
        <f>IF(AA13="","",IF(COUNTIF(Route!$AM:$AM,'Train Movement Log (page.2)'!AA13)=0,"未有資料",VLOOKUP('Train Movement Log (page.2)'!AA13,Route!$AM:$AP,3,0)))</f>
        <v/>
      </c>
      <c r="AG13" s="74" t="str">
        <f>IF(AB13="","",IF(COUNTIF(Route!$AM:$AM,'Train Movement Log (page.2)'!AB13)=0,"未有資料",VLOOKUP('Train Movement Log (page.2)'!AB13,Route!$AM:$AP,3,0)))</f>
        <v/>
      </c>
      <c r="AH13" s="74" t="str">
        <f>IF(AC13="","",IF(COUNTIF(Route!$AM:$AM,'Train Movement Log (page.2)'!AC13)=0,"未有資料",VLOOKUP('Train Movement Log (page.2)'!AC13,Route!$AM:$AP,3,0)))</f>
        <v/>
      </c>
      <c r="AI13" s="74" t="str">
        <f>IF(AD13="","",IF(COUNTIF(Route!$AM:$AM,'Train Movement Log (page.2)'!AD13)=0,"未有資料",VLOOKUP('Train Movement Log (page.2)'!AD13,Route!$AM:$AP,3,0)))</f>
        <v/>
      </c>
      <c r="AK13" s="74" t="str">
        <f>IF(AA13="","",IF(COUNTIF(Route!$AM:$AM,'Train Movement Log (page.2)'!AA13)=0,"未有資料",VLOOKUP('Train Movement Log (page.2)'!AA13,Route!$AM:$AP,4,0)))</f>
        <v/>
      </c>
      <c r="AL13" s="74" t="str">
        <f>IF(AB13="","",IF(COUNTIF(Route!$AM:$AM,'Train Movement Log (page.2)'!AB13)=0,"未有資料",VLOOKUP('Train Movement Log (page.2)'!AB13,Route!$AM:$AP,4,0)))</f>
        <v/>
      </c>
      <c r="AM13" s="74" t="str">
        <f>IF(AC13="","",IF(COUNTIF(Route!$AM:$AM,'Train Movement Log (page.2)'!AC13)=0,"未有資料",VLOOKUP('Train Movement Log (page.2)'!AC13,Route!$AM:$AP,4,0)))</f>
        <v/>
      </c>
      <c r="AN13" s="74" t="str">
        <f>IF(AD13="","",IF(COUNTIF(Route!$AM:$AM,'Train Movement Log (page.2)'!AD13)=0,"未有資料",VLOOKUP('Train Movement Log (page.2)'!AD13,Route!$AM:$AP,4,0)))</f>
        <v/>
      </c>
      <c r="AP13" s="74" t="str">
        <f t="shared" si="15"/>
        <v/>
      </c>
      <c r="AQ13" s="76" t="str">
        <f t="shared" si="16"/>
        <v/>
      </c>
      <c r="AR13" s="80" t="str">
        <f>IF($U13="","",IF(COUNTIF(choice!$D:$D,CONCATENATE($U13,"@",AR$7))=0,"",VLOOKUP(CONCATENATE($U13,"@",AR$7),choice!$D:$E,2,0)))</f>
        <v/>
      </c>
      <c r="AS13" s="74" t="str">
        <f>IF($U13="","",IF(COUNTIF(choice!$D:$D,CONCATENATE($U13,"@",AS$7))=0,"",VLOOKUP(CONCATENATE($U13,"@",AS$7),choice!$D:$E,2,0)))</f>
        <v/>
      </c>
      <c r="AT13" s="74" t="str">
        <f>IF($U13="","",IF(COUNTIF(choice!$D:$D,CONCATENATE($U13,"@",AT$7))=0,"",VLOOKUP(CONCATENATE($U13,"@",AT$7),choice!$D:$E,2,0)))</f>
        <v/>
      </c>
      <c r="AU13" s="74" t="str">
        <f>IF($U13="","",IF(COUNTIF(choice!$D:$D,CONCATENATE($U13,"@",AU$7))=0,"",VLOOKUP(CONCATENATE($U13,"@",AU$7),choice!$D:$E,2,0)))</f>
        <v/>
      </c>
      <c r="AV13" s="74" t="str">
        <f>IF($U13="","",IF(COUNTIF(choice!$D:$D,CONCATENATE($U13,"@",AV$7))=0,"",VLOOKUP(CONCATENATE($U13,"@",AV$7),choice!$D:$E,2,0)))</f>
        <v/>
      </c>
      <c r="AW13" s="74" t="str">
        <f>IF($U13="","",IF(COUNTIF(choice!$D:$D,CONCATENATE($U13,"@",AW$7))=0,"",VLOOKUP(CONCATENATE($U13,"@",AW$7),choice!$D:$E,2,0)))</f>
        <v/>
      </c>
      <c r="AX13" s="74" t="str">
        <f>IF($U13="","",IF(COUNTIF(choice!$D:$D,CONCATENATE($U13,"@",AX$7))=0,"",VLOOKUP(CONCATENATE($U13,"@",AX$7),choice!$D:$E,2,0)))</f>
        <v/>
      </c>
      <c r="AY13" s="74" t="str">
        <f>IF($U13="","",IF(COUNTIF(choice!$D:$D,CONCATENATE($U13,"@",AY$7))=0,"",VLOOKUP(CONCATENATE($U13,"@",AY$7),choice!$D:$E,2,0)))</f>
        <v/>
      </c>
      <c r="AZ13" s="74" t="str">
        <f>IF($U13="","",IF(COUNTIF(choice!$D:$D,CONCATENATE($U13,"@",AZ$7))=0,"",VLOOKUP(CONCATENATE($U13,"@",AZ$7),choice!$D:$E,2,0)))</f>
        <v/>
      </c>
      <c r="BA13" s="74" t="str">
        <f>IF($U13="","",IF(COUNTIF(choice!$D:$D,CONCATENATE($U13,"@",BA$7))=0,"",VLOOKUP(CONCATENATE($U13,"@",BA$7),choice!$D:$E,2,0)))</f>
        <v/>
      </c>
      <c r="BB13" s="74" t="str">
        <f>IF($U13="","",IF(COUNTIF(choice!$D:$D,CONCATENATE($U13,"@",BB$7))=0,"",VLOOKUP(CONCATENATE($U13,"@",BB$7),choice!$D:$E,2,0)))</f>
        <v/>
      </c>
      <c r="BC13" s="74" t="str">
        <f>IF($U13="","",IF(COUNTIF(choice!$D:$D,CONCATENATE($U13,"@",BC$7))=0,"",VLOOKUP(CONCATENATE($U13,"@",BC$7),choice!$D:$E,2,0)))</f>
        <v/>
      </c>
      <c r="BD13" s="74" t="str">
        <f>IF($U13="","",IF(COUNTIF(choice!$D:$D,CONCATENATE($U13,"@",BD$7))=0,"",VLOOKUP(CONCATENATE($U13,"@",BD$7),choice!$D:$E,2,0)))</f>
        <v/>
      </c>
      <c r="BE13" s="74" t="str">
        <f>IF($U13="","",IF(COUNTIF(choice!$D:$D,CONCATENATE($U13,"@",BE$7))=0,"",VLOOKUP(CONCATENATE($U13,"@",BE$7),choice!$D:$E,2,0)))</f>
        <v/>
      </c>
      <c r="BF13" s="74" t="str">
        <f>IF($U13="","",IF(COUNTIF(choice!$D:$D,CONCATENATE($U13,"@",BF$7))=0,"",VLOOKUP(CONCATENATE($U13,"@",BF$7),choice!$D:$E,2,0)))</f>
        <v/>
      </c>
      <c r="BG13" s="74" t="str">
        <f>IF($U13="","",IF(COUNTIF(choice!$D:$D,CONCATENATE($U13,"@",BG$7))=0,"",VLOOKUP(CONCATENATE($U13,"@",BG$7),choice!$D:$E,2,0)))</f>
        <v/>
      </c>
      <c r="BH13" s="74" t="str">
        <f>IF($U13="","",IF(COUNTIF(choice!$D:$D,CONCATENATE($U13,"@",BH$7))=0,"",VLOOKUP(CONCATENATE($U13,"@",BH$7),choice!$D:$E,2,0)))</f>
        <v/>
      </c>
      <c r="BI13" s="74" t="str">
        <f>IF($U13="","",IF(COUNTIF(choice!$D:$D,CONCATENATE($U13,"@",BI$7))=0,"",VLOOKUP(CONCATENATE($U13,"@",BI$7),choice!$D:$E,2,0)))</f>
        <v/>
      </c>
      <c r="BJ13" s="74" t="str">
        <f>IF($U13="","",IF(COUNTIF(choice!$D:$D,CONCATENATE($U13,"@",BJ$7))=0,"",VLOOKUP(CONCATENATE($U13,"@",BJ$7),choice!$D:$E,2,0)))</f>
        <v/>
      </c>
      <c r="BK13" s="74" t="str">
        <f>IF($U13="","",IF(COUNTIF(choice!$D:$D,CONCATENATE($U13,"@",BK$7))=0,"",VLOOKUP(CONCATENATE($U13,"@",BK$7),choice!$D:$E,2,0)))</f>
        <v/>
      </c>
      <c r="BL13" s="74" t="str">
        <f>IF($U13="","",IF(COUNTIF(choice!$D:$D,CONCATENATE($U13,"@",BL$7))=0,"",VLOOKUP(CONCATENATE($U13,"@",BL$7),choice!$D:$E,2,0)))</f>
        <v/>
      </c>
      <c r="BM13" s="74" t="str">
        <f>IF($U13="","",IF(COUNTIF(choice!$D:$D,CONCATENATE($U13,"@",BM$7))=0,"",VLOOKUP(CONCATENATE($U13,"@",BM$7),choice!$D:$E,2,0)))</f>
        <v/>
      </c>
      <c r="BN13" s="74" t="str">
        <f>IF($U13="","",IF(COUNTIF(choice!$D:$D,CONCATENATE($U13,"@",BN$7))=0,"",VLOOKUP(CONCATENATE($U13,"@",BN$7),choice!$D:$E,2,0)))</f>
        <v/>
      </c>
      <c r="BO13" s="74" t="str">
        <f>IF($U13="","",IF(COUNTIF(choice!$D:$D,CONCATENATE($U13,"@",BO$7))=0,"",VLOOKUP(CONCATENATE($U13,"@",BO$7),choice!$D:$E,2,0)))</f>
        <v/>
      </c>
      <c r="BP13" s="74" t="str">
        <f>IF($U13="","",IF(COUNTIF(choice!$D:$D,CONCATENATE($U13,"@",BP$7))=0,"",VLOOKUP(CONCATENATE($U13,"@",BP$7),choice!$D:$E,2,0)))</f>
        <v/>
      </c>
      <c r="BQ13" s="74" t="str">
        <f>IF($U13="","",IF(COUNTIF(choice!$D:$D,CONCATENATE($U13,"@",BQ$7))=0,"",VLOOKUP(CONCATENATE($U13,"@",BQ$7),choice!$D:$E,2,0)))</f>
        <v/>
      </c>
      <c r="BR13" s="74" t="str">
        <f>IF($U13="","",IF(COUNTIF(choice!$D:$D,CONCATENATE($U13,"@",BR$7))=0,"",VLOOKUP(CONCATENATE($U13,"@",BR$7),choice!$D:$E,2,0)))</f>
        <v/>
      </c>
      <c r="BS13" s="74" t="str">
        <f>IF($U13="","",IF(COUNTIF(choice!$D:$D,CONCATENATE($U13,"@",BS$7))=0,"",VLOOKUP(CONCATENATE($U13,"@",BS$7),choice!$D:$E,2,0)))</f>
        <v/>
      </c>
      <c r="BT13" s="74" t="str">
        <f>IF($U13="","",IF(COUNTIF(choice!$D:$D,CONCATENATE($U13,"@",BT$7))=0,"",VLOOKUP(CONCATENATE($U13,"@",BT$7),choice!$D:$E,2,0)))</f>
        <v/>
      </c>
      <c r="BU13" s="74" t="str">
        <f>IF($U13="","",IF(COUNTIF(choice!$D:$D,CONCATENATE($U13,"@",BU$7))=0,"",VLOOKUP(CONCATENATE($U13,"@",BU$7),choice!$D:$E,2,0)))</f>
        <v/>
      </c>
      <c r="BV13" s="74" t="str">
        <f>IF($U13="","",IF(COUNTIF(choice!$D:$D,CONCATENATE($U13,"@",BV$7))=0,"",VLOOKUP(CONCATENATE($U13,"@",BV$7),choice!$D:$E,2,0)))</f>
        <v/>
      </c>
      <c r="BW13" s="74" t="str">
        <f>IF($U13="","",IF(COUNTIF(choice!$D:$D,CONCATENATE($U13,"@",BW$7))=0,"",VLOOKUP(CONCATENATE($U13,"@",BW$7),choice!$D:$E,2,0)))</f>
        <v/>
      </c>
      <c r="BX13" s="74" t="str">
        <f>IF($U13="","",IF(COUNTIF(choice!$D:$D,CONCATENATE($U13,"@",BX$7))=0,"",VLOOKUP(CONCATENATE($U13,"@",BX$7),choice!$D:$E,2,0)))</f>
        <v/>
      </c>
      <c r="BY13" s="74" t="str">
        <f>IF($U13="","",IF(COUNTIF(choice!$D:$D,CONCATENATE($U13,"@",BY$7))=0,"",VLOOKUP(CONCATENATE($U13,"@",BY$7),choice!$D:$E,2,0)))</f>
        <v/>
      </c>
      <c r="BZ13" s="74" t="str">
        <f>IF($U13="","",IF(COUNTIF(choice!$D:$D,CONCATENATE($U13,"@",BZ$7))=0,"",VLOOKUP(CONCATENATE($U13,"@",BZ$7),choice!$D:$E,2,0)))</f>
        <v/>
      </c>
      <c r="CA13" s="74" t="str">
        <f>IF($U13="","",IF(COUNTIF(choice!$D:$D,CONCATENATE($U13,"@",CA$7))=0,"",VLOOKUP(CONCATENATE($U13,"@",CA$7),choice!$D:$E,2,0)))</f>
        <v/>
      </c>
      <c r="CB13" s="74" t="str">
        <f>IF($U13="","",IF(COUNTIF(choice!$D:$D,CONCATENATE($U13,"@",CB$7))=0,"",VLOOKUP(CONCATENATE($U13,"@",CB$7),choice!$D:$E,2,0)))</f>
        <v/>
      </c>
      <c r="CC13" s="74" t="str">
        <f>IF($U13="","",IF(COUNTIF(choice!$D:$D,CONCATENATE($U13,"@",CC$7))=0,"",VLOOKUP(CONCATENATE($U13,"@",CC$7),choice!$D:$E,2,0)))</f>
        <v/>
      </c>
      <c r="CD13" s="74" t="str">
        <f>IF($U13="","",IF(COUNTIF(choice!$D:$D,CONCATENATE($U13,"@",CD$7))=0,"",VLOOKUP(CONCATENATE($U13,"@",CD$7),choice!$D:$E,2,0)))</f>
        <v/>
      </c>
      <c r="CE13" s="74" t="str">
        <f>IF($U13="","",IF(COUNTIF(choice!$D:$D,CONCATENATE($U13,"@",CE$7))=0,"",VLOOKUP(CONCATENATE($U13,"@",CE$7),choice!$D:$E,2,0)))</f>
        <v/>
      </c>
      <c r="CF13" s="74" t="str">
        <f>IF($U13="","",IF(COUNTIF(choice!$D:$D,CONCATENATE($U13,"@",CF$7))=0,"",VLOOKUP(CONCATENATE($U13,"@",CF$7),choice!$D:$E,2,0)))</f>
        <v/>
      </c>
      <c r="CG13" s="74" t="str">
        <f>IF($U13="","",IF(COUNTIF(choice!$D:$D,CONCATENATE($U13,"@",CG$7))=0,"",VLOOKUP(CONCATENATE($U13,"@",CG$7),choice!$D:$E,2,0)))</f>
        <v/>
      </c>
      <c r="CH13" s="74" t="str">
        <f>IF($U13="","",IF(COUNTIF(choice!$D:$D,CONCATENATE($U13,"@",CH$7))=0,"",VLOOKUP(CONCATENATE($U13,"@",CH$7),choice!$D:$E,2,0)))</f>
        <v/>
      </c>
      <c r="CI13" s="74" t="str">
        <f>IF($U13="","",IF(COUNTIF(choice!$D:$D,CONCATENATE($U13,"@",CI$7))=0,"",VLOOKUP(CONCATENATE($U13,"@",CI$7),choice!$D:$E,2,0)))</f>
        <v/>
      </c>
      <c r="CJ13" s="81" t="str">
        <f>IF($U13="","",IF(COUNTIF(choice!$D:$D,CONCATENATE($U13,"@",CJ$7))=0,"",VLOOKUP(CONCATENATE($U13,"@",CJ$7),choice!$D:$E,2,0)))</f>
        <v/>
      </c>
      <c r="CK13" s="80" t="str">
        <f>IF($V13="","",IF(COUNTIF(choice!$D:$D,CONCATENATE($V13,"@",CK$7))=0,"",VLOOKUP(CONCATENATE($V13,"@",CK$7),choice!$D:$E,2,0)))</f>
        <v/>
      </c>
      <c r="CL13" s="74" t="str">
        <f>IF($V13="","",IF(COUNTIF(choice!$D:$D,CONCATENATE($V13,"@",CL$7))=0,"",VLOOKUP(CONCATENATE($V13,"@",CL$7),choice!$D:$E,2,0)))</f>
        <v/>
      </c>
      <c r="CM13" s="74" t="str">
        <f>IF($V13="","",IF(COUNTIF(choice!$D:$D,CONCATENATE($V13,"@",CM$7))=0,"",VLOOKUP(CONCATENATE($V13,"@",CM$7),choice!$D:$E,2,0)))</f>
        <v/>
      </c>
      <c r="CN13" s="74" t="str">
        <f>IF($V13="","",IF(COUNTIF(choice!$D:$D,CONCATENATE($V13,"@",CN$7))=0,"",VLOOKUP(CONCATENATE($V13,"@",CN$7),choice!$D:$E,2,0)))</f>
        <v/>
      </c>
      <c r="CO13" s="74" t="str">
        <f>IF($V13="","",IF(COUNTIF(choice!$D:$D,CONCATENATE($V13,"@",CO$7))=0,"",VLOOKUP(CONCATENATE($V13,"@",CO$7),choice!$D:$E,2,0)))</f>
        <v/>
      </c>
      <c r="CP13" s="74" t="str">
        <f>IF($V13="","",IF(COUNTIF(choice!$D:$D,CONCATENATE($V13,"@",CP$7))=0,"",VLOOKUP(CONCATENATE($V13,"@",CP$7),choice!$D:$E,2,0)))</f>
        <v/>
      </c>
      <c r="CQ13" s="74" t="str">
        <f>IF($V13="","",IF(COUNTIF(choice!$D:$D,CONCATENATE($V13,"@",CQ$7))=0,"",VLOOKUP(CONCATENATE($V13,"@",CQ$7),choice!$D:$E,2,0)))</f>
        <v/>
      </c>
      <c r="CR13" s="74" t="str">
        <f>IF($V13="","",IF(COUNTIF(choice!$D:$D,CONCATENATE($V13,"@",CR$7))=0,"",VLOOKUP(CONCATENATE($V13,"@",CR$7),choice!$D:$E,2,0)))</f>
        <v/>
      </c>
      <c r="CS13" s="74" t="str">
        <f>IF($V13="","",IF(COUNTIF(choice!$D:$D,CONCATENATE($V13,"@",CS$7))=0,"",VLOOKUP(CONCATENATE($V13,"@",CS$7),choice!$D:$E,2,0)))</f>
        <v/>
      </c>
      <c r="CT13" s="74" t="str">
        <f>IF($V13="","",IF(COUNTIF(choice!$D:$D,CONCATENATE($V13,"@",CT$7))=0,"",VLOOKUP(CONCATENATE($V13,"@",CT$7),choice!$D:$E,2,0)))</f>
        <v/>
      </c>
      <c r="CU13" s="74" t="str">
        <f>IF($V13="","",IF(COUNTIF(choice!$D:$D,CONCATENATE($V13,"@",CU$7))=0,"",VLOOKUP(CONCATENATE($V13,"@",CU$7),choice!$D:$E,2,0)))</f>
        <v/>
      </c>
      <c r="CV13" s="74" t="str">
        <f>IF($V13="","",IF(COUNTIF(choice!$D:$D,CONCATENATE($V13,"@",CV$7))=0,"",VLOOKUP(CONCATENATE($V13,"@",CV$7),choice!$D:$E,2,0)))</f>
        <v/>
      </c>
      <c r="CW13" s="74" t="str">
        <f>IF($V13="","",IF(COUNTIF(choice!$D:$D,CONCATENATE($V13,"@",CW$7))=0,"",VLOOKUP(CONCATENATE($V13,"@",CW$7),choice!$D:$E,2,0)))</f>
        <v/>
      </c>
      <c r="CX13" s="74" t="str">
        <f>IF($V13="","",IF(COUNTIF(choice!$D:$D,CONCATENATE($V13,"@",CX$7))=0,"",VLOOKUP(CONCATENATE($V13,"@",CX$7),choice!$D:$E,2,0)))</f>
        <v/>
      </c>
      <c r="CY13" s="74" t="str">
        <f>IF($V13="","",IF(COUNTIF(choice!$D:$D,CONCATENATE($V13,"@",CY$7))=0,"",VLOOKUP(CONCATENATE($V13,"@",CY$7),choice!$D:$E,2,0)))</f>
        <v/>
      </c>
      <c r="CZ13" s="74" t="str">
        <f>IF($V13="","",IF(COUNTIF(choice!$D:$D,CONCATENATE($V13,"@",CZ$7))=0,"",VLOOKUP(CONCATENATE($V13,"@",CZ$7),choice!$D:$E,2,0)))</f>
        <v/>
      </c>
      <c r="DA13" s="74" t="str">
        <f>IF($V13="","",IF(COUNTIF(choice!$D:$D,CONCATENATE($V13,"@",DA$7))=0,"",VLOOKUP(CONCATENATE($V13,"@",DA$7),choice!$D:$E,2,0)))</f>
        <v/>
      </c>
      <c r="DB13" s="74" t="str">
        <f>IF($V13="","",IF(COUNTIF(choice!$D:$D,CONCATENATE($V13,"@",DB$7))=0,"",VLOOKUP(CONCATENATE($V13,"@",DB$7),choice!$D:$E,2,0)))</f>
        <v/>
      </c>
      <c r="DC13" s="74" t="str">
        <f>IF($V13="","",IF(COUNTIF(choice!$D:$D,CONCATENATE($V13,"@",DC$7))=0,"",VLOOKUP(CONCATENATE($V13,"@",DC$7),choice!$D:$E,2,0)))</f>
        <v/>
      </c>
      <c r="DD13" s="74" t="str">
        <f>IF($V13="","",IF(COUNTIF(choice!$D:$D,CONCATENATE($V13,"@",DD$7))=0,"",VLOOKUP(CONCATENATE($V13,"@",DD$7),choice!$D:$E,2,0)))</f>
        <v/>
      </c>
      <c r="DE13" s="74" t="str">
        <f>IF($V13="","",IF(COUNTIF(choice!$D:$D,CONCATENATE($V13,"@",DE$7))=0,"",VLOOKUP(CONCATENATE($V13,"@",DE$7),choice!$D:$E,2,0)))</f>
        <v/>
      </c>
      <c r="DF13" s="74" t="str">
        <f>IF($V13="","",IF(COUNTIF(choice!$D:$D,CONCATENATE($V13,"@",DF$7))=0,"",VLOOKUP(CONCATENATE($V13,"@",DF$7),choice!$D:$E,2,0)))</f>
        <v/>
      </c>
      <c r="DG13" s="74" t="str">
        <f>IF($V13="","",IF(COUNTIF(choice!$D:$D,CONCATENATE($V13,"@",DG$7))=0,"",VLOOKUP(CONCATENATE($V13,"@",DG$7),choice!$D:$E,2,0)))</f>
        <v/>
      </c>
      <c r="DH13" s="74" t="str">
        <f>IF($V13="","",IF(COUNTIF(choice!$D:$D,CONCATENATE($V13,"@",DH$7))=0,"",VLOOKUP(CONCATENATE($V13,"@",DH$7),choice!$D:$E,2,0)))</f>
        <v/>
      </c>
      <c r="DI13" s="74" t="str">
        <f>IF($V13="","",IF(COUNTIF(choice!$D:$D,CONCATENATE($V13,"@",DI$7))=0,"",VLOOKUP(CONCATENATE($V13,"@",DI$7),choice!$D:$E,2,0)))</f>
        <v/>
      </c>
      <c r="DJ13" s="74" t="str">
        <f>IF($V13="","",IF(COUNTIF(choice!$D:$D,CONCATENATE($V13,"@",DJ$7))=0,"",VLOOKUP(CONCATENATE($V13,"@",DJ$7),choice!$D:$E,2,0)))</f>
        <v/>
      </c>
      <c r="DK13" s="74" t="str">
        <f>IF($V13="","",IF(COUNTIF(choice!$D:$D,CONCATENATE($V13,"@",DK$7))=0,"",VLOOKUP(CONCATENATE($V13,"@",DK$7),choice!$D:$E,2,0)))</f>
        <v/>
      </c>
      <c r="DL13" s="74" t="str">
        <f>IF($V13="","",IF(COUNTIF(choice!$D:$D,CONCATENATE($V13,"@",DL$7))=0,"",VLOOKUP(CONCATENATE($V13,"@",DL$7),choice!$D:$E,2,0)))</f>
        <v/>
      </c>
      <c r="DM13" s="74" t="str">
        <f>IF($V13="","",IF(COUNTIF(choice!$D:$D,CONCATENATE($V13,"@",DM$7))=0,"",VLOOKUP(CONCATENATE($V13,"@",DM$7),choice!$D:$E,2,0)))</f>
        <v/>
      </c>
      <c r="DN13" s="74" t="str">
        <f>IF($V13="","",IF(COUNTIF(choice!$D:$D,CONCATENATE($V13,"@",DN$7))=0,"",VLOOKUP(CONCATENATE($V13,"@",DN$7),choice!$D:$E,2,0)))</f>
        <v/>
      </c>
      <c r="DO13" s="74" t="str">
        <f>IF($V13="","",IF(COUNTIF(choice!$D:$D,CONCATENATE($V13,"@",DO$7))=0,"",VLOOKUP(CONCATENATE($V13,"@",DO$7),choice!$D:$E,2,0)))</f>
        <v/>
      </c>
      <c r="DP13" s="74" t="str">
        <f>IF($V13="","",IF(COUNTIF(choice!$D:$D,CONCATENATE($V13,"@",DP$7))=0,"",VLOOKUP(CONCATENATE($V13,"@",DP$7),choice!$D:$E,2,0)))</f>
        <v/>
      </c>
      <c r="DQ13" s="74" t="str">
        <f>IF($V13="","",IF(COUNTIF(choice!$D:$D,CONCATENATE($V13,"@",DQ$7))=0,"",VLOOKUP(CONCATENATE($V13,"@",DQ$7),choice!$D:$E,2,0)))</f>
        <v/>
      </c>
      <c r="DR13" s="74" t="str">
        <f>IF($V13="","",IF(COUNTIF(choice!$D:$D,CONCATENATE($V13,"@",DR$7))=0,"",VLOOKUP(CONCATENATE($V13,"@",DR$7),choice!$D:$E,2,0)))</f>
        <v/>
      </c>
      <c r="DS13" s="74" t="str">
        <f>IF($V13="","",IF(COUNTIF(choice!$D:$D,CONCATENATE($V13,"@",DS$7))=0,"",VLOOKUP(CONCATENATE($V13,"@",DS$7),choice!$D:$E,2,0)))</f>
        <v/>
      </c>
      <c r="DT13" s="74" t="str">
        <f>IF($V13="","",IF(COUNTIF(choice!$D:$D,CONCATENATE($V13,"@",DT$7))=0,"",VLOOKUP(CONCATENATE($V13,"@",DT$7),choice!$D:$E,2,0)))</f>
        <v/>
      </c>
      <c r="DU13" s="74" t="str">
        <f>IF($V13="","",IF(COUNTIF(choice!$D:$D,CONCATENATE($V13,"@",DU$7))=0,"",VLOOKUP(CONCATENATE($V13,"@",DU$7),choice!$D:$E,2,0)))</f>
        <v/>
      </c>
      <c r="DV13" s="74" t="str">
        <f>IF($V13="","",IF(COUNTIF(choice!$D:$D,CONCATENATE($V13,"@",DV$7))=0,"",VLOOKUP(CONCATENATE($V13,"@",DV$7),choice!$D:$E,2,0)))</f>
        <v/>
      </c>
      <c r="DW13" s="74" t="str">
        <f>IF($V13="","",IF(COUNTIF(choice!$D:$D,CONCATENATE($V13,"@",DW$7))=0,"",VLOOKUP(CONCATENATE($V13,"@",DW$7),choice!$D:$E,2,0)))</f>
        <v/>
      </c>
      <c r="DX13" s="74" t="str">
        <f>IF($V13="","",IF(COUNTIF(choice!$D:$D,CONCATENATE($V13,"@",DX$7))=0,"",VLOOKUP(CONCATENATE($V13,"@",DX$7),choice!$D:$E,2,0)))</f>
        <v/>
      </c>
      <c r="DY13" s="74" t="str">
        <f>IF($V13="","",IF(COUNTIF(choice!$D:$D,CONCATENATE($V13,"@",DY$7))=0,"",VLOOKUP(CONCATENATE($V13,"@",DY$7),choice!$D:$E,2,0)))</f>
        <v/>
      </c>
      <c r="DZ13" s="74" t="str">
        <f>IF($V13="","",IF(COUNTIF(choice!$D:$D,CONCATENATE($V13,"@",DZ$7))=0,"",VLOOKUP(CONCATENATE($V13,"@",DZ$7),choice!$D:$E,2,0)))</f>
        <v/>
      </c>
      <c r="EA13" s="74" t="str">
        <f>IF($V13="","",IF(COUNTIF(choice!$D:$D,CONCATENATE($V13,"@",EA$7))=0,"",VLOOKUP(CONCATENATE($V13,"@",EA$7),choice!$D:$E,2,0)))</f>
        <v/>
      </c>
      <c r="EB13" s="74" t="str">
        <f>IF($V13="","",IF(COUNTIF(choice!$D:$D,CONCATENATE($V13,"@",EB$7))=0,"",VLOOKUP(CONCATENATE($V13,"@",EB$7),choice!$D:$E,2,0)))</f>
        <v/>
      </c>
      <c r="EC13" s="81" t="str">
        <f>IF($V13="","",IF(COUNTIF(choice!$D:$D,CONCATENATE($V13,"@",EC$7))=0,"",VLOOKUP(CONCATENATE($V13,"@",EC$7),choice!$D:$E,2,0)))</f>
        <v/>
      </c>
      <c r="ED13" s="80" t="str">
        <f>IF($W13="","",IF(COUNTIF(choice!$D:$D,CONCATENATE($W13,"@",ED$7))=0,"",VLOOKUP(CONCATENATE($W13,"@",ED$7),choice!$D:$E,2,0)))</f>
        <v/>
      </c>
      <c r="EE13" s="74" t="str">
        <f>IF($W13="","",IF(COUNTIF(choice!$D:$D,CONCATENATE($W13,"@",EE$7))=0,"",VLOOKUP(CONCATENATE($W13,"@",EE$7),choice!$D:$E,2,0)))</f>
        <v/>
      </c>
      <c r="EF13" s="74" t="str">
        <f>IF($W13="","",IF(COUNTIF(choice!$D:$D,CONCATENATE($W13,"@",EF$7))=0,"",VLOOKUP(CONCATENATE($W13,"@",EF$7),choice!$D:$E,2,0)))</f>
        <v/>
      </c>
      <c r="EG13" s="74" t="str">
        <f>IF($W13="","",IF(COUNTIF(choice!$D:$D,CONCATENATE($W13,"@",EG$7))=0,"",VLOOKUP(CONCATENATE($W13,"@",EG$7),choice!$D:$E,2,0)))</f>
        <v/>
      </c>
      <c r="EH13" s="74" t="str">
        <f>IF($W13="","",IF(COUNTIF(choice!$D:$D,CONCATENATE($W13,"@",EH$7))=0,"",VLOOKUP(CONCATENATE($W13,"@",EH$7),choice!$D:$E,2,0)))</f>
        <v/>
      </c>
      <c r="EI13" s="74" t="str">
        <f>IF($W13="","",IF(COUNTIF(choice!$D:$D,CONCATENATE($W13,"@",EI$7))=0,"",VLOOKUP(CONCATENATE($W13,"@",EI$7),choice!$D:$E,2,0)))</f>
        <v/>
      </c>
      <c r="EJ13" s="74" t="str">
        <f>IF($W13="","",IF(COUNTIF(choice!$D:$D,CONCATENATE($W13,"@",EJ$7))=0,"",VLOOKUP(CONCATENATE($W13,"@",EJ$7),choice!$D:$E,2,0)))</f>
        <v/>
      </c>
      <c r="EK13" s="74" t="str">
        <f>IF($W13="","",IF(COUNTIF(choice!$D:$D,CONCATENATE($W13,"@",EK$7))=0,"",VLOOKUP(CONCATENATE($W13,"@",EK$7),choice!$D:$E,2,0)))</f>
        <v/>
      </c>
      <c r="EL13" s="74" t="str">
        <f>IF($W13="","",IF(COUNTIF(choice!$D:$D,CONCATENATE($W13,"@",EL$7))=0,"",VLOOKUP(CONCATENATE($W13,"@",EL$7),choice!$D:$E,2,0)))</f>
        <v/>
      </c>
      <c r="EM13" s="74" t="str">
        <f>IF($W13="","",IF(COUNTIF(choice!$D:$D,CONCATENATE($W13,"@",EM$7))=0,"",VLOOKUP(CONCATENATE($W13,"@",EM$7),choice!$D:$E,2,0)))</f>
        <v/>
      </c>
      <c r="EN13" s="74" t="str">
        <f>IF($W13="","",IF(COUNTIF(choice!$D:$D,CONCATENATE($W13,"@",EN$7))=0,"",VLOOKUP(CONCATENATE($W13,"@",EN$7),choice!$D:$E,2,0)))</f>
        <v/>
      </c>
      <c r="EO13" s="74" t="str">
        <f>IF($W13="","",IF(COUNTIF(choice!$D:$D,CONCATENATE($W13,"@",EO$7))=0,"",VLOOKUP(CONCATENATE($W13,"@",EO$7),choice!$D:$E,2,0)))</f>
        <v/>
      </c>
      <c r="EP13" s="74" t="str">
        <f>IF($W13="","",IF(COUNTIF(choice!$D:$D,CONCATENATE($W13,"@",EP$7))=0,"",VLOOKUP(CONCATENATE($W13,"@",EP$7),choice!$D:$E,2,0)))</f>
        <v/>
      </c>
      <c r="EQ13" s="74" t="str">
        <f>IF($W13="","",IF(COUNTIF(choice!$D:$D,CONCATENATE($W13,"@",EQ$7))=0,"",VLOOKUP(CONCATENATE($W13,"@",EQ$7),choice!$D:$E,2,0)))</f>
        <v/>
      </c>
      <c r="ER13" s="74" t="str">
        <f>IF($W13="","",IF(COUNTIF(choice!$D:$D,CONCATENATE($W13,"@",ER$7))=0,"",VLOOKUP(CONCATENATE($W13,"@",ER$7),choice!$D:$E,2,0)))</f>
        <v/>
      </c>
      <c r="ES13" s="74" t="str">
        <f>IF($W13="","",IF(COUNTIF(choice!$D:$D,CONCATENATE($W13,"@",ES$7))=0,"",VLOOKUP(CONCATENATE($W13,"@",ES$7),choice!$D:$E,2,0)))</f>
        <v/>
      </c>
      <c r="ET13" s="74" t="str">
        <f>IF($W13="","",IF(COUNTIF(choice!$D:$D,CONCATENATE($W13,"@",ET$7))=0,"",VLOOKUP(CONCATENATE($W13,"@",ET$7),choice!$D:$E,2,0)))</f>
        <v/>
      </c>
      <c r="EU13" s="74" t="str">
        <f>IF($W13="","",IF(COUNTIF(choice!$D:$D,CONCATENATE($W13,"@",EU$7))=0,"",VLOOKUP(CONCATENATE($W13,"@",EU$7),choice!$D:$E,2,0)))</f>
        <v/>
      </c>
      <c r="EV13" s="74" t="str">
        <f>IF($W13="","",IF(COUNTIF(choice!$D:$D,CONCATENATE($W13,"@",EV$7))=0,"",VLOOKUP(CONCATENATE($W13,"@",EV$7),choice!$D:$E,2,0)))</f>
        <v/>
      </c>
      <c r="EW13" s="74" t="str">
        <f>IF($W13="","",IF(COUNTIF(choice!$D:$D,CONCATENATE($W13,"@",EW$7))=0,"",VLOOKUP(CONCATENATE($W13,"@",EW$7),choice!$D:$E,2,0)))</f>
        <v/>
      </c>
      <c r="EX13" s="74" t="str">
        <f>IF($W13="","",IF(COUNTIF(choice!$D:$D,CONCATENATE($W13,"@",EX$7))=0,"",VLOOKUP(CONCATENATE($W13,"@",EX$7),choice!$D:$E,2,0)))</f>
        <v/>
      </c>
      <c r="EY13" s="74" t="str">
        <f>IF($W13="","",IF(COUNTIF(choice!$D:$D,CONCATENATE($W13,"@",EY$7))=0,"",VLOOKUP(CONCATENATE($W13,"@",EY$7),choice!$D:$E,2,0)))</f>
        <v/>
      </c>
      <c r="EZ13" s="74" t="str">
        <f>IF($W13="","",IF(COUNTIF(choice!$D:$D,CONCATENATE($W13,"@",EZ$7))=0,"",VLOOKUP(CONCATENATE($W13,"@",EZ$7),choice!$D:$E,2,0)))</f>
        <v/>
      </c>
      <c r="FA13" s="74" t="str">
        <f>IF($W13="","",IF(COUNTIF(choice!$D:$D,CONCATENATE($W13,"@",FA$7))=0,"",VLOOKUP(CONCATENATE($W13,"@",FA$7),choice!$D:$E,2,0)))</f>
        <v/>
      </c>
      <c r="FB13" s="74" t="str">
        <f>IF($W13="","",IF(COUNTIF(choice!$D:$D,CONCATENATE($W13,"@",FB$7))=0,"",VLOOKUP(CONCATENATE($W13,"@",FB$7),choice!$D:$E,2,0)))</f>
        <v/>
      </c>
      <c r="FC13" s="74" t="str">
        <f>IF($W13="","",IF(COUNTIF(choice!$D:$D,CONCATENATE($W13,"@",FC$7))=0,"",VLOOKUP(CONCATENATE($W13,"@",FC$7),choice!$D:$E,2,0)))</f>
        <v/>
      </c>
      <c r="FD13" s="74" t="str">
        <f>IF($W13="","",IF(COUNTIF(choice!$D:$D,CONCATENATE($W13,"@",FD$7))=0,"",VLOOKUP(CONCATENATE($W13,"@",FD$7),choice!$D:$E,2,0)))</f>
        <v/>
      </c>
      <c r="FE13" s="74" t="str">
        <f>IF($W13="","",IF(COUNTIF(choice!$D:$D,CONCATENATE($W13,"@",FE$7))=0,"",VLOOKUP(CONCATENATE($W13,"@",FE$7),choice!$D:$E,2,0)))</f>
        <v/>
      </c>
      <c r="FF13" s="74" t="str">
        <f>IF($W13="","",IF(COUNTIF(choice!$D:$D,CONCATENATE($W13,"@",FF$7))=0,"",VLOOKUP(CONCATENATE($W13,"@",FF$7),choice!$D:$E,2,0)))</f>
        <v/>
      </c>
      <c r="FG13" s="74" t="str">
        <f>IF($W13="","",IF(COUNTIF(choice!$D:$D,CONCATENATE($W13,"@",FG$7))=0,"",VLOOKUP(CONCATENATE($W13,"@",FG$7),choice!$D:$E,2,0)))</f>
        <v/>
      </c>
      <c r="FH13" s="74" t="str">
        <f>IF($W13="","",IF(COUNTIF(choice!$D:$D,CONCATENATE($W13,"@",FH$7))=0,"",VLOOKUP(CONCATENATE($W13,"@",FH$7),choice!$D:$E,2,0)))</f>
        <v/>
      </c>
      <c r="FI13" s="74" t="str">
        <f>IF($W13="","",IF(COUNTIF(choice!$D:$D,CONCATENATE($W13,"@",FI$7))=0,"",VLOOKUP(CONCATENATE($W13,"@",FI$7),choice!$D:$E,2,0)))</f>
        <v/>
      </c>
      <c r="FJ13" s="74" t="str">
        <f>IF($W13="","",IF(COUNTIF(choice!$D:$D,CONCATENATE($W13,"@",FJ$7))=0,"",VLOOKUP(CONCATENATE($W13,"@",FJ$7),choice!$D:$E,2,0)))</f>
        <v/>
      </c>
      <c r="FK13" s="74" t="str">
        <f>IF($W13="","",IF(COUNTIF(choice!$D:$D,CONCATENATE($W13,"@",FK$7))=0,"",VLOOKUP(CONCATENATE($W13,"@",FK$7),choice!$D:$E,2,0)))</f>
        <v/>
      </c>
      <c r="FL13" s="74" t="str">
        <f>IF($W13="","",IF(COUNTIF(choice!$D:$D,CONCATENATE($W13,"@",FL$7))=0,"",VLOOKUP(CONCATENATE($W13,"@",FL$7),choice!$D:$E,2,0)))</f>
        <v/>
      </c>
      <c r="FM13" s="74" t="str">
        <f>IF($W13="","",IF(COUNTIF(choice!$D:$D,CONCATENATE($W13,"@",FM$7))=0,"",VLOOKUP(CONCATENATE($W13,"@",FM$7),choice!$D:$E,2,0)))</f>
        <v/>
      </c>
      <c r="FN13" s="74" t="str">
        <f>IF($W13="","",IF(COUNTIF(choice!$D:$D,CONCATENATE($W13,"@",FN$7))=0,"",VLOOKUP(CONCATENATE($W13,"@",FN$7),choice!$D:$E,2,0)))</f>
        <v/>
      </c>
      <c r="FO13" s="74" t="str">
        <f>IF($W13="","",IF(COUNTIF(choice!$D:$D,CONCATENATE($W13,"@",FO$7))=0,"",VLOOKUP(CONCATENATE($W13,"@",FO$7),choice!$D:$E,2,0)))</f>
        <v/>
      </c>
      <c r="FP13" s="74" t="str">
        <f>IF($W13="","",IF(COUNTIF(choice!$D:$D,CONCATENATE($W13,"@",FP$7))=0,"",VLOOKUP(CONCATENATE($W13,"@",FP$7),choice!$D:$E,2,0)))</f>
        <v/>
      </c>
      <c r="FQ13" s="74" t="str">
        <f>IF($W13="","",IF(COUNTIF(choice!$D:$D,CONCATENATE($W13,"@",FQ$7))=0,"",VLOOKUP(CONCATENATE($W13,"@",FQ$7),choice!$D:$E,2,0)))</f>
        <v/>
      </c>
      <c r="FR13" s="74" t="str">
        <f>IF($W13="","",IF(COUNTIF(choice!$D:$D,CONCATENATE($W13,"@",FR$7))=0,"",VLOOKUP(CONCATENATE($W13,"@",FR$7),choice!$D:$E,2,0)))</f>
        <v/>
      </c>
      <c r="FS13" s="74" t="str">
        <f>IF($W13="","",IF(COUNTIF(choice!$D:$D,CONCATENATE($W13,"@",FS$7))=0,"",VLOOKUP(CONCATENATE($W13,"@",FS$7),choice!$D:$E,2,0)))</f>
        <v/>
      </c>
      <c r="FT13" s="74" t="str">
        <f>IF($W13="","",IF(COUNTIF(choice!$D:$D,CONCATENATE($W13,"@",FT$7))=0,"",VLOOKUP(CONCATENATE($W13,"@",FT$7),choice!$D:$E,2,0)))</f>
        <v/>
      </c>
      <c r="FU13" s="74" t="str">
        <f>IF($W13="","",IF(COUNTIF(choice!$D:$D,CONCATENATE($W13,"@",FU$7))=0,"",VLOOKUP(CONCATENATE($W13,"@",FU$7),choice!$D:$E,2,0)))</f>
        <v/>
      </c>
      <c r="FV13" s="81" t="str">
        <f>IF($W13="","",IF(COUNTIF(choice!$D:$D,CONCATENATE($W13,"@",FV$7))=0,"",VLOOKUP(CONCATENATE($W13,"@",FV$7),choice!$D:$E,2,0)))</f>
        <v/>
      </c>
      <c r="FW13" s="80" t="str">
        <f>IF($X13="","",IF(COUNTIF(choice!$D:$D,CONCATENATE($X13,"@",FW$7))=0,"",VLOOKUP(CONCATENATE($X13,"@",FW$7),choice!$D:$E,2,0)))</f>
        <v/>
      </c>
      <c r="FX13" s="74" t="str">
        <f>IF($X13="","",IF(COUNTIF(choice!$D:$D,CONCATENATE($X13,"@",FX$7))=0,"",VLOOKUP(CONCATENATE($X13,"@",FX$7),choice!$D:$E,2,0)))</f>
        <v/>
      </c>
      <c r="FY13" s="74" t="str">
        <f>IF($X13="","",IF(COUNTIF(choice!$D:$D,CONCATENATE($X13,"@",FY$7))=0,"",VLOOKUP(CONCATENATE($X13,"@",FY$7),choice!$D:$E,2,0)))</f>
        <v/>
      </c>
      <c r="FZ13" s="74" t="str">
        <f>IF($X13="","",IF(COUNTIF(choice!$D:$D,CONCATENATE($X13,"@",FZ$7))=0,"",VLOOKUP(CONCATENATE($X13,"@",FZ$7),choice!$D:$E,2,0)))</f>
        <v/>
      </c>
      <c r="GA13" s="74" t="str">
        <f>IF($X13="","",IF(COUNTIF(choice!$D:$D,CONCATENATE($X13,"@",GA$7))=0,"",VLOOKUP(CONCATENATE($X13,"@",GA$7),choice!$D:$E,2,0)))</f>
        <v/>
      </c>
      <c r="GB13" s="74" t="str">
        <f>IF($X13="","",IF(COUNTIF(choice!$D:$D,CONCATENATE($X13,"@",GB$7))=0,"",VLOOKUP(CONCATENATE($X13,"@",GB$7),choice!$D:$E,2,0)))</f>
        <v/>
      </c>
      <c r="GC13" s="74" t="str">
        <f>IF($X13="","",IF(COUNTIF(choice!$D:$D,CONCATENATE($X13,"@",GC$7))=0,"",VLOOKUP(CONCATENATE($X13,"@",GC$7),choice!$D:$E,2,0)))</f>
        <v/>
      </c>
      <c r="GD13" s="74" t="str">
        <f>IF($X13="","",IF(COUNTIF(choice!$D:$D,CONCATENATE($X13,"@",GD$7))=0,"",VLOOKUP(CONCATENATE($X13,"@",GD$7),choice!$D:$E,2,0)))</f>
        <v/>
      </c>
      <c r="GE13" s="74" t="str">
        <f>IF($X13="","",IF(COUNTIF(choice!$D:$D,CONCATENATE($X13,"@",GE$7))=0,"",VLOOKUP(CONCATENATE($X13,"@",GE$7),choice!$D:$E,2,0)))</f>
        <v/>
      </c>
      <c r="GF13" s="74" t="str">
        <f>IF($X13="","",IF(COUNTIF(choice!$D:$D,CONCATENATE($X13,"@",GF$7))=0,"",VLOOKUP(CONCATENATE($X13,"@",GF$7),choice!$D:$E,2,0)))</f>
        <v/>
      </c>
      <c r="GG13" s="74" t="str">
        <f>IF($X13="","",IF(COUNTIF(choice!$D:$D,CONCATENATE($X13,"@",GG$7))=0,"",VLOOKUP(CONCATENATE($X13,"@",GG$7),choice!$D:$E,2,0)))</f>
        <v/>
      </c>
      <c r="GH13" s="74" t="str">
        <f>IF($X13="","",IF(COUNTIF(choice!$D:$D,CONCATENATE($X13,"@",GH$7))=0,"",VLOOKUP(CONCATENATE($X13,"@",GH$7),choice!$D:$E,2,0)))</f>
        <v/>
      </c>
      <c r="GI13" s="74" t="str">
        <f>IF($X13="","",IF(COUNTIF(choice!$D:$D,CONCATENATE($X13,"@",GI$7))=0,"",VLOOKUP(CONCATENATE($X13,"@",GI$7),choice!$D:$E,2,0)))</f>
        <v/>
      </c>
      <c r="GJ13" s="74" t="str">
        <f>IF($X13="","",IF(COUNTIF(choice!$D:$D,CONCATENATE($X13,"@",GJ$7))=0,"",VLOOKUP(CONCATENATE($X13,"@",GJ$7),choice!$D:$E,2,0)))</f>
        <v/>
      </c>
      <c r="GK13" s="74" t="str">
        <f>IF($X13="","",IF(COUNTIF(choice!$D:$D,CONCATENATE($X13,"@",GK$7))=0,"",VLOOKUP(CONCATENATE($X13,"@",GK$7),choice!$D:$E,2,0)))</f>
        <v/>
      </c>
      <c r="GL13" s="74" t="str">
        <f>IF($X13="","",IF(COUNTIF(choice!$D:$D,CONCATENATE($X13,"@",GL$7))=0,"",VLOOKUP(CONCATENATE($X13,"@",GL$7),choice!$D:$E,2,0)))</f>
        <v/>
      </c>
      <c r="GM13" s="74" t="str">
        <f>IF($X13="","",IF(COUNTIF(choice!$D:$D,CONCATENATE($X13,"@",GM$7))=0,"",VLOOKUP(CONCATENATE($X13,"@",GM$7),choice!$D:$E,2,0)))</f>
        <v/>
      </c>
      <c r="GN13" s="74" t="str">
        <f>IF($X13="","",IF(COUNTIF(choice!$D:$D,CONCATENATE($X13,"@",GN$7))=0,"",VLOOKUP(CONCATENATE($X13,"@",GN$7),choice!$D:$E,2,0)))</f>
        <v/>
      </c>
      <c r="GO13" s="74" t="str">
        <f>IF($X13="","",IF(COUNTIF(choice!$D:$D,CONCATENATE($X13,"@",GO$7))=0,"",VLOOKUP(CONCATENATE($X13,"@",GO$7),choice!$D:$E,2,0)))</f>
        <v/>
      </c>
      <c r="GP13" s="74" t="str">
        <f>IF($X13="","",IF(COUNTIF(choice!$D:$D,CONCATENATE($X13,"@",GP$7))=0,"",VLOOKUP(CONCATENATE($X13,"@",GP$7),choice!$D:$E,2,0)))</f>
        <v/>
      </c>
      <c r="GQ13" s="74" t="str">
        <f>IF($X13="","",IF(COUNTIF(choice!$D:$D,CONCATENATE($X13,"@",GQ$7))=0,"",VLOOKUP(CONCATENATE($X13,"@",GQ$7),choice!$D:$E,2,0)))</f>
        <v/>
      </c>
      <c r="GR13" s="74" t="str">
        <f>IF($X13="","",IF(COUNTIF(choice!$D:$D,CONCATENATE($X13,"@",GR$7))=0,"",VLOOKUP(CONCATENATE($X13,"@",GR$7),choice!$D:$E,2,0)))</f>
        <v/>
      </c>
      <c r="GS13" s="74" t="str">
        <f>IF($X13="","",IF(COUNTIF(choice!$D:$D,CONCATENATE($X13,"@",GS$7))=0,"",VLOOKUP(CONCATENATE($X13,"@",GS$7),choice!$D:$E,2,0)))</f>
        <v/>
      </c>
      <c r="GT13" s="74" t="str">
        <f>IF($X13="","",IF(COUNTIF(choice!$D:$D,CONCATENATE($X13,"@",GT$7))=0,"",VLOOKUP(CONCATENATE($X13,"@",GT$7),choice!$D:$E,2,0)))</f>
        <v/>
      </c>
      <c r="GU13" s="74" t="str">
        <f>IF($X13="","",IF(COUNTIF(choice!$D:$D,CONCATENATE($X13,"@",GU$7))=0,"",VLOOKUP(CONCATENATE($X13,"@",GU$7),choice!$D:$E,2,0)))</f>
        <v/>
      </c>
      <c r="GV13" s="74" t="str">
        <f>IF($X13="","",IF(COUNTIF(choice!$D:$D,CONCATENATE($X13,"@",GV$7))=0,"",VLOOKUP(CONCATENATE($X13,"@",GV$7),choice!$D:$E,2,0)))</f>
        <v/>
      </c>
      <c r="GW13" s="74" t="str">
        <f>IF($X13="","",IF(COUNTIF(choice!$D:$D,CONCATENATE($X13,"@",GW$7))=0,"",VLOOKUP(CONCATENATE($X13,"@",GW$7),choice!$D:$E,2,0)))</f>
        <v/>
      </c>
      <c r="GX13" s="74" t="str">
        <f>IF($X13="","",IF(COUNTIF(choice!$D:$D,CONCATENATE($X13,"@",GX$7))=0,"",VLOOKUP(CONCATENATE($X13,"@",GX$7),choice!$D:$E,2,0)))</f>
        <v/>
      </c>
      <c r="GY13" s="74" t="str">
        <f>IF($X13="","",IF(COUNTIF(choice!$D:$D,CONCATENATE($X13,"@",GY$7))=0,"",VLOOKUP(CONCATENATE($X13,"@",GY$7),choice!$D:$E,2,0)))</f>
        <v/>
      </c>
      <c r="GZ13" s="74" t="str">
        <f>IF($X13="","",IF(COUNTIF(choice!$D:$D,CONCATENATE($X13,"@",GZ$7))=0,"",VLOOKUP(CONCATENATE($X13,"@",GZ$7),choice!$D:$E,2,0)))</f>
        <v/>
      </c>
      <c r="HA13" s="74" t="str">
        <f>IF($X13="","",IF(COUNTIF(choice!$D:$D,CONCATENATE($X13,"@",HA$7))=0,"",VLOOKUP(CONCATENATE($X13,"@",HA$7),choice!$D:$E,2,0)))</f>
        <v/>
      </c>
      <c r="HB13" s="74" t="str">
        <f>IF($X13="","",IF(COUNTIF(choice!$D:$D,CONCATENATE($X13,"@",HB$7))=0,"",VLOOKUP(CONCATENATE($X13,"@",HB$7),choice!$D:$E,2,0)))</f>
        <v/>
      </c>
      <c r="HC13" s="74" t="str">
        <f>IF($X13="","",IF(COUNTIF(choice!$D:$D,CONCATENATE($X13,"@",HC$7))=0,"",VLOOKUP(CONCATENATE($X13,"@",HC$7),choice!$D:$E,2,0)))</f>
        <v/>
      </c>
      <c r="HD13" s="74" t="str">
        <f>IF($X13="","",IF(COUNTIF(choice!$D:$D,CONCATENATE($X13,"@",HD$7))=0,"",VLOOKUP(CONCATENATE($X13,"@",HD$7),choice!$D:$E,2,0)))</f>
        <v/>
      </c>
      <c r="HE13" s="74" t="str">
        <f>IF($X13="","",IF(COUNTIF(choice!$D:$D,CONCATENATE($X13,"@",HE$7))=0,"",VLOOKUP(CONCATENATE($X13,"@",HE$7),choice!$D:$E,2,0)))</f>
        <v/>
      </c>
      <c r="HF13" s="74" t="str">
        <f>IF($X13="","",IF(COUNTIF(choice!$D:$D,CONCATENATE($X13,"@",HF$7))=0,"",VLOOKUP(CONCATENATE($X13,"@",HF$7),choice!$D:$E,2,0)))</f>
        <v/>
      </c>
      <c r="HG13" s="74" t="str">
        <f>IF($X13="","",IF(COUNTIF(choice!$D:$D,CONCATENATE($X13,"@",HG$7))=0,"",VLOOKUP(CONCATENATE($X13,"@",HG$7),choice!$D:$E,2,0)))</f>
        <v/>
      </c>
      <c r="HH13" s="74" t="str">
        <f>IF($X13="","",IF(COUNTIF(choice!$D:$D,CONCATENATE($X13,"@",HH$7))=0,"",VLOOKUP(CONCATENATE($X13,"@",HH$7),choice!$D:$E,2,0)))</f>
        <v/>
      </c>
      <c r="HI13" s="74" t="str">
        <f>IF($X13="","",IF(COUNTIF(choice!$D:$D,CONCATENATE($X13,"@",HI$7))=0,"",VLOOKUP(CONCATENATE($X13,"@",HI$7),choice!$D:$E,2,0)))</f>
        <v/>
      </c>
      <c r="HJ13" s="74" t="str">
        <f>IF($X13="","",IF(COUNTIF(choice!$D:$D,CONCATENATE($X13,"@",HJ$7))=0,"",VLOOKUP(CONCATENATE($X13,"@",HJ$7),choice!$D:$E,2,0)))</f>
        <v/>
      </c>
      <c r="HK13" s="74" t="str">
        <f>IF($X13="","",IF(COUNTIF(choice!$D:$D,CONCATENATE($X13,"@",HK$7))=0,"",VLOOKUP(CONCATENATE($X13,"@",HK$7),choice!$D:$E,2,0)))</f>
        <v/>
      </c>
      <c r="HL13" s="74" t="str">
        <f>IF($X13="","",IF(COUNTIF(choice!$D:$D,CONCATENATE($X13,"@",HL$7))=0,"",VLOOKUP(CONCATENATE($X13,"@",HL$7),choice!$D:$E,2,0)))</f>
        <v/>
      </c>
      <c r="HM13" s="74" t="str">
        <f>IF($X13="","",IF(COUNTIF(choice!$D:$D,CONCATENATE($X13,"@",HM$7))=0,"",VLOOKUP(CONCATENATE($X13,"@",HM$7),choice!$D:$E,2,0)))</f>
        <v/>
      </c>
      <c r="HN13" s="74" t="str">
        <f>IF($X13="","",IF(COUNTIF(choice!$D:$D,CONCATENATE($X13,"@",HN$7))=0,"",VLOOKUP(CONCATENATE($X13,"@",HN$7),choice!$D:$E,2,0)))</f>
        <v/>
      </c>
      <c r="HO13" s="81" t="str">
        <f>IF($X13="","",IF(COUNTIF(choice!$D:$D,CONCATENATE($X13,"@",HO$7))=0,"",VLOOKUP(CONCATENATE($X13,"@",HO$7),choice!$D:$E,2,0)))</f>
        <v/>
      </c>
      <c r="HP13" s="20" t="s">
        <v>62</v>
      </c>
      <c r="HQ13" s="20" t="s">
        <v>63</v>
      </c>
      <c r="HV13" s="74">
        <f t="shared" si="20"/>
        <v>0</v>
      </c>
      <c r="HW13" s="74">
        <f t="shared" si="21"/>
        <v>0</v>
      </c>
      <c r="HX13" s="74">
        <f t="shared" si="22"/>
        <v>0</v>
      </c>
      <c r="HY13" s="74">
        <f t="shared" si="23"/>
        <v>0</v>
      </c>
      <c r="HZ13" s="74">
        <f t="shared" si="30"/>
        <v>0</v>
      </c>
      <c r="IA13" s="74">
        <f t="shared" si="30"/>
        <v>0</v>
      </c>
      <c r="IB13" s="74" t="str">
        <f t="shared" si="31"/>
        <v/>
      </c>
      <c r="IC13" s="74" t="str">
        <f t="shared" si="32"/>
        <v/>
      </c>
      <c r="ID13" s="74" t="str">
        <f t="shared" si="24"/>
        <v/>
      </c>
      <c r="IE13" s="74">
        <f t="shared" si="25"/>
        <v>19</v>
      </c>
      <c r="IF13" s="74">
        <f>COUNTIFS(ID$8:ID13,"BLUE")</f>
        <v>0</v>
      </c>
      <c r="IG13" s="74" t="str">
        <f t="shared" si="26"/>
        <v/>
      </c>
      <c r="IH13" s="74" t="str">
        <f>IF(COUNTIFS($AQ13,"*02*")=0,"",COUNTIFS(IJ$8:IJ13,"BLUE"))</f>
        <v/>
      </c>
      <c r="II13" s="74" t="str">
        <f>IF(COUNTIFS($AQ13,"*04*")=0,"",COUNTIFS(IK$8:IK13,"BLUE"))</f>
        <v/>
      </c>
      <c r="IJ13" s="74" t="str">
        <f t="shared" si="33"/>
        <v/>
      </c>
      <c r="IK13" s="74" t="str">
        <f t="shared" si="34"/>
        <v/>
      </c>
      <c r="IL13" s="74" t="str">
        <f t="shared" si="27"/>
        <v/>
      </c>
      <c r="IM13" s="74" t="str">
        <f t="shared" si="28"/>
        <v/>
      </c>
      <c r="IN13" s="74">
        <f>COUNTIFS(IJ$8:IJ13,"BLUE")</f>
        <v>0</v>
      </c>
      <c r="IO13" s="74">
        <f>COUNTIFS(IK$8:IK13,"BLUE")</f>
        <v>0</v>
      </c>
    </row>
    <row r="14" spans="1:249" s="20" customFormat="1" ht="24.9" customHeight="1">
      <c r="A14" s="33"/>
      <c r="B14" s="39">
        <v>20</v>
      </c>
      <c r="C14" s="158"/>
      <c r="D14" s="174"/>
      <c r="E14" s="88" t="e">
        <f>VLOOKUP(F14,'Radio Call Sign'!A:B,2)</f>
        <v>#N/A</v>
      </c>
      <c r="F14" s="88"/>
      <c r="G14" s="88" t="e">
        <f>VLOOKUP(H14,'Radio Call Sign'!A:B,2)</f>
        <v>#N/A</v>
      </c>
      <c r="H14" s="89"/>
      <c r="I14" s="89" t="str">
        <f t="shared" si="12"/>
        <v/>
      </c>
      <c r="J14" s="90" t="str">
        <f t="shared" si="17"/>
        <v/>
      </c>
      <c r="K14" s="86" t="str">
        <f t="shared" si="18"/>
        <v/>
      </c>
      <c r="L14" s="158"/>
      <c r="M14" s="190" t="str">
        <f t="shared" si="19"/>
        <v/>
      </c>
      <c r="N14" s="21"/>
      <c r="O14" s="21"/>
      <c r="P14" s="53"/>
      <c r="Q14" s="163" t="str">
        <f>IF(AA14="","",IF(COUNTIFS('overhead line area'!$D$3:$D$100,AA14)+COUNTIFS('overhead line area'!$D$3:$D$100,AB14)+COUNTIFS('overhead line area'!$D$3:$D$100,AC14)+COUNTIFS('overhead line area'!$D$3:$D$100,AD14)=0,"","*               "))</f>
        <v/>
      </c>
      <c r="R14" s="53"/>
      <c r="S14" s="24"/>
      <c r="U14" s="74"/>
      <c r="V14" s="74"/>
      <c r="W14" s="74"/>
      <c r="X14" s="74"/>
      <c r="Y14" s="74"/>
      <c r="AA14" s="74" t="str">
        <f t="shared" si="13"/>
        <v/>
      </c>
      <c r="AB14" s="74" t="str">
        <f t="shared" si="29"/>
        <v/>
      </c>
      <c r="AC14" s="74" t="str">
        <f t="shared" si="35"/>
        <v/>
      </c>
      <c r="AD14" s="74" t="str">
        <f t="shared" si="36"/>
        <v/>
      </c>
      <c r="AF14" s="74" t="str">
        <f>IF(AA14="","",IF(COUNTIF(Route!$AM:$AM,'Train Movement Log (page.2)'!AA14)=0,"未有資料",VLOOKUP('Train Movement Log (page.2)'!AA14,Route!$AM:$AP,3,0)))</f>
        <v/>
      </c>
      <c r="AG14" s="74" t="str">
        <f>IF(AB14="","",IF(COUNTIF(Route!$AM:$AM,'Train Movement Log (page.2)'!AB14)=0,"未有資料",VLOOKUP('Train Movement Log (page.2)'!AB14,Route!$AM:$AP,3,0)))</f>
        <v/>
      </c>
      <c r="AH14" s="74" t="str">
        <f>IF(AC14="","",IF(COUNTIF(Route!$AM:$AM,'Train Movement Log (page.2)'!AC14)=0,"未有資料",VLOOKUP('Train Movement Log (page.2)'!AC14,Route!$AM:$AP,3,0)))</f>
        <v/>
      </c>
      <c r="AI14" s="74" t="str">
        <f>IF(AD14="","",IF(COUNTIF(Route!$AM:$AM,'Train Movement Log (page.2)'!AD14)=0,"未有資料",VLOOKUP('Train Movement Log (page.2)'!AD14,Route!$AM:$AP,3,0)))</f>
        <v/>
      </c>
      <c r="AK14" s="74" t="str">
        <f>IF(AA14="","",IF(COUNTIF(Route!$AM:$AM,'Train Movement Log (page.2)'!AA14)=0,"未有資料",VLOOKUP('Train Movement Log (page.2)'!AA14,Route!$AM:$AP,4,0)))</f>
        <v/>
      </c>
      <c r="AL14" s="74" t="str">
        <f>IF(AB14="","",IF(COUNTIF(Route!$AM:$AM,'Train Movement Log (page.2)'!AB14)=0,"未有資料",VLOOKUP('Train Movement Log (page.2)'!AB14,Route!$AM:$AP,4,0)))</f>
        <v/>
      </c>
      <c r="AM14" s="74" t="str">
        <f>IF(AC14="","",IF(COUNTIF(Route!$AM:$AM,'Train Movement Log (page.2)'!AC14)=0,"未有資料",VLOOKUP('Train Movement Log (page.2)'!AC14,Route!$AM:$AP,4,0)))</f>
        <v/>
      </c>
      <c r="AN14" s="74" t="str">
        <f>IF(AD14="","",IF(COUNTIF(Route!$AM:$AM,'Train Movement Log (page.2)'!AD14)=0,"未有資料",VLOOKUP('Train Movement Log (page.2)'!AD14,Route!$AM:$AP,4,0)))</f>
        <v/>
      </c>
      <c r="AP14" s="74" t="str">
        <f t="shared" si="15"/>
        <v/>
      </c>
      <c r="AQ14" s="76" t="str">
        <f t="shared" si="16"/>
        <v/>
      </c>
      <c r="AR14" s="80" t="str">
        <f>IF($U14="","",IF(COUNTIF(choice!$D:$D,CONCATENATE($U14,"@",AR$7))=0,"",VLOOKUP(CONCATENATE($U14,"@",AR$7),choice!$D:$E,2,0)))</f>
        <v/>
      </c>
      <c r="AS14" s="74" t="str">
        <f>IF($U14="","",IF(COUNTIF(choice!$D:$D,CONCATENATE($U14,"@",AS$7))=0,"",VLOOKUP(CONCATENATE($U14,"@",AS$7),choice!$D:$E,2,0)))</f>
        <v/>
      </c>
      <c r="AT14" s="74" t="str">
        <f>IF($U14="","",IF(COUNTIF(choice!$D:$D,CONCATENATE($U14,"@",AT$7))=0,"",VLOOKUP(CONCATENATE($U14,"@",AT$7),choice!$D:$E,2,0)))</f>
        <v/>
      </c>
      <c r="AU14" s="74" t="str">
        <f>IF($U14="","",IF(COUNTIF(choice!$D:$D,CONCATENATE($U14,"@",AU$7))=0,"",VLOOKUP(CONCATENATE($U14,"@",AU$7),choice!$D:$E,2,0)))</f>
        <v/>
      </c>
      <c r="AV14" s="74" t="str">
        <f>IF($U14="","",IF(COUNTIF(choice!$D:$D,CONCATENATE($U14,"@",AV$7))=0,"",VLOOKUP(CONCATENATE($U14,"@",AV$7),choice!$D:$E,2,0)))</f>
        <v/>
      </c>
      <c r="AW14" s="74" t="str">
        <f>IF($U14="","",IF(COUNTIF(choice!$D:$D,CONCATENATE($U14,"@",AW$7))=0,"",VLOOKUP(CONCATENATE($U14,"@",AW$7),choice!$D:$E,2,0)))</f>
        <v/>
      </c>
      <c r="AX14" s="74" t="str">
        <f>IF($U14="","",IF(COUNTIF(choice!$D:$D,CONCATENATE($U14,"@",AX$7))=0,"",VLOOKUP(CONCATENATE($U14,"@",AX$7),choice!$D:$E,2,0)))</f>
        <v/>
      </c>
      <c r="AY14" s="74" t="str">
        <f>IF($U14="","",IF(COUNTIF(choice!$D:$D,CONCATENATE($U14,"@",AY$7))=0,"",VLOOKUP(CONCATENATE($U14,"@",AY$7),choice!$D:$E,2,0)))</f>
        <v/>
      </c>
      <c r="AZ14" s="74" t="str">
        <f>IF($U14="","",IF(COUNTIF(choice!$D:$D,CONCATENATE($U14,"@",AZ$7))=0,"",VLOOKUP(CONCATENATE($U14,"@",AZ$7),choice!$D:$E,2,0)))</f>
        <v/>
      </c>
      <c r="BA14" s="74" t="str">
        <f>IF($U14="","",IF(COUNTIF(choice!$D:$D,CONCATENATE($U14,"@",BA$7))=0,"",VLOOKUP(CONCATENATE($U14,"@",BA$7),choice!$D:$E,2,0)))</f>
        <v/>
      </c>
      <c r="BB14" s="74" t="str">
        <f>IF($U14="","",IF(COUNTIF(choice!$D:$D,CONCATENATE($U14,"@",BB$7))=0,"",VLOOKUP(CONCATENATE($U14,"@",BB$7),choice!$D:$E,2,0)))</f>
        <v/>
      </c>
      <c r="BC14" s="74" t="str">
        <f>IF($U14="","",IF(COUNTIF(choice!$D:$D,CONCATENATE($U14,"@",BC$7))=0,"",VLOOKUP(CONCATENATE($U14,"@",BC$7),choice!$D:$E,2,0)))</f>
        <v/>
      </c>
      <c r="BD14" s="74" t="str">
        <f>IF($U14="","",IF(COUNTIF(choice!$D:$D,CONCATENATE($U14,"@",BD$7))=0,"",VLOOKUP(CONCATENATE($U14,"@",BD$7),choice!$D:$E,2,0)))</f>
        <v/>
      </c>
      <c r="BE14" s="74" t="str">
        <f>IF($U14="","",IF(COUNTIF(choice!$D:$D,CONCATENATE($U14,"@",BE$7))=0,"",VLOOKUP(CONCATENATE($U14,"@",BE$7),choice!$D:$E,2,0)))</f>
        <v/>
      </c>
      <c r="BF14" s="74" t="str">
        <f>IF($U14="","",IF(COUNTIF(choice!$D:$D,CONCATENATE($U14,"@",BF$7))=0,"",VLOOKUP(CONCATENATE($U14,"@",BF$7),choice!$D:$E,2,0)))</f>
        <v/>
      </c>
      <c r="BG14" s="74" t="str">
        <f>IF($U14="","",IF(COUNTIF(choice!$D:$D,CONCATENATE($U14,"@",BG$7))=0,"",VLOOKUP(CONCATENATE($U14,"@",BG$7),choice!$D:$E,2,0)))</f>
        <v/>
      </c>
      <c r="BH14" s="74" t="str">
        <f>IF($U14="","",IF(COUNTIF(choice!$D:$D,CONCATENATE($U14,"@",BH$7))=0,"",VLOOKUP(CONCATENATE($U14,"@",BH$7),choice!$D:$E,2,0)))</f>
        <v/>
      </c>
      <c r="BI14" s="74" t="str">
        <f>IF($U14="","",IF(COUNTIF(choice!$D:$D,CONCATENATE($U14,"@",BI$7))=0,"",VLOOKUP(CONCATENATE($U14,"@",BI$7),choice!$D:$E,2,0)))</f>
        <v/>
      </c>
      <c r="BJ14" s="74" t="str">
        <f>IF($U14="","",IF(COUNTIF(choice!$D:$D,CONCATENATE($U14,"@",BJ$7))=0,"",VLOOKUP(CONCATENATE($U14,"@",BJ$7),choice!$D:$E,2,0)))</f>
        <v/>
      </c>
      <c r="BK14" s="74" t="str">
        <f>IF($U14="","",IF(COUNTIF(choice!$D:$D,CONCATENATE($U14,"@",BK$7))=0,"",VLOOKUP(CONCATENATE($U14,"@",BK$7),choice!$D:$E,2,0)))</f>
        <v/>
      </c>
      <c r="BL14" s="74" t="str">
        <f>IF($U14="","",IF(COUNTIF(choice!$D:$D,CONCATENATE($U14,"@",BL$7))=0,"",VLOOKUP(CONCATENATE($U14,"@",BL$7),choice!$D:$E,2,0)))</f>
        <v/>
      </c>
      <c r="BM14" s="74" t="str">
        <f>IF($U14="","",IF(COUNTIF(choice!$D:$D,CONCATENATE($U14,"@",BM$7))=0,"",VLOOKUP(CONCATENATE($U14,"@",BM$7),choice!$D:$E,2,0)))</f>
        <v/>
      </c>
      <c r="BN14" s="74" t="str">
        <f>IF($U14="","",IF(COUNTIF(choice!$D:$D,CONCATENATE($U14,"@",BN$7))=0,"",VLOOKUP(CONCATENATE($U14,"@",BN$7),choice!$D:$E,2,0)))</f>
        <v/>
      </c>
      <c r="BO14" s="74" t="str">
        <f>IF($U14="","",IF(COUNTIF(choice!$D:$D,CONCATENATE($U14,"@",BO$7))=0,"",VLOOKUP(CONCATENATE($U14,"@",BO$7),choice!$D:$E,2,0)))</f>
        <v/>
      </c>
      <c r="BP14" s="74" t="str">
        <f>IF($U14="","",IF(COUNTIF(choice!$D:$D,CONCATENATE($U14,"@",BP$7))=0,"",VLOOKUP(CONCATENATE($U14,"@",BP$7),choice!$D:$E,2,0)))</f>
        <v/>
      </c>
      <c r="BQ14" s="74" t="str">
        <f>IF($U14="","",IF(COUNTIF(choice!$D:$D,CONCATENATE($U14,"@",BQ$7))=0,"",VLOOKUP(CONCATENATE($U14,"@",BQ$7),choice!$D:$E,2,0)))</f>
        <v/>
      </c>
      <c r="BR14" s="74" t="str">
        <f>IF($U14="","",IF(COUNTIF(choice!$D:$D,CONCATENATE($U14,"@",BR$7))=0,"",VLOOKUP(CONCATENATE($U14,"@",BR$7),choice!$D:$E,2,0)))</f>
        <v/>
      </c>
      <c r="BS14" s="74" t="str">
        <f>IF($U14="","",IF(COUNTIF(choice!$D:$D,CONCATENATE($U14,"@",BS$7))=0,"",VLOOKUP(CONCATENATE($U14,"@",BS$7),choice!$D:$E,2,0)))</f>
        <v/>
      </c>
      <c r="BT14" s="74" t="str">
        <f>IF($U14="","",IF(COUNTIF(choice!$D:$D,CONCATENATE($U14,"@",BT$7))=0,"",VLOOKUP(CONCATENATE($U14,"@",BT$7),choice!$D:$E,2,0)))</f>
        <v/>
      </c>
      <c r="BU14" s="74" t="str">
        <f>IF($U14="","",IF(COUNTIF(choice!$D:$D,CONCATENATE($U14,"@",BU$7))=0,"",VLOOKUP(CONCATENATE($U14,"@",BU$7),choice!$D:$E,2,0)))</f>
        <v/>
      </c>
      <c r="BV14" s="74" t="str">
        <f>IF($U14="","",IF(COUNTIF(choice!$D:$D,CONCATENATE($U14,"@",BV$7))=0,"",VLOOKUP(CONCATENATE($U14,"@",BV$7),choice!$D:$E,2,0)))</f>
        <v/>
      </c>
      <c r="BW14" s="74" t="str">
        <f>IF($U14="","",IF(COUNTIF(choice!$D:$D,CONCATENATE($U14,"@",BW$7))=0,"",VLOOKUP(CONCATENATE($U14,"@",BW$7),choice!$D:$E,2,0)))</f>
        <v/>
      </c>
      <c r="BX14" s="74" t="str">
        <f>IF($U14="","",IF(COUNTIF(choice!$D:$D,CONCATENATE($U14,"@",BX$7))=0,"",VLOOKUP(CONCATENATE($U14,"@",BX$7),choice!$D:$E,2,0)))</f>
        <v/>
      </c>
      <c r="BY14" s="74" t="str">
        <f>IF($U14="","",IF(COUNTIF(choice!$D:$D,CONCATENATE($U14,"@",BY$7))=0,"",VLOOKUP(CONCATENATE($U14,"@",BY$7),choice!$D:$E,2,0)))</f>
        <v/>
      </c>
      <c r="BZ14" s="74" t="str">
        <f>IF($U14="","",IF(COUNTIF(choice!$D:$D,CONCATENATE($U14,"@",BZ$7))=0,"",VLOOKUP(CONCATENATE($U14,"@",BZ$7),choice!$D:$E,2,0)))</f>
        <v/>
      </c>
      <c r="CA14" s="74" t="str">
        <f>IF($U14="","",IF(COUNTIF(choice!$D:$D,CONCATENATE($U14,"@",CA$7))=0,"",VLOOKUP(CONCATENATE($U14,"@",CA$7),choice!$D:$E,2,0)))</f>
        <v/>
      </c>
      <c r="CB14" s="74" t="str">
        <f>IF($U14="","",IF(COUNTIF(choice!$D:$D,CONCATENATE($U14,"@",CB$7))=0,"",VLOOKUP(CONCATENATE($U14,"@",CB$7),choice!$D:$E,2,0)))</f>
        <v/>
      </c>
      <c r="CC14" s="74" t="str">
        <f>IF($U14="","",IF(COUNTIF(choice!$D:$D,CONCATENATE($U14,"@",CC$7))=0,"",VLOOKUP(CONCATENATE($U14,"@",CC$7),choice!$D:$E,2,0)))</f>
        <v/>
      </c>
      <c r="CD14" s="74" t="str">
        <f>IF($U14="","",IF(COUNTIF(choice!$D:$D,CONCATENATE($U14,"@",CD$7))=0,"",VLOOKUP(CONCATENATE($U14,"@",CD$7),choice!$D:$E,2,0)))</f>
        <v/>
      </c>
      <c r="CE14" s="74" t="str">
        <f>IF($U14="","",IF(COUNTIF(choice!$D:$D,CONCATENATE($U14,"@",CE$7))=0,"",VLOOKUP(CONCATENATE($U14,"@",CE$7),choice!$D:$E,2,0)))</f>
        <v/>
      </c>
      <c r="CF14" s="74" t="str">
        <f>IF($U14="","",IF(COUNTIF(choice!$D:$D,CONCATENATE($U14,"@",CF$7))=0,"",VLOOKUP(CONCATENATE($U14,"@",CF$7),choice!$D:$E,2,0)))</f>
        <v/>
      </c>
      <c r="CG14" s="74" t="str">
        <f>IF($U14="","",IF(COUNTIF(choice!$D:$D,CONCATENATE($U14,"@",CG$7))=0,"",VLOOKUP(CONCATENATE($U14,"@",CG$7),choice!$D:$E,2,0)))</f>
        <v/>
      </c>
      <c r="CH14" s="74" t="str">
        <f>IF($U14="","",IF(COUNTIF(choice!$D:$D,CONCATENATE($U14,"@",CH$7))=0,"",VLOOKUP(CONCATENATE($U14,"@",CH$7),choice!$D:$E,2,0)))</f>
        <v/>
      </c>
      <c r="CI14" s="74" t="str">
        <f>IF($U14="","",IF(COUNTIF(choice!$D:$D,CONCATENATE($U14,"@",CI$7))=0,"",VLOOKUP(CONCATENATE($U14,"@",CI$7),choice!$D:$E,2,0)))</f>
        <v/>
      </c>
      <c r="CJ14" s="81" t="str">
        <f>IF($U14="","",IF(COUNTIF(choice!$D:$D,CONCATENATE($U14,"@",CJ$7))=0,"",VLOOKUP(CONCATENATE($U14,"@",CJ$7),choice!$D:$E,2,0)))</f>
        <v/>
      </c>
      <c r="CK14" s="80" t="str">
        <f>IF($V14="","",IF(COUNTIF(choice!$D:$D,CONCATENATE($V14,"@",CK$7))=0,"",VLOOKUP(CONCATENATE($V14,"@",CK$7),choice!$D:$E,2,0)))</f>
        <v/>
      </c>
      <c r="CL14" s="74" t="str">
        <f>IF($V14="","",IF(COUNTIF(choice!$D:$D,CONCATENATE($V14,"@",CL$7))=0,"",VLOOKUP(CONCATENATE($V14,"@",CL$7),choice!$D:$E,2,0)))</f>
        <v/>
      </c>
      <c r="CM14" s="74" t="str">
        <f>IF($V14="","",IF(COUNTIF(choice!$D:$D,CONCATENATE($V14,"@",CM$7))=0,"",VLOOKUP(CONCATENATE($V14,"@",CM$7),choice!$D:$E,2,0)))</f>
        <v/>
      </c>
      <c r="CN14" s="74" t="str">
        <f>IF($V14="","",IF(COUNTIF(choice!$D:$D,CONCATENATE($V14,"@",CN$7))=0,"",VLOOKUP(CONCATENATE($V14,"@",CN$7),choice!$D:$E,2,0)))</f>
        <v/>
      </c>
      <c r="CO14" s="74" t="str">
        <f>IF($V14="","",IF(COUNTIF(choice!$D:$D,CONCATENATE($V14,"@",CO$7))=0,"",VLOOKUP(CONCATENATE($V14,"@",CO$7),choice!$D:$E,2,0)))</f>
        <v/>
      </c>
      <c r="CP14" s="74" t="str">
        <f>IF($V14="","",IF(COUNTIF(choice!$D:$D,CONCATENATE($V14,"@",CP$7))=0,"",VLOOKUP(CONCATENATE($V14,"@",CP$7),choice!$D:$E,2,0)))</f>
        <v/>
      </c>
      <c r="CQ14" s="74" t="str">
        <f>IF($V14="","",IF(COUNTIF(choice!$D:$D,CONCATENATE($V14,"@",CQ$7))=0,"",VLOOKUP(CONCATENATE($V14,"@",CQ$7),choice!$D:$E,2,0)))</f>
        <v/>
      </c>
      <c r="CR14" s="74" t="str">
        <f>IF($V14="","",IF(COUNTIF(choice!$D:$D,CONCATENATE($V14,"@",CR$7))=0,"",VLOOKUP(CONCATENATE($V14,"@",CR$7),choice!$D:$E,2,0)))</f>
        <v/>
      </c>
      <c r="CS14" s="74" t="str">
        <f>IF($V14="","",IF(COUNTIF(choice!$D:$D,CONCATENATE($V14,"@",CS$7))=0,"",VLOOKUP(CONCATENATE($V14,"@",CS$7),choice!$D:$E,2,0)))</f>
        <v/>
      </c>
      <c r="CT14" s="74" t="str">
        <f>IF($V14="","",IF(COUNTIF(choice!$D:$D,CONCATENATE($V14,"@",CT$7))=0,"",VLOOKUP(CONCATENATE($V14,"@",CT$7),choice!$D:$E,2,0)))</f>
        <v/>
      </c>
      <c r="CU14" s="74" t="str">
        <f>IF($V14="","",IF(COUNTIF(choice!$D:$D,CONCATENATE($V14,"@",CU$7))=0,"",VLOOKUP(CONCATENATE($V14,"@",CU$7),choice!$D:$E,2,0)))</f>
        <v/>
      </c>
      <c r="CV14" s="74" t="str">
        <f>IF($V14="","",IF(COUNTIF(choice!$D:$D,CONCATENATE($V14,"@",CV$7))=0,"",VLOOKUP(CONCATENATE($V14,"@",CV$7),choice!$D:$E,2,0)))</f>
        <v/>
      </c>
      <c r="CW14" s="74" t="str">
        <f>IF($V14="","",IF(COUNTIF(choice!$D:$D,CONCATENATE($V14,"@",CW$7))=0,"",VLOOKUP(CONCATENATE($V14,"@",CW$7),choice!$D:$E,2,0)))</f>
        <v/>
      </c>
      <c r="CX14" s="74" t="str">
        <f>IF($V14="","",IF(COUNTIF(choice!$D:$D,CONCATENATE($V14,"@",CX$7))=0,"",VLOOKUP(CONCATENATE($V14,"@",CX$7),choice!$D:$E,2,0)))</f>
        <v/>
      </c>
      <c r="CY14" s="74" t="str">
        <f>IF($V14="","",IF(COUNTIF(choice!$D:$D,CONCATENATE($V14,"@",CY$7))=0,"",VLOOKUP(CONCATENATE($V14,"@",CY$7),choice!$D:$E,2,0)))</f>
        <v/>
      </c>
      <c r="CZ14" s="74" t="str">
        <f>IF($V14="","",IF(COUNTIF(choice!$D:$D,CONCATENATE($V14,"@",CZ$7))=0,"",VLOOKUP(CONCATENATE($V14,"@",CZ$7),choice!$D:$E,2,0)))</f>
        <v/>
      </c>
      <c r="DA14" s="74" t="str">
        <f>IF($V14="","",IF(COUNTIF(choice!$D:$D,CONCATENATE($V14,"@",DA$7))=0,"",VLOOKUP(CONCATENATE($V14,"@",DA$7),choice!$D:$E,2,0)))</f>
        <v/>
      </c>
      <c r="DB14" s="74" t="str">
        <f>IF($V14="","",IF(COUNTIF(choice!$D:$D,CONCATENATE($V14,"@",DB$7))=0,"",VLOOKUP(CONCATENATE($V14,"@",DB$7),choice!$D:$E,2,0)))</f>
        <v/>
      </c>
      <c r="DC14" s="74" t="str">
        <f>IF($V14="","",IF(COUNTIF(choice!$D:$D,CONCATENATE($V14,"@",DC$7))=0,"",VLOOKUP(CONCATENATE($V14,"@",DC$7),choice!$D:$E,2,0)))</f>
        <v/>
      </c>
      <c r="DD14" s="74" t="str">
        <f>IF($V14="","",IF(COUNTIF(choice!$D:$D,CONCATENATE($V14,"@",DD$7))=0,"",VLOOKUP(CONCATENATE($V14,"@",DD$7),choice!$D:$E,2,0)))</f>
        <v/>
      </c>
      <c r="DE14" s="74" t="str">
        <f>IF($V14="","",IF(COUNTIF(choice!$D:$D,CONCATENATE($V14,"@",DE$7))=0,"",VLOOKUP(CONCATENATE($V14,"@",DE$7),choice!$D:$E,2,0)))</f>
        <v/>
      </c>
      <c r="DF14" s="74" t="str">
        <f>IF($V14="","",IF(COUNTIF(choice!$D:$D,CONCATENATE($V14,"@",DF$7))=0,"",VLOOKUP(CONCATENATE($V14,"@",DF$7),choice!$D:$E,2,0)))</f>
        <v/>
      </c>
      <c r="DG14" s="74" t="str">
        <f>IF($V14="","",IF(COUNTIF(choice!$D:$D,CONCATENATE($V14,"@",DG$7))=0,"",VLOOKUP(CONCATENATE($V14,"@",DG$7),choice!$D:$E,2,0)))</f>
        <v/>
      </c>
      <c r="DH14" s="74" t="str">
        <f>IF($V14="","",IF(COUNTIF(choice!$D:$D,CONCATENATE($V14,"@",DH$7))=0,"",VLOOKUP(CONCATENATE($V14,"@",DH$7),choice!$D:$E,2,0)))</f>
        <v/>
      </c>
      <c r="DI14" s="74" t="str">
        <f>IF($V14="","",IF(COUNTIF(choice!$D:$D,CONCATENATE($V14,"@",DI$7))=0,"",VLOOKUP(CONCATENATE($V14,"@",DI$7),choice!$D:$E,2,0)))</f>
        <v/>
      </c>
      <c r="DJ14" s="74" t="str">
        <f>IF($V14="","",IF(COUNTIF(choice!$D:$D,CONCATENATE($V14,"@",DJ$7))=0,"",VLOOKUP(CONCATENATE($V14,"@",DJ$7),choice!$D:$E,2,0)))</f>
        <v/>
      </c>
      <c r="DK14" s="74" t="str">
        <f>IF($V14="","",IF(COUNTIF(choice!$D:$D,CONCATENATE($V14,"@",DK$7))=0,"",VLOOKUP(CONCATENATE($V14,"@",DK$7),choice!$D:$E,2,0)))</f>
        <v/>
      </c>
      <c r="DL14" s="74" t="str">
        <f>IF($V14="","",IF(COUNTIF(choice!$D:$D,CONCATENATE($V14,"@",DL$7))=0,"",VLOOKUP(CONCATENATE($V14,"@",DL$7),choice!$D:$E,2,0)))</f>
        <v/>
      </c>
      <c r="DM14" s="74" t="str">
        <f>IF($V14="","",IF(COUNTIF(choice!$D:$D,CONCATENATE($V14,"@",DM$7))=0,"",VLOOKUP(CONCATENATE($V14,"@",DM$7),choice!$D:$E,2,0)))</f>
        <v/>
      </c>
      <c r="DN14" s="74" t="str">
        <f>IF($V14="","",IF(COUNTIF(choice!$D:$D,CONCATENATE($V14,"@",DN$7))=0,"",VLOOKUP(CONCATENATE($V14,"@",DN$7),choice!$D:$E,2,0)))</f>
        <v/>
      </c>
      <c r="DO14" s="74" t="str">
        <f>IF($V14="","",IF(COUNTIF(choice!$D:$D,CONCATENATE($V14,"@",DO$7))=0,"",VLOOKUP(CONCATENATE($V14,"@",DO$7),choice!$D:$E,2,0)))</f>
        <v/>
      </c>
      <c r="DP14" s="74" t="str">
        <f>IF($V14="","",IF(COUNTIF(choice!$D:$D,CONCATENATE($V14,"@",DP$7))=0,"",VLOOKUP(CONCATENATE($V14,"@",DP$7),choice!$D:$E,2,0)))</f>
        <v/>
      </c>
      <c r="DQ14" s="74" t="str">
        <f>IF($V14="","",IF(COUNTIF(choice!$D:$D,CONCATENATE($V14,"@",DQ$7))=0,"",VLOOKUP(CONCATENATE($V14,"@",DQ$7),choice!$D:$E,2,0)))</f>
        <v/>
      </c>
      <c r="DR14" s="74" t="str">
        <f>IF($V14="","",IF(COUNTIF(choice!$D:$D,CONCATENATE($V14,"@",DR$7))=0,"",VLOOKUP(CONCATENATE($V14,"@",DR$7),choice!$D:$E,2,0)))</f>
        <v/>
      </c>
      <c r="DS14" s="74" t="str">
        <f>IF($V14="","",IF(COUNTIF(choice!$D:$D,CONCATENATE($V14,"@",DS$7))=0,"",VLOOKUP(CONCATENATE($V14,"@",DS$7),choice!$D:$E,2,0)))</f>
        <v/>
      </c>
      <c r="DT14" s="74" t="str">
        <f>IF($V14="","",IF(COUNTIF(choice!$D:$D,CONCATENATE($V14,"@",DT$7))=0,"",VLOOKUP(CONCATENATE($V14,"@",DT$7),choice!$D:$E,2,0)))</f>
        <v/>
      </c>
      <c r="DU14" s="74" t="str">
        <f>IF($V14="","",IF(COUNTIF(choice!$D:$D,CONCATENATE($V14,"@",DU$7))=0,"",VLOOKUP(CONCATENATE($V14,"@",DU$7),choice!$D:$E,2,0)))</f>
        <v/>
      </c>
      <c r="DV14" s="74" t="str">
        <f>IF($V14="","",IF(COUNTIF(choice!$D:$D,CONCATENATE($V14,"@",DV$7))=0,"",VLOOKUP(CONCATENATE($V14,"@",DV$7),choice!$D:$E,2,0)))</f>
        <v/>
      </c>
      <c r="DW14" s="74" t="str">
        <f>IF($V14="","",IF(COUNTIF(choice!$D:$D,CONCATENATE($V14,"@",DW$7))=0,"",VLOOKUP(CONCATENATE($V14,"@",DW$7),choice!$D:$E,2,0)))</f>
        <v/>
      </c>
      <c r="DX14" s="74" t="str">
        <f>IF($V14="","",IF(COUNTIF(choice!$D:$D,CONCATENATE($V14,"@",DX$7))=0,"",VLOOKUP(CONCATENATE($V14,"@",DX$7),choice!$D:$E,2,0)))</f>
        <v/>
      </c>
      <c r="DY14" s="74" t="str">
        <f>IF($V14="","",IF(COUNTIF(choice!$D:$D,CONCATENATE($V14,"@",DY$7))=0,"",VLOOKUP(CONCATENATE($V14,"@",DY$7),choice!$D:$E,2,0)))</f>
        <v/>
      </c>
      <c r="DZ14" s="74" t="str">
        <f>IF($V14="","",IF(COUNTIF(choice!$D:$D,CONCATENATE($V14,"@",DZ$7))=0,"",VLOOKUP(CONCATENATE($V14,"@",DZ$7),choice!$D:$E,2,0)))</f>
        <v/>
      </c>
      <c r="EA14" s="74" t="str">
        <f>IF($V14="","",IF(COUNTIF(choice!$D:$D,CONCATENATE($V14,"@",EA$7))=0,"",VLOOKUP(CONCATENATE($V14,"@",EA$7),choice!$D:$E,2,0)))</f>
        <v/>
      </c>
      <c r="EB14" s="74" t="str">
        <f>IF($V14="","",IF(COUNTIF(choice!$D:$D,CONCATENATE($V14,"@",EB$7))=0,"",VLOOKUP(CONCATENATE($V14,"@",EB$7),choice!$D:$E,2,0)))</f>
        <v/>
      </c>
      <c r="EC14" s="81" t="str">
        <f>IF($V14="","",IF(COUNTIF(choice!$D:$D,CONCATENATE($V14,"@",EC$7))=0,"",VLOOKUP(CONCATENATE($V14,"@",EC$7),choice!$D:$E,2,0)))</f>
        <v/>
      </c>
      <c r="ED14" s="80" t="str">
        <f>IF($W14="","",IF(COUNTIF(choice!$D:$D,CONCATENATE($W14,"@",ED$7))=0,"",VLOOKUP(CONCATENATE($W14,"@",ED$7),choice!$D:$E,2,0)))</f>
        <v/>
      </c>
      <c r="EE14" s="74" t="str">
        <f>IF($W14="","",IF(COUNTIF(choice!$D:$D,CONCATENATE($W14,"@",EE$7))=0,"",VLOOKUP(CONCATENATE($W14,"@",EE$7),choice!$D:$E,2,0)))</f>
        <v/>
      </c>
      <c r="EF14" s="74" t="str">
        <f>IF($W14="","",IF(COUNTIF(choice!$D:$D,CONCATENATE($W14,"@",EF$7))=0,"",VLOOKUP(CONCATENATE($W14,"@",EF$7),choice!$D:$E,2,0)))</f>
        <v/>
      </c>
      <c r="EG14" s="74" t="str">
        <f>IF($W14="","",IF(COUNTIF(choice!$D:$D,CONCATENATE($W14,"@",EG$7))=0,"",VLOOKUP(CONCATENATE($W14,"@",EG$7),choice!$D:$E,2,0)))</f>
        <v/>
      </c>
      <c r="EH14" s="74" t="str">
        <f>IF($W14="","",IF(COUNTIF(choice!$D:$D,CONCATENATE($W14,"@",EH$7))=0,"",VLOOKUP(CONCATENATE($W14,"@",EH$7),choice!$D:$E,2,0)))</f>
        <v/>
      </c>
      <c r="EI14" s="74" t="str">
        <f>IF($W14="","",IF(COUNTIF(choice!$D:$D,CONCATENATE($W14,"@",EI$7))=0,"",VLOOKUP(CONCATENATE($W14,"@",EI$7),choice!$D:$E,2,0)))</f>
        <v/>
      </c>
      <c r="EJ14" s="74" t="str">
        <f>IF($W14="","",IF(COUNTIF(choice!$D:$D,CONCATENATE($W14,"@",EJ$7))=0,"",VLOOKUP(CONCATENATE($W14,"@",EJ$7),choice!$D:$E,2,0)))</f>
        <v/>
      </c>
      <c r="EK14" s="74" t="str">
        <f>IF($W14="","",IF(COUNTIF(choice!$D:$D,CONCATENATE($W14,"@",EK$7))=0,"",VLOOKUP(CONCATENATE($W14,"@",EK$7),choice!$D:$E,2,0)))</f>
        <v/>
      </c>
      <c r="EL14" s="74" t="str">
        <f>IF($W14="","",IF(COUNTIF(choice!$D:$D,CONCATENATE($W14,"@",EL$7))=0,"",VLOOKUP(CONCATENATE($W14,"@",EL$7),choice!$D:$E,2,0)))</f>
        <v/>
      </c>
      <c r="EM14" s="74" t="str">
        <f>IF($W14="","",IF(COUNTIF(choice!$D:$D,CONCATENATE($W14,"@",EM$7))=0,"",VLOOKUP(CONCATENATE($W14,"@",EM$7),choice!$D:$E,2,0)))</f>
        <v/>
      </c>
      <c r="EN14" s="74" t="str">
        <f>IF($W14="","",IF(COUNTIF(choice!$D:$D,CONCATENATE($W14,"@",EN$7))=0,"",VLOOKUP(CONCATENATE($W14,"@",EN$7),choice!$D:$E,2,0)))</f>
        <v/>
      </c>
      <c r="EO14" s="74" t="str">
        <f>IF($W14="","",IF(COUNTIF(choice!$D:$D,CONCATENATE($W14,"@",EO$7))=0,"",VLOOKUP(CONCATENATE($W14,"@",EO$7),choice!$D:$E,2,0)))</f>
        <v/>
      </c>
      <c r="EP14" s="74" t="str">
        <f>IF($W14="","",IF(COUNTIF(choice!$D:$D,CONCATENATE($W14,"@",EP$7))=0,"",VLOOKUP(CONCATENATE($W14,"@",EP$7),choice!$D:$E,2,0)))</f>
        <v/>
      </c>
      <c r="EQ14" s="74" t="str">
        <f>IF($W14="","",IF(COUNTIF(choice!$D:$D,CONCATENATE($W14,"@",EQ$7))=0,"",VLOOKUP(CONCATENATE($W14,"@",EQ$7),choice!$D:$E,2,0)))</f>
        <v/>
      </c>
      <c r="ER14" s="74" t="str">
        <f>IF($W14="","",IF(COUNTIF(choice!$D:$D,CONCATENATE($W14,"@",ER$7))=0,"",VLOOKUP(CONCATENATE($W14,"@",ER$7),choice!$D:$E,2,0)))</f>
        <v/>
      </c>
      <c r="ES14" s="74" t="str">
        <f>IF($W14="","",IF(COUNTIF(choice!$D:$D,CONCATENATE($W14,"@",ES$7))=0,"",VLOOKUP(CONCATENATE($W14,"@",ES$7),choice!$D:$E,2,0)))</f>
        <v/>
      </c>
      <c r="ET14" s="74" t="str">
        <f>IF($W14="","",IF(COUNTIF(choice!$D:$D,CONCATENATE($W14,"@",ET$7))=0,"",VLOOKUP(CONCATENATE($W14,"@",ET$7),choice!$D:$E,2,0)))</f>
        <v/>
      </c>
      <c r="EU14" s="74" t="str">
        <f>IF($W14="","",IF(COUNTIF(choice!$D:$D,CONCATENATE($W14,"@",EU$7))=0,"",VLOOKUP(CONCATENATE($W14,"@",EU$7),choice!$D:$E,2,0)))</f>
        <v/>
      </c>
      <c r="EV14" s="74" t="str">
        <f>IF($W14="","",IF(COUNTIF(choice!$D:$D,CONCATENATE($W14,"@",EV$7))=0,"",VLOOKUP(CONCATENATE($W14,"@",EV$7),choice!$D:$E,2,0)))</f>
        <v/>
      </c>
      <c r="EW14" s="74" t="str">
        <f>IF($W14="","",IF(COUNTIF(choice!$D:$D,CONCATENATE($W14,"@",EW$7))=0,"",VLOOKUP(CONCATENATE($W14,"@",EW$7),choice!$D:$E,2,0)))</f>
        <v/>
      </c>
      <c r="EX14" s="74" t="str">
        <f>IF($W14="","",IF(COUNTIF(choice!$D:$D,CONCATENATE($W14,"@",EX$7))=0,"",VLOOKUP(CONCATENATE($W14,"@",EX$7),choice!$D:$E,2,0)))</f>
        <v/>
      </c>
      <c r="EY14" s="74" t="str">
        <f>IF($W14="","",IF(COUNTIF(choice!$D:$D,CONCATENATE($W14,"@",EY$7))=0,"",VLOOKUP(CONCATENATE($W14,"@",EY$7),choice!$D:$E,2,0)))</f>
        <v/>
      </c>
      <c r="EZ14" s="74" t="str">
        <f>IF($W14="","",IF(COUNTIF(choice!$D:$D,CONCATENATE($W14,"@",EZ$7))=0,"",VLOOKUP(CONCATENATE($W14,"@",EZ$7),choice!$D:$E,2,0)))</f>
        <v/>
      </c>
      <c r="FA14" s="74" t="str">
        <f>IF($W14="","",IF(COUNTIF(choice!$D:$D,CONCATENATE($W14,"@",FA$7))=0,"",VLOOKUP(CONCATENATE($W14,"@",FA$7),choice!$D:$E,2,0)))</f>
        <v/>
      </c>
      <c r="FB14" s="74" t="str">
        <f>IF($W14="","",IF(COUNTIF(choice!$D:$D,CONCATENATE($W14,"@",FB$7))=0,"",VLOOKUP(CONCATENATE($W14,"@",FB$7),choice!$D:$E,2,0)))</f>
        <v/>
      </c>
      <c r="FC14" s="74" t="str">
        <f>IF($W14="","",IF(COUNTIF(choice!$D:$D,CONCATENATE($W14,"@",FC$7))=0,"",VLOOKUP(CONCATENATE($W14,"@",FC$7),choice!$D:$E,2,0)))</f>
        <v/>
      </c>
      <c r="FD14" s="74" t="str">
        <f>IF($W14="","",IF(COUNTIF(choice!$D:$D,CONCATENATE($W14,"@",FD$7))=0,"",VLOOKUP(CONCATENATE($W14,"@",FD$7),choice!$D:$E,2,0)))</f>
        <v/>
      </c>
      <c r="FE14" s="74" t="str">
        <f>IF($W14="","",IF(COUNTIF(choice!$D:$D,CONCATENATE($W14,"@",FE$7))=0,"",VLOOKUP(CONCATENATE($W14,"@",FE$7),choice!$D:$E,2,0)))</f>
        <v/>
      </c>
      <c r="FF14" s="74" t="str">
        <f>IF($W14="","",IF(COUNTIF(choice!$D:$D,CONCATENATE($W14,"@",FF$7))=0,"",VLOOKUP(CONCATENATE($W14,"@",FF$7),choice!$D:$E,2,0)))</f>
        <v/>
      </c>
      <c r="FG14" s="74" t="str">
        <f>IF($W14="","",IF(COUNTIF(choice!$D:$D,CONCATENATE($W14,"@",FG$7))=0,"",VLOOKUP(CONCATENATE($W14,"@",FG$7),choice!$D:$E,2,0)))</f>
        <v/>
      </c>
      <c r="FH14" s="74" t="str">
        <f>IF($W14="","",IF(COUNTIF(choice!$D:$D,CONCATENATE($W14,"@",FH$7))=0,"",VLOOKUP(CONCATENATE($W14,"@",FH$7),choice!$D:$E,2,0)))</f>
        <v/>
      </c>
      <c r="FI14" s="74" t="str">
        <f>IF($W14="","",IF(COUNTIF(choice!$D:$D,CONCATENATE($W14,"@",FI$7))=0,"",VLOOKUP(CONCATENATE($W14,"@",FI$7),choice!$D:$E,2,0)))</f>
        <v/>
      </c>
      <c r="FJ14" s="74" t="str">
        <f>IF($W14="","",IF(COUNTIF(choice!$D:$D,CONCATENATE($W14,"@",FJ$7))=0,"",VLOOKUP(CONCATENATE($W14,"@",FJ$7),choice!$D:$E,2,0)))</f>
        <v/>
      </c>
      <c r="FK14" s="74" t="str">
        <f>IF($W14="","",IF(COUNTIF(choice!$D:$D,CONCATENATE($W14,"@",FK$7))=0,"",VLOOKUP(CONCATENATE($W14,"@",FK$7),choice!$D:$E,2,0)))</f>
        <v/>
      </c>
      <c r="FL14" s="74" t="str">
        <f>IF($W14="","",IF(COUNTIF(choice!$D:$D,CONCATENATE($W14,"@",FL$7))=0,"",VLOOKUP(CONCATENATE($W14,"@",FL$7),choice!$D:$E,2,0)))</f>
        <v/>
      </c>
      <c r="FM14" s="74" t="str">
        <f>IF($W14="","",IF(COUNTIF(choice!$D:$D,CONCATENATE($W14,"@",FM$7))=0,"",VLOOKUP(CONCATENATE($W14,"@",FM$7),choice!$D:$E,2,0)))</f>
        <v/>
      </c>
      <c r="FN14" s="74" t="str">
        <f>IF($W14="","",IF(COUNTIF(choice!$D:$D,CONCATENATE($W14,"@",FN$7))=0,"",VLOOKUP(CONCATENATE($W14,"@",FN$7),choice!$D:$E,2,0)))</f>
        <v/>
      </c>
      <c r="FO14" s="74" t="str">
        <f>IF($W14="","",IF(COUNTIF(choice!$D:$D,CONCATENATE($W14,"@",FO$7))=0,"",VLOOKUP(CONCATENATE($W14,"@",FO$7),choice!$D:$E,2,0)))</f>
        <v/>
      </c>
      <c r="FP14" s="74" t="str">
        <f>IF($W14="","",IF(COUNTIF(choice!$D:$D,CONCATENATE($W14,"@",FP$7))=0,"",VLOOKUP(CONCATENATE($W14,"@",FP$7),choice!$D:$E,2,0)))</f>
        <v/>
      </c>
      <c r="FQ14" s="74" t="str">
        <f>IF($W14="","",IF(COUNTIF(choice!$D:$D,CONCATENATE($W14,"@",FQ$7))=0,"",VLOOKUP(CONCATENATE($W14,"@",FQ$7),choice!$D:$E,2,0)))</f>
        <v/>
      </c>
      <c r="FR14" s="74" t="str">
        <f>IF($W14="","",IF(COUNTIF(choice!$D:$D,CONCATENATE($W14,"@",FR$7))=0,"",VLOOKUP(CONCATENATE($W14,"@",FR$7),choice!$D:$E,2,0)))</f>
        <v/>
      </c>
      <c r="FS14" s="74" t="str">
        <f>IF($W14="","",IF(COUNTIF(choice!$D:$D,CONCATENATE($W14,"@",FS$7))=0,"",VLOOKUP(CONCATENATE($W14,"@",FS$7),choice!$D:$E,2,0)))</f>
        <v/>
      </c>
      <c r="FT14" s="74" t="str">
        <f>IF($W14="","",IF(COUNTIF(choice!$D:$D,CONCATENATE($W14,"@",FT$7))=0,"",VLOOKUP(CONCATENATE($W14,"@",FT$7),choice!$D:$E,2,0)))</f>
        <v/>
      </c>
      <c r="FU14" s="74" t="str">
        <f>IF($W14="","",IF(COUNTIF(choice!$D:$D,CONCATENATE($W14,"@",FU$7))=0,"",VLOOKUP(CONCATENATE($W14,"@",FU$7),choice!$D:$E,2,0)))</f>
        <v/>
      </c>
      <c r="FV14" s="81" t="str">
        <f>IF($W14="","",IF(COUNTIF(choice!$D:$D,CONCATENATE($W14,"@",FV$7))=0,"",VLOOKUP(CONCATENATE($W14,"@",FV$7),choice!$D:$E,2,0)))</f>
        <v/>
      </c>
      <c r="FW14" s="80" t="str">
        <f>IF($X14="","",IF(COUNTIF(choice!$D:$D,CONCATENATE($X14,"@",FW$7))=0,"",VLOOKUP(CONCATENATE($X14,"@",FW$7),choice!$D:$E,2,0)))</f>
        <v/>
      </c>
      <c r="FX14" s="74" t="str">
        <f>IF($X14="","",IF(COUNTIF(choice!$D:$D,CONCATENATE($X14,"@",FX$7))=0,"",VLOOKUP(CONCATENATE($X14,"@",FX$7),choice!$D:$E,2,0)))</f>
        <v/>
      </c>
      <c r="FY14" s="74" t="str">
        <f>IF($X14="","",IF(COUNTIF(choice!$D:$D,CONCATENATE($X14,"@",FY$7))=0,"",VLOOKUP(CONCATENATE($X14,"@",FY$7),choice!$D:$E,2,0)))</f>
        <v/>
      </c>
      <c r="FZ14" s="74" t="str">
        <f>IF($X14="","",IF(COUNTIF(choice!$D:$D,CONCATENATE($X14,"@",FZ$7))=0,"",VLOOKUP(CONCATENATE($X14,"@",FZ$7),choice!$D:$E,2,0)))</f>
        <v/>
      </c>
      <c r="GA14" s="74" t="str">
        <f>IF($X14="","",IF(COUNTIF(choice!$D:$D,CONCATENATE($X14,"@",GA$7))=0,"",VLOOKUP(CONCATENATE($X14,"@",GA$7),choice!$D:$E,2,0)))</f>
        <v/>
      </c>
      <c r="GB14" s="74" t="str">
        <f>IF($X14="","",IF(COUNTIF(choice!$D:$D,CONCATENATE($X14,"@",GB$7))=0,"",VLOOKUP(CONCATENATE($X14,"@",GB$7),choice!$D:$E,2,0)))</f>
        <v/>
      </c>
      <c r="GC14" s="74" t="str">
        <f>IF($X14="","",IF(COUNTIF(choice!$D:$D,CONCATENATE($X14,"@",GC$7))=0,"",VLOOKUP(CONCATENATE($X14,"@",GC$7),choice!$D:$E,2,0)))</f>
        <v/>
      </c>
      <c r="GD14" s="74" t="str">
        <f>IF($X14="","",IF(COUNTIF(choice!$D:$D,CONCATENATE($X14,"@",GD$7))=0,"",VLOOKUP(CONCATENATE($X14,"@",GD$7),choice!$D:$E,2,0)))</f>
        <v/>
      </c>
      <c r="GE14" s="74" t="str">
        <f>IF($X14="","",IF(COUNTIF(choice!$D:$D,CONCATENATE($X14,"@",GE$7))=0,"",VLOOKUP(CONCATENATE($X14,"@",GE$7),choice!$D:$E,2,0)))</f>
        <v/>
      </c>
      <c r="GF14" s="74" t="str">
        <f>IF($X14="","",IF(COUNTIF(choice!$D:$D,CONCATENATE($X14,"@",GF$7))=0,"",VLOOKUP(CONCATENATE($X14,"@",GF$7),choice!$D:$E,2,0)))</f>
        <v/>
      </c>
      <c r="GG14" s="74" t="str">
        <f>IF($X14="","",IF(COUNTIF(choice!$D:$D,CONCATENATE($X14,"@",GG$7))=0,"",VLOOKUP(CONCATENATE($X14,"@",GG$7),choice!$D:$E,2,0)))</f>
        <v/>
      </c>
      <c r="GH14" s="74" t="str">
        <f>IF($X14="","",IF(COUNTIF(choice!$D:$D,CONCATENATE($X14,"@",GH$7))=0,"",VLOOKUP(CONCATENATE($X14,"@",GH$7),choice!$D:$E,2,0)))</f>
        <v/>
      </c>
      <c r="GI14" s="74" t="str">
        <f>IF($X14="","",IF(COUNTIF(choice!$D:$D,CONCATENATE($X14,"@",GI$7))=0,"",VLOOKUP(CONCATENATE($X14,"@",GI$7),choice!$D:$E,2,0)))</f>
        <v/>
      </c>
      <c r="GJ14" s="74" t="str">
        <f>IF($X14="","",IF(COUNTIF(choice!$D:$D,CONCATENATE($X14,"@",GJ$7))=0,"",VLOOKUP(CONCATENATE($X14,"@",GJ$7),choice!$D:$E,2,0)))</f>
        <v/>
      </c>
      <c r="GK14" s="74" t="str">
        <f>IF($X14="","",IF(COUNTIF(choice!$D:$D,CONCATENATE($X14,"@",GK$7))=0,"",VLOOKUP(CONCATENATE($X14,"@",GK$7),choice!$D:$E,2,0)))</f>
        <v/>
      </c>
      <c r="GL14" s="74" t="str">
        <f>IF($X14="","",IF(COUNTIF(choice!$D:$D,CONCATENATE($X14,"@",GL$7))=0,"",VLOOKUP(CONCATENATE($X14,"@",GL$7),choice!$D:$E,2,0)))</f>
        <v/>
      </c>
      <c r="GM14" s="74" t="str">
        <f>IF($X14="","",IF(COUNTIF(choice!$D:$D,CONCATENATE($X14,"@",GM$7))=0,"",VLOOKUP(CONCATENATE($X14,"@",GM$7),choice!$D:$E,2,0)))</f>
        <v/>
      </c>
      <c r="GN14" s="74" t="str">
        <f>IF($X14="","",IF(COUNTIF(choice!$D:$D,CONCATENATE($X14,"@",GN$7))=0,"",VLOOKUP(CONCATENATE($X14,"@",GN$7),choice!$D:$E,2,0)))</f>
        <v/>
      </c>
      <c r="GO14" s="74" t="str">
        <f>IF($X14="","",IF(COUNTIF(choice!$D:$D,CONCATENATE($X14,"@",GO$7))=0,"",VLOOKUP(CONCATENATE($X14,"@",GO$7),choice!$D:$E,2,0)))</f>
        <v/>
      </c>
      <c r="GP14" s="74" t="str">
        <f>IF($X14="","",IF(COUNTIF(choice!$D:$D,CONCATENATE($X14,"@",GP$7))=0,"",VLOOKUP(CONCATENATE($X14,"@",GP$7),choice!$D:$E,2,0)))</f>
        <v/>
      </c>
      <c r="GQ14" s="74" t="str">
        <f>IF($X14="","",IF(COUNTIF(choice!$D:$D,CONCATENATE($X14,"@",GQ$7))=0,"",VLOOKUP(CONCATENATE($X14,"@",GQ$7),choice!$D:$E,2,0)))</f>
        <v/>
      </c>
      <c r="GR14" s="74" t="str">
        <f>IF($X14="","",IF(COUNTIF(choice!$D:$D,CONCATENATE($X14,"@",GR$7))=0,"",VLOOKUP(CONCATENATE($X14,"@",GR$7),choice!$D:$E,2,0)))</f>
        <v/>
      </c>
      <c r="GS14" s="74" t="str">
        <f>IF($X14="","",IF(COUNTIF(choice!$D:$D,CONCATENATE($X14,"@",GS$7))=0,"",VLOOKUP(CONCATENATE($X14,"@",GS$7),choice!$D:$E,2,0)))</f>
        <v/>
      </c>
      <c r="GT14" s="74" t="str">
        <f>IF($X14="","",IF(COUNTIF(choice!$D:$D,CONCATENATE($X14,"@",GT$7))=0,"",VLOOKUP(CONCATENATE($X14,"@",GT$7),choice!$D:$E,2,0)))</f>
        <v/>
      </c>
      <c r="GU14" s="74" t="str">
        <f>IF($X14="","",IF(COUNTIF(choice!$D:$D,CONCATENATE($X14,"@",GU$7))=0,"",VLOOKUP(CONCATENATE($X14,"@",GU$7),choice!$D:$E,2,0)))</f>
        <v/>
      </c>
      <c r="GV14" s="74" t="str">
        <f>IF($X14="","",IF(COUNTIF(choice!$D:$D,CONCATENATE($X14,"@",GV$7))=0,"",VLOOKUP(CONCATENATE($X14,"@",GV$7),choice!$D:$E,2,0)))</f>
        <v/>
      </c>
      <c r="GW14" s="74" t="str">
        <f>IF($X14="","",IF(COUNTIF(choice!$D:$D,CONCATENATE($X14,"@",GW$7))=0,"",VLOOKUP(CONCATENATE($X14,"@",GW$7),choice!$D:$E,2,0)))</f>
        <v/>
      </c>
      <c r="GX14" s="74" t="str">
        <f>IF($X14="","",IF(COUNTIF(choice!$D:$D,CONCATENATE($X14,"@",GX$7))=0,"",VLOOKUP(CONCATENATE($X14,"@",GX$7),choice!$D:$E,2,0)))</f>
        <v/>
      </c>
      <c r="GY14" s="74" t="str">
        <f>IF($X14="","",IF(COUNTIF(choice!$D:$D,CONCATENATE($X14,"@",GY$7))=0,"",VLOOKUP(CONCATENATE($X14,"@",GY$7),choice!$D:$E,2,0)))</f>
        <v/>
      </c>
      <c r="GZ14" s="74" t="str">
        <f>IF($X14="","",IF(COUNTIF(choice!$D:$D,CONCATENATE($X14,"@",GZ$7))=0,"",VLOOKUP(CONCATENATE($X14,"@",GZ$7),choice!$D:$E,2,0)))</f>
        <v/>
      </c>
      <c r="HA14" s="74" t="str">
        <f>IF($X14="","",IF(COUNTIF(choice!$D:$D,CONCATENATE($X14,"@",HA$7))=0,"",VLOOKUP(CONCATENATE($X14,"@",HA$7),choice!$D:$E,2,0)))</f>
        <v/>
      </c>
      <c r="HB14" s="74" t="str">
        <f>IF($X14="","",IF(COUNTIF(choice!$D:$D,CONCATENATE($X14,"@",HB$7))=0,"",VLOOKUP(CONCATENATE($X14,"@",HB$7),choice!$D:$E,2,0)))</f>
        <v/>
      </c>
      <c r="HC14" s="74" t="str">
        <f>IF($X14="","",IF(COUNTIF(choice!$D:$D,CONCATENATE($X14,"@",HC$7))=0,"",VLOOKUP(CONCATENATE($X14,"@",HC$7),choice!$D:$E,2,0)))</f>
        <v/>
      </c>
      <c r="HD14" s="74" t="str">
        <f>IF($X14="","",IF(COUNTIF(choice!$D:$D,CONCATENATE($X14,"@",HD$7))=0,"",VLOOKUP(CONCATENATE($X14,"@",HD$7),choice!$D:$E,2,0)))</f>
        <v/>
      </c>
      <c r="HE14" s="74" t="str">
        <f>IF($X14="","",IF(COUNTIF(choice!$D:$D,CONCATENATE($X14,"@",HE$7))=0,"",VLOOKUP(CONCATENATE($X14,"@",HE$7),choice!$D:$E,2,0)))</f>
        <v/>
      </c>
      <c r="HF14" s="74" t="str">
        <f>IF($X14="","",IF(COUNTIF(choice!$D:$D,CONCATENATE($X14,"@",HF$7))=0,"",VLOOKUP(CONCATENATE($X14,"@",HF$7),choice!$D:$E,2,0)))</f>
        <v/>
      </c>
      <c r="HG14" s="74" t="str">
        <f>IF($X14="","",IF(COUNTIF(choice!$D:$D,CONCATENATE($X14,"@",HG$7))=0,"",VLOOKUP(CONCATENATE($X14,"@",HG$7),choice!$D:$E,2,0)))</f>
        <v/>
      </c>
      <c r="HH14" s="74" t="str">
        <f>IF($X14="","",IF(COUNTIF(choice!$D:$D,CONCATENATE($X14,"@",HH$7))=0,"",VLOOKUP(CONCATENATE($X14,"@",HH$7),choice!$D:$E,2,0)))</f>
        <v/>
      </c>
      <c r="HI14" s="74" t="str">
        <f>IF($X14="","",IF(COUNTIF(choice!$D:$D,CONCATENATE($X14,"@",HI$7))=0,"",VLOOKUP(CONCATENATE($X14,"@",HI$7),choice!$D:$E,2,0)))</f>
        <v/>
      </c>
      <c r="HJ14" s="74" t="str">
        <f>IF($X14="","",IF(COUNTIF(choice!$D:$D,CONCATENATE($X14,"@",HJ$7))=0,"",VLOOKUP(CONCATENATE($X14,"@",HJ$7),choice!$D:$E,2,0)))</f>
        <v/>
      </c>
      <c r="HK14" s="74" t="str">
        <f>IF($X14="","",IF(COUNTIF(choice!$D:$D,CONCATENATE($X14,"@",HK$7))=0,"",VLOOKUP(CONCATENATE($X14,"@",HK$7),choice!$D:$E,2,0)))</f>
        <v/>
      </c>
      <c r="HL14" s="74" t="str">
        <f>IF($X14="","",IF(COUNTIF(choice!$D:$D,CONCATENATE($X14,"@",HL$7))=0,"",VLOOKUP(CONCATENATE($X14,"@",HL$7),choice!$D:$E,2,0)))</f>
        <v/>
      </c>
      <c r="HM14" s="74" t="str">
        <f>IF($X14="","",IF(COUNTIF(choice!$D:$D,CONCATENATE($X14,"@",HM$7))=0,"",VLOOKUP(CONCATENATE($X14,"@",HM$7),choice!$D:$E,2,0)))</f>
        <v/>
      </c>
      <c r="HN14" s="74" t="str">
        <f>IF($X14="","",IF(COUNTIF(choice!$D:$D,CONCATENATE($X14,"@",HN$7))=0,"",VLOOKUP(CONCATENATE($X14,"@",HN$7),choice!$D:$E,2,0)))</f>
        <v/>
      </c>
      <c r="HO14" s="81" t="str">
        <f>IF($X14="","",IF(COUNTIF(choice!$D:$D,CONCATENATE($X14,"@",HO$7))=0,"",VLOOKUP(CONCATENATE($X14,"@",HO$7),choice!$D:$E,2,0)))</f>
        <v/>
      </c>
      <c r="HP14" s="20" t="s">
        <v>64</v>
      </c>
      <c r="HQ14" s="20" t="s">
        <v>65</v>
      </c>
      <c r="HV14" s="74">
        <f t="shared" si="20"/>
        <v>0</v>
      </c>
      <c r="HW14" s="74">
        <f t="shared" si="21"/>
        <v>0</v>
      </c>
      <c r="HX14" s="74">
        <f t="shared" si="22"/>
        <v>0</v>
      </c>
      <c r="HY14" s="74">
        <f t="shared" si="23"/>
        <v>0</v>
      </c>
      <c r="HZ14" s="74">
        <f t="shared" si="30"/>
        <v>0</v>
      </c>
      <c r="IA14" s="74">
        <f t="shared" si="30"/>
        <v>0</v>
      </c>
      <c r="IB14" s="74" t="str">
        <f t="shared" si="31"/>
        <v/>
      </c>
      <c r="IC14" s="74" t="str">
        <f t="shared" si="32"/>
        <v/>
      </c>
      <c r="ID14" s="74" t="str">
        <f t="shared" si="24"/>
        <v/>
      </c>
      <c r="IE14" s="74">
        <f t="shared" si="25"/>
        <v>20</v>
      </c>
      <c r="IF14" s="74">
        <f>COUNTIFS(ID$8:ID14,"BLUE")</f>
        <v>0</v>
      </c>
      <c r="IG14" s="74" t="str">
        <f t="shared" si="26"/>
        <v/>
      </c>
      <c r="IH14" s="74" t="str">
        <f>IF(COUNTIFS($AQ14,"*02*")=0,"",COUNTIFS(IJ$8:IJ14,"BLUE"))</f>
        <v/>
      </c>
      <c r="II14" s="74" t="str">
        <f>IF(COUNTIFS($AQ14,"*04*")=0,"",COUNTIFS(IK$8:IK14,"BLUE"))</f>
        <v/>
      </c>
      <c r="IJ14" s="74" t="str">
        <f t="shared" si="33"/>
        <v/>
      </c>
      <c r="IK14" s="74" t="str">
        <f t="shared" si="34"/>
        <v/>
      </c>
      <c r="IL14" s="74" t="str">
        <f t="shared" si="27"/>
        <v/>
      </c>
      <c r="IM14" s="74" t="str">
        <f t="shared" si="28"/>
        <v/>
      </c>
      <c r="IN14" s="74">
        <f>COUNTIFS(IJ$8:IJ14,"BLUE")</f>
        <v>0</v>
      </c>
      <c r="IO14" s="74">
        <f>COUNTIFS(IK$8:IK14,"BLUE")</f>
        <v>0</v>
      </c>
    </row>
    <row r="15" spans="1:249" s="20" customFormat="1" ht="24.9" customHeight="1">
      <c r="A15" s="33"/>
      <c r="B15" s="39">
        <v>21</v>
      </c>
      <c r="C15" s="155"/>
      <c r="D15" s="174"/>
      <c r="E15" s="89" t="e">
        <f>VLOOKUP(F15,'Radio Call Sign'!A:B,2)</f>
        <v>#N/A</v>
      </c>
      <c r="F15" s="88"/>
      <c r="G15" s="89" t="e">
        <f>VLOOKUP(H15,'Radio Call Sign'!A:B,2)</f>
        <v>#N/A</v>
      </c>
      <c r="H15" s="88"/>
      <c r="I15" s="89" t="str">
        <f t="shared" si="12"/>
        <v/>
      </c>
      <c r="J15" s="90" t="str">
        <f t="shared" si="17"/>
        <v/>
      </c>
      <c r="K15" s="86" t="str">
        <f t="shared" si="18"/>
        <v/>
      </c>
      <c r="L15" s="155"/>
      <c r="M15" s="190" t="str">
        <f t="shared" si="19"/>
        <v/>
      </c>
      <c r="N15" s="21"/>
      <c r="O15" s="21"/>
      <c r="P15" s="53"/>
      <c r="Q15" s="163" t="str">
        <f>IF(AA15="","",IF(COUNTIFS('overhead line area'!$D$3:$D$100,AA15)+COUNTIFS('overhead line area'!$D$3:$D$100,AB15)+COUNTIFS('overhead line area'!$D$3:$D$100,AC15)+COUNTIFS('overhead line area'!$D$3:$D$100,AD15)=0,"","*               "))</f>
        <v/>
      </c>
      <c r="R15" s="53"/>
      <c r="S15" s="24"/>
      <c r="U15" s="74"/>
      <c r="V15" s="74"/>
      <c r="W15" s="74"/>
      <c r="X15" s="74"/>
      <c r="Y15" s="74"/>
      <c r="AA15" s="74" t="str">
        <f t="shared" si="13"/>
        <v/>
      </c>
      <c r="AB15" s="74" t="str">
        <f t="shared" si="29"/>
        <v/>
      </c>
      <c r="AC15" s="74" t="str">
        <f t="shared" si="35"/>
        <v/>
      </c>
      <c r="AD15" s="74" t="str">
        <f t="shared" si="36"/>
        <v/>
      </c>
      <c r="AF15" s="74" t="str">
        <f>IF(AA15="","",IF(COUNTIF(Route!$AM:$AM,'Train Movement Log (page.2)'!AA15)=0,"未有資料",VLOOKUP('Train Movement Log (page.2)'!AA15,Route!$AM:$AP,3,0)))</f>
        <v/>
      </c>
      <c r="AG15" s="74" t="str">
        <f>IF(AB15="","",IF(COUNTIF(Route!$AM:$AM,'Train Movement Log (page.2)'!AB15)=0,"未有資料",VLOOKUP('Train Movement Log (page.2)'!AB15,Route!$AM:$AP,3,0)))</f>
        <v/>
      </c>
      <c r="AH15" s="74" t="str">
        <f>IF(AC15="","",IF(COUNTIF(Route!$AM:$AM,'Train Movement Log (page.2)'!AC15)=0,"未有資料",VLOOKUP('Train Movement Log (page.2)'!AC15,Route!$AM:$AP,3,0)))</f>
        <v/>
      </c>
      <c r="AI15" s="74" t="str">
        <f>IF(AD15="","",IF(COUNTIF(Route!$AM:$AM,'Train Movement Log (page.2)'!AD15)=0,"未有資料",VLOOKUP('Train Movement Log (page.2)'!AD15,Route!$AM:$AP,3,0)))</f>
        <v/>
      </c>
      <c r="AK15" s="74" t="str">
        <f>IF(AA15="","",IF(COUNTIF(Route!$AM:$AM,'Train Movement Log (page.2)'!AA15)=0,"未有資料",VLOOKUP('Train Movement Log (page.2)'!AA15,Route!$AM:$AP,4,0)))</f>
        <v/>
      </c>
      <c r="AL15" s="74" t="str">
        <f>IF(AB15="","",IF(COUNTIF(Route!$AM:$AM,'Train Movement Log (page.2)'!AB15)=0,"未有資料",VLOOKUP('Train Movement Log (page.2)'!AB15,Route!$AM:$AP,4,0)))</f>
        <v/>
      </c>
      <c r="AM15" s="74" t="str">
        <f>IF(AC15="","",IF(COUNTIF(Route!$AM:$AM,'Train Movement Log (page.2)'!AC15)=0,"未有資料",VLOOKUP('Train Movement Log (page.2)'!AC15,Route!$AM:$AP,4,0)))</f>
        <v/>
      </c>
      <c r="AN15" s="74" t="str">
        <f>IF(AD15="","",IF(COUNTIF(Route!$AM:$AM,'Train Movement Log (page.2)'!AD15)=0,"未有資料",VLOOKUP('Train Movement Log (page.2)'!AD15,Route!$AM:$AP,4,0)))</f>
        <v/>
      </c>
      <c r="AP15" s="74" t="str">
        <f t="shared" si="15"/>
        <v/>
      </c>
      <c r="AQ15" s="76" t="str">
        <f t="shared" si="16"/>
        <v/>
      </c>
      <c r="AR15" s="80" t="str">
        <f>IF($U15="","",IF(COUNTIF(choice!$D:$D,CONCATENATE($U15,"@",AR$7))=0,"",VLOOKUP(CONCATENATE($U15,"@",AR$7),choice!$D:$E,2,0)))</f>
        <v/>
      </c>
      <c r="AS15" s="74" t="str">
        <f>IF($U15="","",IF(COUNTIF(choice!$D:$D,CONCATENATE($U15,"@",AS$7))=0,"",VLOOKUP(CONCATENATE($U15,"@",AS$7),choice!$D:$E,2,0)))</f>
        <v/>
      </c>
      <c r="AT15" s="74" t="str">
        <f>IF($U15="","",IF(COUNTIF(choice!$D:$D,CONCATENATE($U15,"@",AT$7))=0,"",VLOOKUP(CONCATENATE($U15,"@",AT$7),choice!$D:$E,2,0)))</f>
        <v/>
      </c>
      <c r="AU15" s="74" t="str">
        <f>IF($U15="","",IF(COUNTIF(choice!$D:$D,CONCATENATE($U15,"@",AU$7))=0,"",VLOOKUP(CONCATENATE($U15,"@",AU$7),choice!$D:$E,2,0)))</f>
        <v/>
      </c>
      <c r="AV15" s="74" t="str">
        <f>IF($U15="","",IF(COUNTIF(choice!$D:$D,CONCATENATE($U15,"@",AV$7))=0,"",VLOOKUP(CONCATENATE($U15,"@",AV$7),choice!$D:$E,2,0)))</f>
        <v/>
      </c>
      <c r="AW15" s="74" t="str">
        <f>IF($U15="","",IF(COUNTIF(choice!$D:$D,CONCATENATE($U15,"@",AW$7))=0,"",VLOOKUP(CONCATENATE($U15,"@",AW$7),choice!$D:$E,2,0)))</f>
        <v/>
      </c>
      <c r="AX15" s="74" t="str">
        <f>IF($U15="","",IF(COUNTIF(choice!$D:$D,CONCATENATE($U15,"@",AX$7))=0,"",VLOOKUP(CONCATENATE($U15,"@",AX$7),choice!$D:$E,2,0)))</f>
        <v/>
      </c>
      <c r="AY15" s="74" t="str">
        <f>IF($U15="","",IF(COUNTIF(choice!$D:$D,CONCATENATE($U15,"@",AY$7))=0,"",VLOOKUP(CONCATENATE($U15,"@",AY$7),choice!$D:$E,2,0)))</f>
        <v/>
      </c>
      <c r="AZ15" s="74" t="str">
        <f>IF($U15="","",IF(COUNTIF(choice!$D:$D,CONCATENATE($U15,"@",AZ$7))=0,"",VLOOKUP(CONCATENATE($U15,"@",AZ$7),choice!$D:$E,2,0)))</f>
        <v/>
      </c>
      <c r="BA15" s="74" t="str">
        <f>IF($U15="","",IF(COUNTIF(choice!$D:$D,CONCATENATE($U15,"@",BA$7))=0,"",VLOOKUP(CONCATENATE($U15,"@",BA$7),choice!$D:$E,2,0)))</f>
        <v/>
      </c>
      <c r="BB15" s="74" t="str">
        <f>IF($U15="","",IF(COUNTIF(choice!$D:$D,CONCATENATE($U15,"@",BB$7))=0,"",VLOOKUP(CONCATENATE($U15,"@",BB$7),choice!$D:$E,2,0)))</f>
        <v/>
      </c>
      <c r="BC15" s="74" t="str">
        <f>IF($U15="","",IF(COUNTIF(choice!$D:$D,CONCATENATE($U15,"@",BC$7))=0,"",VLOOKUP(CONCATENATE($U15,"@",BC$7),choice!$D:$E,2,0)))</f>
        <v/>
      </c>
      <c r="BD15" s="74" t="str">
        <f>IF($U15="","",IF(COUNTIF(choice!$D:$D,CONCATENATE($U15,"@",BD$7))=0,"",VLOOKUP(CONCATENATE($U15,"@",BD$7),choice!$D:$E,2,0)))</f>
        <v/>
      </c>
      <c r="BE15" s="74" t="str">
        <f>IF($U15="","",IF(COUNTIF(choice!$D:$D,CONCATENATE($U15,"@",BE$7))=0,"",VLOOKUP(CONCATENATE($U15,"@",BE$7),choice!$D:$E,2,0)))</f>
        <v/>
      </c>
      <c r="BF15" s="74" t="str">
        <f>IF($U15="","",IF(COUNTIF(choice!$D:$D,CONCATENATE($U15,"@",BF$7))=0,"",VLOOKUP(CONCATENATE($U15,"@",BF$7),choice!$D:$E,2,0)))</f>
        <v/>
      </c>
      <c r="BG15" s="74" t="str">
        <f>IF($U15="","",IF(COUNTIF(choice!$D:$D,CONCATENATE($U15,"@",BG$7))=0,"",VLOOKUP(CONCATENATE($U15,"@",BG$7),choice!$D:$E,2,0)))</f>
        <v/>
      </c>
      <c r="BH15" s="74" t="str">
        <f>IF($U15="","",IF(COUNTIF(choice!$D:$D,CONCATENATE($U15,"@",BH$7))=0,"",VLOOKUP(CONCATENATE($U15,"@",BH$7),choice!$D:$E,2,0)))</f>
        <v/>
      </c>
      <c r="BI15" s="74" t="str">
        <f>IF($U15="","",IF(COUNTIF(choice!$D:$D,CONCATENATE($U15,"@",BI$7))=0,"",VLOOKUP(CONCATENATE($U15,"@",BI$7),choice!$D:$E,2,0)))</f>
        <v/>
      </c>
      <c r="BJ15" s="74" t="str">
        <f>IF($U15="","",IF(COUNTIF(choice!$D:$D,CONCATENATE($U15,"@",BJ$7))=0,"",VLOOKUP(CONCATENATE($U15,"@",BJ$7),choice!$D:$E,2,0)))</f>
        <v/>
      </c>
      <c r="BK15" s="74" t="str">
        <f>IF($U15="","",IF(COUNTIF(choice!$D:$D,CONCATENATE($U15,"@",BK$7))=0,"",VLOOKUP(CONCATENATE($U15,"@",BK$7),choice!$D:$E,2,0)))</f>
        <v/>
      </c>
      <c r="BL15" s="74" t="str">
        <f>IF($U15="","",IF(COUNTIF(choice!$D:$D,CONCATENATE($U15,"@",BL$7))=0,"",VLOOKUP(CONCATENATE($U15,"@",BL$7),choice!$D:$E,2,0)))</f>
        <v/>
      </c>
      <c r="BM15" s="74" t="str">
        <f>IF($U15="","",IF(COUNTIF(choice!$D:$D,CONCATENATE($U15,"@",BM$7))=0,"",VLOOKUP(CONCATENATE($U15,"@",BM$7),choice!$D:$E,2,0)))</f>
        <v/>
      </c>
      <c r="BN15" s="74" t="str">
        <f>IF($U15="","",IF(COUNTIF(choice!$D:$D,CONCATENATE($U15,"@",BN$7))=0,"",VLOOKUP(CONCATENATE($U15,"@",BN$7),choice!$D:$E,2,0)))</f>
        <v/>
      </c>
      <c r="BO15" s="74" t="str">
        <f>IF($U15="","",IF(COUNTIF(choice!$D:$D,CONCATENATE($U15,"@",BO$7))=0,"",VLOOKUP(CONCATENATE($U15,"@",BO$7),choice!$D:$E,2,0)))</f>
        <v/>
      </c>
      <c r="BP15" s="74" t="str">
        <f>IF($U15="","",IF(COUNTIF(choice!$D:$D,CONCATENATE($U15,"@",BP$7))=0,"",VLOOKUP(CONCATENATE($U15,"@",BP$7),choice!$D:$E,2,0)))</f>
        <v/>
      </c>
      <c r="BQ15" s="74" t="str">
        <f>IF($U15="","",IF(COUNTIF(choice!$D:$D,CONCATENATE($U15,"@",BQ$7))=0,"",VLOOKUP(CONCATENATE($U15,"@",BQ$7),choice!$D:$E,2,0)))</f>
        <v/>
      </c>
      <c r="BR15" s="74" t="str">
        <f>IF($U15="","",IF(COUNTIF(choice!$D:$D,CONCATENATE($U15,"@",BR$7))=0,"",VLOOKUP(CONCATENATE($U15,"@",BR$7),choice!$D:$E,2,0)))</f>
        <v/>
      </c>
      <c r="BS15" s="74" t="str">
        <f>IF($U15="","",IF(COUNTIF(choice!$D:$D,CONCATENATE($U15,"@",BS$7))=0,"",VLOOKUP(CONCATENATE($U15,"@",BS$7),choice!$D:$E,2,0)))</f>
        <v/>
      </c>
      <c r="BT15" s="74" t="str">
        <f>IF($U15="","",IF(COUNTIF(choice!$D:$D,CONCATENATE($U15,"@",BT$7))=0,"",VLOOKUP(CONCATENATE($U15,"@",BT$7),choice!$D:$E,2,0)))</f>
        <v/>
      </c>
      <c r="BU15" s="74" t="str">
        <f>IF($U15="","",IF(COUNTIF(choice!$D:$D,CONCATENATE($U15,"@",BU$7))=0,"",VLOOKUP(CONCATENATE($U15,"@",BU$7),choice!$D:$E,2,0)))</f>
        <v/>
      </c>
      <c r="BV15" s="74" t="str">
        <f>IF($U15="","",IF(COUNTIF(choice!$D:$D,CONCATENATE($U15,"@",BV$7))=0,"",VLOOKUP(CONCATENATE($U15,"@",BV$7),choice!$D:$E,2,0)))</f>
        <v/>
      </c>
      <c r="BW15" s="74" t="str">
        <f>IF($U15="","",IF(COUNTIF(choice!$D:$D,CONCATENATE($U15,"@",BW$7))=0,"",VLOOKUP(CONCATENATE($U15,"@",BW$7),choice!$D:$E,2,0)))</f>
        <v/>
      </c>
      <c r="BX15" s="74" t="str">
        <f>IF($U15="","",IF(COUNTIF(choice!$D:$D,CONCATENATE($U15,"@",BX$7))=0,"",VLOOKUP(CONCATENATE($U15,"@",BX$7),choice!$D:$E,2,0)))</f>
        <v/>
      </c>
      <c r="BY15" s="74" t="str">
        <f>IF($U15="","",IF(COUNTIF(choice!$D:$D,CONCATENATE($U15,"@",BY$7))=0,"",VLOOKUP(CONCATENATE($U15,"@",BY$7),choice!$D:$E,2,0)))</f>
        <v/>
      </c>
      <c r="BZ15" s="74" t="str">
        <f>IF($U15="","",IF(COUNTIF(choice!$D:$D,CONCATENATE($U15,"@",BZ$7))=0,"",VLOOKUP(CONCATENATE($U15,"@",BZ$7),choice!$D:$E,2,0)))</f>
        <v/>
      </c>
      <c r="CA15" s="74" t="str">
        <f>IF($U15="","",IF(COUNTIF(choice!$D:$D,CONCATENATE($U15,"@",CA$7))=0,"",VLOOKUP(CONCATENATE($U15,"@",CA$7),choice!$D:$E,2,0)))</f>
        <v/>
      </c>
      <c r="CB15" s="74" t="str">
        <f>IF($U15="","",IF(COUNTIF(choice!$D:$D,CONCATENATE($U15,"@",CB$7))=0,"",VLOOKUP(CONCATENATE($U15,"@",CB$7),choice!$D:$E,2,0)))</f>
        <v/>
      </c>
      <c r="CC15" s="74" t="str">
        <f>IF($U15="","",IF(COUNTIF(choice!$D:$D,CONCATENATE($U15,"@",CC$7))=0,"",VLOOKUP(CONCATENATE($U15,"@",CC$7),choice!$D:$E,2,0)))</f>
        <v/>
      </c>
      <c r="CD15" s="74" t="str">
        <f>IF($U15="","",IF(COUNTIF(choice!$D:$D,CONCATENATE($U15,"@",CD$7))=0,"",VLOOKUP(CONCATENATE($U15,"@",CD$7),choice!$D:$E,2,0)))</f>
        <v/>
      </c>
      <c r="CE15" s="74" t="str">
        <f>IF($U15="","",IF(COUNTIF(choice!$D:$D,CONCATENATE($U15,"@",CE$7))=0,"",VLOOKUP(CONCATENATE($U15,"@",CE$7),choice!$D:$E,2,0)))</f>
        <v/>
      </c>
      <c r="CF15" s="74" t="str">
        <f>IF($U15="","",IF(COUNTIF(choice!$D:$D,CONCATENATE($U15,"@",CF$7))=0,"",VLOOKUP(CONCATENATE($U15,"@",CF$7),choice!$D:$E,2,0)))</f>
        <v/>
      </c>
      <c r="CG15" s="74" t="str">
        <f>IF($U15="","",IF(COUNTIF(choice!$D:$D,CONCATENATE($U15,"@",CG$7))=0,"",VLOOKUP(CONCATENATE($U15,"@",CG$7),choice!$D:$E,2,0)))</f>
        <v/>
      </c>
      <c r="CH15" s="74" t="str">
        <f>IF($U15="","",IF(COUNTIF(choice!$D:$D,CONCATENATE($U15,"@",CH$7))=0,"",VLOOKUP(CONCATENATE($U15,"@",CH$7),choice!$D:$E,2,0)))</f>
        <v/>
      </c>
      <c r="CI15" s="74" t="str">
        <f>IF($U15="","",IF(COUNTIF(choice!$D:$D,CONCATENATE($U15,"@",CI$7))=0,"",VLOOKUP(CONCATENATE($U15,"@",CI$7),choice!$D:$E,2,0)))</f>
        <v/>
      </c>
      <c r="CJ15" s="81" t="str">
        <f>IF($U15="","",IF(COUNTIF(choice!$D:$D,CONCATENATE($U15,"@",CJ$7))=0,"",VLOOKUP(CONCATENATE($U15,"@",CJ$7),choice!$D:$E,2,0)))</f>
        <v/>
      </c>
      <c r="CK15" s="80" t="str">
        <f>IF($V15="","",IF(COUNTIF(choice!$D:$D,CONCATENATE($V15,"@",CK$7))=0,"",VLOOKUP(CONCATENATE($V15,"@",CK$7),choice!$D:$E,2,0)))</f>
        <v/>
      </c>
      <c r="CL15" s="74" t="str">
        <f>IF($V15="","",IF(COUNTIF(choice!$D:$D,CONCATENATE($V15,"@",CL$7))=0,"",VLOOKUP(CONCATENATE($V15,"@",CL$7),choice!$D:$E,2,0)))</f>
        <v/>
      </c>
      <c r="CM15" s="74" t="str">
        <f>IF($V15="","",IF(COUNTIF(choice!$D:$D,CONCATENATE($V15,"@",CM$7))=0,"",VLOOKUP(CONCATENATE($V15,"@",CM$7),choice!$D:$E,2,0)))</f>
        <v/>
      </c>
      <c r="CN15" s="74" t="str">
        <f>IF($V15="","",IF(COUNTIF(choice!$D:$D,CONCATENATE($V15,"@",CN$7))=0,"",VLOOKUP(CONCATENATE($V15,"@",CN$7),choice!$D:$E,2,0)))</f>
        <v/>
      </c>
      <c r="CO15" s="74" t="str">
        <f>IF($V15="","",IF(COUNTIF(choice!$D:$D,CONCATENATE($V15,"@",CO$7))=0,"",VLOOKUP(CONCATENATE($V15,"@",CO$7),choice!$D:$E,2,0)))</f>
        <v/>
      </c>
      <c r="CP15" s="74" t="str">
        <f>IF($V15="","",IF(COUNTIF(choice!$D:$D,CONCATENATE($V15,"@",CP$7))=0,"",VLOOKUP(CONCATENATE($V15,"@",CP$7),choice!$D:$E,2,0)))</f>
        <v/>
      </c>
      <c r="CQ15" s="74" t="str">
        <f>IF($V15="","",IF(COUNTIF(choice!$D:$D,CONCATENATE($V15,"@",CQ$7))=0,"",VLOOKUP(CONCATENATE($V15,"@",CQ$7),choice!$D:$E,2,0)))</f>
        <v/>
      </c>
      <c r="CR15" s="74" t="str">
        <f>IF($V15="","",IF(COUNTIF(choice!$D:$D,CONCATENATE($V15,"@",CR$7))=0,"",VLOOKUP(CONCATENATE($V15,"@",CR$7),choice!$D:$E,2,0)))</f>
        <v/>
      </c>
      <c r="CS15" s="74" t="str">
        <f>IF($V15="","",IF(COUNTIF(choice!$D:$D,CONCATENATE($V15,"@",CS$7))=0,"",VLOOKUP(CONCATENATE($V15,"@",CS$7),choice!$D:$E,2,0)))</f>
        <v/>
      </c>
      <c r="CT15" s="74" t="str">
        <f>IF($V15="","",IF(COUNTIF(choice!$D:$D,CONCATENATE($V15,"@",CT$7))=0,"",VLOOKUP(CONCATENATE($V15,"@",CT$7),choice!$D:$E,2,0)))</f>
        <v/>
      </c>
      <c r="CU15" s="74" t="str">
        <f>IF($V15="","",IF(COUNTIF(choice!$D:$D,CONCATENATE($V15,"@",CU$7))=0,"",VLOOKUP(CONCATENATE($V15,"@",CU$7),choice!$D:$E,2,0)))</f>
        <v/>
      </c>
      <c r="CV15" s="74" t="str">
        <f>IF($V15="","",IF(COUNTIF(choice!$D:$D,CONCATENATE($V15,"@",CV$7))=0,"",VLOOKUP(CONCATENATE($V15,"@",CV$7),choice!$D:$E,2,0)))</f>
        <v/>
      </c>
      <c r="CW15" s="74" t="str">
        <f>IF($V15="","",IF(COUNTIF(choice!$D:$D,CONCATENATE($V15,"@",CW$7))=0,"",VLOOKUP(CONCATENATE($V15,"@",CW$7),choice!$D:$E,2,0)))</f>
        <v/>
      </c>
      <c r="CX15" s="74" t="str">
        <f>IF($V15="","",IF(COUNTIF(choice!$D:$D,CONCATENATE($V15,"@",CX$7))=0,"",VLOOKUP(CONCATENATE($V15,"@",CX$7),choice!$D:$E,2,0)))</f>
        <v/>
      </c>
      <c r="CY15" s="74" t="str">
        <f>IF($V15="","",IF(COUNTIF(choice!$D:$D,CONCATENATE($V15,"@",CY$7))=0,"",VLOOKUP(CONCATENATE($V15,"@",CY$7),choice!$D:$E,2,0)))</f>
        <v/>
      </c>
      <c r="CZ15" s="74" t="str">
        <f>IF($V15="","",IF(COUNTIF(choice!$D:$D,CONCATENATE($V15,"@",CZ$7))=0,"",VLOOKUP(CONCATENATE($V15,"@",CZ$7),choice!$D:$E,2,0)))</f>
        <v/>
      </c>
      <c r="DA15" s="74" t="str">
        <f>IF($V15="","",IF(COUNTIF(choice!$D:$D,CONCATENATE($V15,"@",DA$7))=0,"",VLOOKUP(CONCATENATE($V15,"@",DA$7),choice!$D:$E,2,0)))</f>
        <v/>
      </c>
      <c r="DB15" s="74" t="str">
        <f>IF($V15="","",IF(COUNTIF(choice!$D:$D,CONCATENATE($V15,"@",DB$7))=0,"",VLOOKUP(CONCATENATE($V15,"@",DB$7),choice!$D:$E,2,0)))</f>
        <v/>
      </c>
      <c r="DC15" s="74" t="str">
        <f>IF($V15="","",IF(COUNTIF(choice!$D:$D,CONCATENATE($V15,"@",DC$7))=0,"",VLOOKUP(CONCATENATE($V15,"@",DC$7),choice!$D:$E,2,0)))</f>
        <v/>
      </c>
      <c r="DD15" s="74" t="str">
        <f>IF($V15="","",IF(COUNTIF(choice!$D:$D,CONCATENATE($V15,"@",DD$7))=0,"",VLOOKUP(CONCATENATE($V15,"@",DD$7),choice!$D:$E,2,0)))</f>
        <v/>
      </c>
      <c r="DE15" s="74" t="str">
        <f>IF($V15="","",IF(COUNTIF(choice!$D:$D,CONCATENATE($V15,"@",DE$7))=0,"",VLOOKUP(CONCATENATE($V15,"@",DE$7),choice!$D:$E,2,0)))</f>
        <v/>
      </c>
      <c r="DF15" s="74" t="str">
        <f>IF($V15="","",IF(COUNTIF(choice!$D:$D,CONCATENATE($V15,"@",DF$7))=0,"",VLOOKUP(CONCATENATE($V15,"@",DF$7),choice!$D:$E,2,0)))</f>
        <v/>
      </c>
      <c r="DG15" s="74" t="str">
        <f>IF($V15="","",IF(COUNTIF(choice!$D:$D,CONCATENATE($V15,"@",DG$7))=0,"",VLOOKUP(CONCATENATE($V15,"@",DG$7),choice!$D:$E,2,0)))</f>
        <v/>
      </c>
      <c r="DH15" s="74" t="str">
        <f>IF($V15="","",IF(COUNTIF(choice!$D:$D,CONCATENATE($V15,"@",DH$7))=0,"",VLOOKUP(CONCATENATE($V15,"@",DH$7),choice!$D:$E,2,0)))</f>
        <v/>
      </c>
      <c r="DI15" s="74" t="str">
        <f>IF($V15="","",IF(COUNTIF(choice!$D:$D,CONCATENATE($V15,"@",DI$7))=0,"",VLOOKUP(CONCATENATE($V15,"@",DI$7),choice!$D:$E,2,0)))</f>
        <v/>
      </c>
      <c r="DJ15" s="74" t="str">
        <f>IF($V15="","",IF(COUNTIF(choice!$D:$D,CONCATENATE($V15,"@",DJ$7))=0,"",VLOOKUP(CONCATENATE($V15,"@",DJ$7),choice!$D:$E,2,0)))</f>
        <v/>
      </c>
      <c r="DK15" s="74" t="str">
        <f>IF($V15="","",IF(COUNTIF(choice!$D:$D,CONCATENATE($V15,"@",DK$7))=0,"",VLOOKUP(CONCATENATE($V15,"@",DK$7),choice!$D:$E,2,0)))</f>
        <v/>
      </c>
      <c r="DL15" s="74" t="str">
        <f>IF($V15="","",IF(COUNTIF(choice!$D:$D,CONCATENATE($V15,"@",DL$7))=0,"",VLOOKUP(CONCATENATE($V15,"@",DL$7),choice!$D:$E,2,0)))</f>
        <v/>
      </c>
      <c r="DM15" s="74" t="str">
        <f>IF($V15="","",IF(COUNTIF(choice!$D:$D,CONCATENATE($V15,"@",DM$7))=0,"",VLOOKUP(CONCATENATE($V15,"@",DM$7),choice!$D:$E,2,0)))</f>
        <v/>
      </c>
      <c r="DN15" s="74" t="str">
        <f>IF($V15="","",IF(COUNTIF(choice!$D:$D,CONCATENATE($V15,"@",DN$7))=0,"",VLOOKUP(CONCATENATE($V15,"@",DN$7),choice!$D:$E,2,0)))</f>
        <v/>
      </c>
      <c r="DO15" s="74" t="str">
        <f>IF($V15="","",IF(COUNTIF(choice!$D:$D,CONCATENATE($V15,"@",DO$7))=0,"",VLOOKUP(CONCATENATE($V15,"@",DO$7),choice!$D:$E,2,0)))</f>
        <v/>
      </c>
      <c r="DP15" s="74" t="str">
        <f>IF($V15="","",IF(COUNTIF(choice!$D:$D,CONCATENATE($V15,"@",DP$7))=0,"",VLOOKUP(CONCATENATE($V15,"@",DP$7),choice!$D:$E,2,0)))</f>
        <v/>
      </c>
      <c r="DQ15" s="74" t="str">
        <f>IF($V15="","",IF(COUNTIF(choice!$D:$D,CONCATENATE($V15,"@",DQ$7))=0,"",VLOOKUP(CONCATENATE($V15,"@",DQ$7),choice!$D:$E,2,0)))</f>
        <v/>
      </c>
      <c r="DR15" s="74" t="str">
        <f>IF($V15="","",IF(COUNTIF(choice!$D:$D,CONCATENATE($V15,"@",DR$7))=0,"",VLOOKUP(CONCATENATE($V15,"@",DR$7),choice!$D:$E,2,0)))</f>
        <v/>
      </c>
      <c r="DS15" s="74" t="str">
        <f>IF($V15="","",IF(COUNTIF(choice!$D:$D,CONCATENATE($V15,"@",DS$7))=0,"",VLOOKUP(CONCATENATE($V15,"@",DS$7),choice!$D:$E,2,0)))</f>
        <v/>
      </c>
      <c r="DT15" s="74" t="str">
        <f>IF($V15="","",IF(COUNTIF(choice!$D:$D,CONCATENATE($V15,"@",DT$7))=0,"",VLOOKUP(CONCATENATE($V15,"@",DT$7),choice!$D:$E,2,0)))</f>
        <v/>
      </c>
      <c r="DU15" s="74" t="str">
        <f>IF($V15="","",IF(COUNTIF(choice!$D:$D,CONCATENATE($V15,"@",DU$7))=0,"",VLOOKUP(CONCATENATE($V15,"@",DU$7),choice!$D:$E,2,0)))</f>
        <v/>
      </c>
      <c r="DV15" s="74" t="str">
        <f>IF($V15="","",IF(COUNTIF(choice!$D:$D,CONCATENATE($V15,"@",DV$7))=0,"",VLOOKUP(CONCATENATE($V15,"@",DV$7),choice!$D:$E,2,0)))</f>
        <v/>
      </c>
      <c r="DW15" s="74" t="str">
        <f>IF($V15="","",IF(COUNTIF(choice!$D:$D,CONCATENATE($V15,"@",DW$7))=0,"",VLOOKUP(CONCATENATE($V15,"@",DW$7),choice!$D:$E,2,0)))</f>
        <v/>
      </c>
      <c r="DX15" s="74" t="str">
        <f>IF($V15="","",IF(COUNTIF(choice!$D:$D,CONCATENATE($V15,"@",DX$7))=0,"",VLOOKUP(CONCATENATE($V15,"@",DX$7),choice!$D:$E,2,0)))</f>
        <v/>
      </c>
      <c r="DY15" s="74" t="str">
        <f>IF($V15="","",IF(COUNTIF(choice!$D:$D,CONCATENATE($V15,"@",DY$7))=0,"",VLOOKUP(CONCATENATE($V15,"@",DY$7),choice!$D:$E,2,0)))</f>
        <v/>
      </c>
      <c r="DZ15" s="74" t="str">
        <f>IF($V15="","",IF(COUNTIF(choice!$D:$D,CONCATENATE($V15,"@",DZ$7))=0,"",VLOOKUP(CONCATENATE($V15,"@",DZ$7),choice!$D:$E,2,0)))</f>
        <v/>
      </c>
      <c r="EA15" s="74" t="str">
        <f>IF($V15="","",IF(COUNTIF(choice!$D:$D,CONCATENATE($V15,"@",EA$7))=0,"",VLOOKUP(CONCATENATE($V15,"@",EA$7),choice!$D:$E,2,0)))</f>
        <v/>
      </c>
      <c r="EB15" s="74" t="str">
        <f>IF($V15="","",IF(COUNTIF(choice!$D:$D,CONCATENATE($V15,"@",EB$7))=0,"",VLOOKUP(CONCATENATE($V15,"@",EB$7),choice!$D:$E,2,0)))</f>
        <v/>
      </c>
      <c r="EC15" s="81" t="str">
        <f>IF($V15="","",IF(COUNTIF(choice!$D:$D,CONCATENATE($V15,"@",EC$7))=0,"",VLOOKUP(CONCATENATE($V15,"@",EC$7),choice!$D:$E,2,0)))</f>
        <v/>
      </c>
      <c r="ED15" s="80" t="str">
        <f>IF($W15="","",IF(COUNTIF(choice!$D:$D,CONCATENATE($W15,"@",ED$7))=0,"",VLOOKUP(CONCATENATE($W15,"@",ED$7),choice!$D:$E,2,0)))</f>
        <v/>
      </c>
      <c r="EE15" s="74" t="str">
        <f>IF($W15="","",IF(COUNTIF(choice!$D:$D,CONCATENATE($W15,"@",EE$7))=0,"",VLOOKUP(CONCATENATE($W15,"@",EE$7),choice!$D:$E,2,0)))</f>
        <v/>
      </c>
      <c r="EF15" s="74" t="str">
        <f>IF($W15="","",IF(COUNTIF(choice!$D:$D,CONCATENATE($W15,"@",EF$7))=0,"",VLOOKUP(CONCATENATE($W15,"@",EF$7),choice!$D:$E,2,0)))</f>
        <v/>
      </c>
      <c r="EG15" s="74" t="str">
        <f>IF($W15="","",IF(COUNTIF(choice!$D:$D,CONCATENATE($W15,"@",EG$7))=0,"",VLOOKUP(CONCATENATE($W15,"@",EG$7),choice!$D:$E,2,0)))</f>
        <v/>
      </c>
      <c r="EH15" s="74" t="str">
        <f>IF($W15="","",IF(COUNTIF(choice!$D:$D,CONCATENATE($W15,"@",EH$7))=0,"",VLOOKUP(CONCATENATE($W15,"@",EH$7),choice!$D:$E,2,0)))</f>
        <v/>
      </c>
      <c r="EI15" s="74" t="str">
        <f>IF($W15="","",IF(COUNTIF(choice!$D:$D,CONCATENATE($W15,"@",EI$7))=0,"",VLOOKUP(CONCATENATE($W15,"@",EI$7),choice!$D:$E,2,0)))</f>
        <v/>
      </c>
      <c r="EJ15" s="74" t="str">
        <f>IF($W15="","",IF(COUNTIF(choice!$D:$D,CONCATENATE($W15,"@",EJ$7))=0,"",VLOOKUP(CONCATENATE($W15,"@",EJ$7),choice!$D:$E,2,0)))</f>
        <v/>
      </c>
      <c r="EK15" s="74" t="str">
        <f>IF($W15="","",IF(COUNTIF(choice!$D:$D,CONCATENATE($W15,"@",EK$7))=0,"",VLOOKUP(CONCATENATE($W15,"@",EK$7),choice!$D:$E,2,0)))</f>
        <v/>
      </c>
      <c r="EL15" s="74" t="str">
        <f>IF($W15="","",IF(COUNTIF(choice!$D:$D,CONCATENATE($W15,"@",EL$7))=0,"",VLOOKUP(CONCATENATE($W15,"@",EL$7),choice!$D:$E,2,0)))</f>
        <v/>
      </c>
      <c r="EM15" s="74" t="str">
        <f>IF($W15="","",IF(COUNTIF(choice!$D:$D,CONCATENATE($W15,"@",EM$7))=0,"",VLOOKUP(CONCATENATE($W15,"@",EM$7),choice!$D:$E,2,0)))</f>
        <v/>
      </c>
      <c r="EN15" s="74" t="str">
        <f>IF($W15="","",IF(COUNTIF(choice!$D:$D,CONCATENATE($W15,"@",EN$7))=0,"",VLOOKUP(CONCATENATE($W15,"@",EN$7),choice!$D:$E,2,0)))</f>
        <v/>
      </c>
      <c r="EO15" s="74" t="str">
        <f>IF($W15="","",IF(COUNTIF(choice!$D:$D,CONCATENATE($W15,"@",EO$7))=0,"",VLOOKUP(CONCATENATE($W15,"@",EO$7),choice!$D:$E,2,0)))</f>
        <v/>
      </c>
      <c r="EP15" s="74" t="str">
        <f>IF($W15="","",IF(COUNTIF(choice!$D:$D,CONCATENATE($W15,"@",EP$7))=0,"",VLOOKUP(CONCATENATE($W15,"@",EP$7),choice!$D:$E,2,0)))</f>
        <v/>
      </c>
      <c r="EQ15" s="74" t="str">
        <f>IF($W15="","",IF(COUNTIF(choice!$D:$D,CONCATENATE($W15,"@",EQ$7))=0,"",VLOOKUP(CONCATENATE($W15,"@",EQ$7),choice!$D:$E,2,0)))</f>
        <v/>
      </c>
      <c r="ER15" s="74" t="str">
        <f>IF($W15="","",IF(COUNTIF(choice!$D:$D,CONCATENATE($W15,"@",ER$7))=0,"",VLOOKUP(CONCATENATE($W15,"@",ER$7),choice!$D:$E,2,0)))</f>
        <v/>
      </c>
      <c r="ES15" s="74" t="str">
        <f>IF($W15="","",IF(COUNTIF(choice!$D:$D,CONCATENATE($W15,"@",ES$7))=0,"",VLOOKUP(CONCATENATE($W15,"@",ES$7),choice!$D:$E,2,0)))</f>
        <v/>
      </c>
      <c r="ET15" s="74" t="str">
        <f>IF($W15="","",IF(COUNTIF(choice!$D:$D,CONCATENATE($W15,"@",ET$7))=0,"",VLOOKUP(CONCATENATE($W15,"@",ET$7),choice!$D:$E,2,0)))</f>
        <v/>
      </c>
      <c r="EU15" s="74" t="str">
        <f>IF($W15="","",IF(COUNTIF(choice!$D:$D,CONCATENATE($W15,"@",EU$7))=0,"",VLOOKUP(CONCATENATE($W15,"@",EU$7),choice!$D:$E,2,0)))</f>
        <v/>
      </c>
      <c r="EV15" s="74" t="str">
        <f>IF($W15="","",IF(COUNTIF(choice!$D:$D,CONCATENATE($W15,"@",EV$7))=0,"",VLOOKUP(CONCATENATE($W15,"@",EV$7),choice!$D:$E,2,0)))</f>
        <v/>
      </c>
      <c r="EW15" s="74" t="str">
        <f>IF($W15="","",IF(COUNTIF(choice!$D:$D,CONCATENATE($W15,"@",EW$7))=0,"",VLOOKUP(CONCATENATE($W15,"@",EW$7),choice!$D:$E,2,0)))</f>
        <v/>
      </c>
      <c r="EX15" s="74" t="str">
        <f>IF($W15="","",IF(COUNTIF(choice!$D:$D,CONCATENATE($W15,"@",EX$7))=0,"",VLOOKUP(CONCATENATE($W15,"@",EX$7),choice!$D:$E,2,0)))</f>
        <v/>
      </c>
      <c r="EY15" s="74" t="str">
        <f>IF($W15="","",IF(COUNTIF(choice!$D:$D,CONCATENATE($W15,"@",EY$7))=0,"",VLOOKUP(CONCATENATE($W15,"@",EY$7),choice!$D:$E,2,0)))</f>
        <v/>
      </c>
      <c r="EZ15" s="74" t="str">
        <f>IF($W15="","",IF(COUNTIF(choice!$D:$D,CONCATENATE($W15,"@",EZ$7))=0,"",VLOOKUP(CONCATENATE($W15,"@",EZ$7),choice!$D:$E,2,0)))</f>
        <v/>
      </c>
      <c r="FA15" s="74" t="str">
        <f>IF($W15="","",IF(COUNTIF(choice!$D:$D,CONCATENATE($W15,"@",FA$7))=0,"",VLOOKUP(CONCATENATE($W15,"@",FA$7),choice!$D:$E,2,0)))</f>
        <v/>
      </c>
      <c r="FB15" s="74" t="str">
        <f>IF($W15="","",IF(COUNTIF(choice!$D:$D,CONCATENATE($W15,"@",FB$7))=0,"",VLOOKUP(CONCATENATE($W15,"@",FB$7),choice!$D:$E,2,0)))</f>
        <v/>
      </c>
      <c r="FC15" s="74" t="str">
        <f>IF($W15="","",IF(COUNTIF(choice!$D:$D,CONCATENATE($W15,"@",FC$7))=0,"",VLOOKUP(CONCATENATE($W15,"@",FC$7),choice!$D:$E,2,0)))</f>
        <v/>
      </c>
      <c r="FD15" s="74" t="str">
        <f>IF($W15="","",IF(COUNTIF(choice!$D:$D,CONCATENATE($W15,"@",FD$7))=0,"",VLOOKUP(CONCATENATE($W15,"@",FD$7),choice!$D:$E,2,0)))</f>
        <v/>
      </c>
      <c r="FE15" s="74" t="str">
        <f>IF($W15="","",IF(COUNTIF(choice!$D:$D,CONCATENATE($W15,"@",FE$7))=0,"",VLOOKUP(CONCATENATE($W15,"@",FE$7),choice!$D:$E,2,0)))</f>
        <v/>
      </c>
      <c r="FF15" s="74" t="str">
        <f>IF($W15="","",IF(COUNTIF(choice!$D:$D,CONCATENATE($W15,"@",FF$7))=0,"",VLOOKUP(CONCATENATE($W15,"@",FF$7),choice!$D:$E,2,0)))</f>
        <v/>
      </c>
      <c r="FG15" s="74" t="str">
        <f>IF($W15="","",IF(COUNTIF(choice!$D:$D,CONCATENATE($W15,"@",FG$7))=0,"",VLOOKUP(CONCATENATE($W15,"@",FG$7),choice!$D:$E,2,0)))</f>
        <v/>
      </c>
      <c r="FH15" s="74" t="str">
        <f>IF($W15="","",IF(COUNTIF(choice!$D:$D,CONCATENATE($W15,"@",FH$7))=0,"",VLOOKUP(CONCATENATE($W15,"@",FH$7),choice!$D:$E,2,0)))</f>
        <v/>
      </c>
      <c r="FI15" s="74" t="str">
        <f>IF($W15="","",IF(COUNTIF(choice!$D:$D,CONCATENATE($W15,"@",FI$7))=0,"",VLOOKUP(CONCATENATE($W15,"@",FI$7),choice!$D:$E,2,0)))</f>
        <v/>
      </c>
      <c r="FJ15" s="74" t="str">
        <f>IF($W15="","",IF(COUNTIF(choice!$D:$D,CONCATENATE($W15,"@",FJ$7))=0,"",VLOOKUP(CONCATENATE($W15,"@",FJ$7),choice!$D:$E,2,0)))</f>
        <v/>
      </c>
      <c r="FK15" s="74" t="str">
        <f>IF($W15="","",IF(COUNTIF(choice!$D:$D,CONCATENATE($W15,"@",FK$7))=0,"",VLOOKUP(CONCATENATE($W15,"@",FK$7),choice!$D:$E,2,0)))</f>
        <v/>
      </c>
      <c r="FL15" s="74" t="str">
        <f>IF($W15="","",IF(COUNTIF(choice!$D:$D,CONCATENATE($W15,"@",FL$7))=0,"",VLOOKUP(CONCATENATE($W15,"@",FL$7),choice!$D:$E,2,0)))</f>
        <v/>
      </c>
      <c r="FM15" s="74" t="str">
        <f>IF($W15="","",IF(COUNTIF(choice!$D:$D,CONCATENATE($W15,"@",FM$7))=0,"",VLOOKUP(CONCATENATE($W15,"@",FM$7),choice!$D:$E,2,0)))</f>
        <v/>
      </c>
      <c r="FN15" s="74" t="str">
        <f>IF($W15="","",IF(COUNTIF(choice!$D:$D,CONCATENATE($W15,"@",FN$7))=0,"",VLOOKUP(CONCATENATE($W15,"@",FN$7),choice!$D:$E,2,0)))</f>
        <v/>
      </c>
      <c r="FO15" s="74" t="str">
        <f>IF($W15="","",IF(COUNTIF(choice!$D:$D,CONCATENATE($W15,"@",FO$7))=0,"",VLOOKUP(CONCATENATE($W15,"@",FO$7),choice!$D:$E,2,0)))</f>
        <v/>
      </c>
      <c r="FP15" s="74" t="str">
        <f>IF($W15="","",IF(COUNTIF(choice!$D:$D,CONCATENATE($W15,"@",FP$7))=0,"",VLOOKUP(CONCATENATE($W15,"@",FP$7),choice!$D:$E,2,0)))</f>
        <v/>
      </c>
      <c r="FQ15" s="74" t="str">
        <f>IF($W15="","",IF(COUNTIF(choice!$D:$D,CONCATENATE($W15,"@",FQ$7))=0,"",VLOOKUP(CONCATENATE($W15,"@",FQ$7),choice!$D:$E,2,0)))</f>
        <v/>
      </c>
      <c r="FR15" s="74" t="str">
        <f>IF($W15="","",IF(COUNTIF(choice!$D:$D,CONCATENATE($W15,"@",FR$7))=0,"",VLOOKUP(CONCATENATE($W15,"@",FR$7),choice!$D:$E,2,0)))</f>
        <v/>
      </c>
      <c r="FS15" s="74" t="str">
        <f>IF($W15="","",IF(COUNTIF(choice!$D:$D,CONCATENATE($W15,"@",FS$7))=0,"",VLOOKUP(CONCATENATE($W15,"@",FS$7),choice!$D:$E,2,0)))</f>
        <v/>
      </c>
      <c r="FT15" s="74" t="str">
        <f>IF($W15="","",IF(COUNTIF(choice!$D:$D,CONCATENATE($W15,"@",FT$7))=0,"",VLOOKUP(CONCATENATE($W15,"@",FT$7),choice!$D:$E,2,0)))</f>
        <v/>
      </c>
      <c r="FU15" s="74" t="str">
        <f>IF($W15="","",IF(COUNTIF(choice!$D:$D,CONCATENATE($W15,"@",FU$7))=0,"",VLOOKUP(CONCATENATE($W15,"@",FU$7),choice!$D:$E,2,0)))</f>
        <v/>
      </c>
      <c r="FV15" s="81" t="str">
        <f>IF($W15="","",IF(COUNTIF(choice!$D:$D,CONCATENATE($W15,"@",FV$7))=0,"",VLOOKUP(CONCATENATE($W15,"@",FV$7),choice!$D:$E,2,0)))</f>
        <v/>
      </c>
      <c r="FW15" s="80" t="str">
        <f>IF($X15="","",IF(COUNTIF(choice!$D:$D,CONCATENATE($X15,"@",FW$7))=0,"",VLOOKUP(CONCATENATE($X15,"@",FW$7),choice!$D:$E,2,0)))</f>
        <v/>
      </c>
      <c r="FX15" s="74" t="str">
        <f>IF($X15="","",IF(COUNTIF(choice!$D:$D,CONCATENATE($X15,"@",FX$7))=0,"",VLOOKUP(CONCATENATE($X15,"@",FX$7),choice!$D:$E,2,0)))</f>
        <v/>
      </c>
      <c r="FY15" s="74" t="str">
        <f>IF($X15="","",IF(COUNTIF(choice!$D:$D,CONCATENATE($X15,"@",FY$7))=0,"",VLOOKUP(CONCATENATE($X15,"@",FY$7),choice!$D:$E,2,0)))</f>
        <v/>
      </c>
      <c r="FZ15" s="74" t="str">
        <f>IF($X15="","",IF(COUNTIF(choice!$D:$D,CONCATENATE($X15,"@",FZ$7))=0,"",VLOOKUP(CONCATENATE($X15,"@",FZ$7),choice!$D:$E,2,0)))</f>
        <v/>
      </c>
      <c r="GA15" s="74" t="str">
        <f>IF($X15="","",IF(COUNTIF(choice!$D:$D,CONCATENATE($X15,"@",GA$7))=0,"",VLOOKUP(CONCATENATE($X15,"@",GA$7),choice!$D:$E,2,0)))</f>
        <v/>
      </c>
      <c r="GB15" s="74" t="str">
        <f>IF($X15="","",IF(COUNTIF(choice!$D:$D,CONCATENATE($X15,"@",GB$7))=0,"",VLOOKUP(CONCATENATE($X15,"@",GB$7),choice!$D:$E,2,0)))</f>
        <v/>
      </c>
      <c r="GC15" s="74" t="str">
        <f>IF($X15="","",IF(COUNTIF(choice!$D:$D,CONCATENATE($X15,"@",GC$7))=0,"",VLOOKUP(CONCATENATE($X15,"@",GC$7),choice!$D:$E,2,0)))</f>
        <v/>
      </c>
      <c r="GD15" s="74" t="str">
        <f>IF($X15="","",IF(COUNTIF(choice!$D:$D,CONCATENATE($X15,"@",GD$7))=0,"",VLOOKUP(CONCATENATE($X15,"@",GD$7),choice!$D:$E,2,0)))</f>
        <v/>
      </c>
      <c r="GE15" s="74" t="str">
        <f>IF($X15="","",IF(COUNTIF(choice!$D:$D,CONCATENATE($X15,"@",GE$7))=0,"",VLOOKUP(CONCATENATE($X15,"@",GE$7),choice!$D:$E,2,0)))</f>
        <v/>
      </c>
      <c r="GF15" s="74" t="str">
        <f>IF($X15="","",IF(COUNTIF(choice!$D:$D,CONCATENATE($X15,"@",GF$7))=0,"",VLOOKUP(CONCATENATE($X15,"@",GF$7),choice!$D:$E,2,0)))</f>
        <v/>
      </c>
      <c r="GG15" s="74" t="str">
        <f>IF($X15="","",IF(COUNTIF(choice!$D:$D,CONCATENATE($X15,"@",GG$7))=0,"",VLOOKUP(CONCATENATE($X15,"@",GG$7),choice!$D:$E,2,0)))</f>
        <v/>
      </c>
      <c r="GH15" s="74" t="str">
        <f>IF($X15="","",IF(COUNTIF(choice!$D:$D,CONCATENATE($X15,"@",GH$7))=0,"",VLOOKUP(CONCATENATE($X15,"@",GH$7),choice!$D:$E,2,0)))</f>
        <v/>
      </c>
      <c r="GI15" s="74" t="str">
        <f>IF($X15="","",IF(COUNTIF(choice!$D:$D,CONCATENATE($X15,"@",GI$7))=0,"",VLOOKUP(CONCATENATE($X15,"@",GI$7),choice!$D:$E,2,0)))</f>
        <v/>
      </c>
      <c r="GJ15" s="74" t="str">
        <f>IF($X15="","",IF(COUNTIF(choice!$D:$D,CONCATENATE($X15,"@",GJ$7))=0,"",VLOOKUP(CONCATENATE($X15,"@",GJ$7),choice!$D:$E,2,0)))</f>
        <v/>
      </c>
      <c r="GK15" s="74" t="str">
        <f>IF($X15="","",IF(COUNTIF(choice!$D:$D,CONCATENATE($X15,"@",GK$7))=0,"",VLOOKUP(CONCATENATE($X15,"@",GK$7),choice!$D:$E,2,0)))</f>
        <v/>
      </c>
      <c r="GL15" s="74" t="str">
        <f>IF($X15="","",IF(COUNTIF(choice!$D:$D,CONCATENATE($X15,"@",GL$7))=0,"",VLOOKUP(CONCATENATE($X15,"@",GL$7),choice!$D:$E,2,0)))</f>
        <v/>
      </c>
      <c r="GM15" s="74" t="str">
        <f>IF($X15="","",IF(COUNTIF(choice!$D:$D,CONCATENATE($X15,"@",GM$7))=0,"",VLOOKUP(CONCATENATE($X15,"@",GM$7),choice!$D:$E,2,0)))</f>
        <v/>
      </c>
      <c r="GN15" s="74" t="str">
        <f>IF($X15="","",IF(COUNTIF(choice!$D:$D,CONCATENATE($X15,"@",GN$7))=0,"",VLOOKUP(CONCATENATE($X15,"@",GN$7),choice!$D:$E,2,0)))</f>
        <v/>
      </c>
      <c r="GO15" s="74" t="str">
        <f>IF($X15="","",IF(COUNTIF(choice!$D:$D,CONCATENATE($X15,"@",GO$7))=0,"",VLOOKUP(CONCATENATE($X15,"@",GO$7),choice!$D:$E,2,0)))</f>
        <v/>
      </c>
      <c r="GP15" s="74" t="str">
        <f>IF($X15="","",IF(COUNTIF(choice!$D:$D,CONCATENATE($X15,"@",GP$7))=0,"",VLOOKUP(CONCATENATE($X15,"@",GP$7),choice!$D:$E,2,0)))</f>
        <v/>
      </c>
      <c r="GQ15" s="74" t="str">
        <f>IF($X15="","",IF(COUNTIF(choice!$D:$D,CONCATENATE($X15,"@",GQ$7))=0,"",VLOOKUP(CONCATENATE($X15,"@",GQ$7),choice!$D:$E,2,0)))</f>
        <v/>
      </c>
      <c r="GR15" s="74" t="str">
        <f>IF($X15="","",IF(COUNTIF(choice!$D:$D,CONCATENATE($X15,"@",GR$7))=0,"",VLOOKUP(CONCATENATE($X15,"@",GR$7),choice!$D:$E,2,0)))</f>
        <v/>
      </c>
      <c r="GS15" s="74" t="str">
        <f>IF($X15="","",IF(COUNTIF(choice!$D:$D,CONCATENATE($X15,"@",GS$7))=0,"",VLOOKUP(CONCATENATE($X15,"@",GS$7),choice!$D:$E,2,0)))</f>
        <v/>
      </c>
      <c r="GT15" s="74" t="str">
        <f>IF($X15="","",IF(COUNTIF(choice!$D:$D,CONCATENATE($X15,"@",GT$7))=0,"",VLOOKUP(CONCATENATE($X15,"@",GT$7),choice!$D:$E,2,0)))</f>
        <v/>
      </c>
      <c r="GU15" s="74" t="str">
        <f>IF($X15="","",IF(COUNTIF(choice!$D:$D,CONCATENATE($X15,"@",GU$7))=0,"",VLOOKUP(CONCATENATE($X15,"@",GU$7),choice!$D:$E,2,0)))</f>
        <v/>
      </c>
      <c r="GV15" s="74" t="str">
        <f>IF($X15="","",IF(COUNTIF(choice!$D:$D,CONCATENATE($X15,"@",GV$7))=0,"",VLOOKUP(CONCATENATE($X15,"@",GV$7),choice!$D:$E,2,0)))</f>
        <v/>
      </c>
      <c r="GW15" s="74" t="str">
        <f>IF($X15="","",IF(COUNTIF(choice!$D:$D,CONCATENATE($X15,"@",GW$7))=0,"",VLOOKUP(CONCATENATE($X15,"@",GW$7),choice!$D:$E,2,0)))</f>
        <v/>
      </c>
      <c r="GX15" s="74" t="str">
        <f>IF($X15="","",IF(COUNTIF(choice!$D:$D,CONCATENATE($X15,"@",GX$7))=0,"",VLOOKUP(CONCATENATE($X15,"@",GX$7),choice!$D:$E,2,0)))</f>
        <v/>
      </c>
      <c r="GY15" s="74" t="str">
        <f>IF($X15="","",IF(COUNTIF(choice!$D:$D,CONCATENATE($X15,"@",GY$7))=0,"",VLOOKUP(CONCATENATE($X15,"@",GY$7),choice!$D:$E,2,0)))</f>
        <v/>
      </c>
      <c r="GZ15" s="74" t="str">
        <f>IF($X15="","",IF(COUNTIF(choice!$D:$D,CONCATENATE($X15,"@",GZ$7))=0,"",VLOOKUP(CONCATENATE($X15,"@",GZ$7),choice!$D:$E,2,0)))</f>
        <v/>
      </c>
      <c r="HA15" s="74" t="str">
        <f>IF($X15="","",IF(COUNTIF(choice!$D:$D,CONCATENATE($X15,"@",HA$7))=0,"",VLOOKUP(CONCATENATE($X15,"@",HA$7),choice!$D:$E,2,0)))</f>
        <v/>
      </c>
      <c r="HB15" s="74" t="str">
        <f>IF($X15="","",IF(COUNTIF(choice!$D:$D,CONCATENATE($X15,"@",HB$7))=0,"",VLOOKUP(CONCATENATE($X15,"@",HB$7),choice!$D:$E,2,0)))</f>
        <v/>
      </c>
      <c r="HC15" s="74" t="str">
        <f>IF($X15="","",IF(COUNTIF(choice!$D:$D,CONCATENATE($X15,"@",HC$7))=0,"",VLOOKUP(CONCATENATE($X15,"@",HC$7),choice!$D:$E,2,0)))</f>
        <v/>
      </c>
      <c r="HD15" s="74" t="str">
        <f>IF($X15="","",IF(COUNTIF(choice!$D:$D,CONCATENATE($X15,"@",HD$7))=0,"",VLOOKUP(CONCATENATE($X15,"@",HD$7),choice!$D:$E,2,0)))</f>
        <v/>
      </c>
      <c r="HE15" s="74" t="str">
        <f>IF($X15="","",IF(COUNTIF(choice!$D:$D,CONCATENATE($X15,"@",HE$7))=0,"",VLOOKUP(CONCATENATE($X15,"@",HE$7),choice!$D:$E,2,0)))</f>
        <v/>
      </c>
      <c r="HF15" s="74" t="str">
        <f>IF($X15="","",IF(COUNTIF(choice!$D:$D,CONCATENATE($X15,"@",HF$7))=0,"",VLOOKUP(CONCATENATE($X15,"@",HF$7),choice!$D:$E,2,0)))</f>
        <v/>
      </c>
      <c r="HG15" s="74" t="str">
        <f>IF($X15="","",IF(COUNTIF(choice!$D:$D,CONCATENATE($X15,"@",HG$7))=0,"",VLOOKUP(CONCATENATE($X15,"@",HG$7),choice!$D:$E,2,0)))</f>
        <v/>
      </c>
      <c r="HH15" s="74" t="str">
        <f>IF($X15="","",IF(COUNTIF(choice!$D:$D,CONCATENATE($X15,"@",HH$7))=0,"",VLOOKUP(CONCATENATE($X15,"@",HH$7),choice!$D:$E,2,0)))</f>
        <v/>
      </c>
      <c r="HI15" s="74" t="str">
        <f>IF($X15="","",IF(COUNTIF(choice!$D:$D,CONCATENATE($X15,"@",HI$7))=0,"",VLOOKUP(CONCATENATE($X15,"@",HI$7),choice!$D:$E,2,0)))</f>
        <v/>
      </c>
      <c r="HJ15" s="74" t="str">
        <f>IF($X15="","",IF(COUNTIF(choice!$D:$D,CONCATENATE($X15,"@",HJ$7))=0,"",VLOOKUP(CONCATENATE($X15,"@",HJ$7),choice!$D:$E,2,0)))</f>
        <v/>
      </c>
      <c r="HK15" s="74" t="str">
        <f>IF($X15="","",IF(COUNTIF(choice!$D:$D,CONCATENATE($X15,"@",HK$7))=0,"",VLOOKUP(CONCATENATE($X15,"@",HK$7),choice!$D:$E,2,0)))</f>
        <v/>
      </c>
      <c r="HL15" s="74" t="str">
        <f>IF($X15="","",IF(COUNTIF(choice!$D:$D,CONCATENATE($X15,"@",HL$7))=0,"",VLOOKUP(CONCATENATE($X15,"@",HL$7),choice!$D:$E,2,0)))</f>
        <v/>
      </c>
      <c r="HM15" s="74" t="str">
        <f>IF($X15="","",IF(COUNTIF(choice!$D:$D,CONCATENATE($X15,"@",HM$7))=0,"",VLOOKUP(CONCATENATE($X15,"@",HM$7),choice!$D:$E,2,0)))</f>
        <v/>
      </c>
      <c r="HN15" s="74" t="str">
        <f>IF($X15="","",IF(COUNTIF(choice!$D:$D,CONCATENATE($X15,"@",HN$7))=0,"",VLOOKUP(CONCATENATE($X15,"@",HN$7),choice!$D:$E,2,0)))</f>
        <v/>
      </c>
      <c r="HO15" s="81" t="str">
        <f>IF($X15="","",IF(COUNTIF(choice!$D:$D,CONCATENATE($X15,"@",HO$7))=0,"",VLOOKUP(CONCATENATE($X15,"@",HO$7),choice!$D:$E,2,0)))</f>
        <v/>
      </c>
      <c r="HP15" s="20" t="s">
        <v>66</v>
      </c>
      <c r="HQ15" s="20" t="s">
        <v>67</v>
      </c>
      <c r="HV15" s="74">
        <f t="shared" si="20"/>
        <v>0</v>
      </c>
      <c r="HW15" s="74">
        <f t="shared" si="21"/>
        <v>0</v>
      </c>
      <c r="HX15" s="74">
        <f t="shared" si="22"/>
        <v>0</v>
      </c>
      <c r="HY15" s="74">
        <f t="shared" si="23"/>
        <v>0</v>
      </c>
      <c r="HZ15" s="74">
        <f t="shared" si="30"/>
        <v>0</v>
      </c>
      <c r="IA15" s="74">
        <f t="shared" si="30"/>
        <v>0</v>
      </c>
      <c r="IB15" s="74" t="str">
        <f t="shared" si="31"/>
        <v/>
      </c>
      <c r="IC15" s="74" t="str">
        <f t="shared" si="32"/>
        <v/>
      </c>
      <c r="ID15" s="74" t="str">
        <f t="shared" si="24"/>
        <v/>
      </c>
      <c r="IE15" s="74">
        <f t="shared" si="25"/>
        <v>21</v>
      </c>
      <c r="IF15" s="74">
        <f>COUNTIFS(ID$8:ID15,"BLUE")</f>
        <v>0</v>
      </c>
      <c r="IG15" s="74" t="str">
        <f t="shared" si="26"/>
        <v/>
      </c>
      <c r="IH15" s="74" t="str">
        <f>IF(COUNTIFS($AQ15,"*02*")=0,"",COUNTIFS(IJ$8:IJ15,"BLUE"))</f>
        <v/>
      </c>
      <c r="II15" s="74" t="str">
        <f>IF(COUNTIFS($AQ15,"*04*")=0,"",COUNTIFS(IK$8:IK15,"BLUE"))</f>
        <v/>
      </c>
      <c r="IJ15" s="74" t="str">
        <f t="shared" si="33"/>
        <v/>
      </c>
      <c r="IK15" s="74" t="str">
        <f t="shared" si="34"/>
        <v/>
      </c>
      <c r="IL15" s="74" t="str">
        <f t="shared" si="27"/>
        <v/>
      </c>
      <c r="IM15" s="74" t="str">
        <f t="shared" si="28"/>
        <v/>
      </c>
      <c r="IN15" s="74">
        <f>COUNTIFS(IJ$8:IJ15,"BLUE")</f>
        <v>0</v>
      </c>
      <c r="IO15" s="74">
        <f>COUNTIFS(IK$8:IK15,"BLUE")</f>
        <v>0</v>
      </c>
    </row>
    <row r="16" spans="1:249" s="20" customFormat="1" ht="24.9" customHeight="1">
      <c r="A16" s="33"/>
      <c r="B16" s="39">
        <v>22</v>
      </c>
      <c r="C16" s="155"/>
      <c r="D16" s="174"/>
      <c r="E16" s="89" t="e">
        <f>VLOOKUP(F16,'Radio Call Sign'!A:B,2)</f>
        <v>#N/A</v>
      </c>
      <c r="F16" s="88"/>
      <c r="G16" s="88" t="e">
        <f>VLOOKUP(H16,'Radio Call Sign'!A:B,2)</f>
        <v>#N/A</v>
      </c>
      <c r="H16" s="88"/>
      <c r="I16" s="89" t="str">
        <f t="shared" si="12"/>
        <v/>
      </c>
      <c r="J16" s="90" t="str">
        <f t="shared" si="17"/>
        <v/>
      </c>
      <c r="K16" s="86" t="str">
        <f t="shared" si="18"/>
        <v/>
      </c>
      <c r="L16" s="155"/>
      <c r="M16" s="191" t="str">
        <f t="shared" si="19"/>
        <v/>
      </c>
      <c r="N16" s="21"/>
      <c r="O16" s="21"/>
      <c r="P16" s="53"/>
      <c r="Q16" s="163" t="str">
        <f>IF(AA16="","",IF(COUNTIFS('overhead line area'!$D$3:$D$100,AA16)+COUNTIFS('overhead line area'!$D$3:$D$100,AB16)+COUNTIFS('overhead line area'!$D$3:$D$100,AC16)+COUNTIFS('overhead line area'!$D$3:$D$100,AD16)=0,"","*               "))</f>
        <v/>
      </c>
      <c r="R16" s="53"/>
      <c r="S16" s="24"/>
      <c r="U16" s="74"/>
      <c r="V16" s="74"/>
      <c r="W16" s="74"/>
      <c r="X16" s="74"/>
      <c r="Y16" s="74"/>
      <c r="AA16" s="74" t="str">
        <f t="shared" si="13"/>
        <v/>
      </c>
      <c r="AB16" s="74" t="str">
        <f t="shared" si="29"/>
        <v/>
      </c>
      <c r="AC16" s="74" t="str">
        <f t="shared" si="35"/>
        <v/>
      </c>
      <c r="AD16" s="74" t="str">
        <f t="shared" si="36"/>
        <v/>
      </c>
      <c r="AF16" s="74" t="str">
        <f>IF(AA16="","",IF(COUNTIF(Route!$AM:$AM,'Train Movement Log (page.2)'!AA16)=0,"未有資料",VLOOKUP('Train Movement Log (page.2)'!AA16,Route!$AM:$AP,3,0)))</f>
        <v/>
      </c>
      <c r="AG16" s="74" t="str">
        <f>IF(AB16="","",IF(COUNTIF(Route!$AM:$AM,'Train Movement Log (page.2)'!AB16)=0,"未有資料",VLOOKUP('Train Movement Log (page.2)'!AB16,Route!$AM:$AP,3,0)))</f>
        <v/>
      </c>
      <c r="AH16" s="74" t="str">
        <f>IF(AC16="","",IF(COUNTIF(Route!$AM:$AM,'Train Movement Log (page.2)'!AC16)=0,"未有資料",VLOOKUP('Train Movement Log (page.2)'!AC16,Route!$AM:$AP,3,0)))</f>
        <v/>
      </c>
      <c r="AI16" s="74" t="str">
        <f>IF(AD16="","",IF(COUNTIF(Route!$AM:$AM,'Train Movement Log (page.2)'!AD16)=0,"未有資料",VLOOKUP('Train Movement Log (page.2)'!AD16,Route!$AM:$AP,3,0)))</f>
        <v/>
      </c>
      <c r="AK16" s="74" t="str">
        <f>IF(AA16="","",IF(COUNTIF(Route!$AM:$AM,'Train Movement Log (page.2)'!AA16)=0,"未有資料",VLOOKUP('Train Movement Log (page.2)'!AA16,Route!$AM:$AP,4,0)))</f>
        <v/>
      </c>
      <c r="AL16" s="74" t="str">
        <f>IF(AB16="","",IF(COUNTIF(Route!$AM:$AM,'Train Movement Log (page.2)'!AB16)=0,"未有資料",VLOOKUP('Train Movement Log (page.2)'!AB16,Route!$AM:$AP,4,0)))</f>
        <v/>
      </c>
      <c r="AM16" s="74" t="str">
        <f>IF(AC16="","",IF(COUNTIF(Route!$AM:$AM,'Train Movement Log (page.2)'!AC16)=0,"未有資料",VLOOKUP('Train Movement Log (page.2)'!AC16,Route!$AM:$AP,4,0)))</f>
        <v/>
      </c>
      <c r="AN16" s="74" t="str">
        <f>IF(AD16="","",IF(COUNTIF(Route!$AM:$AM,'Train Movement Log (page.2)'!AD16)=0,"未有資料",VLOOKUP('Train Movement Log (page.2)'!AD16,Route!$AM:$AP,4,0)))</f>
        <v/>
      </c>
      <c r="AP16" s="74" t="str">
        <f t="shared" si="15"/>
        <v/>
      </c>
      <c r="AQ16" s="76" t="str">
        <f t="shared" si="16"/>
        <v/>
      </c>
      <c r="AR16" s="80" t="str">
        <f>IF($U16="","",IF(COUNTIF(choice!$D:$D,CONCATENATE($U16,"@",AR$7))=0,"",VLOOKUP(CONCATENATE($U16,"@",AR$7),choice!$D:$E,2,0)))</f>
        <v/>
      </c>
      <c r="AS16" s="74" t="str">
        <f>IF($U16="","",IF(COUNTIF(choice!$D:$D,CONCATENATE($U16,"@",AS$7))=0,"",VLOOKUP(CONCATENATE($U16,"@",AS$7),choice!$D:$E,2,0)))</f>
        <v/>
      </c>
      <c r="AT16" s="74" t="str">
        <f>IF($U16="","",IF(COUNTIF(choice!$D:$D,CONCATENATE($U16,"@",AT$7))=0,"",VLOOKUP(CONCATENATE($U16,"@",AT$7),choice!$D:$E,2,0)))</f>
        <v/>
      </c>
      <c r="AU16" s="74" t="str">
        <f>IF($U16="","",IF(COUNTIF(choice!$D:$D,CONCATENATE($U16,"@",AU$7))=0,"",VLOOKUP(CONCATENATE($U16,"@",AU$7),choice!$D:$E,2,0)))</f>
        <v/>
      </c>
      <c r="AV16" s="74" t="str">
        <f>IF($U16="","",IF(COUNTIF(choice!$D:$D,CONCATENATE($U16,"@",AV$7))=0,"",VLOOKUP(CONCATENATE($U16,"@",AV$7),choice!$D:$E,2,0)))</f>
        <v/>
      </c>
      <c r="AW16" s="74" t="str">
        <f>IF($U16="","",IF(COUNTIF(choice!$D:$D,CONCATENATE($U16,"@",AW$7))=0,"",VLOOKUP(CONCATENATE($U16,"@",AW$7),choice!$D:$E,2,0)))</f>
        <v/>
      </c>
      <c r="AX16" s="74" t="str">
        <f>IF($U16="","",IF(COUNTIF(choice!$D:$D,CONCATENATE($U16,"@",AX$7))=0,"",VLOOKUP(CONCATENATE($U16,"@",AX$7),choice!$D:$E,2,0)))</f>
        <v/>
      </c>
      <c r="AY16" s="74" t="str">
        <f>IF($U16="","",IF(COUNTIF(choice!$D:$D,CONCATENATE($U16,"@",AY$7))=0,"",VLOOKUP(CONCATENATE($U16,"@",AY$7),choice!$D:$E,2,0)))</f>
        <v/>
      </c>
      <c r="AZ16" s="74" t="str">
        <f>IF($U16="","",IF(COUNTIF(choice!$D:$D,CONCATENATE($U16,"@",AZ$7))=0,"",VLOOKUP(CONCATENATE($U16,"@",AZ$7),choice!$D:$E,2,0)))</f>
        <v/>
      </c>
      <c r="BA16" s="74" t="str">
        <f>IF($U16="","",IF(COUNTIF(choice!$D:$D,CONCATENATE($U16,"@",BA$7))=0,"",VLOOKUP(CONCATENATE($U16,"@",BA$7),choice!$D:$E,2,0)))</f>
        <v/>
      </c>
      <c r="BB16" s="74" t="str">
        <f>IF($U16="","",IF(COUNTIF(choice!$D:$D,CONCATENATE($U16,"@",BB$7))=0,"",VLOOKUP(CONCATENATE($U16,"@",BB$7),choice!$D:$E,2,0)))</f>
        <v/>
      </c>
      <c r="BC16" s="74" t="str">
        <f>IF($U16="","",IF(COUNTIF(choice!$D:$D,CONCATENATE($U16,"@",BC$7))=0,"",VLOOKUP(CONCATENATE($U16,"@",BC$7),choice!$D:$E,2,0)))</f>
        <v/>
      </c>
      <c r="BD16" s="74" t="str">
        <f>IF($U16="","",IF(COUNTIF(choice!$D:$D,CONCATENATE($U16,"@",BD$7))=0,"",VLOOKUP(CONCATENATE($U16,"@",BD$7),choice!$D:$E,2,0)))</f>
        <v/>
      </c>
      <c r="BE16" s="74" t="str">
        <f>IF($U16="","",IF(COUNTIF(choice!$D:$D,CONCATENATE($U16,"@",BE$7))=0,"",VLOOKUP(CONCATENATE($U16,"@",BE$7),choice!$D:$E,2,0)))</f>
        <v/>
      </c>
      <c r="BF16" s="74" t="str">
        <f>IF($U16="","",IF(COUNTIF(choice!$D:$D,CONCATENATE($U16,"@",BF$7))=0,"",VLOOKUP(CONCATENATE($U16,"@",BF$7),choice!$D:$E,2,0)))</f>
        <v/>
      </c>
      <c r="BG16" s="74" t="str">
        <f>IF($U16="","",IF(COUNTIF(choice!$D:$D,CONCATENATE($U16,"@",BG$7))=0,"",VLOOKUP(CONCATENATE($U16,"@",BG$7),choice!$D:$E,2,0)))</f>
        <v/>
      </c>
      <c r="BH16" s="74" t="str">
        <f>IF($U16="","",IF(COUNTIF(choice!$D:$D,CONCATENATE($U16,"@",BH$7))=0,"",VLOOKUP(CONCATENATE($U16,"@",BH$7),choice!$D:$E,2,0)))</f>
        <v/>
      </c>
      <c r="BI16" s="74" t="str">
        <f>IF($U16="","",IF(COUNTIF(choice!$D:$D,CONCATENATE($U16,"@",BI$7))=0,"",VLOOKUP(CONCATENATE($U16,"@",BI$7),choice!$D:$E,2,0)))</f>
        <v/>
      </c>
      <c r="BJ16" s="74" t="str">
        <f>IF($U16="","",IF(COUNTIF(choice!$D:$D,CONCATENATE($U16,"@",BJ$7))=0,"",VLOOKUP(CONCATENATE($U16,"@",BJ$7),choice!$D:$E,2,0)))</f>
        <v/>
      </c>
      <c r="BK16" s="74" t="str">
        <f>IF($U16="","",IF(COUNTIF(choice!$D:$D,CONCATENATE($U16,"@",BK$7))=0,"",VLOOKUP(CONCATENATE($U16,"@",BK$7),choice!$D:$E,2,0)))</f>
        <v/>
      </c>
      <c r="BL16" s="74" t="str">
        <f>IF($U16="","",IF(COUNTIF(choice!$D:$D,CONCATENATE($U16,"@",BL$7))=0,"",VLOOKUP(CONCATENATE($U16,"@",BL$7),choice!$D:$E,2,0)))</f>
        <v/>
      </c>
      <c r="BM16" s="74" t="str">
        <f>IF($U16="","",IF(COUNTIF(choice!$D:$D,CONCATENATE($U16,"@",BM$7))=0,"",VLOOKUP(CONCATENATE($U16,"@",BM$7),choice!$D:$E,2,0)))</f>
        <v/>
      </c>
      <c r="BN16" s="74" t="str">
        <f>IF($U16="","",IF(COUNTIF(choice!$D:$D,CONCATENATE($U16,"@",BN$7))=0,"",VLOOKUP(CONCATENATE($U16,"@",BN$7),choice!$D:$E,2,0)))</f>
        <v/>
      </c>
      <c r="BO16" s="74" t="str">
        <f>IF($U16="","",IF(COUNTIF(choice!$D:$D,CONCATENATE($U16,"@",BO$7))=0,"",VLOOKUP(CONCATENATE($U16,"@",BO$7),choice!$D:$E,2,0)))</f>
        <v/>
      </c>
      <c r="BP16" s="74" t="str">
        <f>IF($U16="","",IF(COUNTIF(choice!$D:$D,CONCATENATE($U16,"@",BP$7))=0,"",VLOOKUP(CONCATENATE($U16,"@",BP$7),choice!$D:$E,2,0)))</f>
        <v/>
      </c>
      <c r="BQ16" s="74" t="str">
        <f>IF($U16="","",IF(COUNTIF(choice!$D:$D,CONCATENATE($U16,"@",BQ$7))=0,"",VLOOKUP(CONCATENATE($U16,"@",BQ$7),choice!$D:$E,2,0)))</f>
        <v/>
      </c>
      <c r="BR16" s="74" t="str">
        <f>IF($U16="","",IF(COUNTIF(choice!$D:$D,CONCATENATE($U16,"@",BR$7))=0,"",VLOOKUP(CONCATENATE($U16,"@",BR$7),choice!$D:$E,2,0)))</f>
        <v/>
      </c>
      <c r="BS16" s="74" t="str">
        <f>IF($U16="","",IF(COUNTIF(choice!$D:$D,CONCATENATE($U16,"@",BS$7))=0,"",VLOOKUP(CONCATENATE($U16,"@",BS$7),choice!$D:$E,2,0)))</f>
        <v/>
      </c>
      <c r="BT16" s="74" t="str">
        <f>IF($U16="","",IF(COUNTIF(choice!$D:$D,CONCATENATE($U16,"@",BT$7))=0,"",VLOOKUP(CONCATENATE($U16,"@",BT$7),choice!$D:$E,2,0)))</f>
        <v/>
      </c>
      <c r="BU16" s="74" t="str">
        <f>IF($U16="","",IF(COUNTIF(choice!$D:$D,CONCATENATE($U16,"@",BU$7))=0,"",VLOOKUP(CONCATENATE($U16,"@",BU$7),choice!$D:$E,2,0)))</f>
        <v/>
      </c>
      <c r="BV16" s="74" t="str">
        <f>IF($U16="","",IF(COUNTIF(choice!$D:$D,CONCATENATE($U16,"@",BV$7))=0,"",VLOOKUP(CONCATENATE($U16,"@",BV$7),choice!$D:$E,2,0)))</f>
        <v/>
      </c>
      <c r="BW16" s="74" t="str">
        <f>IF($U16="","",IF(COUNTIF(choice!$D:$D,CONCATENATE($U16,"@",BW$7))=0,"",VLOOKUP(CONCATENATE($U16,"@",BW$7),choice!$D:$E,2,0)))</f>
        <v/>
      </c>
      <c r="BX16" s="74" t="str">
        <f>IF($U16="","",IF(COUNTIF(choice!$D:$D,CONCATENATE($U16,"@",BX$7))=0,"",VLOOKUP(CONCATENATE($U16,"@",BX$7),choice!$D:$E,2,0)))</f>
        <v/>
      </c>
      <c r="BY16" s="74" t="str">
        <f>IF($U16="","",IF(COUNTIF(choice!$D:$D,CONCATENATE($U16,"@",BY$7))=0,"",VLOOKUP(CONCATENATE($U16,"@",BY$7),choice!$D:$E,2,0)))</f>
        <v/>
      </c>
      <c r="BZ16" s="74" t="str">
        <f>IF($U16="","",IF(COUNTIF(choice!$D:$D,CONCATENATE($U16,"@",BZ$7))=0,"",VLOOKUP(CONCATENATE($U16,"@",BZ$7),choice!$D:$E,2,0)))</f>
        <v/>
      </c>
      <c r="CA16" s="74" t="str">
        <f>IF($U16="","",IF(COUNTIF(choice!$D:$D,CONCATENATE($U16,"@",CA$7))=0,"",VLOOKUP(CONCATENATE($U16,"@",CA$7),choice!$D:$E,2,0)))</f>
        <v/>
      </c>
      <c r="CB16" s="74" t="str">
        <f>IF($U16="","",IF(COUNTIF(choice!$D:$D,CONCATENATE($U16,"@",CB$7))=0,"",VLOOKUP(CONCATENATE($U16,"@",CB$7),choice!$D:$E,2,0)))</f>
        <v/>
      </c>
      <c r="CC16" s="74" t="str">
        <f>IF($U16="","",IF(COUNTIF(choice!$D:$D,CONCATENATE($U16,"@",CC$7))=0,"",VLOOKUP(CONCATENATE($U16,"@",CC$7),choice!$D:$E,2,0)))</f>
        <v/>
      </c>
      <c r="CD16" s="74" t="str">
        <f>IF($U16="","",IF(COUNTIF(choice!$D:$D,CONCATENATE($U16,"@",CD$7))=0,"",VLOOKUP(CONCATENATE($U16,"@",CD$7),choice!$D:$E,2,0)))</f>
        <v/>
      </c>
      <c r="CE16" s="74" t="str">
        <f>IF($U16="","",IF(COUNTIF(choice!$D:$D,CONCATENATE($U16,"@",CE$7))=0,"",VLOOKUP(CONCATENATE($U16,"@",CE$7),choice!$D:$E,2,0)))</f>
        <v/>
      </c>
      <c r="CF16" s="74" t="str">
        <f>IF($U16="","",IF(COUNTIF(choice!$D:$D,CONCATENATE($U16,"@",CF$7))=0,"",VLOOKUP(CONCATENATE($U16,"@",CF$7),choice!$D:$E,2,0)))</f>
        <v/>
      </c>
      <c r="CG16" s="74" t="str">
        <f>IF($U16="","",IF(COUNTIF(choice!$D:$D,CONCATENATE($U16,"@",CG$7))=0,"",VLOOKUP(CONCATENATE($U16,"@",CG$7),choice!$D:$E,2,0)))</f>
        <v/>
      </c>
      <c r="CH16" s="74" t="str">
        <f>IF($U16="","",IF(COUNTIF(choice!$D:$D,CONCATENATE($U16,"@",CH$7))=0,"",VLOOKUP(CONCATENATE($U16,"@",CH$7),choice!$D:$E,2,0)))</f>
        <v/>
      </c>
      <c r="CI16" s="74" t="str">
        <f>IF($U16="","",IF(COUNTIF(choice!$D:$D,CONCATENATE($U16,"@",CI$7))=0,"",VLOOKUP(CONCATENATE($U16,"@",CI$7),choice!$D:$E,2,0)))</f>
        <v/>
      </c>
      <c r="CJ16" s="81" t="str">
        <f>IF($U16="","",IF(COUNTIF(choice!$D:$D,CONCATENATE($U16,"@",CJ$7))=0,"",VLOOKUP(CONCATENATE($U16,"@",CJ$7),choice!$D:$E,2,0)))</f>
        <v/>
      </c>
      <c r="CK16" s="80" t="str">
        <f>IF($V16="","",IF(COUNTIF(choice!$D:$D,CONCATENATE($V16,"@",CK$7))=0,"",VLOOKUP(CONCATENATE($V16,"@",CK$7),choice!$D:$E,2,0)))</f>
        <v/>
      </c>
      <c r="CL16" s="74" t="str">
        <f>IF($V16="","",IF(COUNTIF(choice!$D:$D,CONCATENATE($V16,"@",CL$7))=0,"",VLOOKUP(CONCATENATE($V16,"@",CL$7),choice!$D:$E,2,0)))</f>
        <v/>
      </c>
      <c r="CM16" s="74" t="str">
        <f>IF($V16="","",IF(COUNTIF(choice!$D:$D,CONCATENATE($V16,"@",CM$7))=0,"",VLOOKUP(CONCATENATE($V16,"@",CM$7),choice!$D:$E,2,0)))</f>
        <v/>
      </c>
      <c r="CN16" s="74" t="str">
        <f>IF($V16="","",IF(COUNTIF(choice!$D:$D,CONCATENATE($V16,"@",CN$7))=0,"",VLOOKUP(CONCATENATE($V16,"@",CN$7),choice!$D:$E,2,0)))</f>
        <v/>
      </c>
      <c r="CO16" s="74" t="str">
        <f>IF($V16="","",IF(COUNTIF(choice!$D:$D,CONCATENATE($V16,"@",CO$7))=0,"",VLOOKUP(CONCATENATE($V16,"@",CO$7),choice!$D:$E,2,0)))</f>
        <v/>
      </c>
      <c r="CP16" s="74" t="str">
        <f>IF($V16="","",IF(COUNTIF(choice!$D:$D,CONCATENATE($V16,"@",CP$7))=0,"",VLOOKUP(CONCATENATE($V16,"@",CP$7),choice!$D:$E,2,0)))</f>
        <v/>
      </c>
      <c r="CQ16" s="74" t="str">
        <f>IF($V16="","",IF(COUNTIF(choice!$D:$D,CONCATENATE($V16,"@",CQ$7))=0,"",VLOOKUP(CONCATENATE($V16,"@",CQ$7),choice!$D:$E,2,0)))</f>
        <v/>
      </c>
      <c r="CR16" s="74" t="str">
        <f>IF($V16="","",IF(COUNTIF(choice!$D:$D,CONCATENATE($V16,"@",CR$7))=0,"",VLOOKUP(CONCATENATE($V16,"@",CR$7),choice!$D:$E,2,0)))</f>
        <v/>
      </c>
      <c r="CS16" s="74" t="str">
        <f>IF($V16="","",IF(COUNTIF(choice!$D:$D,CONCATENATE($V16,"@",CS$7))=0,"",VLOOKUP(CONCATENATE($V16,"@",CS$7),choice!$D:$E,2,0)))</f>
        <v/>
      </c>
      <c r="CT16" s="74" t="str">
        <f>IF($V16="","",IF(COUNTIF(choice!$D:$D,CONCATENATE($V16,"@",CT$7))=0,"",VLOOKUP(CONCATENATE($V16,"@",CT$7),choice!$D:$E,2,0)))</f>
        <v/>
      </c>
      <c r="CU16" s="74" t="str">
        <f>IF($V16="","",IF(COUNTIF(choice!$D:$D,CONCATENATE($V16,"@",CU$7))=0,"",VLOOKUP(CONCATENATE($V16,"@",CU$7),choice!$D:$E,2,0)))</f>
        <v/>
      </c>
      <c r="CV16" s="74" t="str">
        <f>IF($V16="","",IF(COUNTIF(choice!$D:$D,CONCATENATE($V16,"@",CV$7))=0,"",VLOOKUP(CONCATENATE($V16,"@",CV$7),choice!$D:$E,2,0)))</f>
        <v/>
      </c>
      <c r="CW16" s="74" t="str">
        <f>IF($V16="","",IF(COUNTIF(choice!$D:$D,CONCATENATE($V16,"@",CW$7))=0,"",VLOOKUP(CONCATENATE($V16,"@",CW$7),choice!$D:$E,2,0)))</f>
        <v/>
      </c>
      <c r="CX16" s="74" t="str">
        <f>IF($V16="","",IF(COUNTIF(choice!$D:$D,CONCATENATE($V16,"@",CX$7))=0,"",VLOOKUP(CONCATENATE($V16,"@",CX$7),choice!$D:$E,2,0)))</f>
        <v/>
      </c>
      <c r="CY16" s="74" t="str">
        <f>IF($V16="","",IF(COUNTIF(choice!$D:$D,CONCATENATE($V16,"@",CY$7))=0,"",VLOOKUP(CONCATENATE($V16,"@",CY$7),choice!$D:$E,2,0)))</f>
        <v/>
      </c>
      <c r="CZ16" s="74" t="str">
        <f>IF($V16="","",IF(COUNTIF(choice!$D:$D,CONCATENATE($V16,"@",CZ$7))=0,"",VLOOKUP(CONCATENATE($V16,"@",CZ$7),choice!$D:$E,2,0)))</f>
        <v/>
      </c>
      <c r="DA16" s="74" t="str">
        <f>IF($V16="","",IF(COUNTIF(choice!$D:$D,CONCATENATE($V16,"@",DA$7))=0,"",VLOOKUP(CONCATENATE($V16,"@",DA$7),choice!$D:$E,2,0)))</f>
        <v/>
      </c>
      <c r="DB16" s="74" t="str">
        <f>IF($V16="","",IF(COUNTIF(choice!$D:$D,CONCATENATE($V16,"@",DB$7))=0,"",VLOOKUP(CONCATENATE($V16,"@",DB$7),choice!$D:$E,2,0)))</f>
        <v/>
      </c>
      <c r="DC16" s="74" t="str">
        <f>IF($V16="","",IF(COUNTIF(choice!$D:$D,CONCATENATE($V16,"@",DC$7))=0,"",VLOOKUP(CONCATENATE($V16,"@",DC$7),choice!$D:$E,2,0)))</f>
        <v/>
      </c>
      <c r="DD16" s="74" t="str">
        <f>IF($V16="","",IF(COUNTIF(choice!$D:$D,CONCATENATE($V16,"@",DD$7))=0,"",VLOOKUP(CONCATENATE($V16,"@",DD$7),choice!$D:$E,2,0)))</f>
        <v/>
      </c>
      <c r="DE16" s="74" t="str">
        <f>IF($V16="","",IF(COUNTIF(choice!$D:$D,CONCATENATE($V16,"@",DE$7))=0,"",VLOOKUP(CONCATENATE($V16,"@",DE$7),choice!$D:$E,2,0)))</f>
        <v/>
      </c>
      <c r="DF16" s="74" t="str">
        <f>IF($V16="","",IF(COUNTIF(choice!$D:$D,CONCATENATE($V16,"@",DF$7))=0,"",VLOOKUP(CONCATENATE($V16,"@",DF$7),choice!$D:$E,2,0)))</f>
        <v/>
      </c>
      <c r="DG16" s="74" t="str">
        <f>IF($V16="","",IF(COUNTIF(choice!$D:$D,CONCATENATE($V16,"@",DG$7))=0,"",VLOOKUP(CONCATENATE($V16,"@",DG$7),choice!$D:$E,2,0)))</f>
        <v/>
      </c>
      <c r="DH16" s="74" t="str">
        <f>IF($V16="","",IF(COUNTIF(choice!$D:$D,CONCATENATE($V16,"@",DH$7))=0,"",VLOOKUP(CONCATENATE($V16,"@",DH$7),choice!$D:$E,2,0)))</f>
        <v/>
      </c>
      <c r="DI16" s="74" t="str">
        <f>IF($V16="","",IF(COUNTIF(choice!$D:$D,CONCATENATE($V16,"@",DI$7))=0,"",VLOOKUP(CONCATENATE($V16,"@",DI$7),choice!$D:$E,2,0)))</f>
        <v/>
      </c>
      <c r="DJ16" s="74" t="str">
        <f>IF($V16="","",IF(COUNTIF(choice!$D:$D,CONCATENATE($V16,"@",DJ$7))=0,"",VLOOKUP(CONCATENATE($V16,"@",DJ$7),choice!$D:$E,2,0)))</f>
        <v/>
      </c>
      <c r="DK16" s="74" t="str">
        <f>IF($V16="","",IF(COUNTIF(choice!$D:$D,CONCATENATE($V16,"@",DK$7))=0,"",VLOOKUP(CONCATENATE($V16,"@",DK$7),choice!$D:$E,2,0)))</f>
        <v/>
      </c>
      <c r="DL16" s="74" t="str">
        <f>IF($V16="","",IF(COUNTIF(choice!$D:$D,CONCATENATE($V16,"@",DL$7))=0,"",VLOOKUP(CONCATENATE($V16,"@",DL$7),choice!$D:$E,2,0)))</f>
        <v/>
      </c>
      <c r="DM16" s="74" t="str">
        <f>IF($V16="","",IF(COUNTIF(choice!$D:$D,CONCATENATE($V16,"@",DM$7))=0,"",VLOOKUP(CONCATENATE($V16,"@",DM$7),choice!$D:$E,2,0)))</f>
        <v/>
      </c>
      <c r="DN16" s="74" t="str">
        <f>IF($V16="","",IF(COUNTIF(choice!$D:$D,CONCATENATE($V16,"@",DN$7))=0,"",VLOOKUP(CONCATENATE($V16,"@",DN$7),choice!$D:$E,2,0)))</f>
        <v/>
      </c>
      <c r="DO16" s="74" t="str">
        <f>IF($V16="","",IF(COUNTIF(choice!$D:$D,CONCATENATE($V16,"@",DO$7))=0,"",VLOOKUP(CONCATENATE($V16,"@",DO$7),choice!$D:$E,2,0)))</f>
        <v/>
      </c>
      <c r="DP16" s="74" t="str">
        <f>IF($V16="","",IF(COUNTIF(choice!$D:$D,CONCATENATE($V16,"@",DP$7))=0,"",VLOOKUP(CONCATENATE($V16,"@",DP$7),choice!$D:$E,2,0)))</f>
        <v/>
      </c>
      <c r="DQ16" s="74" t="str">
        <f>IF($V16="","",IF(COUNTIF(choice!$D:$D,CONCATENATE($V16,"@",DQ$7))=0,"",VLOOKUP(CONCATENATE($V16,"@",DQ$7),choice!$D:$E,2,0)))</f>
        <v/>
      </c>
      <c r="DR16" s="74" t="str">
        <f>IF($V16="","",IF(COUNTIF(choice!$D:$D,CONCATENATE($V16,"@",DR$7))=0,"",VLOOKUP(CONCATENATE($V16,"@",DR$7),choice!$D:$E,2,0)))</f>
        <v/>
      </c>
      <c r="DS16" s="74" t="str">
        <f>IF($V16="","",IF(COUNTIF(choice!$D:$D,CONCATENATE($V16,"@",DS$7))=0,"",VLOOKUP(CONCATENATE($V16,"@",DS$7),choice!$D:$E,2,0)))</f>
        <v/>
      </c>
      <c r="DT16" s="74" t="str">
        <f>IF($V16="","",IF(COUNTIF(choice!$D:$D,CONCATENATE($V16,"@",DT$7))=0,"",VLOOKUP(CONCATENATE($V16,"@",DT$7),choice!$D:$E,2,0)))</f>
        <v/>
      </c>
      <c r="DU16" s="74" t="str">
        <f>IF($V16="","",IF(COUNTIF(choice!$D:$D,CONCATENATE($V16,"@",DU$7))=0,"",VLOOKUP(CONCATENATE($V16,"@",DU$7),choice!$D:$E,2,0)))</f>
        <v/>
      </c>
      <c r="DV16" s="74" t="str">
        <f>IF($V16="","",IF(COUNTIF(choice!$D:$D,CONCATENATE($V16,"@",DV$7))=0,"",VLOOKUP(CONCATENATE($V16,"@",DV$7),choice!$D:$E,2,0)))</f>
        <v/>
      </c>
      <c r="DW16" s="74" t="str">
        <f>IF($V16="","",IF(COUNTIF(choice!$D:$D,CONCATENATE($V16,"@",DW$7))=0,"",VLOOKUP(CONCATENATE($V16,"@",DW$7),choice!$D:$E,2,0)))</f>
        <v/>
      </c>
      <c r="DX16" s="74" t="str">
        <f>IF($V16="","",IF(COUNTIF(choice!$D:$D,CONCATENATE($V16,"@",DX$7))=0,"",VLOOKUP(CONCATENATE($V16,"@",DX$7),choice!$D:$E,2,0)))</f>
        <v/>
      </c>
      <c r="DY16" s="74" t="str">
        <f>IF($V16="","",IF(COUNTIF(choice!$D:$D,CONCATENATE($V16,"@",DY$7))=0,"",VLOOKUP(CONCATENATE($V16,"@",DY$7),choice!$D:$E,2,0)))</f>
        <v/>
      </c>
      <c r="DZ16" s="74" t="str">
        <f>IF($V16="","",IF(COUNTIF(choice!$D:$D,CONCATENATE($V16,"@",DZ$7))=0,"",VLOOKUP(CONCATENATE($V16,"@",DZ$7),choice!$D:$E,2,0)))</f>
        <v/>
      </c>
      <c r="EA16" s="74" t="str">
        <f>IF($V16="","",IF(COUNTIF(choice!$D:$D,CONCATENATE($V16,"@",EA$7))=0,"",VLOOKUP(CONCATENATE($V16,"@",EA$7),choice!$D:$E,2,0)))</f>
        <v/>
      </c>
      <c r="EB16" s="74" t="str">
        <f>IF($V16="","",IF(COUNTIF(choice!$D:$D,CONCATENATE($V16,"@",EB$7))=0,"",VLOOKUP(CONCATENATE($V16,"@",EB$7),choice!$D:$E,2,0)))</f>
        <v/>
      </c>
      <c r="EC16" s="81" t="str">
        <f>IF($V16="","",IF(COUNTIF(choice!$D:$D,CONCATENATE($V16,"@",EC$7))=0,"",VLOOKUP(CONCATENATE($V16,"@",EC$7),choice!$D:$E,2,0)))</f>
        <v/>
      </c>
      <c r="ED16" s="80" t="str">
        <f>IF($W16="","",IF(COUNTIF(choice!$D:$D,CONCATENATE($W16,"@",ED$7))=0,"",VLOOKUP(CONCATENATE($W16,"@",ED$7),choice!$D:$E,2,0)))</f>
        <v/>
      </c>
      <c r="EE16" s="74" t="str">
        <f>IF($W16="","",IF(COUNTIF(choice!$D:$D,CONCATENATE($W16,"@",EE$7))=0,"",VLOOKUP(CONCATENATE($W16,"@",EE$7),choice!$D:$E,2,0)))</f>
        <v/>
      </c>
      <c r="EF16" s="74" t="str">
        <f>IF($W16="","",IF(COUNTIF(choice!$D:$D,CONCATENATE($W16,"@",EF$7))=0,"",VLOOKUP(CONCATENATE($W16,"@",EF$7),choice!$D:$E,2,0)))</f>
        <v/>
      </c>
      <c r="EG16" s="74" t="str">
        <f>IF($W16="","",IF(COUNTIF(choice!$D:$D,CONCATENATE($W16,"@",EG$7))=0,"",VLOOKUP(CONCATENATE($W16,"@",EG$7),choice!$D:$E,2,0)))</f>
        <v/>
      </c>
      <c r="EH16" s="74" t="str">
        <f>IF($W16="","",IF(COUNTIF(choice!$D:$D,CONCATENATE($W16,"@",EH$7))=0,"",VLOOKUP(CONCATENATE($W16,"@",EH$7),choice!$D:$E,2,0)))</f>
        <v/>
      </c>
      <c r="EI16" s="74" t="str">
        <f>IF($W16="","",IF(COUNTIF(choice!$D:$D,CONCATENATE($W16,"@",EI$7))=0,"",VLOOKUP(CONCATENATE($W16,"@",EI$7),choice!$D:$E,2,0)))</f>
        <v/>
      </c>
      <c r="EJ16" s="74" t="str">
        <f>IF($W16="","",IF(COUNTIF(choice!$D:$D,CONCATENATE($W16,"@",EJ$7))=0,"",VLOOKUP(CONCATENATE($W16,"@",EJ$7),choice!$D:$E,2,0)))</f>
        <v/>
      </c>
      <c r="EK16" s="74" t="str">
        <f>IF($W16="","",IF(COUNTIF(choice!$D:$D,CONCATENATE($W16,"@",EK$7))=0,"",VLOOKUP(CONCATENATE($W16,"@",EK$7),choice!$D:$E,2,0)))</f>
        <v/>
      </c>
      <c r="EL16" s="74" t="str">
        <f>IF($W16="","",IF(COUNTIF(choice!$D:$D,CONCATENATE($W16,"@",EL$7))=0,"",VLOOKUP(CONCATENATE($W16,"@",EL$7),choice!$D:$E,2,0)))</f>
        <v/>
      </c>
      <c r="EM16" s="74" t="str">
        <f>IF($W16="","",IF(COUNTIF(choice!$D:$D,CONCATENATE($W16,"@",EM$7))=0,"",VLOOKUP(CONCATENATE($W16,"@",EM$7),choice!$D:$E,2,0)))</f>
        <v/>
      </c>
      <c r="EN16" s="74" t="str">
        <f>IF($W16="","",IF(COUNTIF(choice!$D:$D,CONCATENATE($W16,"@",EN$7))=0,"",VLOOKUP(CONCATENATE($W16,"@",EN$7),choice!$D:$E,2,0)))</f>
        <v/>
      </c>
      <c r="EO16" s="74" t="str">
        <f>IF($W16="","",IF(COUNTIF(choice!$D:$D,CONCATENATE($W16,"@",EO$7))=0,"",VLOOKUP(CONCATENATE($W16,"@",EO$7),choice!$D:$E,2,0)))</f>
        <v/>
      </c>
      <c r="EP16" s="74" t="str">
        <f>IF($W16="","",IF(COUNTIF(choice!$D:$D,CONCATENATE($W16,"@",EP$7))=0,"",VLOOKUP(CONCATENATE($W16,"@",EP$7),choice!$D:$E,2,0)))</f>
        <v/>
      </c>
      <c r="EQ16" s="74" t="str">
        <f>IF($W16="","",IF(COUNTIF(choice!$D:$D,CONCATENATE($W16,"@",EQ$7))=0,"",VLOOKUP(CONCATENATE($W16,"@",EQ$7),choice!$D:$E,2,0)))</f>
        <v/>
      </c>
      <c r="ER16" s="74" t="str">
        <f>IF($W16="","",IF(COUNTIF(choice!$D:$D,CONCATENATE($W16,"@",ER$7))=0,"",VLOOKUP(CONCATENATE($W16,"@",ER$7),choice!$D:$E,2,0)))</f>
        <v/>
      </c>
      <c r="ES16" s="74" t="str">
        <f>IF($W16="","",IF(COUNTIF(choice!$D:$D,CONCATENATE($W16,"@",ES$7))=0,"",VLOOKUP(CONCATENATE($W16,"@",ES$7),choice!$D:$E,2,0)))</f>
        <v/>
      </c>
      <c r="ET16" s="74" t="str">
        <f>IF($W16="","",IF(COUNTIF(choice!$D:$D,CONCATENATE($W16,"@",ET$7))=0,"",VLOOKUP(CONCATENATE($W16,"@",ET$7),choice!$D:$E,2,0)))</f>
        <v/>
      </c>
      <c r="EU16" s="74" t="str">
        <f>IF($W16="","",IF(COUNTIF(choice!$D:$D,CONCATENATE($W16,"@",EU$7))=0,"",VLOOKUP(CONCATENATE($W16,"@",EU$7),choice!$D:$E,2,0)))</f>
        <v/>
      </c>
      <c r="EV16" s="74" t="str">
        <f>IF($W16="","",IF(COUNTIF(choice!$D:$D,CONCATENATE($W16,"@",EV$7))=0,"",VLOOKUP(CONCATENATE($W16,"@",EV$7),choice!$D:$E,2,0)))</f>
        <v/>
      </c>
      <c r="EW16" s="74" t="str">
        <f>IF($W16="","",IF(COUNTIF(choice!$D:$D,CONCATENATE($W16,"@",EW$7))=0,"",VLOOKUP(CONCATENATE($W16,"@",EW$7),choice!$D:$E,2,0)))</f>
        <v/>
      </c>
      <c r="EX16" s="74" t="str">
        <f>IF($W16="","",IF(COUNTIF(choice!$D:$D,CONCATENATE($W16,"@",EX$7))=0,"",VLOOKUP(CONCATENATE($W16,"@",EX$7),choice!$D:$E,2,0)))</f>
        <v/>
      </c>
      <c r="EY16" s="74" t="str">
        <f>IF($W16="","",IF(COUNTIF(choice!$D:$D,CONCATENATE($W16,"@",EY$7))=0,"",VLOOKUP(CONCATENATE($W16,"@",EY$7),choice!$D:$E,2,0)))</f>
        <v/>
      </c>
      <c r="EZ16" s="74" t="str">
        <f>IF($W16="","",IF(COUNTIF(choice!$D:$D,CONCATENATE($W16,"@",EZ$7))=0,"",VLOOKUP(CONCATENATE($W16,"@",EZ$7),choice!$D:$E,2,0)))</f>
        <v/>
      </c>
      <c r="FA16" s="74" t="str">
        <f>IF($W16="","",IF(COUNTIF(choice!$D:$D,CONCATENATE($W16,"@",FA$7))=0,"",VLOOKUP(CONCATENATE($W16,"@",FA$7),choice!$D:$E,2,0)))</f>
        <v/>
      </c>
      <c r="FB16" s="74" t="str">
        <f>IF($W16="","",IF(COUNTIF(choice!$D:$D,CONCATENATE($W16,"@",FB$7))=0,"",VLOOKUP(CONCATENATE($W16,"@",FB$7),choice!$D:$E,2,0)))</f>
        <v/>
      </c>
      <c r="FC16" s="74" t="str">
        <f>IF($W16="","",IF(COUNTIF(choice!$D:$D,CONCATENATE($W16,"@",FC$7))=0,"",VLOOKUP(CONCATENATE($W16,"@",FC$7),choice!$D:$E,2,0)))</f>
        <v/>
      </c>
      <c r="FD16" s="74" t="str">
        <f>IF($W16="","",IF(COUNTIF(choice!$D:$D,CONCATENATE($W16,"@",FD$7))=0,"",VLOOKUP(CONCATENATE($W16,"@",FD$7),choice!$D:$E,2,0)))</f>
        <v/>
      </c>
      <c r="FE16" s="74" t="str">
        <f>IF($W16="","",IF(COUNTIF(choice!$D:$D,CONCATENATE($W16,"@",FE$7))=0,"",VLOOKUP(CONCATENATE($W16,"@",FE$7),choice!$D:$E,2,0)))</f>
        <v/>
      </c>
      <c r="FF16" s="74" t="str">
        <f>IF($W16="","",IF(COUNTIF(choice!$D:$D,CONCATENATE($W16,"@",FF$7))=0,"",VLOOKUP(CONCATENATE($W16,"@",FF$7),choice!$D:$E,2,0)))</f>
        <v/>
      </c>
      <c r="FG16" s="74" t="str">
        <f>IF($W16="","",IF(COUNTIF(choice!$D:$D,CONCATENATE($W16,"@",FG$7))=0,"",VLOOKUP(CONCATENATE($W16,"@",FG$7),choice!$D:$E,2,0)))</f>
        <v/>
      </c>
      <c r="FH16" s="74" t="str">
        <f>IF($W16="","",IF(COUNTIF(choice!$D:$D,CONCATENATE($W16,"@",FH$7))=0,"",VLOOKUP(CONCATENATE($W16,"@",FH$7),choice!$D:$E,2,0)))</f>
        <v/>
      </c>
      <c r="FI16" s="74" t="str">
        <f>IF($W16="","",IF(COUNTIF(choice!$D:$D,CONCATENATE($W16,"@",FI$7))=0,"",VLOOKUP(CONCATENATE($W16,"@",FI$7),choice!$D:$E,2,0)))</f>
        <v/>
      </c>
      <c r="FJ16" s="74" t="str">
        <f>IF($W16="","",IF(COUNTIF(choice!$D:$D,CONCATENATE($W16,"@",FJ$7))=0,"",VLOOKUP(CONCATENATE($W16,"@",FJ$7),choice!$D:$E,2,0)))</f>
        <v/>
      </c>
      <c r="FK16" s="74" t="str">
        <f>IF($W16="","",IF(COUNTIF(choice!$D:$D,CONCATENATE($W16,"@",FK$7))=0,"",VLOOKUP(CONCATENATE($W16,"@",FK$7),choice!$D:$E,2,0)))</f>
        <v/>
      </c>
      <c r="FL16" s="74" t="str">
        <f>IF($W16="","",IF(COUNTIF(choice!$D:$D,CONCATENATE($W16,"@",FL$7))=0,"",VLOOKUP(CONCATENATE($W16,"@",FL$7),choice!$D:$E,2,0)))</f>
        <v/>
      </c>
      <c r="FM16" s="74" t="str">
        <f>IF($W16="","",IF(COUNTIF(choice!$D:$D,CONCATENATE($W16,"@",FM$7))=0,"",VLOOKUP(CONCATENATE($W16,"@",FM$7),choice!$D:$E,2,0)))</f>
        <v/>
      </c>
      <c r="FN16" s="74" t="str">
        <f>IF($W16="","",IF(COUNTIF(choice!$D:$D,CONCATENATE($W16,"@",FN$7))=0,"",VLOOKUP(CONCATENATE($W16,"@",FN$7),choice!$D:$E,2,0)))</f>
        <v/>
      </c>
      <c r="FO16" s="74" t="str">
        <f>IF($W16="","",IF(COUNTIF(choice!$D:$D,CONCATENATE($W16,"@",FO$7))=0,"",VLOOKUP(CONCATENATE($W16,"@",FO$7),choice!$D:$E,2,0)))</f>
        <v/>
      </c>
      <c r="FP16" s="74" t="str">
        <f>IF($W16="","",IF(COUNTIF(choice!$D:$D,CONCATENATE($W16,"@",FP$7))=0,"",VLOOKUP(CONCATENATE($W16,"@",FP$7),choice!$D:$E,2,0)))</f>
        <v/>
      </c>
      <c r="FQ16" s="74" t="str">
        <f>IF($W16="","",IF(COUNTIF(choice!$D:$D,CONCATENATE($W16,"@",FQ$7))=0,"",VLOOKUP(CONCATENATE($W16,"@",FQ$7),choice!$D:$E,2,0)))</f>
        <v/>
      </c>
      <c r="FR16" s="74" t="str">
        <f>IF($W16="","",IF(COUNTIF(choice!$D:$D,CONCATENATE($W16,"@",FR$7))=0,"",VLOOKUP(CONCATENATE($W16,"@",FR$7),choice!$D:$E,2,0)))</f>
        <v/>
      </c>
      <c r="FS16" s="74" t="str">
        <f>IF($W16="","",IF(COUNTIF(choice!$D:$D,CONCATENATE($W16,"@",FS$7))=0,"",VLOOKUP(CONCATENATE($W16,"@",FS$7),choice!$D:$E,2,0)))</f>
        <v/>
      </c>
      <c r="FT16" s="74" t="str">
        <f>IF($W16="","",IF(COUNTIF(choice!$D:$D,CONCATENATE($W16,"@",FT$7))=0,"",VLOOKUP(CONCATENATE($W16,"@",FT$7),choice!$D:$E,2,0)))</f>
        <v/>
      </c>
      <c r="FU16" s="74" t="str">
        <f>IF($W16="","",IF(COUNTIF(choice!$D:$D,CONCATENATE($W16,"@",FU$7))=0,"",VLOOKUP(CONCATENATE($W16,"@",FU$7),choice!$D:$E,2,0)))</f>
        <v/>
      </c>
      <c r="FV16" s="81" t="str">
        <f>IF($W16="","",IF(COUNTIF(choice!$D:$D,CONCATENATE($W16,"@",FV$7))=0,"",VLOOKUP(CONCATENATE($W16,"@",FV$7),choice!$D:$E,2,0)))</f>
        <v/>
      </c>
      <c r="FW16" s="80" t="str">
        <f>IF($X16="","",IF(COUNTIF(choice!$D:$D,CONCATENATE($X16,"@",FW$7))=0,"",VLOOKUP(CONCATENATE($X16,"@",FW$7),choice!$D:$E,2,0)))</f>
        <v/>
      </c>
      <c r="FX16" s="74" t="str">
        <f>IF($X16="","",IF(COUNTIF(choice!$D:$D,CONCATENATE($X16,"@",FX$7))=0,"",VLOOKUP(CONCATENATE($X16,"@",FX$7),choice!$D:$E,2,0)))</f>
        <v/>
      </c>
      <c r="FY16" s="74" t="str">
        <f>IF($X16="","",IF(COUNTIF(choice!$D:$D,CONCATENATE($X16,"@",FY$7))=0,"",VLOOKUP(CONCATENATE($X16,"@",FY$7),choice!$D:$E,2,0)))</f>
        <v/>
      </c>
      <c r="FZ16" s="74" t="str">
        <f>IF($X16="","",IF(COUNTIF(choice!$D:$D,CONCATENATE($X16,"@",FZ$7))=0,"",VLOOKUP(CONCATENATE($X16,"@",FZ$7),choice!$D:$E,2,0)))</f>
        <v/>
      </c>
      <c r="GA16" s="74" t="str">
        <f>IF($X16="","",IF(COUNTIF(choice!$D:$D,CONCATENATE($X16,"@",GA$7))=0,"",VLOOKUP(CONCATENATE($X16,"@",GA$7),choice!$D:$E,2,0)))</f>
        <v/>
      </c>
      <c r="GB16" s="74" t="str">
        <f>IF($X16="","",IF(COUNTIF(choice!$D:$D,CONCATENATE($X16,"@",GB$7))=0,"",VLOOKUP(CONCATENATE($X16,"@",GB$7),choice!$D:$E,2,0)))</f>
        <v/>
      </c>
      <c r="GC16" s="74" t="str">
        <f>IF($X16="","",IF(COUNTIF(choice!$D:$D,CONCATENATE($X16,"@",GC$7))=0,"",VLOOKUP(CONCATENATE($X16,"@",GC$7),choice!$D:$E,2,0)))</f>
        <v/>
      </c>
      <c r="GD16" s="74" t="str">
        <f>IF($X16="","",IF(COUNTIF(choice!$D:$D,CONCATENATE($X16,"@",GD$7))=0,"",VLOOKUP(CONCATENATE($X16,"@",GD$7),choice!$D:$E,2,0)))</f>
        <v/>
      </c>
      <c r="GE16" s="74" t="str">
        <f>IF($X16="","",IF(COUNTIF(choice!$D:$D,CONCATENATE($X16,"@",GE$7))=0,"",VLOOKUP(CONCATENATE($X16,"@",GE$7),choice!$D:$E,2,0)))</f>
        <v/>
      </c>
      <c r="GF16" s="74" t="str">
        <f>IF($X16="","",IF(COUNTIF(choice!$D:$D,CONCATENATE($X16,"@",GF$7))=0,"",VLOOKUP(CONCATENATE($X16,"@",GF$7),choice!$D:$E,2,0)))</f>
        <v/>
      </c>
      <c r="GG16" s="74" t="str">
        <f>IF($X16="","",IF(COUNTIF(choice!$D:$D,CONCATENATE($X16,"@",GG$7))=0,"",VLOOKUP(CONCATENATE($X16,"@",GG$7),choice!$D:$E,2,0)))</f>
        <v/>
      </c>
      <c r="GH16" s="74" t="str">
        <f>IF($X16="","",IF(COUNTIF(choice!$D:$D,CONCATENATE($X16,"@",GH$7))=0,"",VLOOKUP(CONCATENATE($X16,"@",GH$7),choice!$D:$E,2,0)))</f>
        <v/>
      </c>
      <c r="GI16" s="74" t="str">
        <f>IF($X16="","",IF(COUNTIF(choice!$D:$D,CONCATENATE($X16,"@",GI$7))=0,"",VLOOKUP(CONCATENATE($X16,"@",GI$7),choice!$D:$E,2,0)))</f>
        <v/>
      </c>
      <c r="GJ16" s="74" t="str">
        <f>IF($X16="","",IF(COUNTIF(choice!$D:$D,CONCATENATE($X16,"@",GJ$7))=0,"",VLOOKUP(CONCATENATE($X16,"@",GJ$7),choice!$D:$E,2,0)))</f>
        <v/>
      </c>
      <c r="GK16" s="74" t="str">
        <f>IF($X16="","",IF(COUNTIF(choice!$D:$D,CONCATENATE($X16,"@",GK$7))=0,"",VLOOKUP(CONCATENATE($X16,"@",GK$7),choice!$D:$E,2,0)))</f>
        <v/>
      </c>
      <c r="GL16" s="74" t="str">
        <f>IF($X16="","",IF(COUNTIF(choice!$D:$D,CONCATENATE($X16,"@",GL$7))=0,"",VLOOKUP(CONCATENATE($X16,"@",GL$7),choice!$D:$E,2,0)))</f>
        <v/>
      </c>
      <c r="GM16" s="74" t="str">
        <f>IF($X16="","",IF(COUNTIF(choice!$D:$D,CONCATENATE($X16,"@",GM$7))=0,"",VLOOKUP(CONCATENATE($X16,"@",GM$7),choice!$D:$E,2,0)))</f>
        <v/>
      </c>
      <c r="GN16" s="74" t="str">
        <f>IF($X16="","",IF(COUNTIF(choice!$D:$D,CONCATENATE($X16,"@",GN$7))=0,"",VLOOKUP(CONCATENATE($X16,"@",GN$7),choice!$D:$E,2,0)))</f>
        <v/>
      </c>
      <c r="GO16" s="74" t="str">
        <f>IF($X16="","",IF(COUNTIF(choice!$D:$D,CONCATENATE($X16,"@",GO$7))=0,"",VLOOKUP(CONCATENATE($X16,"@",GO$7),choice!$D:$E,2,0)))</f>
        <v/>
      </c>
      <c r="GP16" s="74" t="str">
        <f>IF($X16="","",IF(COUNTIF(choice!$D:$D,CONCATENATE($X16,"@",GP$7))=0,"",VLOOKUP(CONCATENATE($X16,"@",GP$7),choice!$D:$E,2,0)))</f>
        <v/>
      </c>
      <c r="GQ16" s="74" t="str">
        <f>IF($X16="","",IF(COUNTIF(choice!$D:$D,CONCATENATE($X16,"@",GQ$7))=0,"",VLOOKUP(CONCATENATE($X16,"@",GQ$7),choice!$D:$E,2,0)))</f>
        <v/>
      </c>
      <c r="GR16" s="74" t="str">
        <f>IF($X16="","",IF(COUNTIF(choice!$D:$D,CONCATENATE($X16,"@",GR$7))=0,"",VLOOKUP(CONCATENATE($X16,"@",GR$7),choice!$D:$E,2,0)))</f>
        <v/>
      </c>
      <c r="GS16" s="74" t="str">
        <f>IF($X16="","",IF(COUNTIF(choice!$D:$D,CONCATENATE($X16,"@",GS$7))=0,"",VLOOKUP(CONCATENATE($X16,"@",GS$7),choice!$D:$E,2,0)))</f>
        <v/>
      </c>
      <c r="GT16" s="74" t="str">
        <f>IF($X16="","",IF(COUNTIF(choice!$D:$D,CONCATENATE($X16,"@",GT$7))=0,"",VLOOKUP(CONCATENATE($X16,"@",GT$7),choice!$D:$E,2,0)))</f>
        <v/>
      </c>
      <c r="GU16" s="74" t="str">
        <f>IF($X16="","",IF(COUNTIF(choice!$D:$D,CONCATENATE($X16,"@",GU$7))=0,"",VLOOKUP(CONCATENATE($X16,"@",GU$7),choice!$D:$E,2,0)))</f>
        <v/>
      </c>
      <c r="GV16" s="74" t="str">
        <f>IF($X16="","",IF(COUNTIF(choice!$D:$D,CONCATENATE($X16,"@",GV$7))=0,"",VLOOKUP(CONCATENATE($X16,"@",GV$7),choice!$D:$E,2,0)))</f>
        <v/>
      </c>
      <c r="GW16" s="74" t="str">
        <f>IF($X16="","",IF(COUNTIF(choice!$D:$D,CONCATENATE($X16,"@",GW$7))=0,"",VLOOKUP(CONCATENATE($X16,"@",GW$7),choice!$D:$E,2,0)))</f>
        <v/>
      </c>
      <c r="GX16" s="74" t="str">
        <f>IF($X16="","",IF(COUNTIF(choice!$D:$D,CONCATENATE($X16,"@",GX$7))=0,"",VLOOKUP(CONCATENATE($X16,"@",GX$7),choice!$D:$E,2,0)))</f>
        <v/>
      </c>
      <c r="GY16" s="74" t="str">
        <f>IF($X16="","",IF(COUNTIF(choice!$D:$D,CONCATENATE($X16,"@",GY$7))=0,"",VLOOKUP(CONCATENATE($X16,"@",GY$7),choice!$D:$E,2,0)))</f>
        <v/>
      </c>
      <c r="GZ16" s="74" t="str">
        <f>IF($X16="","",IF(COUNTIF(choice!$D:$D,CONCATENATE($X16,"@",GZ$7))=0,"",VLOOKUP(CONCATENATE($X16,"@",GZ$7),choice!$D:$E,2,0)))</f>
        <v/>
      </c>
      <c r="HA16" s="74" t="str">
        <f>IF($X16="","",IF(COUNTIF(choice!$D:$D,CONCATENATE($X16,"@",HA$7))=0,"",VLOOKUP(CONCATENATE($X16,"@",HA$7),choice!$D:$E,2,0)))</f>
        <v/>
      </c>
      <c r="HB16" s="74" t="str">
        <f>IF($X16="","",IF(COUNTIF(choice!$D:$D,CONCATENATE($X16,"@",HB$7))=0,"",VLOOKUP(CONCATENATE($X16,"@",HB$7),choice!$D:$E,2,0)))</f>
        <v/>
      </c>
      <c r="HC16" s="74" t="str">
        <f>IF($X16="","",IF(COUNTIF(choice!$D:$D,CONCATENATE($X16,"@",HC$7))=0,"",VLOOKUP(CONCATENATE($X16,"@",HC$7),choice!$D:$E,2,0)))</f>
        <v/>
      </c>
      <c r="HD16" s="74" t="str">
        <f>IF($X16="","",IF(COUNTIF(choice!$D:$D,CONCATENATE($X16,"@",HD$7))=0,"",VLOOKUP(CONCATENATE($X16,"@",HD$7),choice!$D:$E,2,0)))</f>
        <v/>
      </c>
      <c r="HE16" s="74" t="str">
        <f>IF($X16="","",IF(COUNTIF(choice!$D:$D,CONCATENATE($X16,"@",HE$7))=0,"",VLOOKUP(CONCATENATE($X16,"@",HE$7),choice!$D:$E,2,0)))</f>
        <v/>
      </c>
      <c r="HF16" s="74" t="str">
        <f>IF($X16="","",IF(COUNTIF(choice!$D:$D,CONCATENATE($X16,"@",HF$7))=0,"",VLOOKUP(CONCATENATE($X16,"@",HF$7),choice!$D:$E,2,0)))</f>
        <v/>
      </c>
      <c r="HG16" s="74" t="str">
        <f>IF($X16="","",IF(COUNTIF(choice!$D:$D,CONCATENATE($X16,"@",HG$7))=0,"",VLOOKUP(CONCATENATE($X16,"@",HG$7),choice!$D:$E,2,0)))</f>
        <v/>
      </c>
      <c r="HH16" s="74" t="str">
        <f>IF($X16="","",IF(COUNTIF(choice!$D:$D,CONCATENATE($X16,"@",HH$7))=0,"",VLOOKUP(CONCATENATE($X16,"@",HH$7),choice!$D:$E,2,0)))</f>
        <v/>
      </c>
      <c r="HI16" s="74" t="str">
        <f>IF($X16="","",IF(COUNTIF(choice!$D:$D,CONCATENATE($X16,"@",HI$7))=0,"",VLOOKUP(CONCATENATE($X16,"@",HI$7),choice!$D:$E,2,0)))</f>
        <v/>
      </c>
      <c r="HJ16" s="74" t="str">
        <f>IF($X16="","",IF(COUNTIF(choice!$D:$D,CONCATENATE($X16,"@",HJ$7))=0,"",VLOOKUP(CONCATENATE($X16,"@",HJ$7),choice!$D:$E,2,0)))</f>
        <v/>
      </c>
      <c r="HK16" s="74" t="str">
        <f>IF($X16="","",IF(COUNTIF(choice!$D:$D,CONCATENATE($X16,"@",HK$7))=0,"",VLOOKUP(CONCATENATE($X16,"@",HK$7),choice!$D:$E,2,0)))</f>
        <v/>
      </c>
      <c r="HL16" s="74" t="str">
        <f>IF($X16="","",IF(COUNTIF(choice!$D:$D,CONCATENATE($X16,"@",HL$7))=0,"",VLOOKUP(CONCATENATE($X16,"@",HL$7),choice!$D:$E,2,0)))</f>
        <v/>
      </c>
      <c r="HM16" s="74" t="str">
        <f>IF($X16="","",IF(COUNTIF(choice!$D:$D,CONCATENATE($X16,"@",HM$7))=0,"",VLOOKUP(CONCATENATE($X16,"@",HM$7),choice!$D:$E,2,0)))</f>
        <v/>
      </c>
      <c r="HN16" s="74" t="str">
        <f>IF($X16="","",IF(COUNTIF(choice!$D:$D,CONCATENATE($X16,"@",HN$7))=0,"",VLOOKUP(CONCATENATE($X16,"@",HN$7),choice!$D:$E,2,0)))</f>
        <v/>
      </c>
      <c r="HO16" s="81" t="str">
        <f>IF($X16="","",IF(COUNTIF(choice!$D:$D,CONCATENATE($X16,"@",HO$7))=0,"",VLOOKUP(CONCATENATE($X16,"@",HO$7),choice!$D:$E,2,0)))</f>
        <v/>
      </c>
      <c r="HP16" s="20" t="s">
        <v>68</v>
      </c>
      <c r="HQ16" s="20" t="s">
        <v>69</v>
      </c>
      <c r="HV16" s="74">
        <f t="shared" si="20"/>
        <v>0</v>
      </c>
      <c r="HW16" s="74">
        <f t="shared" si="21"/>
        <v>0</v>
      </c>
      <c r="HX16" s="74">
        <f t="shared" si="22"/>
        <v>0</v>
      </c>
      <c r="HY16" s="74">
        <f t="shared" si="23"/>
        <v>0</v>
      </c>
      <c r="HZ16" s="74">
        <f t="shared" si="30"/>
        <v>0</v>
      </c>
      <c r="IA16" s="74">
        <f t="shared" si="30"/>
        <v>0</v>
      </c>
      <c r="IB16" s="74" t="str">
        <f t="shared" si="31"/>
        <v/>
      </c>
      <c r="IC16" s="74" t="str">
        <f t="shared" si="32"/>
        <v/>
      </c>
      <c r="ID16" s="74" t="str">
        <f t="shared" si="24"/>
        <v/>
      </c>
      <c r="IE16" s="74">
        <f t="shared" si="25"/>
        <v>22</v>
      </c>
      <c r="IF16" s="74">
        <f>COUNTIFS(ID$8:ID16,"BLUE")</f>
        <v>0</v>
      </c>
      <c r="IG16" s="74" t="str">
        <f t="shared" si="26"/>
        <v/>
      </c>
      <c r="IH16" s="74" t="str">
        <f>IF(COUNTIFS($AQ16,"*02*")=0,"",COUNTIFS(IJ$8:IJ16,"BLUE"))</f>
        <v/>
      </c>
      <c r="II16" s="74" t="str">
        <f>IF(COUNTIFS($AQ16,"*04*")=0,"",COUNTIFS(IK$8:IK16,"BLUE"))</f>
        <v/>
      </c>
      <c r="IJ16" s="74" t="str">
        <f t="shared" si="33"/>
        <v/>
      </c>
      <c r="IK16" s="74" t="str">
        <f t="shared" si="34"/>
        <v/>
      </c>
      <c r="IL16" s="74" t="str">
        <f t="shared" si="27"/>
        <v/>
      </c>
      <c r="IM16" s="74" t="str">
        <f t="shared" si="28"/>
        <v/>
      </c>
      <c r="IN16" s="74">
        <f>COUNTIFS(IJ$8:IJ16,"BLUE")</f>
        <v>0</v>
      </c>
      <c r="IO16" s="74">
        <f>COUNTIFS(IK$8:IK16,"BLUE")</f>
        <v>0</v>
      </c>
    </row>
    <row r="17" spans="1:249" s="20" customFormat="1" ht="20.25" customHeight="1">
      <c r="A17" s="33"/>
      <c r="B17" s="39">
        <v>23</v>
      </c>
      <c r="C17" s="155"/>
      <c r="D17" s="174"/>
      <c r="E17" s="88" t="e">
        <f>VLOOKUP(F17,'Radio Call Sign'!A:B,2)</f>
        <v>#N/A</v>
      </c>
      <c r="F17" s="88"/>
      <c r="G17" s="88" t="e">
        <f>VLOOKUP(H17,'Radio Call Sign'!A:B,2)</f>
        <v>#N/A</v>
      </c>
      <c r="H17" s="88"/>
      <c r="I17" s="89" t="str">
        <f t="shared" si="12"/>
        <v/>
      </c>
      <c r="J17" s="90" t="str">
        <f t="shared" si="17"/>
        <v/>
      </c>
      <c r="K17" s="86" t="str">
        <f t="shared" si="18"/>
        <v/>
      </c>
      <c r="L17" s="155"/>
      <c r="M17" s="190" t="str">
        <f t="shared" si="19"/>
        <v/>
      </c>
      <c r="N17" s="21"/>
      <c r="O17" s="21"/>
      <c r="P17" s="53"/>
      <c r="Q17" s="163" t="str">
        <f>IF(AA17="","",IF(COUNTIFS('overhead line area'!$D$3:$D$100,AA17)+COUNTIFS('overhead line area'!$D$3:$D$100,AB17)+COUNTIFS('overhead line area'!$D$3:$D$100,AC17)+COUNTIFS('overhead line area'!$D$3:$D$100,AD17)=0,"","*               "))</f>
        <v/>
      </c>
      <c r="R17" s="53"/>
      <c r="S17" s="24"/>
      <c r="U17" s="74"/>
      <c r="V17" s="74"/>
      <c r="W17" s="74"/>
      <c r="X17" s="74"/>
      <c r="Y17" s="74"/>
      <c r="AA17" s="74" t="str">
        <f t="shared" si="13"/>
        <v/>
      </c>
      <c r="AB17" s="74" t="str">
        <f t="shared" si="29"/>
        <v/>
      </c>
      <c r="AC17" s="74" t="str">
        <f t="shared" si="35"/>
        <v/>
      </c>
      <c r="AD17" s="74" t="str">
        <f t="shared" si="36"/>
        <v/>
      </c>
      <c r="AF17" s="74" t="str">
        <f>IF(AA17="","",IF(COUNTIF(Route!$AM:$AM,'Train Movement Log (page.2)'!AA17)=0,"未有資料",VLOOKUP('Train Movement Log (page.2)'!AA17,Route!$AM:$AP,3,0)))</f>
        <v/>
      </c>
      <c r="AG17" s="74" t="str">
        <f>IF(AB17="","",IF(COUNTIF(Route!$AM:$AM,'Train Movement Log (page.2)'!AB17)=0,"未有資料",VLOOKUP('Train Movement Log (page.2)'!AB17,Route!$AM:$AP,3,0)))</f>
        <v/>
      </c>
      <c r="AH17" s="74" t="str">
        <f>IF(AC17="","",IF(COUNTIF(Route!$AM:$AM,'Train Movement Log (page.2)'!AC17)=0,"未有資料",VLOOKUP('Train Movement Log (page.2)'!AC17,Route!$AM:$AP,3,0)))</f>
        <v/>
      </c>
      <c r="AI17" s="74" t="str">
        <f>IF(AD17="","",IF(COUNTIF(Route!$AM:$AM,'Train Movement Log (page.2)'!AD17)=0,"未有資料",VLOOKUP('Train Movement Log (page.2)'!AD17,Route!$AM:$AP,3,0)))</f>
        <v/>
      </c>
      <c r="AK17" s="74" t="str">
        <f>IF(AA17="","",IF(COUNTIF(Route!$AM:$AM,'Train Movement Log (page.2)'!AA17)=0,"未有資料",VLOOKUP('Train Movement Log (page.2)'!AA17,Route!$AM:$AP,4,0)))</f>
        <v/>
      </c>
      <c r="AL17" s="74" t="str">
        <f>IF(AB17="","",IF(COUNTIF(Route!$AM:$AM,'Train Movement Log (page.2)'!AB17)=0,"未有資料",VLOOKUP('Train Movement Log (page.2)'!AB17,Route!$AM:$AP,4,0)))</f>
        <v/>
      </c>
      <c r="AM17" s="74" t="str">
        <f>IF(AC17="","",IF(COUNTIF(Route!$AM:$AM,'Train Movement Log (page.2)'!AC17)=0,"未有資料",VLOOKUP('Train Movement Log (page.2)'!AC17,Route!$AM:$AP,4,0)))</f>
        <v/>
      </c>
      <c r="AN17" s="74" t="str">
        <f>IF(AD17="","",IF(COUNTIF(Route!$AM:$AM,'Train Movement Log (page.2)'!AD17)=0,"未有資料",VLOOKUP('Train Movement Log (page.2)'!AD17,Route!$AM:$AP,4,0)))</f>
        <v/>
      </c>
      <c r="AP17" s="74" t="str">
        <f t="shared" si="15"/>
        <v/>
      </c>
      <c r="AQ17" s="76" t="str">
        <f t="shared" si="16"/>
        <v/>
      </c>
      <c r="AR17" s="80" t="str">
        <f>IF($U17="","",IF(COUNTIF(choice!$D:$D,CONCATENATE($U17,"@",AR$7))=0,"",VLOOKUP(CONCATENATE($U17,"@",AR$7),choice!$D:$E,2,0)))</f>
        <v/>
      </c>
      <c r="AS17" s="74" t="str">
        <f>IF($U17="","",IF(COUNTIF(choice!$D:$D,CONCATENATE($U17,"@",AS$7))=0,"",VLOOKUP(CONCATENATE($U17,"@",AS$7),choice!$D:$E,2,0)))</f>
        <v/>
      </c>
      <c r="AT17" s="74" t="str">
        <f>IF($U17="","",IF(COUNTIF(choice!$D:$D,CONCATENATE($U17,"@",AT$7))=0,"",VLOOKUP(CONCATENATE($U17,"@",AT$7),choice!$D:$E,2,0)))</f>
        <v/>
      </c>
      <c r="AU17" s="74" t="str">
        <f>IF($U17="","",IF(COUNTIF(choice!$D:$D,CONCATENATE($U17,"@",AU$7))=0,"",VLOOKUP(CONCATENATE($U17,"@",AU$7),choice!$D:$E,2,0)))</f>
        <v/>
      </c>
      <c r="AV17" s="74" t="str">
        <f>IF($U17="","",IF(COUNTIF(choice!$D:$D,CONCATENATE($U17,"@",AV$7))=0,"",VLOOKUP(CONCATENATE($U17,"@",AV$7),choice!$D:$E,2,0)))</f>
        <v/>
      </c>
      <c r="AW17" s="74" t="str">
        <f>IF($U17="","",IF(COUNTIF(choice!$D:$D,CONCATENATE($U17,"@",AW$7))=0,"",VLOOKUP(CONCATENATE($U17,"@",AW$7),choice!$D:$E,2,0)))</f>
        <v/>
      </c>
      <c r="AX17" s="74" t="str">
        <f>IF($U17="","",IF(COUNTIF(choice!$D:$D,CONCATENATE($U17,"@",AX$7))=0,"",VLOOKUP(CONCATENATE($U17,"@",AX$7),choice!$D:$E,2,0)))</f>
        <v/>
      </c>
      <c r="AY17" s="74" t="str">
        <f>IF($U17="","",IF(COUNTIF(choice!$D:$D,CONCATENATE($U17,"@",AY$7))=0,"",VLOOKUP(CONCATENATE($U17,"@",AY$7),choice!$D:$E,2,0)))</f>
        <v/>
      </c>
      <c r="AZ17" s="74" t="str">
        <f>IF($U17="","",IF(COUNTIF(choice!$D:$D,CONCATENATE($U17,"@",AZ$7))=0,"",VLOOKUP(CONCATENATE($U17,"@",AZ$7),choice!$D:$E,2,0)))</f>
        <v/>
      </c>
      <c r="BA17" s="74" t="str">
        <f>IF($U17="","",IF(COUNTIF(choice!$D:$D,CONCATENATE($U17,"@",BA$7))=0,"",VLOOKUP(CONCATENATE($U17,"@",BA$7),choice!$D:$E,2,0)))</f>
        <v/>
      </c>
      <c r="BB17" s="74" t="str">
        <f>IF($U17="","",IF(COUNTIF(choice!$D:$D,CONCATENATE($U17,"@",BB$7))=0,"",VLOOKUP(CONCATENATE($U17,"@",BB$7),choice!$D:$E,2,0)))</f>
        <v/>
      </c>
      <c r="BC17" s="74" t="str">
        <f>IF($U17="","",IF(COUNTIF(choice!$D:$D,CONCATENATE($U17,"@",BC$7))=0,"",VLOOKUP(CONCATENATE($U17,"@",BC$7),choice!$D:$E,2,0)))</f>
        <v/>
      </c>
      <c r="BD17" s="74" t="str">
        <f>IF($U17="","",IF(COUNTIF(choice!$D:$D,CONCATENATE($U17,"@",BD$7))=0,"",VLOOKUP(CONCATENATE($U17,"@",BD$7),choice!$D:$E,2,0)))</f>
        <v/>
      </c>
      <c r="BE17" s="74" t="str">
        <f>IF($U17="","",IF(COUNTIF(choice!$D:$D,CONCATENATE($U17,"@",BE$7))=0,"",VLOOKUP(CONCATENATE($U17,"@",BE$7),choice!$D:$E,2,0)))</f>
        <v/>
      </c>
      <c r="BF17" s="74" t="str">
        <f>IF($U17="","",IF(COUNTIF(choice!$D:$D,CONCATENATE($U17,"@",BF$7))=0,"",VLOOKUP(CONCATENATE($U17,"@",BF$7),choice!$D:$E,2,0)))</f>
        <v/>
      </c>
      <c r="BG17" s="74" t="str">
        <f>IF($U17="","",IF(COUNTIF(choice!$D:$D,CONCATENATE($U17,"@",BG$7))=0,"",VLOOKUP(CONCATENATE($U17,"@",BG$7),choice!$D:$E,2,0)))</f>
        <v/>
      </c>
      <c r="BH17" s="74" t="str">
        <f>IF($U17="","",IF(COUNTIF(choice!$D:$D,CONCATENATE($U17,"@",BH$7))=0,"",VLOOKUP(CONCATENATE($U17,"@",BH$7),choice!$D:$E,2,0)))</f>
        <v/>
      </c>
      <c r="BI17" s="74" t="str">
        <f>IF($U17="","",IF(COUNTIF(choice!$D:$D,CONCATENATE($U17,"@",BI$7))=0,"",VLOOKUP(CONCATENATE($U17,"@",BI$7),choice!$D:$E,2,0)))</f>
        <v/>
      </c>
      <c r="BJ17" s="74" t="str">
        <f>IF($U17="","",IF(COUNTIF(choice!$D:$D,CONCATENATE($U17,"@",BJ$7))=0,"",VLOOKUP(CONCATENATE($U17,"@",BJ$7),choice!$D:$E,2,0)))</f>
        <v/>
      </c>
      <c r="BK17" s="74" t="str">
        <f>IF($U17="","",IF(COUNTIF(choice!$D:$D,CONCATENATE($U17,"@",BK$7))=0,"",VLOOKUP(CONCATENATE($U17,"@",BK$7),choice!$D:$E,2,0)))</f>
        <v/>
      </c>
      <c r="BL17" s="74" t="str">
        <f>IF($U17="","",IF(COUNTIF(choice!$D:$D,CONCATENATE($U17,"@",BL$7))=0,"",VLOOKUP(CONCATENATE($U17,"@",BL$7),choice!$D:$E,2,0)))</f>
        <v/>
      </c>
      <c r="BM17" s="74" t="str">
        <f>IF($U17="","",IF(COUNTIF(choice!$D:$D,CONCATENATE($U17,"@",BM$7))=0,"",VLOOKUP(CONCATENATE($U17,"@",BM$7),choice!$D:$E,2,0)))</f>
        <v/>
      </c>
      <c r="BN17" s="74" t="str">
        <f>IF($U17="","",IF(COUNTIF(choice!$D:$D,CONCATENATE($U17,"@",BN$7))=0,"",VLOOKUP(CONCATENATE($U17,"@",BN$7),choice!$D:$E,2,0)))</f>
        <v/>
      </c>
      <c r="BO17" s="74" t="str">
        <f>IF($U17="","",IF(COUNTIF(choice!$D:$D,CONCATENATE($U17,"@",BO$7))=0,"",VLOOKUP(CONCATENATE($U17,"@",BO$7),choice!$D:$E,2,0)))</f>
        <v/>
      </c>
      <c r="BP17" s="74" t="str">
        <f>IF($U17="","",IF(COUNTIF(choice!$D:$D,CONCATENATE($U17,"@",BP$7))=0,"",VLOOKUP(CONCATENATE($U17,"@",BP$7),choice!$D:$E,2,0)))</f>
        <v/>
      </c>
      <c r="BQ17" s="74" t="str">
        <f>IF($U17="","",IF(COUNTIF(choice!$D:$D,CONCATENATE($U17,"@",BQ$7))=0,"",VLOOKUP(CONCATENATE($U17,"@",BQ$7),choice!$D:$E,2,0)))</f>
        <v/>
      </c>
      <c r="BR17" s="74" t="str">
        <f>IF($U17="","",IF(COUNTIF(choice!$D:$D,CONCATENATE($U17,"@",BR$7))=0,"",VLOOKUP(CONCATENATE($U17,"@",BR$7),choice!$D:$E,2,0)))</f>
        <v/>
      </c>
      <c r="BS17" s="74" t="str">
        <f>IF($U17="","",IF(COUNTIF(choice!$D:$D,CONCATENATE($U17,"@",BS$7))=0,"",VLOOKUP(CONCATENATE($U17,"@",BS$7),choice!$D:$E,2,0)))</f>
        <v/>
      </c>
      <c r="BT17" s="74" t="str">
        <f>IF($U17="","",IF(COUNTIF(choice!$D:$D,CONCATENATE($U17,"@",BT$7))=0,"",VLOOKUP(CONCATENATE($U17,"@",BT$7),choice!$D:$E,2,0)))</f>
        <v/>
      </c>
      <c r="BU17" s="74" t="str">
        <f>IF($U17="","",IF(COUNTIF(choice!$D:$D,CONCATENATE($U17,"@",BU$7))=0,"",VLOOKUP(CONCATENATE($U17,"@",BU$7),choice!$D:$E,2,0)))</f>
        <v/>
      </c>
      <c r="BV17" s="74" t="str">
        <f>IF($U17="","",IF(COUNTIF(choice!$D:$D,CONCATENATE($U17,"@",BV$7))=0,"",VLOOKUP(CONCATENATE($U17,"@",BV$7),choice!$D:$E,2,0)))</f>
        <v/>
      </c>
      <c r="BW17" s="74" t="str">
        <f>IF($U17="","",IF(COUNTIF(choice!$D:$D,CONCATENATE($U17,"@",BW$7))=0,"",VLOOKUP(CONCATENATE($U17,"@",BW$7),choice!$D:$E,2,0)))</f>
        <v/>
      </c>
      <c r="BX17" s="74" t="str">
        <f>IF($U17="","",IF(COUNTIF(choice!$D:$D,CONCATENATE($U17,"@",BX$7))=0,"",VLOOKUP(CONCATENATE($U17,"@",BX$7),choice!$D:$E,2,0)))</f>
        <v/>
      </c>
      <c r="BY17" s="74" t="str">
        <f>IF($U17="","",IF(COUNTIF(choice!$D:$D,CONCATENATE($U17,"@",BY$7))=0,"",VLOOKUP(CONCATENATE($U17,"@",BY$7),choice!$D:$E,2,0)))</f>
        <v/>
      </c>
      <c r="BZ17" s="74" t="str">
        <f>IF($U17="","",IF(COUNTIF(choice!$D:$D,CONCATENATE($U17,"@",BZ$7))=0,"",VLOOKUP(CONCATENATE($U17,"@",BZ$7),choice!$D:$E,2,0)))</f>
        <v/>
      </c>
      <c r="CA17" s="74" t="str">
        <f>IF($U17="","",IF(COUNTIF(choice!$D:$D,CONCATENATE($U17,"@",CA$7))=0,"",VLOOKUP(CONCATENATE($U17,"@",CA$7),choice!$D:$E,2,0)))</f>
        <v/>
      </c>
      <c r="CB17" s="74" t="str">
        <f>IF($U17="","",IF(COUNTIF(choice!$D:$D,CONCATENATE($U17,"@",CB$7))=0,"",VLOOKUP(CONCATENATE($U17,"@",CB$7),choice!$D:$E,2,0)))</f>
        <v/>
      </c>
      <c r="CC17" s="74" t="str">
        <f>IF($U17="","",IF(COUNTIF(choice!$D:$D,CONCATENATE($U17,"@",CC$7))=0,"",VLOOKUP(CONCATENATE($U17,"@",CC$7),choice!$D:$E,2,0)))</f>
        <v/>
      </c>
      <c r="CD17" s="74" t="str">
        <f>IF($U17="","",IF(COUNTIF(choice!$D:$D,CONCATENATE($U17,"@",CD$7))=0,"",VLOOKUP(CONCATENATE($U17,"@",CD$7),choice!$D:$E,2,0)))</f>
        <v/>
      </c>
      <c r="CE17" s="74" t="str">
        <f>IF($U17="","",IF(COUNTIF(choice!$D:$D,CONCATENATE($U17,"@",CE$7))=0,"",VLOOKUP(CONCATENATE($U17,"@",CE$7),choice!$D:$E,2,0)))</f>
        <v/>
      </c>
      <c r="CF17" s="74" t="str">
        <f>IF($U17="","",IF(COUNTIF(choice!$D:$D,CONCATENATE($U17,"@",CF$7))=0,"",VLOOKUP(CONCATENATE($U17,"@",CF$7),choice!$D:$E,2,0)))</f>
        <v/>
      </c>
      <c r="CG17" s="74" t="str">
        <f>IF($U17="","",IF(COUNTIF(choice!$D:$D,CONCATENATE($U17,"@",CG$7))=0,"",VLOOKUP(CONCATENATE($U17,"@",CG$7),choice!$D:$E,2,0)))</f>
        <v/>
      </c>
      <c r="CH17" s="74" t="str">
        <f>IF($U17="","",IF(COUNTIF(choice!$D:$D,CONCATENATE($U17,"@",CH$7))=0,"",VLOOKUP(CONCATENATE($U17,"@",CH$7),choice!$D:$E,2,0)))</f>
        <v/>
      </c>
      <c r="CI17" s="74" t="str">
        <f>IF($U17="","",IF(COUNTIF(choice!$D:$D,CONCATENATE($U17,"@",CI$7))=0,"",VLOOKUP(CONCATENATE($U17,"@",CI$7),choice!$D:$E,2,0)))</f>
        <v/>
      </c>
      <c r="CJ17" s="81" t="str">
        <f>IF($U17="","",IF(COUNTIF(choice!$D:$D,CONCATENATE($U17,"@",CJ$7))=0,"",VLOOKUP(CONCATENATE($U17,"@",CJ$7),choice!$D:$E,2,0)))</f>
        <v/>
      </c>
      <c r="CK17" s="80" t="str">
        <f>IF($V17="","",IF(COUNTIF(choice!$D:$D,CONCATENATE($V17,"@",CK$7))=0,"",VLOOKUP(CONCATENATE($V17,"@",CK$7),choice!$D:$E,2,0)))</f>
        <v/>
      </c>
      <c r="CL17" s="74" t="str">
        <f>IF($V17="","",IF(COUNTIF(choice!$D:$D,CONCATENATE($V17,"@",CL$7))=0,"",VLOOKUP(CONCATENATE($V17,"@",CL$7),choice!$D:$E,2,0)))</f>
        <v/>
      </c>
      <c r="CM17" s="74" t="str">
        <f>IF($V17="","",IF(COUNTIF(choice!$D:$D,CONCATENATE($V17,"@",CM$7))=0,"",VLOOKUP(CONCATENATE($V17,"@",CM$7),choice!$D:$E,2,0)))</f>
        <v/>
      </c>
      <c r="CN17" s="74" t="str">
        <f>IF($V17="","",IF(COUNTIF(choice!$D:$D,CONCATENATE($V17,"@",CN$7))=0,"",VLOOKUP(CONCATENATE($V17,"@",CN$7),choice!$D:$E,2,0)))</f>
        <v/>
      </c>
      <c r="CO17" s="74" t="str">
        <f>IF($V17="","",IF(COUNTIF(choice!$D:$D,CONCATENATE($V17,"@",CO$7))=0,"",VLOOKUP(CONCATENATE($V17,"@",CO$7),choice!$D:$E,2,0)))</f>
        <v/>
      </c>
      <c r="CP17" s="74" t="str">
        <f>IF($V17="","",IF(COUNTIF(choice!$D:$D,CONCATENATE($V17,"@",CP$7))=0,"",VLOOKUP(CONCATENATE($V17,"@",CP$7),choice!$D:$E,2,0)))</f>
        <v/>
      </c>
      <c r="CQ17" s="74" t="str">
        <f>IF($V17="","",IF(COUNTIF(choice!$D:$D,CONCATENATE($V17,"@",CQ$7))=0,"",VLOOKUP(CONCATENATE($V17,"@",CQ$7),choice!$D:$E,2,0)))</f>
        <v/>
      </c>
      <c r="CR17" s="74" t="str">
        <f>IF($V17="","",IF(COUNTIF(choice!$D:$D,CONCATENATE($V17,"@",CR$7))=0,"",VLOOKUP(CONCATENATE($V17,"@",CR$7),choice!$D:$E,2,0)))</f>
        <v/>
      </c>
      <c r="CS17" s="74" t="str">
        <f>IF($V17="","",IF(COUNTIF(choice!$D:$D,CONCATENATE($V17,"@",CS$7))=0,"",VLOOKUP(CONCATENATE($V17,"@",CS$7),choice!$D:$E,2,0)))</f>
        <v/>
      </c>
      <c r="CT17" s="74" t="str">
        <f>IF($V17="","",IF(COUNTIF(choice!$D:$D,CONCATENATE($V17,"@",CT$7))=0,"",VLOOKUP(CONCATENATE($V17,"@",CT$7),choice!$D:$E,2,0)))</f>
        <v/>
      </c>
      <c r="CU17" s="74" t="str">
        <f>IF($V17="","",IF(COUNTIF(choice!$D:$D,CONCATENATE($V17,"@",CU$7))=0,"",VLOOKUP(CONCATENATE($V17,"@",CU$7),choice!$D:$E,2,0)))</f>
        <v/>
      </c>
      <c r="CV17" s="74" t="str">
        <f>IF($V17="","",IF(COUNTIF(choice!$D:$D,CONCATENATE($V17,"@",CV$7))=0,"",VLOOKUP(CONCATENATE($V17,"@",CV$7),choice!$D:$E,2,0)))</f>
        <v/>
      </c>
      <c r="CW17" s="74" t="str">
        <f>IF($V17="","",IF(COUNTIF(choice!$D:$D,CONCATENATE($V17,"@",CW$7))=0,"",VLOOKUP(CONCATENATE($V17,"@",CW$7),choice!$D:$E,2,0)))</f>
        <v/>
      </c>
      <c r="CX17" s="74" t="str">
        <f>IF($V17="","",IF(COUNTIF(choice!$D:$D,CONCATENATE($V17,"@",CX$7))=0,"",VLOOKUP(CONCATENATE($V17,"@",CX$7),choice!$D:$E,2,0)))</f>
        <v/>
      </c>
      <c r="CY17" s="74" t="str">
        <f>IF($V17="","",IF(COUNTIF(choice!$D:$D,CONCATENATE($V17,"@",CY$7))=0,"",VLOOKUP(CONCATENATE($V17,"@",CY$7),choice!$D:$E,2,0)))</f>
        <v/>
      </c>
      <c r="CZ17" s="74" t="str">
        <f>IF($V17="","",IF(COUNTIF(choice!$D:$D,CONCATENATE($V17,"@",CZ$7))=0,"",VLOOKUP(CONCATENATE($V17,"@",CZ$7),choice!$D:$E,2,0)))</f>
        <v/>
      </c>
      <c r="DA17" s="74" t="str">
        <f>IF($V17="","",IF(COUNTIF(choice!$D:$D,CONCATENATE($V17,"@",DA$7))=0,"",VLOOKUP(CONCATENATE($V17,"@",DA$7),choice!$D:$E,2,0)))</f>
        <v/>
      </c>
      <c r="DB17" s="74" t="str">
        <f>IF($V17="","",IF(COUNTIF(choice!$D:$D,CONCATENATE($V17,"@",DB$7))=0,"",VLOOKUP(CONCATENATE($V17,"@",DB$7),choice!$D:$E,2,0)))</f>
        <v/>
      </c>
      <c r="DC17" s="74" t="str">
        <f>IF($V17="","",IF(COUNTIF(choice!$D:$D,CONCATENATE($V17,"@",DC$7))=0,"",VLOOKUP(CONCATENATE($V17,"@",DC$7),choice!$D:$E,2,0)))</f>
        <v/>
      </c>
      <c r="DD17" s="74" t="str">
        <f>IF($V17="","",IF(COUNTIF(choice!$D:$D,CONCATENATE($V17,"@",DD$7))=0,"",VLOOKUP(CONCATENATE($V17,"@",DD$7),choice!$D:$E,2,0)))</f>
        <v/>
      </c>
      <c r="DE17" s="74" t="str">
        <f>IF($V17="","",IF(COUNTIF(choice!$D:$D,CONCATENATE($V17,"@",DE$7))=0,"",VLOOKUP(CONCATENATE($V17,"@",DE$7),choice!$D:$E,2,0)))</f>
        <v/>
      </c>
      <c r="DF17" s="74" t="str">
        <f>IF($V17="","",IF(COUNTIF(choice!$D:$D,CONCATENATE($V17,"@",DF$7))=0,"",VLOOKUP(CONCATENATE($V17,"@",DF$7),choice!$D:$E,2,0)))</f>
        <v/>
      </c>
      <c r="DG17" s="74" t="str">
        <f>IF($V17="","",IF(COUNTIF(choice!$D:$D,CONCATENATE($V17,"@",DG$7))=0,"",VLOOKUP(CONCATENATE($V17,"@",DG$7),choice!$D:$E,2,0)))</f>
        <v/>
      </c>
      <c r="DH17" s="74" t="str">
        <f>IF($V17="","",IF(COUNTIF(choice!$D:$D,CONCATENATE($V17,"@",DH$7))=0,"",VLOOKUP(CONCATENATE($V17,"@",DH$7),choice!$D:$E,2,0)))</f>
        <v/>
      </c>
      <c r="DI17" s="74" t="str">
        <f>IF($V17="","",IF(COUNTIF(choice!$D:$D,CONCATENATE($V17,"@",DI$7))=0,"",VLOOKUP(CONCATENATE($V17,"@",DI$7),choice!$D:$E,2,0)))</f>
        <v/>
      </c>
      <c r="DJ17" s="74" t="str">
        <f>IF($V17="","",IF(COUNTIF(choice!$D:$D,CONCATENATE($V17,"@",DJ$7))=0,"",VLOOKUP(CONCATENATE($V17,"@",DJ$7),choice!$D:$E,2,0)))</f>
        <v/>
      </c>
      <c r="DK17" s="74" t="str">
        <f>IF($V17="","",IF(COUNTIF(choice!$D:$D,CONCATENATE($V17,"@",DK$7))=0,"",VLOOKUP(CONCATENATE($V17,"@",DK$7),choice!$D:$E,2,0)))</f>
        <v/>
      </c>
      <c r="DL17" s="74" t="str">
        <f>IF($V17="","",IF(COUNTIF(choice!$D:$D,CONCATENATE($V17,"@",DL$7))=0,"",VLOOKUP(CONCATENATE($V17,"@",DL$7),choice!$D:$E,2,0)))</f>
        <v/>
      </c>
      <c r="DM17" s="74" t="str">
        <f>IF($V17="","",IF(COUNTIF(choice!$D:$D,CONCATENATE($V17,"@",DM$7))=0,"",VLOOKUP(CONCATENATE($V17,"@",DM$7),choice!$D:$E,2,0)))</f>
        <v/>
      </c>
      <c r="DN17" s="74" t="str">
        <f>IF($V17="","",IF(COUNTIF(choice!$D:$D,CONCATENATE($V17,"@",DN$7))=0,"",VLOOKUP(CONCATENATE($V17,"@",DN$7),choice!$D:$E,2,0)))</f>
        <v/>
      </c>
      <c r="DO17" s="74" t="str">
        <f>IF($V17="","",IF(COUNTIF(choice!$D:$D,CONCATENATE($V17,"@",DO$7))=0,"",VLOOKUP(CONCATENATE($V17,"@",DO$7),choice!$D:$E,2,0)))</f>
        <v/>
      </c>
      <c r="DP17" s="74" t="str">
        <f>IF($V17="","",IF(COUNTIF(choice!$D:$D,CONCATENATE($V17,"@",DP$7))=0,"",VLOOKUP(CONCATENATE($V17,"@",DP$7),choice!$D:$E,2,0)))</f>
        <v/>
      </c>
      <c r="DQ17" s="74" t="str">
        <f>IF($V17="","",IF(COUNTIF(choice!$D:$D,CONCATENATE($V17,"@",DQ$7))=0,"",VLOOKUP(CONCATENATE($V17,"@",DQ$7),choice!$D:$E,2,0)))</f>
        <v/>
      </c>
      <c r="DR17" s="74" t="str">
        <f>IF($V17="","",IF(COUNTIF(choice!$D:$D,CONCATENATE($V17,"@",DR$7))=0,"",VLOOKUP(CONCATENATE($V17,"@",DR$7),choice!$D:$E,2,0)))</f>
        <v/>
      </c>
      <c r="DS17" s="74" t="str">
        <f>IF($V17="","",IF(COUNTIF(choice!$D:$D,CONCATENATE($V17,"@",DS$7))=0,"",VLOOKUP(CONCATENATE($V17,"@",DS$7),choice!$D:$E,2,0)))</f>
        <v/>
      </c>
      <c r="DT17" s="74" t="str">
        <f>IF($V17="","",IF(COUNTIF(choice!$D:$D,CONCATENATE($V17,"@",DT$7))=0,"",VLOOKUP(CONCATENATE($V17,"@",DT$7),choice!$D:$E,2,0)))</f>
        <v/>
      </c>
      <c r="DU17" s="74" t="str">
        <f>IF($V17="","",IF(COUNTIF(choice!$D:$D,CONCATENATE($V17,"@",DU$7))=0,"",VLOOKUP(CONCATENATE($V17,"@",DU$7),choice!$D:$E,2,0)))</f>
        <v/>
      </c>
      <c r="DV17" s="74" t="str">
        <f>IF($V17="","",IF(COUNTIF(choice!$D:$D,CONCATENATE($V17,"@",DV$7))=0,"",VLOOKUP(CONCATENATE($V17,"@",DV$7),choice!$D:$E,2,0)))</f>
        <v/>
      </c>
      <c r="DW17" s="74" t="str">
        <f>IF($V17="","",IF(COUNTIF(choice!$D:$D,CONCATENATE($V17,"@",DW$7))=0,"",VLOOKUP(CONCATENATE($V17,"@",DW$7),choice!$D:$E,2,0)))</f>
        <v/>
      </c>
      <c r="DX17" s="74" t="str">
        <f>IF($V17="","",IF(COUNTIF(choice!$D:$D,CONCATENATE($V17,"@",DX$7))=0,"",VLOOKUP(CONCATENATE($V17,"@",DX$7),choice!$D:$E,2,0)))</f>
        <v/>
      </c>
      <c r="DY17" s="74" t="str">
        <f>IF($V17="","",IF(COUNTIF(choice!$D:$D,CONCATENATE($V17,"@",DY$7))=0,"",VLOOKUP(CONCATENATE($V17,"@",DY$7),choice!$D:$E,2,0)))</f>
        <v/>
      </c>
      <c r="DZ17" s="74" t="str">
        <f>IF($V17="","",IF(COUNTIF(choice!$D:$D,CONCATENATE($V17,"@",DZ$7))=0,"",VLOOKUP(CONCATENATE($V17,"@",DZ$7),choice!$D:$E,2,0)))</f>
        <v/>
      </c>
      <c r="EA17" s="74" t="str">
        <f>IF($V17="","",IF(COUNTIF(choice!$D:$D,CONCATENATE($V17,"@",EA$7))=0,"",VLOOKUP(CONCATENATE($V17,"@",EA$7),choice!$D:$E,2,0)))</f>
        <v/>
      </c>
      <c r="EB17" s="74" t="str">
        <f>IF($V17="","",IF(COUNTIF(choice!$D:$D,CONCATENATE($V17,"@",EB$7))=0,"",VLOOKUP(CONCATENATE($V17,"@",EB$7),choice!$D:$E,2,0)))</f>
        <v/>
      </c>
      <c r="EC17" s="81" t="str">
        <f>IF($V17="","",IF(COUNTIF(choice!$D:$D,CONCATENATE($V17,"@",EC$7))=0,"",VLOOKUP(CONCATENATE($V17,"@",EC$7),choice!$D:$E,2,0)))</f>
        <v/>
      </c>
      <c r="ED17" s="80" t="str">
        <f>IF($W17="","",IF(COUNTIF(choice!$D:$D,CONCATENATE($W17,"@",ED$7))=0,"",VLOOKUP(CONCATENATE($W17,"@",ED$7),choice!$D:$E,2,0)))</f>
        <v/>
      </c>
      <c r="EE17" s="74" t="str">
        <f>IF($W17="","",IF(COUNTIF(choice!$D:$D,CONCATENATE($W17,"@",EE$7))=0,"",VLOOKUP(CONCATENATE($W17,"@",EE$7),choice!$D:$E,2,0)))</f>
        <v/>
      </c>
      <c r="EF17" s="74" t="str">
        <f>IF($W17="","",IF(COUNTIF(choice!$D:$D,CONCATENATE($W17,"@",EF$7))=0,"",VLOOKUP(CONCATENATE($W17,"@",EF$7),choice!$D:$E,2,0)))</f>
        <v/>
      </c>
      <c r="EG17" s="74" t="str">
        <f>IF($W17="","",IF(COUNTIF(choice!$D:$D,CONCATENATE($W17,"@",EG$7))=0,"",VLOOKUP(CONCATENATE($W17,"@",EG$7),choice!$D:$E,2,0)))</f>
        <v/>
      </c>
      <c r="EH17" s="74" t="str">
        <f>IF($W17="","",IF(COUNTIF(choice!$D:$D,CONCATENATE($W17,"@",EH$7))=0,"",VLOOKUP(CONCATENATE($W17,"@",EH$7),choice!$D:$E,2,0)))</f>
        <v/>
      </c>
      <c r="EI17" s="74" t="str">
        <f>IF($W17="","",IF(COUNTIF(choice!$D:$D,CONCATENATE($W17,"@",EI$7))=0,"",VLOOKUP(CONCATENATE($W17,"@",EI$7),choice!$D:$E,2,0)))</f>
        <v/>
      </c>
      <c r="EJ17" s="74" t="str">
        <f>IF($W17="","",IF(COUNTIF(choice!$D:$D,CONCATENATE($W17,"@",EJ$7))=0,"",VLOOKUP(CONCATENATE($W17,"@",EJ$7),choice!$D:$E,2,0)))</f>
        <v/>
      </c>
      <c r="EK17" s="74" t="str">
        <f>IF($W17="","",IF(COUNTIF(choice!$D:$D,CONCATENATE($W17,"@",EK$7))=0,"",VLOOKUP(CONCATENATE($W17,"@",EK$7),choice!$D:$E,2,0)))</f>
        <v/>
      </c>
      <c r="EL17" s="74" t="str">
        <f>IF($W17="","",IF(COUNTIF(choice!$D:$D,CONCATENATE($W17,"@",EL$7))=0,"",VLOOKUP(CONCATENATE($W17,"@",EL$7),choice!$D:$E,2,0)))</f>
        <v/>
      </c>
      <c r="EM17" s="74" t="str">
        <f>IF($W17="","",IF(COUNTIF(choice!$D:$D,CONCATENATE($W17,"@",EM$7))=0,"",VLOOKUP(CONCATENATE($W17,"@",EM$7),choice!$D:$E,2,0)))</f>
        <v/>
      </c>
      <c r="EN17" s="74" t="str">
        <f>IF($W17="","",IF(COUNTIF(choice!$D:$D,CONCATENATE($W17,"@",EN$7))=0,"",VLOOKUP(CONCATENATE($W17,"@",EN$7),choice!$D:$E,2,0)))</f>
        <v/>
      </c>
      <c r="EO17" s="74" t="str">
        <f>IF($W17="","",IF(COUNTIF(choice!$D:$D,CONCATENATE($W17,"@",EO$7))=0,"",VLOOKUP(CONCATENATE($W17,"@",EO$7),choice!$D:$E,2,0)))</f>
        <v/>
      </c>
      <c r="EP17" s="74" t="str">
        <f>IF($W17="","",IF(COUNTIF(choice!$D:$D,CONCATENATE($W17,"@",EP$7))=0,"",VLOOKUP(CONCATENATE($W17,"@",EP$7),choice!$D:$E,2,0)))</f>
        <v/>
      </c>
      <c r="EQ17" s="74" t="str">
        <f>IF($W17="","",IF(COUNTIF(choice!$D:$D,CONCATENATE($W17,"@",EQ$7))=0,"",VLOOKUP(CONCATENATE($W17,"@",EQ$7),choice!$D:$E,2,0)))</f>
        <v/>
      </c>
      <c r="ER17" s="74" t="str">
        <f>IF($W17="","",IF(COUNTIF(choice!$D:$D,CONCATENATE($W17,"@",ER$7))=0,"",VLOOKUP(CONCATENATE($W17,"@",ER$7),choice!$D:$E,2,0)))</f>
        <v/>
      </c>
      <c r="ES17" s="74" t="str">
        <f>IF($W17="","",IF(COUNTIF(choice!$D:$D,CONCATENATE($W17,"@",ES$7))=0,"",VLOOKUP(CONCATENATE($W17,"@",ES$7),choice!$D:$E,2,0)))</f>
        <v/>
      </c>
      <c r="ET17" s="74" t="str">
        <f>IF($W17="","",IF(COUNTIF(choice!$D:$D,CONCATENATE($W17,"@",ET$7))=0,"",VLOOKUP(CONCATENATE($W17,"@",ET$7),choice!$D:$E,2,0)))</f>
        <v/>
      </c>
      <c r="EU17" s="74" t="str">
        <f>IF($W17="","",IF(COUNTIF(choice!$D:$D,CONCATENATE($W17,"@",EU$7))=0,"",VLOOKUP(CONCATENATE($W17,"@",EU$7),choice!$D:$E,2,0)))</f>
        <v/>
      </c>
      <c r="EV17" s="74" t="str">
        <f>IF($W17="","",IF(COUNTIF(choice!$D:$D,CONCATENATE($W17,"@",EV$7))=0,"",VLOOKUP(CONCATENATE($W17,"@",EV$7),choice!$D:$E,2,0)))</f>
        <v/>
      </c>
      <c r="EW17" s="74" t="str">
        <f>IF($W17="","",IF(COUNTIF(choice!$D:$D,CONCATENATE($W17,"@",EW$7))=0,"",VLOOKUP(CONCATENATE($W17,"@",EW$7),choice!$D:$E,2,0)))</f>
        <v/>
      </c>
      <c r="EX17" s="74" t="str">
        <f>IF($W17="","",IF(COUNTIF(choice!$D:$D,CONCATENATE($W17,"@",EX$7))=0,"",VLOOKUP(CONCATENATE($W17,"@",EX$7),choice!$D:$E,2,0)))</f>
        <v/>
      </c>
      <c r="EY17" s="74" t="str">
        <f>IF($W17="","",IF(COUNTIF(choice!$D:$D,CONCATENATE($W17,"@",EY$7))=0,"",VLOOKUP(CONCATENATE($W17,"@",EY$7),choice!$D:$E,2,0)))</f>
        <v/>
      </c>
      <c r="EZ17" s="74" t="str">
        <f>IF($W17="","",IF(COUNTIF(choice!$D:$D,CONCATENATE($W17,"@",EZ$7))=0,"",VLOOKUP(CONCATENATE($W17,"@",EZ$7),choice!$D:$E,2,0)))</f>
        <v/>
      </c>
      <c r="FA17" s="74" t="str">
        <f>IF($W17="","",IF(COUNTIF(choice!$D:$D,CONCATENATE($W17,"@",FA$7))=0,"",VLOOKUP(CONCATENATE($W17,"@",FA$7),choice!$D:$E,2,0)))</f>
        <v/>
      </c>
      <c r="FB17" s="74" t="str">
        <f>IF($W17="","",IF(COUNTIF(choice!$D:$D,CONCATENATE($W17,"@",FB$7))=0,"",VLOOKUP(CONCATENATE($W17,"@",FB$7),choice!$D:$E,2,0)))</f>
        <v/>
      </c>
      <c r="FC17" s="74" t="str">
        <f>IF($W17="","",IF(COUNTIF(choice!$D:$D,CONCATENATE($W17,"@",FC$7))=0,"",VLOOKUP(CONCATENATE($W17,"@",FC$7),choice!$D:$E,2,0)))</f>
        <v/>
      </c>
      <c r="FD17" s="74" t="str">
        <f>IF($W17="","",IF(COUNTIF(choice!$D:$D,CONCATENATE($W17,"@",FD$7))=0,"",VLOOKUP(CONCATENATE($W17,"@",FD$7),choice!$D:$E,2,0)))</f>
        <v/>
      </c>
      <c r="FE17" s="74" t="str">
        <f>IF($W17="","",IF(COUNTIF(choice!$D:$D,CONCATENATE($W17,"@",FE$7))=0,"",VLOOKUP(CONCATENATE($W17,"@",FE$7),choice!$D:$E,2,0)))</f>
        <v/>
      </c>
      <c r="FF17" s="74" t="str">
        <f>IF($W17="","",IF(COUNTIF(choice!$D:$D,CONCATENATE($W17,"@",FF$7))=0,"",VLOOKUP(CONCATENATE($W17,"@",FF$7),choice!$D:$E,2,0)))</f>
        <v/>
      </c>
      <c r="FG17" s="74" t="str">
        <f>IF($W17="","",IF(COUNTIF(choice!$D:$D,CONCATENATE($W17,"@",FG$7))=0,"",VLOOKUP(CONCATENATE($W17,"@",FG$7),choice!$D:$E,2,0)))</f>
        <v/>
      </c>
      <c r="FH17" s="74" t="str">
        <f>IF($W17="","",IF(COUNTIF(choice!$D:$D,CONCATENATE($W17,"@",FH$7))=0,"",VLOOKUP(CONCATENATE($W17,"@",FH$7),choice!$D:$E,2,0)))</f>
        <v/>
      </c>
      <c r="FI17" s="74" t="str">
        <f>IF($W17="","",IF(COUNTIF(choice!$D:$D,CONCATENATE($W17,"@",FI$7))=0,"",VLOOKUP(CONCATENATE($W17,"@",FI$7),choice!$D:$E,2,0)))</f>
        <v/>
      </c>
      <c r="FJ17" s="74" t="str">
        <f>IF($W17="","",IF(COUNTIF(choice!$D:$D,CONCATENATE($W17,"@",FJ$7))=0,"",VLOOKUP(CONCATENATE($W17,"@",FJ$7),choice!$D:$E,2,0)))</f>
        <v/>
      </c>
      <c r="FK17" s="74" t="str">
        <f>IF($W17="","",IF(COUNTIF(choice!$D:$D,CONCATENATE($W17,"@",FK$7))=0,"",VLOOKUP(CONCATENATE($W17,"@",FK$7),choice!$D:$E,2,0)))</f>
        <v/>
      </c>
      <c r="FL17" s="74" t="str">
        <f>IF($W17="","",IF(COUNTIF(choice!$D:$D,CONCATENATE($W17,"@",FL$7))=0,"",VLOOKUP(CONCATENATE($W17,"@",FL$7),choice!$D:$E,2,0)))</f>
        <v/>
      </c>
      <c r="FM17" s="74" t="str">
        <f>IF($W17="","",IF(COUNTIF(choice!$D:$D,CONCATENATE($W17,"@",FM$7))=0,"",VLOOKUP(CONCATENATE($W17,"@",FM$7),choice!$D:$E,2,0)))</f>
        <v/>
      </c>
      <c r="FN17" s="74" t="str">
        <f>IF($W17="","",IF(COUNTIF(choice!$D:$D,CONCATENATE($W17,"@",FN$7))=0,"",VLOOKUP(CONCATENATE($W17,"@",FN$7),choice!$D:$E,2,0)))</f>
        <v/>
      </c>
      <c r="FO17" s="74" t="str">
        <f>IF($W17="","",IF(COUNTIF(choice!$D:$D,CONCATENATE($W17,"@",FO$7))=0,"",VLOOKUP(CONCATENATE($W17,"@",FO$7),choice!$D:$E,2,0)))</f>
        <v/>
      </c>
      <c r="FP17" s="74" t="str">
        <f>IF($W17="","",IF(COUNTIF(choice!$D:$D,CONCATENATE($W17,"@",FP$7))=0,"",VLOOKUP(CONCATENATE($W17,"@",FP$7),choice!$D:$E,2,0)))</f>
        <v/>
      </c>
      <c r="FQ17" s="74" t="str">
        <f>IF($W17="","",IF(COUNTIF(choice!$D:$D,CONCATENATE($W17,"@",FQ$7))=0,"",VLOOKUP(CONCATENATE($W17,"@",FQ$7),choice!$D:$E,2,0)))</f>
        <v/>
      </c>
      <c r="FR17" s="74" t="str">
        <f>IF($W17="","",IF(COUNTIF(choice!$D:$D,CONCATENATE($W17,"@",FR$7))=0,"",VLOOKUP(CONCATENATE($W17,"@",FR$7),choice!$D:$E,2,0)))</f>
        <v/>
      </c>
      <c r="FS17" s="74" t="str">
        <f>IF($W17="","",IF(COUNTIF(choice!$D:$D,CONCATENATE($W17,"@",FS$7))=0,"",VLOOKUP(CONCATENATE($W17,"@",FS$7),choice!$D:$E,2,0)))</f>
        <v/>
      </c>
      <c r="FT17" s="74" t="str">
        <f>IF($W17="","",IF(COUNTIF(choice!$D:$D,CONCATENATE($W17,"@",FT$7))=0,"",VLOOKUP(CONCATENATE($W17,"@",FT$7),choice!$D:$E,2,0)))</f>
        <v/>
      </c>
      <c r="FU17" s="74" t="str">
        <f>IF($W17="","",IF(COUNTIF(choice!$D:$D,CONCATENATE($W17,"@",FU$7))=0,"",VLOOKUP(CONCATENATE($W17,"@",FU$7),choice!$D:$E,2,0)))</f>
        <v/>
      </c>
      <c r="FV17" s="81" t="str">
        <f>IF($W17="","",IF(COUNTIF(choice!$D:$D,CONCATENATE($W17,"@",FV$7))=0,"",VLOOKUP(CONCATENATE($W17,"@",FV$7),choice!$D:$E,2,0)))</f>
        <v/>
      </c>
      <c r="FW17" s="80" t="str">
        <f>IF($X17="","",IF(COUNTIF(choice!$D:$D,CONCATENATE($X17,"@",FW$7))=0,"",VLOOKUP(CONCATENATE($X17,"@",FW$7),choice!$D:$E,2,0)))</f>
        <v/>
      </c>
      <c r="FX17" s="74" t="str">
        <f>IF($X17="","",IF(COUNTIF(choice!$D:$D,CONCATENATE($X17,"@",FX$7))=0,"",VLOOKUP(CONCATENATE($X17,"@",FX$7),choice!$D:$E,2,0)))</f>
        <v/>
      </c>
      <c r="FY17" s="74" t="str">
        <f>IF($X17="","",IF(COUNTIF(choice!$D:$D,CONCATENATE($X17,"@",FY$7))=0,"",VLOOKUP(CONCATENATE($X17,"@",FY$7),choice!$D:$E,2,0)))</f>
        <v/>
      </c>
      <c r="FZ17" s="74" t="str">
        <f>IF($X17="","",IF(COUNTIF(choice!$D:$D,CONCATENATE($X17,"@",FZ$7))=0,"",VLOOKUP(CONCATENATE($X17,"@",FZ$7),choice!$D:$E,2,0)))</f>
        <v/>
      </c>
      <c r="GA17" s="74" t="str">
        <f>IF($X17="","",IF(COUNTIF(choice!$D:$D,CONCATENATE($X17,"@",GA$7))=0,"",VLOOKUP(CONCATENATE($X17,"@",GA$7),choice!$D:$E,2,0)))</f>
        <v/>
      </c>
      <c r="GB17" s="74" t="str">
        <f>IF($X17="","",IF(COUNTIF(choice!$D:$D,CONCATENATE($X17,"@",GB$7))=0,"",VLOOKUP(CONCATENATE($X17,"@",GB$7),choice!$D:$E,2,0)))</f>
        <v/>
      </c>
      <c r="GC17" s="74" t="str">
        <f>IF($X17="","",IF(COUNTIF(choice!$D:$D,CONCATENATE($X17,"@",GC$7))=0,"",VLOOKUP(CONCATENATE($X17,"@",GC$7),choice!$D:$E,2,0)))</f>
        <v/>
      </c>
      <c r="GD17" s="74" t="str">
        <f>IF($X17="","",IF(COUNTIF(choice!$D:$D,CONCATENATE($X17,"@",GD$7))=0,"",VLOOKUP(CONCATENATE($X17,"@",GD$7),choice!$D:$E,2,0)))</f>
        <v/>
      </c>
      <c r="GE17" s="74" t="str">
        <f>IF($X17="","",IF(COUNTIF(choice!$D:$D,CONCATENATE($X17,"@",GE$7))=0,"",VLOOKUP(CONCATENATE($X17,"@",GE$7),choice!$D:$E,2,0)))</f>
        <v/>
      </c>
      <c r="GF17" s="74" t="str">
        <f>IF($X17="","",IF(COUNTIF(choice!$D:$D,CONCATENATE($X17,"@",GF$7))=0,"",VLOOKUP(CONCATENATE($X17,"@",GF$7),choice!$D:$E,2,0)))</f>
        <v/>
      </c>
      <c r="GG17" s="74" t="str">
        <f>IF($X17="","",IF(COUNTIF(choice!$D:$D,CONCATENATE($X17,"@",GG$7))=0,"",VLOOKUP(CONCATENATE($X17,"@",GG$7),choice!$D:$E,2,0)))</f>
        <v/>
      </c>
      <c r="GH17" s="74" t="str">
        <f>IF($X17="","",IF(COUNTIF(choice!$D:$D,CONCATENATE($X17,"@",GH$7))=0,"",VLOOKUP(CONCATENATE($X17,"@",GH$7),choice!$D:$E,2,0)))</f>
        <v/>
      </c>
      <c r="GI17" s="74" t="str">
        <f>IF($X17="","",IF(COUNTIF(choice!$D:$D,CONCATENATE($X17,"@",GI$7))=0,"",VLOOKUP(CONCATENATE($X17,"@",GI$7),choice!$D:$E,2,0)))</f>
        <v/>
      </c>
      <c r="GJ17" s="74" t="str">
        <f>IF($X17="","",IF(COUNTIF(choice!$D:$D,CONCATENATE($X17,"@",GJ$7))=0,"",VLOOKUP(CONCATENATE($X17,"@",GJ$7),choice!$D:$E,2,0)))</f>
        <v/>
      </c>
      <c r="GK17" s="74" t="str">
        <f>IF($X17="","",IF(COUNTIF(choice!$D:$D,CONCATENATE($X17,"@",GK$7))=0,"",VLOOKUP(CONCATENATE($X17,"@",GK$7),choice!$D:$E,2,0)))</f>
        <v/>
      </c>
      <c r="GL17" s="74" t="str">
        <f>IF($X17="","",IF(COUNTIF(choice!$D:$D,CONCATENATE($X17,"@",GL$7))=0,"",VLOOKUP(CONCATENATE($X17,"@",GL$7),choice!$D:$E,2,0)))</f>
        <v/>
      </c>
      <c r="GM17" s="74" t="str">
        <f>IF($X17="","",IF(COUNTIF(choice!$D:$D,CONCATENATE($X17,"@",GM$7))=0,"",VLOOKUP(CONCATENATE($X17,"@",GM$7),choice!$D:$E,2,0)))</f>
        <v/>
      </c>
      <c r="GN17" s="74" t="str">
        <f>IF($X17="","",IF(COUNTIF(choice!$D:$D,CONCATENATE($X17,"@",GN$7))=0,"",VLOOKUP(CONCATENATE($X17,"@",GN$7),choice!$D:$E,2,0)))</f>
        <v/>
      </c>
      <c r="GO17" s="74" t="str">
        <f>IF($X17="","",IF(COUNTIF(choice!$D:$D,CONCATENATE($X17,"@",GO$7))=0,"",VLOOKUP(CONCATENATE($X17,"@",GO$7),choice!$D:$E,2,0)))</f>
        <v/>
      </c>
      <c r="GP17" s="74" t="str">
        <f>IF($X17="","",IF(COUNTIF(choice!$D:$D,CONCATENATE($X17,"@",GP$7))=0,"",VLOOKUP(CONCATENATE($X17,"@",GP$7),choice!$D:$E,2,0)))</f>
        <v/>
      </c>
      <c r="GQ17" s="74" t="str">
        <f>IF($X17="","",IF(COUNTIF(choice!$D:$D,CONCATENATE($X17,"@",GQ$7))=0,"",VLOOKUP(CONCATENATE($X17,"@",GQ$7),choice!$D:$E,2,0)))</f>
        <v/>
      </c>
      <c r="GR17" s="74" t="str">
        <f>IF($X17="","",IF(COUNTIF(choice!$D:$D,CONCATENATE($X17,"@",GR$7))=0,"",VLOOKUP(CONCATENATE($X17,"@",GR$7),choice!$D:$E,2,0)))</f>
        <v/>
      </c>
      <c r="GS17" s="74" t="str">
        <f>IF($X17="","",IF(COUNTIF(choice!$D:$D,CONCATENATE($X17,"@",GS$7))=0,"",VLOOKUP(CONCATENATE($X17,"@",GS$7),choice!$D:$E,2,0)))</f>
        <v/>
      </c>
      <c r="GT17" s="74" t="str">
        <f>IF($X17="","",IF(COUNTIF(choice!$D:$D,CONCATENATE($X17,"@",GT$7))=0,"",VLOOKUP(CONCATENATE($X17,"@",GT$7),choice!$D:$E,2,0)))</f>
        <v/>
      </c>
      <c r="GU17" s="74" t="str">
        <f>IF($X17="","",IF(COUNTIF(choice!$D:$D,CONCATENATE($X17,"@",GU$7))=0,"",VLOOKUP(CONCATENATE($X17,"@",GU$7),choice!$D:$E,2,0)))</f>
        <v/>
      </c>
      <c r="GV17" s="74" t="str">
        <f>IF($X17="","",IF(COUNTIF(choice!$D:$D,CONCATENATE($X17,"@",GV$7))=0,"",VLOOKUP(CONCATENATE($X17,"@",GV$7),choice!$D:$E,2,0)))</f>
        <v/>
      </c>
      <c r="GW17" s="74" t="str">
        <f>IF($X17="","",IF(COUNTIF(choice!$D:$D,CONCATENATE($X17,"@",GW$7))=0,"",VLOOKUP(CONCATENATE($X17,"@",GW$7),choice!$D:$E,2,0)))</f>
        <v/>
      </c>
      <c r="GX17" s="74" t="str">
        <f>IF($X17="","",IF(COUNTIF(choice!$D:$D,CONCATENATE($X17,"@",GX$7))=0,"",VLOOKUP(CONCATENATE($X17,"@",GX$7),choice!$D:$E,2,0)))</f>
        <v/>
      </c>
      <c r="GY17" s="74" t="str">
        <f>IF($X17="","",IF(COUNTIF(choice!$D:$D,CONCATENATE($X17,"@",GY$7))=0,"",VLOOKUP(CONCATENATE($X17,"@",GY$7),choice!$D:$E,2,0)))</f>
        <v/>
      </c>
      <c r="GZ17" s="74" t="str">
        <f>IF($X17="","",IF(COUNTIF(choice!$D:$D,CONCATENATE($X17,"@",GZ$7))=0,"",VLOOKUP(CONCATENATE($X17,"@",GZ$7),choice!$D:$E,2,0)))</f>
        <v/>
      </c>
      <c r="HA17" s="74" t="str">
        <f>IF($X17="","",IF(COUNTIF(choice!$D:$D,CONCATENATE($X17,"@",HA$7))=0,"",VLOOKUP(CONCATENATE($X17,"@",HA$7),choice!$D:$E,2,0)))</f>
        <v/>
      </c>
      <c r="HB17" s="74" t="str">
        <f>IF($X17="","",IF(COUNTIF(choice!$D:$D,CONCATENATE($X17,"@",HB$7))=0,"",VLOOKUP(CONCATENATE($X17,"@",HB$7),choice!$D:$E,2,0)))</f>
        <v/>
      </c>
      <c r="HC17" s="74" t="str">
        <f>IF($X17="","",IF(COUNTIF(choice!$D:$D,CONCATENATE($X17,"@",HC$7))=0,"",VLOOKUP(CONCATENATE($X17,"@",HC$7),choice!$D:$E,2,0)))</f>
        <v/>
      </c>
      <c r="HD17" s="74" t="str">
        <f>IF($X17="","",IF(COUNTIF(choice!$D:$D,CONCATENATE($X17,"@",HD$7))=0,"",VLOOKUP(CONCATENATE($X17,"@",HD$7),choice!$D:$E,2,0)))</f>
        <v/>
      </c>
      <c r="HE17" s="74" t="str">
        <f>IF($X17="","",IF(COUNTIF(choice!$D:$D,CONCATENATE($X17,"@",HE$7))=0,"",VLOOKUP(CONCATENATE($X17,"@",HE$7),choice!$D:$E,2,0)))</f>
        <v/>
      </c>
      <c r="HF17" s="74" t="str">
        <f>IF($X17="","",IF(COUNTIF(choice!$D:$D,CONCATENATE($X17,"@",HF$7))=0,"",VLOOKUP(CONCATENATE($X17,"@",HF$7),choice!$D:$E,2,0)))</f>
        <v/>
      </c>
      <c r="HG17" s="74" t="str">
        <f>IF($X17="","",IF(COUNTIF(choice!$D:$D,CONCATENATE($X17,"@",HG$7))=0,"",VLOOKUP(CONCATENATE($X17,"@",HG$7),choice!$D:$E,2,0)))</f>
        <v/>
      </c>
      <c r="HH17" s="74" t="str">
        <f>IF($X17="","",IF(COUNTIF(choice!$D:$D,CONCATENATE($X17,"@",HH$7))=0,"",VLOOKUP(CONCATENATE($X17,"@",HH$7),choice!$D:$E,2,0)))</f>
        <v/>
      </c>
      <c r="HI17" s="74" t="str">
        <f>IF($X17="","",IF(COUNTIF(choice!$D:$D,CONCATENATE($X17,"@",HI$7))=0,"",VLOOKUP(CONCATENATE($X17,"@",HI$7),choice!$D:$E,2,0)))</f>
        <v/>
      </c>
      <c r="HJ17" s="74" t="str">
        <f>IF($X17="","",IF(COUNTIF(choice!$D:$D,CONCATENATE($X17,"@",HJ$7))=0,"",VLOOKUP(CONCATENATE($X17,"@",HJ$7),choice!$D:$E,2,0)))</f>
        <v/>
      </c>
      <c r="HK17" s="74" t="str">
        <f>IF($X17="","",IF(COUNTIF(choice!$D:$D,CONCATENATE($X17,"@",HK$7))=0,"",VLOOKUP(CONCATENATE($X17,"@",HK$7),choice!$D:$E,2,0)))</f>
        <v/>
      </c>
      <c r="HL17" s="74" t="str">
        <f>IF($X17="","",IF(COUNTIF(choice!$D:$D,CONCATENATE($X17,"@",HL$7))=0,"",VLOOKUP(CONCATENATE($X17,"@",HL$7),choice!$D:$E,2,0)))</f>
        <v/>
      </c>
      <c r="HM17" s="74" t="str">
        <f>IF($X17="","",IF(COUNTIF(choice!$D:$D,CONCATENATE($X17,"@",HM$7))=0,"",VLOOKUP(CONCATENATE($X17,"@",HM$7),choice!$D:$E,2,0)))</f>
        <v/>
      </c>
      <c r="HN17" s="74" t="str">
        <f>IF($X17="","",IF(COUNTIF(choice!$D:$D,CONCATENATE($X17,"@",HN$7))=0,"",VLOOKUP(CONCATENATE($X17,"@",HN$7),choice!$D:$E,2,0)))</f>
        <v/>
      </c>
      <c r="HO17" s="81" t="str">
        <f>IF($X17="","",IF(COUNTIF(choice!$D:$D,CONCATENATE($X17,"@",HO$7))=0,"",VLOOKUP(CONCATENATE($X17,"@",HO$7),choice!$D:$E,2,0)))</f>
        <v/>
      </c>
      <c r="HP17" s="20" t="s">
        <v>70</v>
      </c>
      <c r="HQ17" s="20" t="s">
        <v>70</v>
      </c>
      <c r="HV17" s="74">
        <f t="shared" si="20"/>
        <v>0</v>
      </c>
      <c r="HW17" s="74">
        <f t="shared" si="21"/>
        <v>0</v>
      </c>
      <c r="HX17" s="74">
        <f t="shared" si="22"/>
        <v>0</v>
      </c>
      <c r="HY17" s="74">
        <f t="shared" si="23"/>
        <v>0</v>
      </c>
      <c r="HZ17" s="74">
        <f t="shared" si="30"/>
        <v>0</v>
      </c>
      <c r="IA17" s="74">
        <f t="shared" si="30"/>
        <v>0</v>
      </c>
      <c r="IB17" s="74" t="str">
        <f t="shared" si="31"/>
        <v/>
      </c>
      <c r="IC17" s="74" t="str">
        <f t="shared" si="32"/>
        <v/>
      </c>
      <c r="ID17" s="74" t="str">
        <f t="shared" si="24"/>
        <v/>
      </c>
      <c r="IE17" s="74">
        <f t="shared" si="25"/>
        <v>23</v>
      </c>
      <c r="IF17" s="74">
        <f>COUNTIFS(ID$8:ID17,"BLUE")</f>
        <v>0</v>
      </c>
      <c r="IG17" s="74" t="str">
        <f t="shared" si="26"/>
        <v/>
      </c>
      <c r="IH17" s="74" t="str">
        <f>IF(COUNTIFS($AQ17,"*02*")=0,"",COUNTIFS(IJ$8:IJ17,"BLUE"))</f>
        <v/>
      </c>
      <c r="II17" s="74" t="str">
        <f>IF(COUNTIFS($AQ17,"*04*")=0,"",COUNTIFS(IK$8:IK17,"BLUE"))</f>
        <v/>
      </c>
      <c r="IJ17" s="74" t="str">
        <f t="shared" si="33"/>
        <v/>
      </c>
      <c r="IK17" s="74" t="str">
        <f t="shared" si="34"/>
        <v/>
      </c>
      <c r="IL17" s="74" t="str">
        <f t="shared" si="27"/>
        <v/>
      </c>
      <c r="IM17" s="74" t="str">
        <f t="shared" si="28"/>
        <v/>
      </c>
      <c r="IN17" s="74">
        <f>COUNTIFS(IJ$8:IJ17,"BLUE")</f>
        <v>0</v>
      </c>
      <c r="IO17" s="74">
        <f>COUNTIFS(IK$8:IK17,"BLUE")</f>
        <v>0</v>
      </c>
    </row>
    <row r="18" spans="1:249" s="20" customFormat="1" ht="24.9" customHeight="1">
      <c r="A18" s="33"/>
      <c r="B18" s="39">
        <v>24</v>
      </c>
      <c r="C18" s="155"/>
      <c r="D18" s="174"/>
      <c r="E18" s="88" t="e">
        <f>VLOOKUP(F18,'Radio Call Sign'!A:B,2)</f>
        <v>#N/A</v>
      </c>
      <c r="F18" s="88"/>
      <c r="G18" s="88" t="e">
        <f>VLOOKUP(H18,'Radio Call Sign'!A:B,2)</f>
        <v>#N/A</v>
      </c>
      <c r="H18" s="88"/>
      <c r="I18" s="89" t="str">
        <f t="shared" si="12"/>
        <v/>
      </c>
      <c r="J18" s="90" t="str">
        <f t="shared" si="17"/>
        <v/>
      </c>
      <c r="K18" s="86" t="str">
        <f t="shared" si="18"/>
        <v/>
      </c>
      <c r="L18" s="155"/>
      <c r="M18" s="190" t="str">
        <f t="shared" si="19"/>
        <v/>
      </c>
      <c r="N18" s="21"/>
      <c r="O18" s="21"/>
      <c r="P18" s="53"/>
      <c r="Q18" s="163" t="str">
        <f>IF(AA18="","",IF(COUNTIFS('overhead line area'!$D$3:$D$100,AA18)+COUNTIFS('overhead line area'!$D$3:$D$100,AB18)+COUNTIFS('overhead line area'!$D$3:$D$100,AC18)+COUNTIFS('overhead line area'!$D$3:$D$100,AD18)=0,"","*               "))</f>
        <v/>
      </c>
      <c r="R18" s="53"/>
      <c r="S18" s="24"/>
      <c r="U18" s="74"/>
      <c r="V18" s="74"/>
      <c r="W18" s="74"/>
      <c r="X18" s="74"/>
      <c r="Y18" s="74"/>
      <c r="AA18" s="74" t="str">
        <f t="shared" si="13"/>
        <v/>
      </c>
      <c r="AB18" s="74" t="str">
        <f t="shared" si="29"/>
        <v/>
      </c>
      <c r="AC18" s="74" t="str">
        <f t="shared" si="35"/>
        <v/>
      </c>
      <c r="AD18" s="74" t="str">
        <f t="shared" si="36"/>
        <v/>
      </c>
      <c r="AF18" s="74" t="str">
        <f>IF(AA18="","",IF(COUNTIF(Route!$AM:$AM,'Train Movement Log (page.2)'!AA18)=0,"未有資料",VLOOKUP('Train Movement Log (page.2)'!AA18,Route!$AM:$AP,3,0)))</f>
        <v/>
      </c>
      <c r="AG18" s="74" t="str">
        <f>IF(AB18="","",IF(COUNTIF(Route!$AM:$AM,'Train Movement Log (page.2)'!AB18)=0,"未有資料",VLOOKUP('Train Movement Log (page.2)'!AB18,Route!$AM:$AP,3,0)))</f>
        <v/>
      </c>
      <c r="AH18" s="74" t="str">
        <f>IF(AC18="","",IF(COUNTIF(Route!$AM:$AM,'Train Movement Log (page.2)'!AC18)=0,"未有資料",VLOOKUP('Train Movement Log (page.2)'!AC18,Route!$AM:$AP,3,0)))</f>
        <v/>
      </c>
      <c r="AI18" s="74" t="str">
        <f>IF(AD18="","",IF(COUNTIF(Route!$AM:$AM,'Train Movement Log (page.2)'!AD18)=0,"未有資料",VLOOKUP('Train Movement Log (page.2)'!AD18,Route!$AM:$AP,3,0)))</f>
        <v/>
      </c>
      <c r="AK18" s="74" t="str">
        <f>IF(AA18="","",IF(COUNTIF(Route!$AM:$AM,'Train Movement Log (page.2)'!AA18)=0,"未有資料",VLOOKUP('Train Movement Log (page.2)'!AA18,Route!$AM:$AP,4,0)))</f>
        <v/>
      </c>
      <c r="AL18" s="74" t="str">
        <f>IF(AB18="","",IF(COUNTIF(Route!$AM:$AM,'Train Movement Log (page.2)'!AB18)=0,"未有資料",VLOOKUP('Train Movement Log (page.2)'!AB18,Route!$AM:$AP,4,0)))</f>
        <v/>
      </c>
      <c r="AM18" s="74" t="str">
        <f>IF(AC18="","",IF(COUNTIF(Route!$AM:$AM,'Train Movement Log (page.2)'!AC18)=0,"未有資料",VLOOKUP('Train Movement Log (page.2)'!AC18,Route!$AM:$AP,4,0)))</f>
        <v/>
      </c>
      <c r="AN18" s="74" t="str">
        <f>IF(AD18="","",IF(COUNTIF(Route!$AM:$AM,'Train Movement Log (page.2)'!AD18)=0,"未有資料",VLOOKUP('Train Movement Log (page.2)'!AD18,Route!$AM:$AP,4,0)))</f>
        <v/>
      </c>
      <c r="AP18" s="74" t="str">
        <f t="shared" si="15"/>
        <v/>
      </c>
      <c r="AQ18" s="76" t="str">
        <f t="shared" si="16"/>
        <v/>
      </c>
      <c r="AR18" s="80" t="str">
        <f>IF($U18="","",IF(COUNTIF(choice!$D:$D,CONCATENATE($U18,"@",AR$7))=0,"",VLOOKUP(CONCATENATE($U18,"@",AR$7),choice!$D:$E,2,0)))</f>
        <v/>
      </c>
      <c r="AS18" s="74" t="str">
        <f>IF($U18="","",IF(COUNTIF(choice!$D:$D,CONCATENATE($U18,"@",AS$7))=0,"",VLOOKUP(CONCATENATE($U18,"@",AS$7),choice!$D:$E,2,0)))</f>
        <v/>
      </c>
      <c r="AT18" s="74" t="str">
        <f>IF($U18="","",IF(COUNTIF(choice!$D:$D,CONCATENATE($U18,"@",AT$7))=0,"",VLOOKUP(CONCATENATE($U18,"@",AT$7),choice!$D:$E,2,0)))</f>
        <v/>
      </c>
      <c r="AU18" s="74" t="str">
        <f>IF($U18="","",IF(COUNTIF(choice!$D:$D,CONCATENATE($U18,"@",AU$7))=0,"",VLOOKUP(CONCATENATE($U18,"@",AU$7),choice!$D:$E,2,0)))</f>
        <v/>
      </c>
      <c r="AV18" s="74" t="str">
        <f>IF($U18="","",IF(COUNTIF(choice!$D:$D,CONCATENATE($U18,"@",AV$7))=0,"",VLOOKUP(CONCATENATE($U18,"@",AV$7),choice!$D:$E,2,0)))</f>
        <v/>
      </c>
      <c r="AW18" s="74" t="str">
        <f>IF($U18="","",IF(COUNTIF(choice!$D:$D,CONCATENATE($U18,"@",AW$7))=0,"",VLOOKUP(CONCATENATE($U18,"@",AW$7),choice!$D:$E,2,0)))</f>
        <v/>
      </c>
      <c r="AX18" s="74" t="str">
        <f>IF($U18="","",IF(COUNTIF(choice!$D:$D,CONCATENATE($U18,"@",AX$7))=0,"",VLOOKUP(CONCATENATE($U18,"@",AX$7),choice!$D:$E,2,0)))</f>
        <v/>
      </c>
      <c r="AY18" s="74" t="str">
        <f>IF($U18="","",IF(COUNTIF(choice!$D:$D,CONCATENATE($U18,"@",AY$7))=0,"",VLOOKUP(CONCATENATE($U18,"@",AY$7),choice!$D:$E,2,0)))</f>
        <v/>
      </c>
      <c r="AZ18" s="74" t="str">
        <f>IF($U18="","",IF(COUNTIF(choice!$D:$D,CONCATENATE($U18,"@",AZ$7))=0,"",VLOOKUP(CONCATENATE($U18,"@",AZ$7),choice!$D:$E,2,0)))</f>
        <v/>
      </c>
      <c r="BA18" s="74" t="str">
        <f>IF($U18="","",IF(COUNTIF(choice!$D:$D,CONCATENATE($U18,"@",BA$7))=0,"",VLOOKUP(CONCATENATE($U18,"@",BA$7),choice!$D:$E,2,0)))</f>
        <v/>
      </c>
      <c r="BB18" s="74" t="str">
        <f>IF($U18="","",IF(COUNTIF(choice!$D:$D,CONCATENATE($U18,"@",BB$7))=0,"",VLOOKUP(CONCATENATE($U18,"@",BB$7),choice!$D:$E,2,0)))</f>
        <v/>
      </c>
      <c r="BC18" s="74" t="str">
        <f>IF($U18="","",IF(COUNTIF(choice!$D:$D,CONCATENATE($U18,"@",BC$7))=0,"",VLOOKUP(CONCATENATE($U18,"@",BC$7),choice!$D:$E,2,0)))</f>
        <v/>
      </c>
      <c r="BD18" s="74" t="str">
        <f>IF($U18="","",IF(COUNTIF(choice!$D:$D,CONCATENATE($U18,"@",BD$7))=0,"",VLOOKUP(CONCATENATE($U18,"@",BD$7),choice!$D:$E,2,0)))</f>
        <v/>
      </c>
      <c r="BE18" s="74" t="str">
        <f>IF($U18="","",IF(COUNTIF(choice!$D:$D,CONCATENATE($U18,"@",BE$7))=0,"",VLOOKUP(CONCATENATE($U18,"@",BE$7),choice!$D:$E,2,0)))</f>
        <v/>
      </c>
      <c r="BF18" s="74" t="str">
        <f>IF($U18="","",IF(COUNTIF(choice!$D:$D,CONCATENATE($U18,"@",BF$7))=0,"",VLOOKUP(CONCATENATE($U18,"@",BF$7),choice!$D:$E,2,0)))</f>
        <v/>
      </c>
      <c r="BG18" s="74" t="str">
        <f>IF($U18="","",IF(COUNTIF(choice!$D:$D,CONCATENATE($U18,"@",BG$7))=0,"",VLOOKUP(CONCATENATE($U18,"@",BG$7),choice!$D:$E,2,0)))</f>
        <v/>
      </c>
      <c r="BH18" s="74" t="str">
        <f>IF($U18="","",IF(COUNTIF(choice!$D:$D,CONCATENATE($U18,"@",BH$7))=0,"",VLOOKUP(CONCATENATE($U18,"@",BH$7),choice!$D:$E,2,0)))</f>
        <v/>
      </c>
      <c r="BI18" s="74" t="str">
        <f>IF($U18="","",IF(COUNTIF(choice!$D:$D,CONCATENATE($U18,"@",BI$7))=0,"",VLOOKUP(CONCATENATE($U18,"@",BI$7),choice!$D:$E,2,0)))</f>
        <v/>
      </c>
      <c r="BJ18" s="74" t="str">
        <f>IF($U18="","",IF(COUNTIF(choice!$D:$D,CONCATENATE($U18,"@",BJ$7))=0,"",VLOOKUP(CONCATENATE($U18,"@",BJ$7),choice!$D:$E,2,0)))</f>
        <v/>
      </c>
      <c r="BK18" s="74" t="str">
        <f>IF($U18="","",IF(COUNTIF(choice!$D:$D,CONCATENATE($U18,"@",BK$7))=0,"",VLOOKUP(CONCATENATE($U18,"@",BK$7),choice!$D:$E,2,0)))</f>
        <v/>
      </c>
      <c r="BL18" s="74" t="str">
        <f>IF($U18="","",IF(COUNTIF(choice!$D:$D,CONCATENATE($U18,"@",BL$7))=0,"",VLOOKUP(CONCATENATE($U18,"@",BL$7),choice!$D:$E,2,0)))</f>
        <v/>
      </c>
      <c r="BM18" s="74" t="str">
        <f>IF($U18="","",IF(COUNTIF(choice!$D:$D,CONCATENATE($U18,"@",BM$7))=0,"",VLOOKUP(CONCATENATE($U18,"@",BM$7),choice!$D:$E,2,0)))</f>
        <v/>
      </c>
      <c r="BN18" s="74" t="str">
        <f>IF($U18="","",IF(COUNTIF(choice!$D:$D,CONCATENATE($U18,"@",BN$7))=0,"",VLOOKUP(CONCATENATE($U18,"@",BN$7),choice!$D:$E,2,0)))</f>
        <v/>
      </c>
      <c r="BO18" s="74" t="str">
        <f>IF($U18="","",IF(COUNTIF(choice!$D:$D,CONCATENATE($U18,"@",BO$7))=0,"",VLOOKUP(CONCATENATE($U18,"@",BO$7),choice!$D:$E,2,0)))</f>
        <v/>
      </c>
      <c r="BP18" s="74" t="str">
        <f>IF($U18="","",IF(COUNTIF(choice!$D:$D,CONCATENATE($U18,"@",BP$7))=0,"",VLOOKUP(CONCATENATE($U18,"@",BP$7),choice!$D:$E,2,0)))</f>
        <v/>
      </c>
      <c r="BQ18" s="74" t="str">
        <f>IF($U18="","",IF(COUNTIF(choice!$D:$D,CONCATENATE($U18,"@",BQ$7))=0,"",VLOOKUP(CONCATENATE($U18,"@",BQ$7),choice!$D:$E,2,0)))</f>
        <v/>
      </c>
      <c r="BR18" s="74" t="str">
        <f>IF($U18="","",IF(COUNTIF(choice!$D:$D,CONCATENATE($U18,"@",BR$7))=0,"",VLOOKUP(CONCATENATE($U18,"@",BR$7),choice!$D:$E,2,0)))</f>
        <v/>
      </c>
      <c r="BS18" s="74" t="str">
        <f>IF($U18="","",IF(COUNTIF(choice!$D:$D,CONCATENATE($U18,"@",BS$7))=0,"",VLOOKUP(CONCATENATE($U18,"@",BS$7),choice!$D:$E,2,0)))</f>
        <v/>
      </c>
      <c r="BT18" s="74" t="str">
        <f>IF($U18="","",IF(COUNTIF(choice!$D:$D,CONCATENATE($U18,"@",BT$7))=0,"",VLOOKUP(CONCATENATE($U18,"@",BT$7),choice!$D:$E,2,0)))</f>
        <v/>
      </c>
      <c r="BU18" s="74" t="str">
        <f>IF($U18="","",IF(COUNTIF(choice!$D:$D,CONCATENATE($U18,"@",BU$7))=0,"",VLOOKUP(CONCATENATE($U18,"@",BU$7),choice!$D:$E,2,0)))</f>
        <v/>
      </c>
      <c r="BV18" s="74" t="str">
        <f>IF($U18="","",IF(COUNTIF(choice!$D:$D,CONCATENATE($U18,"@",BV$7))=0,"",VLOOKUP(CONCATENATE($U18,"@",BV$7),choice!$D:$E,2,0)))</f>
        <v/>
      </c>
      <c r="BW18" s="74" t="str">
        <f>IF($U18="","",IF(COUNTIF(choice!$D:$D,CONCATENATE($U18,"@",BW$7))=0,"",VLOOKUP(CONCATENATE($U18,"@",BW$7),choice!$D:$E,2,0)))</f>
        <v/>
      </c>
      <c r="BX18" s="74" t="str">
        <f>IF($U18="","",IF(COUNTIF(choice!$D:$D,CONCATENATE($U18,"@",BX$7))=0,"",VLOOKUP(CONCATENATE($U18,"@",BX$7),choice!$D:$E,2,0)))</f>
        <v/>
      </c>
      <c r="BY18" s="74" t="str">
        <f>IF($U18="","",IF(COUNTIF(choice!$D:$D,CONCATENATE($U18,"@",BY$7))=0,"",VLOOKUP(CONCATENATE($U18,"@",BY$7),choice!$D:$E,2,0)))</f>
        <v/>
      </c>
      <c r="BZ18" s="74" t="str">
        <f>IF($U18="","",IF(COUNTIF(choice!$D:$D,CONCATENATE($U18,"@",BZ$7))=0,"",VLOOKUP(CONCATENATE($U18,"@",BZ$7),choice!$D:$E,2,0)))</f>
        <v/>
      </c>
      <c r="CA18" s="74" t="str">
        <f>IF($U18="","",IF(COUNTIF(choice!$D:$D,CONCATENATE($U18,"@",CA$7))=0,"",VLOOKUP(CONCATENATE($U18,"@",CA$7),choice!$D:$E,2,0)))</f>
        <v/>
      </c>
      <c r="CB18" s="74" t="str">
        <f>IF($U18="","",IF(COUNTIF(choice!$D:$D,CONCATENATE($U18,"@",CB$7))=0,"",VLOOKUP(CONCATENATE($U18,"@",CB$7),choice!$D:$E,2,0)))</f>
        <v/>
      </c>
      <c r="CC18" s="74" t="str">
        <f>IF($U18="","",IF(COUNTIF(choice!$D:$D,CONCATENATE($U18,"@",CC$7))=0,"",VLOOKUP(CONCATENATE($U18,"@",CC$7),choice!$D:$E,2,0)))</f>
        <v/>
      </c>
      <c r="CD18" s="74" t="str">
        <f>IF($U18="","",IF(COUNTIF(choice!$D:$D,CONCATENATE($U18,"@",CD$7))=0,"",VLOOKUP(CONCATENATE($U18,"@",CD$7),choice!$D:$E,2,0)))</f>
        <v/>
      </c>
      <c r="CE18" s="74" t="str">
        <f>IF($U18="","",IF(COUNTIF(choice!$D:$D,CONCATENATE($U18,"@",CE$7))=0,"",VLOOKUP(CONCATENATE($U18,"@",CE$7),choice!$D:$E,2,0)))</f>
        <v/>
      </c>
      <c r="CF18" s="74" t="str">
        <f>IF($U18="","",IF(COUNTIF(choice!$D:$D,CONCATENATE($U18,"@",CF$7))=0,"",VLOOKUP(CONCATENATE($U18,"@",CF$7),choice!$D:$E,2,0)))</f>
        <v/>
      </c>
      <c r="CG18" s="74" t="str">
        <f>IF($U18="","",IF(COUNTIF(choice!$D:$D,CONCATENATE($U18,"@",CG$7))=0,"",VLOOKUP(CONCATENATE($U18,"@",CG$7),choice!$D:$E,2,0)))</f>
        <v/>
      </c>
      <c r="CH18" s="74" t="str">
        <f>IF($U18="","",IF(COUNTIF(choice!$D:$D,CONCATENATE($U18,"@",CH$7))=0,"",VLOOKUP(CONCATENATE($U18,"@",CH$7),choice!$D:$E,2,0)))</f>
        <v/>
      </c>
      <c r="CI18" s="74" t="str">
        <f>IF($U18="","",IF(COUNTIF(choice!$D:$D,CONCATENATE($U18,"@",CI$7))=0,"",VLOOKUP(CONCATENATE($U18,"@",CI$7),choice!$D:$E,2,0)))</f>
        <v/>
      </c>
      <c r="CJ18" s="81" t="str">
        <f>IF($U18="","",IF(COUNTIF(choice!$D:$D,CONCATENATE($U18,"@",CJ$7))=0,"",VLOOKUP(CONCATENATE($U18,"@",CJ$7),choice!$D:$E,2,0)))</f>
        <v/>
      </c>
      <c r="CK18" s="80" t="str">
        <f>IF($V18="","",IF(COUNTIF(choice!$D:$D,CONCATENATE($V18,"@",CK$7))=0,"",VLOOKUP(CONCATENATE($V18,"@",CK$7),choice!$D:$E,2,0)))</f>
        <v/>
      </c>
      <c r="CL18" s="74" t="str">
        <f>IF($V18="","",IF(COUNTIF(choice!$D:$D,CONCATENATE($V18,"@",CL$7))=0,"",VLOOKUP(CONCATENATE($V18,"@",CL$7),choice!$D:$E,2,0)))</f>
        <v/>
      </c>
      <c r="CM18" s="74" t="str">
        <f>IF($V18="","",IF(COUNTIF(choice!$D:$D,CONCATENATE($V18,"@",CM$7))=0,"",VLOOKUP(CONCATENATE($V18,"@",CM$7),choice!$D:$E,2,0)))</f>
        <v/>
      </c>
      <c r="CN18" s="74" t="str">
        <f>IF($V18="","",IF(COUNTIF(choice!$D:$D,CONCATENATE($V18,"@",CN$7))=0,"",VLOOKUP(CONCATENATE($V18,"@",CN$7),choice!$D:$E,2,0)))</f>
        <v/>
      </c>
      <c r="CO18" s="74" t="str">
        <f>IF($V18="","",IF(COUNTIF(choice!$D:$D,CONCATENATE($V18,"@",CO$7))=0,"",VLOOKUP(CONCATENATE($V18,"@",CO$7),choice!$D:$E,2,0)))</f>
        <v/>
      </c>
      <c r="CP18" s="74" t="str">
        <f>IF($V18="","",IF(COUNTIF(choice!$D:$D,CONCATENATE($V18,"@",CP$7))=0,"",VLOOKUP(CONCATENATE($V18,"@",CP$7),choice!$D:$E,2,0)))</f>
        <v/>
      </c>
      <c r="CQ18" s="74" t="str">
        <f>IF($V18="","",IF(COUNTIF(choice!$D:$D,CONCATENATE($V18,"@",CQ$7))=0,"",VLOOKUP(CONCATENATE($V18,"@",CQ$7),choice!$D:$E,2,0)))</f>
        <v/>
      </c>
      <c r="CR18" s="74" t="str">
        <f>IF($V18="","",IF(COUNTIF(choice!$D:$D,CONCATENATE($V18,"@",CR$7))=0,"",VLOOKUP(CONCATENATE($V18,"@",CR$7),choice!$D:$E,2,0)))</f>
        <v/>
      </c>
      <c r="CS18" s="74" t="str">
        <f>IF($V18="","",IF(COUNTIF(choice!$D:$D,CONCATENATE($V18,"@",CS$7))=0,"",VLOOKUP(CONCATENATE($V18,"@",CS$7),choice!$D:$E,2,0)))</f>
        <v/>
      </c>
      <c r="CT18" s="74" t="str">
        <f>IF($V18="","",IF(COUNTIF(choice!$D:$D,CONCATENATE($V18,"@",CT$7))=0,"",VLOOKUP(CONCATENATE($V18,"@",CT$7),choice!$D:$E,2,0)))</f>
        <v/>
      </c>
      <c r="CU18" s="74" t="str">
        <f>IF($V18="","",IF(COUNTIF(choice!$D:$D,CONCATENATE($V18,"@",CU$7))=0,"",VLOOKUP(CONCATENATE($V18,"@",CU$7),choice!$D:$E,2,0)))</f>
        <v/>
      </c>
      <c r="CV18" s="74" t="str">
        <f>IF($V18="","",IF(COUNTIF(choice!$D:$D,CONCATENATE($V18,"@",CV$7))=0,"",VLOOKUP(CONCATENATE($V18,"@",CV$7),choice!$D:$E,2,0)))</f>
        <v/>
      </c>
      <c r="CW18" s="74" t="str">
        <f>IF($V18="","",IF(COUNTIF(choice!$D:$D,CONCATENATE($V18,"@",CW$7))=0,"",VLOOKUP(CONCATENATE($V18,"@",CW$7),choice!$D:$E,2,0)))</f>
        <v/>
      </c>
      <c r="CX18" s="74" t="str">
        <f>IF($V18="","",IF(COUNTIF(choice!$D:$D,CONCATENATE($V18,"@",CX$7))=0,"",VLOOKUP(CONCATENATE($V18,"@",CX$7),choice!$D:$E,2,0)))</f>
        <v/>
      </c>
      <c r="CY18" s="74" t="str">
        <f>IF($V18="","",IF(COUNTIF(choice!$D:$D,CONCATENATE($V18,"@",CY$7))=0,"",VLOOKUP(CONCATENATE($V18,"@",CY$7),choice!$D:$E,2,0)))</f>
        <v/>
      </c>
      <c r="CZ18" s="74" t="str">
        <f>IF($V18="","",IF(COUNTIF(choice!$D:$D,CONCATENATE($V18,"@",CZ$7))=0,"",VLOOKUP(CONCATENATE($V18,"@",CZ$7),choice!$D:$E,2,0)))</f>
        <v/>
      </c>
      <c r="DA18" s="74" t="str">
        <f>IF($V18="","",IF(COUNTIF(choice!$D:$D,CONCATENATE($V18,"@",DA$7))=0,"",VLOOKUP(CONCATENATE($V18,"@",DA$7),choice!$D:$E,2,0)))</f>
        <v/>
      </c>
      <c r="DB18" s="74" t="str">
        <f>IF($V18="","",IF(COUNTIF(choice!$D:$D,CONCATENATE($V18,"@",DB$7))=0,"",VLOOKUP(CONCATENATE($V18,"@",DB$7),choice!$D:$E,2,0)))</f>
        <v/>
      </c>
      <c r="DC18" s="74" t="str">
        <f>IF($V18="","",IF(COUNTIF(choice!$D:$D,CONCATENATE($V18,"@",DC$7))=0,"",VLOOKUP(CONCATENATE($V18,"@",DC$7),choice!$D:$E,2,0)))</f>
        <v/>
      </c>
      <c r="DD18" s="74" t="str">
        <f>IF($V18="","",IF(COUNTIF(choice!$D:$D,CONCATENATE($V18,"@",DD$7))=0,"",VLOOKUP(CONCATENATE($V18,"@",DD$7),choice!$D:$E,2,0)))</f>
        <v/>
      </c>
      <c r="DE18" s="74" t="str">
        <f>IF($V18="","",IF(COUNTIF(choice!$D:$D,CONCATENATE($V18,"@",DE$7))=0,"",VLOOKUP(CONCATENATE($V18,"@",DE$7),choice!$D:$E,2,0)))</f>
        <v/>
      </c>
      <c r="DF18" s="74" t="str">
        <f>IF($V18="","",IF(COUNTIF(choice!$D:$D,CONCATENATE($V18,"@",DF$7))=0,"",VLOOKUP(CONCATENATE($V18,"@",DF$7),choice!$D:$E,2,0)))</f>
        <v/>
      </c>
      <c r="DG18" s="74" t="str">
        <f>IF($V18="","",IF(COUNTIF(choice!$D:$D,CONCATENATE($V18,"@",DG$7))=0,"",VLOOKUP(CONCATENATE($V18,"@",DG$7),choice!$D:$E,2,0)))</f>
        <v/>
      </c>
      <c r="DH18" s="74" t="str">
        <f>IF($V18="","",IF(COUNTIF(choice!$D:$D,CONCATENATE($V18,"@",DH$7))=0,"",VLOOKUP(CONCATENATE($V18,"@",DH$7),choice!$D:$E,2,0)))</f>
        <v/>
      </c>
      <c r="DI18" s="74" t="str">
        <f>IF($V18="","",IF(COUNTIF(choice!$D:$D,CONCATENATE($V18,"@",DI$7))=0,"",VLOOKUP(CONCATENATE($V18,"@",DI$7),choice!$D:$E,2,0)))</f>
        <v/>
      </c>
      <c r="DJ18" s="74" t="str">
        <f>IF($V18="","",IF(COUNTIF(choice!$D:$D,CONCATENATE($V18,"@",DJ$7))=0,"",VLOOKUP(CONCATENATE($V18,"@",DJ$7),choice!$D:$E,2,0)))</f>
        <v/>
      </c>
      <c r="DK18" s="74" t="str">
        <f>IF($V18="","",IF(COUNTIF(choice!$D:$D,CONCATENATE($V18,"@",DK$7))=0,"",VLOOKUP(CONCATENATE($V18,"@",DK$7),choice!$D:$E,2,0)))</f>
        <v/>
      </c>
      <c r="DL18" s="74" t="str">
        <f>IF($V18="","",IF(COUNTIF(choice!$D:$D,CONCATENATE($V18,"@",DL$7))=0,"",VLOOKUP(CONCATENATE($V18,"@",DL$7),choice!$D:$E,2,0)))</f>
        <v/>
      </c>
      <c r="DM18" s="74" t="str">
        <f>IF($V18="","",IF(COUNTIF(choice!$D:$D,CONCATENATE($V18,"@",DM$7))=0,"",VLOOKUP(CONCATENATE($V18,"@",DM$7),choice!$D:$E,2,0)))</f>
        <v/>
      </c>
      <c r="DN18" s="74" t="str">
        <f>IF($V18="","",IF(COUNTIF(choice!$D:$D,CONCATENATE($V18,"@",DN$7))=0,"",VLOOKUP(CONCATENATE($V18,"@",DN$7),choice!$D:$E,2,0)))</f>
        <v/>
      </c>
      <c r="DO18" s="74" t="str">
        <f>IF($V18="","",IF(COUNTIF(choice!$D:$D,CONCATENATE($V18,"@",DO$7))=0,"",VLOOKUP(CONCATENATE($V18,"@",DO$7),choice!$D:$E,2,0)))</f>
        <v/>
      </c>
      <c r="DP18" s="74" t="str">
        <f>IF($V18="","",IF(COUNTIF(choice!$D:$D,CONCATENATE($V18,"@",DP$7))=0,"",VLOOKUP(CONCATENATE($V18,"@",DP$7),choice!$D:$E,2,0)))</f>
        <v/>
      </c>
      <c r="DQ18" s="74" t="str">
        <f>IF($V18="","",IF(COUNTIF(choice!$D:$D,CONCATENATE($V18,"@",DQ$7))=0,"",VLOOKUP(CONCATENATE($V18,"@",DQ$7),choice!$D:$E,2,0)))</f>
        <v/>
      </c>
      <c r="DR18" s="74" t="str">
        <f>IF($V18="","",IF(COUNTIF(choice!$D:$D,CONCATENATE($V18,"@",DR$7))=0,"",VLOOKUP(CONCATENATE($V18,"@",DR$7),choice!$D:$E,2,0)))</f>
        <v/>
      </c>
      <c r="DS18" s="74" t="str">
        <f>IF($V18="","",IF(COUNTIF(choice!$D:$D,CONCATENATE($V18,"@",DS$7))=0,"",VLOOKUP(CONCATENATE($V18,"@",DS$7),choice!$D:$E,2,0)))</f>
        <v/>
      </c>
      <c r="DT18" s="74" t="str">
        <f>IF($V18="","",IF(COUNTIF(choice!$D:$D,CONCATENATE($V18,"@",DT$7))=0,"",VLOOKUP(CONCATENATE($V18,"@",DT$7),choice!$D:$E,2,0)))</f>
        <v/>
      </c>
      <c r="DU18" s="74" t="str">
        <f>IF($V18="","",IF(COUNTIF(choice!$D:$D,CONCATENATE($V18,"@",DU$7))=0,"",VLOOKUP(CONCATENATE($V18,"@",DU$7),choice!$D:$E,2,0)))</f>
        <v/>
      </c>
      <c r="DV18" s="74" t="str">
        <f>IF($V18="","",IF(COUNTIF(choice!$D:$D,CONCATENATE($V18,"@",DV$7))=0,"",VLOOKUP(CONCATENATE($V18,"@",DV$7),choice!$D:$E,2,0)))</f>
        <v/>
      </c>
      <c r="DW18" s="74" t="str">
        <f>IF($V18="","",IF(COUNTIF(choice!$D:$D,CONCATENATE($V18,"@",DW$7))=0,"",VLOOKUP(CONCATENATE($V18,"@",DW$7),choice!$D:$E,2,0)))</f>
        <v/>
      </c>
      <c r="DX18" s="74" t="str">
        <f>IF($V18="","",IF(COUNTIF(choice!$D:$D,CONCATENATE($V18,"@",DX$7))=0,"",VLOOKUP(CONCATENATE($V18,"@",DX$7),choice!$D:$E,2,0)))</f>
        <v/>
      </c>
      <c r="DY18" s="74" t="str">
        <f>IF($V18="","",IF(COUNTIF(choice!$D:$D,CONCATENATE($V18,"@",DY$7))=0,"",VLOOKUP(CONCATENATE($V18,"@",DY$7),choice!$D:$E,2,0)))</f>
        <v/>
      </c>
      <c r="DZ18" s="74" t="str">
        <f>IF($V18="","",IF(COUNTIF(choice!$D:$D,CONCATENATE($V18,"@",DZ$7))=0,"",VLOOKUP(CONCATENATE($V18,"@",DZ$7),choice!$D:$E,2,0)))</f>
        <v/>
      </c>
      <c r="EA18" s="74" t="str">
        <f>IF($V18="","",IF(COUNTIF(choice!$D:$D,CONCATENATE($V18,"@",EA$7))=0,"",VLOOKUP(CONCATENATE($V18,"@",EA$7),choice!$D:$E,2,0)))</f>
        <v/>
      </c>
      <c r="EB18" s="74" t="str">
        <f>IF($V18="","",IF(COUNTIF(choice!$D:$D,CONCATENATE($V18,"@",EB$7))=0,"",VLOOKUP(CONCATENATE($V18,"@",EB$7),choice!$D:$E,2,0)))</f>
        <v/>
      </c>
      <c r="EC18" s="81" t="str">
        <f>IF($V18="","",IF(COUNTIF(choice!$D:$D,CONCATENATE($V18,"@",EC$7))=0,"",VLOOKUP(CONCATENATE($V18,"@",EC$7),choice!$D:$E,2,0)))</f>
        <v/>
      </c>
      <c r="ED18" s="80" t="str">
        <f>IF($W18="","",IF(COUNTIF(choice!$D:$D,CONCATENATE($W18,"@",ED$7))=0,"",VLOOKUP(CONCATENATE($W18,"@",ED$7),choice!$D:$E,2,0)))</f>
        <v/>
      </c>
      <c r="EE18" s="74" t="str">
        <f>IF($W18="","",IF(COUNTIF(choice!$D:$D,CONCATENATE($W18,"@",EE$7))=0,"",VLOOKUP(CONCATENATE($W18,"@",EE$7),choice!$D:$E,2,0)))</f>
        <v/>
      </c>
      <c r="EF18" s="74" t="str">
        <f>IF($W18="","",IF(COUNTIF(choice!$D:$D,CONCATENATE($W18,"@",EF$7))=0,"",VLOOKUP(CONCATENATE($W18,"@",EF$7),choice!$D:$E,2,0)))</f>
        <v/>
      </c>
      <c r="EG18" s="74" t="str">
        <f>IF($W18="","",IF(COUNTIF(choice!$D:$D,CONCATENATE($W18,"@",EG$7))=0,"",VLOOKUP(CONCATENATE($W18,"@",EG$7),choice!$D:$E,2,0)))</f>
        <v/>
      </c>
      <c r="EH18" s="74" t="str">
        <f>IF($W18="","",IF(COUNTIF(choice!$D:$D,CONCATENATE($W18,"@",EH$7))=0,"",VLOOKUP(CONCATENATE($W18,"@",EH$7),choice!$D:$E,2,0)))</f>
        <v/>
      </c>
      <c r="EI18" s="74" t="str">
        <f>IF($W18="","",IF(COUNTIF(choice!$D:$D,CONCATENATE($W18,"@",EI$7))=0,"",VLOOKUP(CONCATENATE($W18,"@",EI$7),choice!$D:$E,2,0)))</f>
        <v/>
      </c>
      <c r="EJ18" s="74" t="str">
        <f>IF($W18="","",IF(COUNTIF(choice!$D:$D,CONCATENATE($W18,"@",EJ$7))=0,"",VLOOKUP(CONCATENATE($W18,"@",EJ$7),choice!$D:$E,2,0)))</f>
        <v/>
      </c>
      <c r="EK18" s="74" t="str">
        <f>IF($W18="","",IF(COUNTIF(choice!$D:$D,CONCATENATE($W18,"@",EK$7))=0,"",VLOOKUP(CONCATENATE($W18,"@",EK$7),choice!$D:$E,2,0)))</f>
        <v/>
      </c>
      <c r="EL18" s="74" t="str">
        <f>IF($W18="","",IF(COUNTIF(choice!$D:$D,CONCATENATE($W18,"@",EL$7))=0,"",VLOOKUP(CONCATENATE($W18,"@",EL$7),choice!$D:$E,2,0)))</f>
        <v/>
      </c>
      <c r="EM18" s="74" t="str">
        <f>IF($W18="","",IF(COUNTIF(choice!$D:$D,CONCATENATE($W18,"@",EM$7))=0,"",VLOOKUP(CONCATENATE($W18,"@",EM$7),choice!$D:$E,2,0)))</f>
        <v/>
      </c>
      <c r="EN18" s="74" t="str">
        <f>IF($W18="","",IF(COUNTIF(choice!$D:$D,CONCATENATE($W18,"@",EN$7))=0,"",VLOOKUP(CONCATENATE($W18,"@",EN$7),choice!$D:$E,2,0)))</f>
        <v/>
      </c>
      <c r="EO18" s="74" t="str">
        <f>IF($W18="","",IF(COUNTIF(choice!$D:$D,CONCATENATE($W18,"@",EO$7))=0,"",VLOOKUP(CONCATENATE($W18,"@",EO$7),choice!$D:$E,2,0)))</f>
        <v/>
      </c>
      <c r="EP18" s="74" t="str">
        <f>IF($W18="","",IF(COUNTIF(choice!$D:$D,CONCATENATE($W18,"@",EP$7))=0,"",VLOOKUP(CONCATENATE($W18,"@",EP$7),choice!$D:$E,2,0)))</f>
        <v/>
      </c>
      <c r="EQ18" s="74" t="str">
        <f>IF($W18="","",IF(COUNTIF(choice!$D:$D,CONCATENATE($W18,"@",EQ$7))=0,"",VLOOKUP(CONCATENATE($W18,"@",EQ$7),choice!$D:$E,2,0)))</f>
        <v/>
      </c>
      <c r="ER18" s="74" t="str">
        <f>IF($W18="","",IF(COUNTIF(choice!$D:$D,CONCATENATE($W18,"@",ER$7))=0,"",VLOOKUP(CONCATENATE($W18,"@",ER$7),choice!$D:$E,2,0)))</f>
        <v/>
      </c>
      <c r="ES18" s="74" t="str">
        <f>IF($W18="","",IF(COUNTIF(choice!$D:$D,CONCATENATE($W18,"@",ES$7))=0,"",VLOOKUP(CONCATENATE($W18,"@",ES$7),choice!$D:$E,2,0)))</f>
        <v/>
      </c>
      <c r="ET18" s="74" t="str">
        <f>IF($W18="","",IF(COUNTIF(choice!$D:$D,CONCATENATE($W18,"@",ET$7))=0,"",VLOOKUP(CONCATENATE($W18,"@",ET$7),choice!$D:$E,2,0)))</f>
        <v/>
      </c>
      <c r="EU18" s="74" t="str">
        <f>IF($W18="","",IF(COUNTIF(choice!$D:$D,CONCATENATE($W18,"@",EU$7))=0,"",VLOOKUP(CONCATENATE($W18,"@",EU$7),choice!$D:$E,2,0)))</f>
        <v/>
      </c>
      <c r="EV18" s="74" t="str">
        <f>IF($W18="","",IF(COUNTIF(choice!$D:$D,CONCATENATE($W18,"@",EV$7))=0,"",VLOOKUP(CONCATENATE($W18,"@",EV$7),choice!$D:$E,2,0)))</f>
        <v/>
      </c>
      <c r="EW18" s="74" t="str">
        <f>IF($W18="","",IF(COUNTIF(choice!$D:$D,CONCATENATE($W18,"@",EW$7))=0,"",VLOOKUP(CONCATENATE($W18,"@",EW$7),choice!$D:$E,2,0)))</f>
        <v/>
      </c>
      <c r="EX18" s="74" t="str">
        <f>IF($W18="","",IF(COUNTIF(choice!$D:$D,CONCATENATE($W18,"@",EX$7))=0,"",VLOOKUP(CONCATENATE($W18,"@",EX$7),choice!$D:$E,2,0)))</f>
        <v/>
      </c>
      <c r="EY18" s="74" t="str">
        <f>IF($W18="","",IF(COUNTIF(choice!$D:$D,CONCATENATE($W18,"@",EY$7))=0,"",VLOOKUP(CONCATENATE($W18,"@",EY$7),choice!$D:$E,2,0)))</f>
        <v/>
      </c>
      <c r="EZ18" s="74" t="str">
        <f>IF($W18="","",IF(COUNTIF(choice!$D:$D,CONCATENATE($W18,"@",EZ$7))=0,"",VLOOKUP(CONCATENATE($W18,"@",EZ$7),choice!$D:$E,2,0)))</f>
        <v/>
      </c>
      <c r="FA18" s="74" t="str">
        <f>IF($W18="","",IF(COUNTIF(choice!$D:$D,CONCATENATE($W18,"@",FA$7))=0,"",VLOOKUP(CONCATENATE($W18,"@",FA$7),choice!$D:$E,2,0)))</f>
        <v/>
      </c>
      <c r="FB18" s="74" t="str">
        <f>IF($W18="","",IF(COUNTIF(choice!$D:$D,CONCATENATE($W18,"@",FB$7))=0,"",VLOOKUP(CONCATENATE($W18,"@",FB$7),choice!$D:$E,2,0)))</f>
        <v/>
      </c>
      <c r="FC18" s="74" t="str">
        <f>IF($W18="","",IF(COUNTIF(choice!$D:$D,CONCATENATE($W18,"@",FC$7))=0,"",VLOOKUP(CONCATENATE($W18,"@",FC$7),choice!$D:$E,2,0)))</f>
        <v/>
      </c>
      <c r="FD18" s="74" t="str">
        <f>IF($W18="","",IF(COUNTIF(choice!$D:$D,CONCATENATE($W18,"@",FD$7))=0,"",VLOOKUP(CONCATENATE($W18,"@",FD$7),choice!$D:$E,2,0)))</f>
        <v/>
      </c>
      <c r="FE18" s="74" t="str">
        <f>IF($W18="","",IF(COUNTIF(choice!$D:$D,CONCATENATE($W18,"@",FE$7))=0,"",VLOOKUP(CONCATENATE($W18,"@",FE$7),choice!$D:$E,2,0)))</f>
        <v/>
      </c>
      <c r="FF18" s="74" t="str">
        <f>IF($W18="","",IF(COUNTIF(choice!$D:$D,CONCATENATE($W18,"@",FF$7))=0,"",VLOOKUP(CONCATENATE($W18,"@",FF$7),choice!$D:$E,2,0)))</f>
        <v/>
      </c>
      <c r="FG18" s="74" t="str">
        <f>IF($W18="","",IF(COUNTIF(choice!$D:$D,CONCATENATE($W18,"@",FG$7))=0,"",VLOOKUP(CONCATENATE($W18,"@",FG$7),choice!$D:$E,2,0)))</f>
        <v/>
      </c>
      <c r="FH18" s="74" t="str">
        <f>IF($W18="","",IF(COUNTIF(choice!$D:$D,CONCATENATE($W18,"@",FH$7))=0,"",VLOOKUP(CONCATENATE($W18,"@",FH$7),choice!$D:$E,2,0)))</f>
        <v/>
      </c>
      <c r="FI18" s="74" t="str">
        <f>IF($W18="","",IF(COUNTIF(choice!$D:$D,CONCATENATE($W18,"@",FI$7))=0,"",VLOOKUP(CONCATENATE($W18,"@",FI$7),choice!$D:$E,2,0)))</f>
        <v/>
      </c>
      <c r="FJ18" s="74" t="str">
        <f>IF($W18="","",IF(COUNTIF(choice!$D:$D,CONCATENATE($W18,"@",FJ$7))=0,"",VLOOKUP(CONCATENATE($W18,"@",FJ$7),choice!$D:$E,2,0)))</f>
        <v/>
      </c>
      <c r="FK18" s="74" t="str">
        <f>IF($W18="","",IF(COUNTIF(choice!$D:$D,CONCATENATE($W18,"@",FK$7))=0,"",VLOOKUP(CONCATENATE($W18,"@",FK$7),choice!$D:$E,2,0)))</f>
        <v/>
      </c>
      <c r="FL18" s="74" t="str">
        <f>IF($W18="","",IF(COUNTIF(choice!$D:$D,CONCATENATE($W18,"@",FL$7))=0,"",VLOOKUP(CONCATENATE($W18,"@",FL$7),choice!$D:$E,2,0)))</f>
        <v/>
      </c>
      <c r="FM18" s="74" t="str">
        <f>IF($W18="","",IF(COUNTIF(choice!$D:$D,CONCATENATE($W18,"@",FM$7))=0,"",VLOOKUP(CONCATENATE($W18,"@",FM$7),choice!$D:$E,2,0)))</f>
        <v/>
      </c>
      <c r="FN18" s="74" t="str">
        <f>IF($W18="","",IF(COUNTIF(choice!$D:$D,CONCATENATE($W18,"@",FN$7))=0,"",VLOOKUP(CONCATENATE($W18,"@",FN$7),choice!$D:$E,2,0)))</f>
        <v/>
      </c>
      <c r="FO18" s="74" t="str">
        <f>IF($W18="","",IF(COUNTIF(choice!$D:$D,CONCATENATE($W18,"@",FO$7))=0,"",VLOOKUP(CONCATENATE($W18,"@",FO$7),choice!$D:$E,2,0)))</f>
        <v/>
      </c>
      <c r="FP18" s="74" t="str">
        <f>IF($W18="","",IF(COUNTIF(choice!$D:$D,CONCATENATE($W18,"@",FP$7))=0,"",VLOOKUP(CONCATENATE($W18,"@",FP$7),choice!$D:$E,2,0)))</f>
        <v/>
      </c>
      <c r="FQ18" s="74" t="str">
        <f>IF($W18="","",IF(COUNTIF(choice!$D:$D,CONCATENATE($W18,"@",FQ$7))=0,"",VLOOKUP(CONCATENATE($W18,"@",FQ$7),choice!$D:$E,2,0)))</f>
        <v/>
      </c>
      <c r="FR18" s="74" t="str">
        <f>IF($W18="","",IF(COUNTIF(choice!$D:$D,CONCATENATE($W18,"@",FR$7))=0,"",VLOOKUP(CONCATENATE($W18,"@",FR$7),choice!$D:$E,2,0)))</f>
        <v/>
      </c>
      <c r="FS18" s="74" t="str">
        <f>IF($W18="","",IF(COUNTIF(choice!$D:$D,CONCATENATE($W18,"@",FS$7))=0,"",VLOOKUP(CONCATENATE($W18,"@",FS$7),choice!$D:$E,2,0)))</f>
        <v/>
      </c>
      <c r="FT18" s="74" t="str">
        <f>IF($W18="","",IF(COUNTIF(choice!$D:$D,CONCATENATE($W18,"@",FT$7))=0,"",VLOOKUP(CONCATENATE($W18,"@",FT$7),choice!$D:$E,2,0)))</f>
        <v/>
      </c>
      <c r="FU18" s="74" t="str">
        <f>IF($W18="","",IF(COUNTIF(choice!$D:$D,CONCATENATE($W18,"@",FU$7))=0,"",VLOOKUP(CONCATENATE($W18,"@",FU$7),choice!$D:$E,2,0)))</f>
        <v/>
      </c>
      <c r="FV18" s="81" t="str">
        <f>IF($W18="","",IF(COUNTIF(choice!$D:$D,CONCATENATE($W18,"@",FV$7))=0,"",VLOOKUP(CONCATENATE($W18,"@",FV$7),choice!$D:$E,2,0)))</f>
        <v/>
      </c>
      <c r="FW18" s="80" t="str">
        <f>IF($X18="","",IF(COUNTIF(choice!$D:$D,CONCATENATE($X18,"@",FW$7))=0,"",VLOOKUP(CONCATENATE($X18,"@",FW$7),choice!$D:$E,2,0)))</f>
        <v/>
      </c>
      <c r="FX18" s="74" t="str">
        <f>IF($X18="","",IF(COUNTIF(choice!$D:$D,CONCATENATE($X18,"@",FX$7))=0,"",VLOOKUP(CONCATENATE($X18,"@",FX$7),choice!$D:$E,2,0)))</f>
        <v/>
      </c>
      <c r="FY18" s="74" t="str">
        <f>IF($X18="","",IF(COUNTIF(choice!$D:$D,CONCATENATE($X18,"@",FY$7))=0,"",VLOOKUP(CONCATENATE($X18,"@",FY$7),choice!$D:$E,2,0)))</f>
        <v/>
      </c>
      <c r="FZ18" s="74" t="str">
        <f>IF($X18="","",IF(COUNTIF(choice!$D:$D,CONCATENATE($X18,"@",FZ$7))=0,"",VLOOKUP(CONCATENATE($X18,"@",FZ$7),choice!$D:$E,2,0)))</f>
        <v/>
      </c>
      <c r="GA18" s="74" t="str">
        <f>IF($X18="","",IF(COUNTIF(choice!$D:$D,CONCATENATE($X18,"@",GA$7))=0,"",VLOOKUP(CONCATENATE($X18,"@",GA$7),choice!$D:$E,2,0)))</f>
        <v/>
      </c>
      <c r="GB18" s="74" t="str">
        <f>IF($X18="","",IF(COUNTIF(choice!$D:$D,CONCATENATE($X18,"@",GB$7))=0,"",VLOOKUP(CONCATENATE($X18,"@",GB$7),choice!$D:$E,2,0)))</f>
        <v/>
      </c>
      <c r="GC18" s="74" t="str">
        <f>IF($X18="","",IF(COUNTIF(choice!$D:$D,CONCATENATE($X18,"@",GC$7))=0,"",VLOOKUP(CONCATENATE($X18,"@",GC$7),choice!$D:$E,2,0)))</f>
        <v/>
      </c>
      <c r="GD18" s="74" t="str">
        <f>IF($X18="","",IF(COUNTIF(choice!$D:$D,CONCATENATE($X18,"@",GD$7))=0,"",VLOOKUP(CONCATENATE($X18,"@",GD$7),choice!$D:$E,2,0)))</f>
        <v/>
      </c>
      <c r="GE18" s="74" t="str">
        <f>IF($X18="","",IF(COUNTIF(choice!$D:$D,CONCATENATE($X18,"@",GE$7))=0,"",VLOOKUP(CONCATENATE($X18,"@",GE$7),choice!$D:$E,2,0)))</f>
        <v/>
      </c>
      <c r="GF18" s="74" t="str">
        <f>IF($X18="","",IF(COUNTIF(choice!$D:$D,CONCATENATE($X18,"@",GF$7))=0,"",VLOOKUP(CONCATENATE($X18,"@",GF$7),choice!$D:$E,2,0)))</f>
        <v/>
      </c>
      <c r="GG18" s="74" t="str">
        <f>IF($X18="","",IF(COUNTIF(choice!$D:$D,CONCATENATE($X18,"@",GG$7))=0,"",VLOOKUP(CONCATENATE($X18,"@",GG$7),choice!$D:$E,2,0)))</f>
        <v/>
      </c>
      <c r="GH18" s="74" t="str">
        <f>IF($X18="","",IF(COUNTIF(choice!$D:$D,CONCATENATE($X18,"@",GH$7))=0,"",VLOOKUP(CONCATENATE($X18,"@",GH$7),choice!$D:$E,2,0)))</f>
        <v/>
      </c>
      <c r="GI18" s="74" t="str">
        <f>IF($X18="","",IF(COUNTIF(choice!$D:$D,CONCATENATE($X18,"@",GI$7))=0,"",VLOOKUP(CONCATENATE($X18,"@",GI$7),choice!$D:$E,2,0)))</f>
        <v/>
      </c>
      <c r="GJ18" s="74" t="str">
        <f>IF($X18="","",IF(COUNTIF(choice!$D:$D,CONCATENATE($X18,"@",GJ$7))=0,"",VLOOKUP(CONCATENATE($X18,"@",GJ$7),choice!$D:$E,2,0)))</f>
        <v/>
      </c>
      <c r="GK18" s="74" t="str">
        <f>IF($X18="","",IF(COUNTIF(choice!$D:$D,CONCATENATE($X18,"@",GK$7))=0,"",VLOOKUP(CONCATENATE($X18,"@",GK$7),choice!$D:$E,2,0)))</f>
        <v/>
      </c>
      <c r="GL18" s="74" t="str">
        <f>IF($X18="","",IF(COUNTIF(choice!$D:$D,CONCATENATE($X18,"@",GL$7))=0,"",VLOOKUP(CONCATENATE($X18,"@",GL$7),choice!$D:$E,2,0)))</f>
        <v/>
      </c>
      <c r="GM18" s="74" t="str">
        <f>IF($X18="","",IF(COUNTIF(choice!$D:$D,CONCATENATE($X18,"@",GM$7))=0,"",VLOOKUP(CONCATENATE($X18,"@",GM$7),choice!$D:$E,2,0)))</f>
        <v/>
      </c>
      <c r="GN18" s="74" t="str">
        <f>IF($X18="","",IF(COUNTIF(choice!$D:$D,CONCATENATE($X18,"@",GN$7))=0,"",VLOOKUP(CONCATENATE($X18,"@",GN$7),choice!$D:$E,2,0)))</f>
        <v/>
      </c>
      <c r="GO18" s="74" t="str">
        <f>IF($X18="","",IF(COUNTIF(choice!$D:$D,CONCATENATE($X18,"@",GO$7))=0,"",VLOOKUP(CONCATENATE($X18,"@",GO$7),choice!$D:$E,2,0)))</f>
        <v/>
      </c>
      <c r="GP18" s="74" t="str">
        <f>IF($X18="","",IF(COUNTIF(choice!$D:$D,CONCATENATE($X18,"@",GP$7))=0,"",VLOOKUP(CONCATENATE($X18,"@",GP$7),choice!$D:$E,2,0)))</f>
        <v/>
      </c>
      <c r="GQ18" s="74" t="str">
        <f>IF($X18="","",IF(COUNTIF(choice!$D:$D,CONCATENATE($X18,"@",GQ$7))=0,"",VLOOKUP(CONCATENATE($X18,"@",GQ$7),choice!$D:$E,2,0)))</f>
        <v/>
      </c>
      <c r="GR18" s="74" t="str">
        <f>IF($X18="","",IF(COUNTIF(choice!$D:$D,CONCATENATE($X18,"@",GR$7))=0,"",VLOOKUP(CONCATENATE($X18,"@",GR$7),choice!$D:$E,2,0)))</f>
        <v/>
      </c>
      <c r="GS18" s="74" t="str">
        <f>IF($X18="","",IF(COUNTIF(choice!$D:$D,CONCATENATE($X18,"@",GS$7))=0,"",VLOOKUP(CONCATENATE($X18,"@",GS$7),choice!$D:$E,2,0)))</f>
        <v/>
      </c>
      <c r="GT18" s="74" t="str">
        <f>IF($X18="","",IF(COUNTIF(choice!$D:$D,CONCATENATE($X18,"@",GT$7))=0,"",VLOOKUP(CONCATENATE($X18,"@",GT$7),choice!$D:$E,2,0)))</f>
        <v/>
      </c>
      <c r="GU18" s="74" t="str">
        <f>IF($X18="","",IF(COUNTIF(choice!$D:$D,CONCATENATE($X18,"@",GU$7))=0,"",VLOOKUP(CONCATENATE($X18,"@",GU$7),choice!$D:$E,2,0)))</f>
        <v/>
      </c>
      <c r="GV18" s="74" t="str">
        <f>IF($X18="","",IF(COUNTIF(choice!$D:$D,CONCATENATE($X18,"@",GV$7))=0,"",VLOOKUP(CONCATENATE($X18,"@",GV$7),choice!$D:$E,2,0)))</f>
        <v/>
      </c>
      <c r="GW18" s="74" t="str">
        <f>IF($X18="","",IF(COUNTIF(choice!$D:$D,CONCATENATE($X18,"@",GW$7))=0,"",VLOOKUP(CONCATENATE($X18,"@",GW$7),choice!$D:$E,2,0)))</f>
        <v/>
      </c>
      <c r="GX18" s="74" t="str">
        <f>IF($X18="","",IF(COUNTIF(choice!$D:$D,CONCATENATE($X18,"@",GX$7))=0,"",VLOOKUP(CONCATENATE($X18,"@",GX$7),choice!$D:$E,2,0)))</f>
        <v/>
      </c>
      <c r="GY18" s="74" t="str">
        <f>IF($X18="","",IF(COUNTIF(choice!$D:$D,CONCATENATE($X18,"@",GY$7))=0,"",VLOOKUP(CONCATENATE($X18,"@",GY$7),choice!$D:$E,2,0)))</f>
        <v/>
      </c>
      <c r="GZ18" s="74" t="str">
        <f>IF($X18="","",IF(COUNTIF(choice!$D:$D,CONCATENATE($X18,"@",GZ$7))=0,"",VLOOKUP(CONCATENATE($X18,"@",GZ$7),choice!$D:$E,2,0)))</f>
        <v/>
      </c>
      <c r="HA18" s="74" t="str">
        <f>IF($X18="","",IF(COUNTIF(choice!$D:$D,CONCATENATE($X18,"@",HA$7))=0,"",VLOOKUP(CONCATENATE($X18,"@",HA$7),choice!$D:$E,2,0)))</f>
        <v/>
      </c>
      <c r="HB18" s="74" t="str">
        <f>IF($X18="","",IF(COUNTIF(choice!$D:$D,CONCATENATE($X18,"@",HB$7))=0,"",VLOOKUP(CONCATENATE($X18,"@",HB$7),choice!$D:$E,2,0)))</f>
        <v/>
      </c>
      <c r="HC18" s="74" t="str">
        <f>IF($X18="","",IF(COUNTIF(choice!$D:$D,CONCATENATE($X18,"@",HC$7))=0,"",VLOOKUP(CONCATENATE($X18,"@",HC$7),choice!$D:$E,2,0)))</f>
        <v/>
      </c>
      <c r="HD18" s="74" t="str">
        <f>IF($X18="","",IF(COUNTIF(choice!$D:$D,CONCATENATE($X18,"@",HD$7))=0,"",VLOOKUP(CONCATENATE($X18,"@",HD$7),choice!$D:$E,2,0)))</f>
        <v/>
      </c>
      <c r="HE18" s="74" t="str">
        <f>IF($X18="","",IF(COUNTIF(choice!$D:$D,CONCATENATE($X18,"@",HE$7))=0,"",VLOOKUP(CONCATENATE($X18,"@",HE$7),choice!$D:$E,2,0)))</f>
        <v/>
      </c>
      <c r="HF18" s="74" t="str">
        <f>IF($X18="","",IF(COUNTIF(choice!$D:$D,CONCATENATE($X18,"@",HF$7))=0,"",VLOOKUP(CONCATENATE($X18,"@",HF$7),choice!$D:$E,2,0)))</f>
        <v/>
      </c>
      <c r="HG18" s="74" t="str">
        <f>IF($X18="","",IF(COUNTIF(choice!$D:$D,CONCATENATE($X18,"@",HG$7))=0,"",VLOOKUP(CONCATENATE($X18,"@",HG$7),choice!$D:$E,2,0)))</f>
        <v/>
      </c>
      <c r="HH18" s="74" t="str">
        <f>IF($X18="","",IF(COUNTIF(choice!$D:$D,CONCATENATE($X18,"@",HH$7))=0,"",VLOOKUP(CONCATENATE($X18,"@",HH$7),choice!$D:$E,2,0)))</f>
        <v/>
      </c>
      <c r="HI18" s="74" t="str">
        <f>IF($X18="","",IF(COUNTIF(choice!$D:$D,CONCATENATE($X18,"@",HI$7))=0,"",VLOOKUP(CONCATENATE($X18,"@",HI$7),choice!$D:$E,2,0)))</f>
        <v/>
      </c>
      <c r="HJ18" s="74" t="str">
        <f>IF($X18="","",IF(COUNTIF(choice!$D:$D,CONCATENATE($X18,"@",HJ$7))=0,"",VLOOKUP(CONCATENATE($X18,"@",HJ$7),choice!$D:$E,2,0)))</f>
        <v/>
      </c>
      <c r="HK18" s="74" t="str">
        <f>IF($X18="","",IF(COUNTIF(choice!$D:$D,CONCATENATE($X18,"@",HK$7))=0,"",VLOOKUP(CONCATENATE($X18,"@",HK$7),choice!$D:$E,2,0)))</f>
        <v/>
      </c>
      <c r="HL18" s="74" t="str">
        <f>IF($X18="","",IF(COUNTIF(choice!$D:$D,CONCATENATE($X18,"@",HL$7))=0,"",VLOOKUP(CONCATENATE($X18,"@",HL$7),choice!$D:$E,2,0)))</f>
        <v/>
      </c>
      <c r="HM18" s="74" t="str">
        <f>IF($X18="","",IF(COUNTIF(choice!$D:$D,CONCATENATE($X18,"@",HM$7))=0,"",VLOOKUP(CONCATENATE($X18,"@",HM$7),choice!$D:$E,2,0)))</f>
        <v/>
      </c>
      <c r="HN18" s="74" t="str">
        <f>IF($X18="","",IF(COUNTIF(choice!$D:$D,CONCATENATE($X18,"@",HN$7))=0,"",VLOOKUP(CONCATENATE($X18,"@",HN$7),choice!$D:$E,2,0)))</f>
        <v/>
      </c>
      <c r="HO18" s="81" t="str">
        <f>IF($X18="","",IF(COUNTIF(choice!$D:$D,CONCATENATE($X18,"@",HO$7))=0,"",VLOOKUP(CONCATENATE($X18,"@",HO$7),choice!$D:$E,2,0)))</f>
        <v/>
      </c>
      <c r="HP18" s="20" t="s">
        <v>71</v>
      </c>
      <c r="HQ18" s="20" t="s">
        <v>72</v>
      </c>
      <c r="HV18" s="74">
        <f t="shared" si="20"/>
        <v>0</v>
      </c>
      <c r="HW18" s="74">
        <f t="shared" si="21"/>
        <v>0</v>
      </c>
      <c r="HX18" s="74">
        <f t="shared" si="22"/>
        <v>0</v>
      </c>
      <c r="HY18" s="74">
        <f t="shared" si="23"/>
        <v>0</v>
      </c>
      <c r="HZ18" s="74">
        <f t="shared" si="30"/>
        <v>0</v>
      </c>
      <c r="IA18" s="74">
        <f t="shared" si="30"/>
        <v>0</v>
      </c>
      <c r="IB18" s="74" t="str">
        <f t="shared" si="31"/>
        <v/>
      </c>
      <c r="IC18" s="74" t="str">
        <f t="shared" si="32"/>
        <v/>
      </c>
      <c r="ID18" s="74" t="str">
        <f t="shared" si="24"/>
        <v/>
      </c>
      <c r="IE18" s="74">
        <f t="shared" si="25"/>
        <v>24</v>
      </c>
      <c r="IF18" s="74">
        <f>COUNTIFS(ID$8:ID18,"BLUE")</f>
        <v>0</v>
      </c>
      <c r="IG18" s="74" t="str">
        <f t="shared" si="26"/>
        <v/>
      </c>
      <c r="IH18" s="74" t="str">
        <f>IF(COUNTIFS($AQ18,"*02*")=0,"",COUNTIFS(IJ$8:IJ18,"BLUE"))</f>
        <v/>
      </c>
      <c r="II18" s="74" t="str">
        <f>IF(COUNTIFS($AQ18,"*04*")=0,"",COUNTIFS(IK$8:IK18,"BLUE"))</f>
        <v/>
      </c>
      <c r="IJ18" s="74" t="str">
        <f t="shared" si="33"/>
        <v/>
      </c>
      <c r="IK18" s="74" t="str">
        <f t="shared" si="34"/>
        <v/>
      </c>
      <c r="IL18" s="74" t="str">
        <f t="shared" si="27"/>
        <v/>
      </c>
      <c r="IM18" s="74" t="str">
        <f t="shared" si="28"/>
        <v/>
      </c>
      <c r="IN18" s="74">
        <f>COUNTIFS(IJ$8:IJ18,"BLUE")</f>
        <v>0</v>
      </c>
      <c r="IO18" s="74">
        <f>COUNTIFS(IK$8:IK18,"BLUE")</f>
        <v>0</v>
      </c>
    </row>
    <row r="19" spans="1:249" s="20" customFormat="1" ht="24.9" customHeight="1">
      <c r="A19" s="33"/>
      <c r="B19" s="39">
        <v>25</v>
      </c>
      <c r="C19" s="152"/>
      <c r="D19" s="174"/>
      <c r="E19" s="88" t="e">
        <f>VLOOKUP(F19,'Radio Call Sign'!A:B,2)</f>
        <v>#N/A</v>
      </c>
      <c r="F19" s="88"/>
      <c r="G19" s="88" t="e">
        <f>VLOOKUP(H19,'Radio Call Sign'!A:B,2)</f>
        <v>#N/A</v>
      </c>
      <c r="H19" s="88"/>
      <c r="I19" s="89" t="str">
        <f t="shared" si="12"/>
        <v/>
      </c>
      <c r="J19" s="87" t="str">
        <f t="shared" si="17"/>
        <v/>
      </c>
      <c r="K19" s="86" t="str">
        <f t="shared" si="18"/>
        <v/>
      </c>
      <c r="L19" s="152"/>
      <c r="M19" s="190" t="str">
        <f t="shared" si="19"/>
        <v/>
      </c>
      <c r="N19" s="21"/>
      <c r="O19" s="21"/>
      <c r="P19" s="53"/>
      <c r="Q19" s="163" t="str">
        <f>IF(AA19="","",IF(COUNTIFS('overhead line area'!$D$3:$D$100,AA19)+COUNTIFS('overhead line area'!$D$3:$D$100,AB19)+COUNTIFS('overhead line area'!$D$3:$D$100,AC19)+COUNTIFS('overhead line area'!$D$3:$D$100,AD19)=0,"","*               "))</f>
        <v/>
      </c>
      <c r="R19" s="53"/>
      <c r="S19" s="24"/>
      <c r="U19" s="74"/>
      <c r="V19" s="74"/>
      <c r="W19" s="74"/>
      <c r="X19" s="74"/>
      <c r="Y19" s="74"/>
      <c r="AA19" s="74" t="str">
        <f t="shared" si="13"/>
        <v/>
      </c>
      <c r="AB19" s="74" t="str">
        <f t="shared" si="29"/>
        <v/>
      </c>
      <c r="AC19" s="74" t="str">
        <f t="shared" si="35"/>
        <v/>
      </c>
      <c r="AD19" s="74" t="str">
        <f t="shared" si="36"/>
        <v/>
      </c>
      <c r="AF19" s="74" t="str">
        <f>IF(AA19="","",IF(COUNTIF(Route!$AM:$AM,'Train Movement Log (page.2)'!AA19)=0,"未有資料",VLOOKUP('Train Movement Log (page.2)'!AA19,Route!$AM:$AP,3,0)))</f>
        <v/>
      </c>
      <c r="AG19" s="74" t="str">
        <f>IF(AB19="","",IF(COUNTIF(Route!$AM:$AM,'Train Movement Log (page.2)'!AB19)=0,"未有資料",VLOOKUP('Train Movement Log (page.2)'!AB19,Route!$AM:$AP,3,0)))</f>
        <v/>
      </c>
      <c r="AH19" s="74" t="str">
        <f>IF(AC19="","",IF(COUNTIF(Route!$AM:$AM,'Train Movement Log (page.2)'!AC19)=0,"未有資料",VLOOKUP('Train Movement Log (page.2)'!AC19,Route!$AM:$AP,3,0)))</f>
        <v/>
      </c>
      <c r="AI19" s="74" t="str">
        <f>IF(AD19="","",IF(COUNTIF(Route!$AM:$AM,'Train Movement Log (page.2)'!AD19)=0,"未有資料",VLOOKUP('Train Movement Log (page.2)'!AD19,Route!$AM:$AP,3,0)))</f>
        <v/>
      </c>
      <c r="AK19" s="74" t="str">
        <f>IF(AA19="","",IF(COUNTIF(Route!$AM:$AM,'Train Movement Log (page.2)'!AA19)=0,"未有資料",VLOOKUP('Train Movement Log (page.2)'!AA19,Route!$AM:$AP,4,0)))</f>
        <v/>
      </c>
      <c r="AL19" s="74" t="str">
        <f>IF(AB19="","",IF(COUNTIF(Route!$AM:$AM,'Train Movement Log (page.2)'!AB19)=0,"未有資料",VLOOKUP('Train Movement Log (page.2)'!AB19,Route!$AM:$AP,4,0)))</f>
        <v/>
      </c>
      <c r="AM19" s="74" t="str">
        <f>IF(AC19="","",IF(COUNTIF(Route!$AM:$AM,'Train Movement Log (page.2)'!AC19)=0,"未有資料",VLOOKUP('Train Movement Log (page.2)'!AC19,Route!$AM:$AP,4,0)))</f>
        <v/>
      </c>
      <c r="AN19" s="74" t="str">
        <f>IF(AD19="","",IF(COUNTIF(Route!$AM:$AM,'Train Movement Log (page.2)'!AD19)=0,"未有資料",VLOOKUP('Train Movement Log (page.2)'!AD19,Route!$AM:$AP,4,0)))</f>
        <v/>
      </c>
      <c r="AP19" s="74" t="str">
        <f t="shared" si="15"/>
        <v/>
      </c>
      <c r="AQ19" s="76" t="str">
        <f t="shared" si="16"/>
        <v/>
      </c>
      <c r="AR19" s="80" t="str">
        <f>IF($U19="","",IF(COUNTIF(choice!$D:$D,CONCATENATE($U19,"@",AR$7))=0,"",VLOOKUP(CONCATENATE($U19,"@",AR$7),choice!$D:$E,2,0)))</f>
        <v/>
      </c>
      <c r="AS19" s="74" t="str">
        <f>IF($U19="","",IF(COUNTIF(choice!$D:$D,CONCATENATE($U19,"@",AS$7))=0,"",VLOOKUP(CONCATENATE($U19,"@",AS$7),choice!$D:$E,2,0)))</f>
        <v/>
      </c>
      <c r="AT19" s="74" t="str">
        <f>IF($U19="","",IF(COUNTIF(choice!$D:$D,CONCATENATE($U19,"@",AT$7))=0,"",VLOOKUP(CONCATENATE($U19,"@",AT$7),choice!$D:$E,2,0)))</f>
        <v/>
      </c>
      <c r="AU19" s="74" t="str">
        <f>IF($U19="","",IF(COUNTIF(choice!$D:$D,CONCATENATE($U19,"@",AU$7))=0,"",VLOOKUP(CONCATENATE($U19,"@",AU$7),choice!$D:$E,2,0)))</f>
        <v/>
      </c>
      <c r="AV19" s="74" t="str">
        <f>IF($U19="","",IF(COUNTIF(choice!$D:$D,CONCATENATE($U19,"@",AV$7))=0,"",VLOOKUP(CONCATENATE($U19,"@",AV$7),choice!$D:$E,2,0)))</f>
        <v/>
      </c>
      <c r="AW19" s="74" t="str">
        <f>IF($U19="","",IF(COUNTIF(choice!$D:$D,CONCATENATE($U19,"@",AW$7))=0,"",VLOOKUP(CONCATENATE($U19,"@",AW$7),choice!$D:$E,2,0)))</f>
        <v/>
      </c>
      <c r="AX19" s="74" t="str">
        <f>IF($U19="","",IF(COUNTIF(choice!$D:$D,CONCATENATE($U19,"@",AX$7))=0,"",VLOOKUP(CONCATENATE($U19,"@",AX$7),choice!$D:$E,2,0)))</f>
        <v/>
      </c>
      <c r="AY19" s="74" t="str">
        <f>IF($U19="","",IF(COUNTIF(choice!$D:$D,CONCATENATE($U19,"@",AY$7))=0,"",VLOOKUP(CONCATENATE($U19,"@",AY$7),choice!$D:$E,2,0)))</f>
        <v/>
      </c>
      <c r="AZ19" s="74" t="str">
        <f>IF($U19="","",IF(COUNTIF(choice!$D:$D,CONCATENATE($U19,"@",AZ$7))=0,"",VLOOKUP(CONCATENATE($U19,"@",AZ$7),choice!$D:$E,2,0)))</f>
        <v/>
      </c>
      <c r="BA19" s="74" t="str">
        <f>IF($U19="","",IF(COUNTIF(choice!$D:$D,CONCATENATE($U19,"@",BA$7))=0,"",VLOOKUP(CONCATENATE($U19,"@",BA$7),choice!$D:$E,2,0)))</f>
        <v/>
      </c>
      <c r="BB19" s="74" t="str">
        <f>IF($U19="","",IF(COUNTIF(choice!$D:$D,CONCATENATE($U19,"@",BB$7))=0,"",VLOOKUP(CONCATENATE($U19,"@",BB$7),choice!$D:$E,2,0)))</f>
        <v/>
      </c>
      <c r="BC19" s="74" t="str">
        <f>IF($U19="","",IF(COUNTIF(choice!$D:$D,CONCATENATE($U19,"@",BC$7))=0,"",VLOOKUP(CONCATENATE($U19,"@",BC$7),choice!$D:$E,2,0)))</f>
        <v/>
      </c>
      <c r="BD19" s="74" t="str">
        <f>IF($U19="","",IF(COUNTIF(choice!$D:$D,CONCATENATE($U19,"@",BD$7))=0,"",VLOOKUP(CONCATENATE($U19,"@",BD$7),choice!$D:$E,2,0)))</f>
        <v/>
      </c>
      <c r="BE19" s="74" t="str">
        <f>IF($U19="","",IF(COUNTIF(choice!$D:$D,CONCATENATE($U19,"@",BE$7))=0,"",VLOOKUP(CONCATENATE($U19,"@",BE$7),choice!$D:$E,2,0)))</f>
        <v/>
      </c>
      <c r="BF19" s="74" t="str">
        <f>IF($U19="","",IF(COUNTIF(choice!$D:$D,CONCATENATE($U19,"@",BF$7))=0,"",VLOOKUP(CONCATENATE($U19,"@",BF$7),choice!$D:$E,2,0)))</f>
        <v/>
      </c>
      <c r="BG19" s="74" t="str">
        <f>IF($U19="","",IF(COUNTIF(choice!$D:$D,CONCATENATE($U19,"@",BG$7))=0,"",VLOOKUP(CONCATENATE($U19,"@",BG$7),choice!$D:$E,2,0)))</f>
        <v/>
      </c>
      <c r="BH19" s="74" t="str">
        <f>IF($U19="","",IF(COUNTIF(choice!$D:$D,CONCATENATE($U19,"@",BH$7))=0,"",VLOOKUP(CONCATENATE($U19,"@",BH$7),choice!$D:$E,2,0)))</f>
        <v/>
      </c>
      <c r="BI19" s="74" t="str">
        <f>IF($U19="","",IF(COUNTIF(choice!$D:$D,CONCATENATE($U19,"@",BI$7))=0,"",VLOOKUP(CONCATENATE($U19,"@",BI$7),choice!$D:$E,2,0)))</f>
        <v/>
      </c>
      <c r="BJ19" s="74" t="str">
        <f>IF($U19="","",IF(COUNTIF(choice!$D:$D,CONCATENATE($U19,"@",BJ$7))=0,"",VLOOKUP(CONCATENATE($U19,"@",BJ$7),choice!$D:$E,2,0)))</f>
        <v/>
      </c>
      <c r="BK19" s="74" t="str">
        <f>IF($U19="","",IF(COUNTIF(choice!$D:$D,CONCATENATE($U19,"@",BK$7))=0,"",VLOOKUP(CONCATENATE($U19,"@",BK$7),choice!$D:$E,2,0)))</f>
        <v/>
      </c>
      <c r="BL19" s="74" t="str">
        <f>IF($U19="","",IF(COUNTIF(choice!$D:$D,CONCATENATE($U19,"@",BL$7))=0,"",VLOOKUP(CONCATENATE($U19,"@",BL$7),choice!$D:$E,2,0)))</f>
        <v/>
      </c>
      <c r="BM19" s="74" t="str">
        <f>IF($U19="","",IF(COUNTIF(choice!$D:$D,CONCATENATE($U19,"@",BM$7))=0,"",VLOOKUP(CONCATENATE($U19,"@",BM$7),choice!$D:$E,2,0)))</f>
        <v/>
      </c>
      <c r="BN19" s="74" t="str">
        <f>IF($U19="","",IF(COUNTIF(choice!$D:$D,CONCATENATE($U19,"@",BN$7))=0,"",VLOOKUP(CONCATENATE($U19,"@",BN$7),choice!$D:$E,2,0)))</f>
        <v/>
      </c>
      <c r="BO19" s="74" t="str">
        <f>IF($U19="","",IF(COUNTIF(choice!$D:$D,CONCATENATE($U19,"@",BO$7))=0,"",VLOOKUP(CONCATENATE($U19,"@",BO$7),choice!$D:$E,2,0)))</f>
        <v/>
      </c>
      <c r="BP19" s="74" t="str">
        <f>IF($U19="","",IF(COUNTIF(choice!$D:$D,CONCATENATE($U19,"@",BP$7))=0,"",VLOOKUP(CONCATENATE($U19,"@",BP$7),choice!$D:$E,2,0)))</f>
        <v/>
      </c>
      <c r="BQ19" s="74" t="str">
        <f>IF($U19="","",IF(COUNTIF(choice!$D:$D,CONCATENATE($U19,"@",BQ$7))=0,"",VLOOKUP(CONCATENATE($U19,"@",BQ$7),choice!$D:$E,2,0)))</f>
        <v/>
      </c>
      <c r="BR19" s="74" t="str">
        <f>IF($U19="","",IF(COUNTIF(choice!$D:$D,CONCATENATE($U19,"@",BR$7))=0,"",VLOOKUP(CONCATENATE($U19,"@",BR$7),choice!$D:$E,2,0)))</f>
        <v/>
      </c>
      <c r="BS19" s="74" t="str">
        <f>IF($U19="","",IF(COUNTIF(choice!$D:$D,CONCATENATE($U19,"@",BS$7))=0,"",VLOOKUP(CONCATENATE($U19,"@",BS$7),choice!$D:$E,2,0)))</f>
        <v/>
      </c>
      <c r="BT19" s="74" t="str">
        <f>IF($U19="","",IF(COUNTIF(choice!$D:$D,CONCATENATE($U19,"@",BT$7))=0,"",VLOOKUP(CONCATENATE($U19,"@",BT$7),choice!$D:$E,2,0)))</f>
        <v/>
      </c>
      <c r="BU19" s="74" t="str">
        <f>IF($U19="","",IF(COUNTIF(choice!$D:$D,CONCATENATE($U19,"@",BU$7))=0,"",VLOOKUP(CONCATENATE($U19,"@",BU$7),choice!$D:$E,2,0)))</f>
        <v/>
      </c>
      <c r="BV19" s="74" t="str">
        <f>IF($U19="","",IF(COUNTIF(choice!$D:$D,CONCATENATE($U19,"@",BV$7))=0,"",VLOOKUP(CONCATENATE($U19,"@",BV$7),choice!$D:$E,2,0)))</f>
        <v/>
      </c>
      <c r="BW19" s="74" t="str">
        <f>IF($U19="","",IF(COUNTIF(choice!$D:$D,CONCATENATE($U19,"@",BW$7))=0,"",VLOOKUP(CONCATENATE($U19,"@",BW$7),choice!$D:$E,2,0)))</f>
        <v/>
      </c>
      <c r="BX19" s="74" t="str">
        <f>IF($U19="","",IF(COUNTIF(choice!$D:$D,CONCATENATE($U19,"@",BX$7))=0,"",VLOOKUP(CONCATENATE($U19,"@",BX$7),choice!$D:$E,2,0)))</f>
        <v/>
      </c>
      <c r="BY19" s="74" t="str">
        <f>IF($U19="","",IF(COUNTIF(choice!$D:$D,CONCATENATE($U19,"@",BY$7))=0,"",VLOOKUP(CONCATENATE($U19,"@",BY$7),choice!$D:$E,2,0)))</f>
        <v/>
      </c>
      <c r="BZ19" s="74" t="str">
        <f>IF($U19="","",IF(COUNTIF(choice!$D:$D,CONCATENATE($U19,"@",BZ$7))=0,"",VLOOKUP(CONCATENATE($U19,"@",BZ$7),choice!$D:$E,2,0)))</f>
        <v/>
      </c>
      <c r="CA19" s="74" t="str">
        <f>IF($U19="","",IF(COUNTIF(choice!$D:$D,CONCATENATE($U19,"@",CA$7))=0,"",VLOOKUP(CONCATENATE($U19,"@",CA$7),choice!$D:$E,2,0)))</f>
        <v/>
      </c>
      <c r="CB19" s="74" t="str">
        <f>IF($U19="","",IF(COUNTIF(choice!$D:$D,CONCATENATE($U19,"@",CB$7))=0,"",VLOOKUP(CONCATENATE($U19,"@",CB$7),choice!$D:$E,2,0)))</f>
        <v/>
      </c>
      <c r="CC19" s="74" t="str">
        <f>IF($U19="","",IF(COUNTIF(choice!$D:$D,CONCATENATE($U19,"@",CC$7))=0,"",VLOOKUP(CONCATENATE($U19,"@",CC$7),choice!$D:$E,2,0)))</f>
        <v/>
      </c>
      <c r="CD19" s="74" t="str">
        <f>IF($U19="","",IF(COUNTIF(choice!$D:$D,CONCATENATE($U19,"@",CD$7))=0,"",VLOOKUP(CONCATENATE($U19,"@",CD$7),choice!$D:$E,2,0)))</f>
        <v/>
      </c>
      <c r="CE19" s="74" t="str">
        <f>IF($U19="","",IF(COUNTIF(choice!$D:$D,CONCATENATE($U19,"@",CE$7))=0,"",VLOOKUP(CONCATENATE($U19,"@",CE$7),choice!$D:$E,2,0)))</f>
        <v/>
      </c>
      <c r="CF19" s="74" t="str">
        <f>IF($U19="","",IF(COUNTIF(choice!$D:$D,CONCATENATE($U19,"@",CF$7))=0,"",VLOOKUP(CONCATENATE($U19,"@",CF$7),choice!$D:$E,2,0)))</f>
        <v/>
      </c>
      <c r="CG19" s="74" t="str">
        <f>IF($U19="","",IF(COUNTIF(choice!$D:$D,CONCATENATE($U19,"@",CG$7))=0,"",VLOOKUP(CONCATENATE($U19,"@",CG$7),choice!$D:$E,2,0)))</f>
        <v/>
      </c>
      <c r="CH19" s="74" t="str">
        <f>IF($U19="","",IF(COUNTIF(choice!$D:$D,CONCATENATE($U19,"@",CH$7))=0,"",VLOOKUP(CONCATENATE($U19,"@",CH$7),choice!$D:$E,2,0)))</f>
        <v/>
      </c>
      <c r="CI19" s="74" t="str">
        <f>IF($U19="","",IF(COUNTIF(choice!$D:$D,CONCATENATE($U19,"@",CI$7))=0,"",VLOOKUP(CONCATENATE($U19,"@",CI$7),choice!$D:$E,2,0)))</f>
        <v/>
      </c>
      <c r="CJ19" s="81" t="str">
        <f>IF($U19="","",IF(COUNTIF(choice!$D:$D,CONCATENATE($U19,"@",CJ$7))=0,"",VLOOKUP(CONCATENATE($U19,"@",CJ$7),choice!$D:$E,2,0)))</f>
        <v/>
      </c>
      <c r="CK19" s="80" t="str">
        <f>IF($V19="","",IF(COUNTIF(choice!$D:$D,CONCATENATE($V19,"@",CK$7))=0,"",VLOOKUP(CONCATENATE($V19,"@",CK$7),choice!$D:$E,2,0)))</f>
        <v/>
      </c>
      <c r="CL19" s="74" t="str">
        <f>IF($V19="","",IF(COUNTIF(choice!$D:$D,CONCATENATE($V19,"@",CL$7))=0,"",VLOOKUP(CONCATENATE($V19,"@",CL$7),choice!$D:$E,2,0)))</f>
        <v/>
      </c>
      <c r="CM19" s="74" t="str">
        <f>IF($V19="","",IF(COUNTIF(choice!$D:$D,CONCATENATE($V19,"@",CM$7))=0,"",VLOOKUP(CONCATENATE($V19,"@",CM$7),choice!$D:$E,2,0)))</f>
        <v/>
      </c>
      <c r="CN19" s="74" t="str">
        <f>IF($V19="","",IF(COUNTIF(choice!$D:$D,CONCATENATE($V19,"@",CN$7))=0,"",VLOOKUP(CONCATENATE($V19,"@",CN$7),choice!$D:$E,2,0)))</f>
        <v/>
      </c>
      <c r="CO19" s="74" t="str">
        <f>IF($V19="","",IF(COUNTIF(choice!$D:$D,CONCATENATE($V19,"@",CO$7))=0,"",VLOOKUP(CONCATENATE($V19,"@",CO$7),choice!$D:$E,2,0)))</f>
        <v/>
      </c>
      <c r="CP19" s="74" t="str">
        <f>IF($V19="","",IF(COUNTIF(choice!$D:$D,CONCATENATE($V19,"@",CP$7))=0,"",VLOOKUP(CONCATENATE($V19,"@",CP$7),choice!$D:$E,2,0)))</f>
        <v/>
      </c>
      <c r="CQ19" s="74" t="str">
        <f>IF($V19="","",IF(COUNTIF(choice!$D:$D,CONCATENATE($V19,"@",CQ$7))=0,"",VLOOKUP(CONCATENATE($V19,"@",CQ$7),choice!$D:$E,2,0)))</f>
        <v/>
      </c>
      <c r="CR19" s="74" t="str">
        <f>IF($V19="","",IF(COUNTIF(choice!$D:$D,CONCATENATE($V19,"@",CR$7))=0,"",VLOOKUP(CONCATENATE($V19,"@",CR$7),choice!$D:$E,2,0)))</f>
        <v/>
      </c>
      <c r="CS19" s="74" t="str">
        <f>IF($V19="","",IF(COUNTIF(choice!$D:$D,CONCATENATE($V19,"@",CS$7))=0,"",VLOOKUP(CONCATENATE($V19,"@",CS$7),choice!$D:$E,2,0)))</f>
        <v/>
      </c>
      <c r="CT19" s="74" t="str">
        <f>IF($V19="","",IF(COUNTIF(choice!$D:$D,CONCATENATE($V19,"@",CT$7))=0,"",VLOOKUP(CONCATENATE($V19,"@",CT$7),choice!$D:$E,2,0)))</f>
        <v/>
      </c>
      <c r="CU19" s="74" t="str">
        <f>IF($V19="","",IF(COUNTIF(choice!$D:$D,CONCATENATE($V19,"@",CU$7))=0,"",VLOOKUP(CONCATENATE($V19,"@",CU$7),choice!$D:$E,2,0)))</f>
        <v/>
      </c>
      <c r="CV19" s="74" t="str">
        <f>IF($V19="","",IF(COUNTIF(choice!$D:$D,CONCATENATE($V19,"@",CV$7))=0,"",VLOOKUP(CONCATENATE($V19,"@",CV$7),choice!$D:$E,2,0)))</f>
        <v/>
      </c>
      <c r="CW19" s="74" t="str">
        <f>IF($V19="","",IF(COUNTIF(choice!$D:$D,CONCATENATE($V19,"@",CW$7))=0,"",VLOOKUP(CONCATENATE($V19,"@",CW$7),choice!$D:$E,2,0)))</f>
        <v/>
      </c>
      <c r="CX19" s="74" t="str">
        <f>IF($V19="","",IF(COUNTIF(choice!$D:$D,CONCATENATE($V19,"@",CX$7))=0,"",VLOOKUP(CONCATENATE($V19,"@",CX$7),choice!$D:$E,2,0)))</f>
        <v/>
      </c>
      <c r="CY19" s="74" t="str">
        <f>IF($V19="","",IF(COUNTIF(choice!$D:$D,CONCATENATE($V19,"@",CY$7))=0,"",VLOOKUP(CONCATENATE($V19,"@",CY$7),choice!$D:$E,2,0)))</f>
        <v/>
      </c>
      <c r="CZ19" s="74" t="str">
        <f>IF($V19="","",IF(COUNTIF(choice!$D:$D,CONCATENATE($V19,"@",CZ$7))=0,"",VLOOKUP(CONCATENATE($V19,"@",CZ$7),choice!$D:$E,2,0)))</f>
        <v/>
      </c>
      <c r="DA19" s="74" t="str">
        <f>IF($V19="","",IF(COUNTIF(choice!$D:$D,CONCATENATE($V19,"@",DA$7))=0,"",VLOOKUP(CONCATENATE($V19,"@",DA$7),choice!$D:$E,2,0)))</f>
        <v/>
      </c>
      <c r="DB19" s="74" t="str">
        <f>IF($V19="","",IF(COUNTIF(choice!$D:$D,CONCATENATE($V19,"@",DB$7))=0,"",VLOOKUP(CONCATENATE($V19,"@",DB$7),choice!$D:$E,2,0)))</f>
        <v/>
      </c>
      <c r="DC19" s="74" t="str">
        <f>IF($V19="","",IF(COUNTIF(choice!$D:$D,CONCATENATE($V19,"@",DC$7))=0,"",VLOOKUP(CONCATENATE($V19,"@",DC$7),choice!$D:$E,2,0)))</f>
        <v/>
      </c>
      <c r="DD19" s="74" t="str">
        <f>IF($V19="","",IF(COUNTIF(choice!$D:$D,CONCATENATE($V19,"@",DD$7))=0,"",VLOOKUP(CONCATENATE($V19,"@",DD$7),choice!$D:$E,2,0)))</f>
        <v/>
      </c>
      <c r="DE19" s="74" t="str">
        <f>IF($V19="","",IF(COUNTIF(choice!$D:$D,CONCATENATE($V19,"@",DE$7))=0,"",VLOOKUP(CONCATENATE($V19,"@",DE$7),choice!$D:$E,2,0)))</f>
        <v/>
      </c>
      <c r="DF19" s="74" t="str">
        <f>IF($V19="","",IF(COUNTIF(choice!$D:$D,CONCATENATE($V19,"@",DF$7))=0,"",VLOOKUP(CONCATENATE($V19,"@",DF$7),choice!$D:$E,2,0)))</f>
        <v/>
      </c>
      <c r="DG19" s="74" t="str">
        <f>IF($V19="","",IF(COUNTIF(choice!$D:$D,CONCATENATE($V19,"@",DG$7))=0,"",VLOOKUP(CONCATENATE($V19,"@",DG$7),choice!$D:$E,2,0)))</f>
        <v/>
      </c>
      <c r="DH19" s="74" t="str">
        <f>IF($V19="","",IF(COUNTIF(choice!$D:$D,CONCATENATE($V19,"@",DH$7))=0,"",VLOOKUP(CONCATENATE($V19,"@",DH$7),choice!$D:$E,2,0)))</f>
        <v/>
      </c>
      <c r="DI19" s="74" t="str">
        <f>IF($V19="","",IF(COUNTIF(choice!$D:$D,CONCATENATE($V19,"@",DI$7))=0,"",VLOOKUP(CONCATENATE($V19,"@",DI$7),choice!$D:$E,2,0)))</f>
        <v/>
      </c>
      <c r="DJ19" s="74" t="str">
        <f>IF($V19="","",IF(COUNTIF(choice!$D:$D,CONCATENATE($V19,"@",DJ$7))=0,"",VLOOKUP(CONCATENATE($V19,"@",DJ$7),choice!$D:$E,2,0)))</f>
        <v/>
      </c>
      <c r="DK19" s="74" t="str">
        <f>IF($V19="","",IF(COUNTIF(choice!$D:$D,CONCATENATE($V19,"@",DK$7))=0,"",VLOOKUP(CONCATENATE($V19,"@",DK$7),choice!$D:$E,2,0)))</f>
        <v/>
      </c>
      <c r="DL19" s="74" t="str">
        <f>IF($V19="","",IF(COUNTIF(choice!$D:$D,CONCATENATE($V19,"@",DL$7))=0,"",VLOOKUP(CONCATENATE($V19,"@",DL$7),choice!$D:$E,2,0)))</f>
        <v/>
      </c>
      <c r="DM19" s="74" t="str">
        <f>IF($V19="","",IF(COUNTIF(choice!$D:$D,CONCATENATE($V19,"@",DM$7))=0,"",VLOOKUP(CONCATENATE($V19,"@",DM$7),choice!$D:$E,2,0)))</f>
        <v/>
      </c>
      <c r="DN19" s="74" t="str">
        <f>IF($V19="","",IF(COUNTIF(choice!$D:$D,CONCATENATE($V19,"@",DN$7))=0,"",VLOOKUP(CONCATENATE($V19,"@",DN$7),choice!$D:$E,2,0)))</f>
        <v/>
      </c>
      <c r="DO19" s="74" t="str">
        <f>IF($V19="","",IF(COUNTIF(choice!$D:$D,CONCATENATE($V19,"@",DO$7))=0,"",VLOOKUP(CONCATENATE($V19,"@",DO$7),choice!$D:$E,2,0)))</f>
        <v/>
      </c>
      <c r="DP19" s="74" t="str">
        <f>IF($V19="","",IF(COUNTIF(choice!$D:$D,CONCATENATE($V19,"@",DP$7))=0,"",VLOOKUP(CONCATENATE($V19,"@",DP$7),choice!$D:$E,2,0)))</f>
        <v/>
      </c>
      <c r="DQ19" s="74" t="str">
        <f>IF($V19="","",IF(COUNTIF(choice!$D:$D,CONCATENATE($V19,"@",DQ$7))=0,"",VLOOKUP(CONCATENATE($V19,"@",DQ$7),choice!$D:$E,2,0)))</f>
        <v/>
      </c>
      <c r="DR19" s="74" t="str">
        <f>IF($V19="","",IF(COUNTIF(choice!$D:$D,CONCATENATE($V19,"@",DR$7))=0,"",VLOOKUP(CONCATENATE($V19,"@",DR$7),choice!$D:$E,2,0)))</f>
        <v/>
      </c>
      <c r="DS19" s="74" t="str">
        <f>IF($V19="","",IF(COUNTIF(choice!$D:$D,CONCATENATE($V19,"@",DS$7))=0,"",VLOOKUP(CONCATENATE($V19,"@",DS$7),choice!$D:$E,2,0)))</f>
        <v/>
      </c>
      <c r="DT19" s="74" t="str">
        <f>IF($V19="","",IF(COUNTIF(choice!$D:$D,CONCATENATE($V19,"@",DT$7))=0,"",VLOOKUP(CONCATENATE($V19,"@",DT$7),choice!$D:$E,2,0)))</f>
        <v/>
      </c>
      <c r="DU19" s="74" t="str">
        <f>IF($V19="","",IF(COUNTIF(choice!$D:$D,CONCATENATE($V19,"@",DU$7))=0,"",VLOOKUP(CONCATENATE($V19,"@",DU$7),choice!$D:$E,2,0)))</f>
        <v/>
      </c>
      <c r="DV19" s="74" t="str">
        <f>IF($V19="","",IF(COUNTIF(choice!$D:$D,CONCATENATE($V19,"@",DV$7))=0,"",VLOOKUP(CONCATENATE($V19,"@",DV$7),choice!$D:$E,2,0)))</f>
        <v/>
      </c>
      <c r="DW19" s="74" t="str">
        <f>IF($V19="","",IF(COUNTIF(choice!$D:$D,CONCATENATE($V19,"@",DW$7))=0,"",VLOOKUP(CONCATENATE($V19,"@",DW$7),choice!$D:$E,2,0)))</f>
        <v/>
      </c>
      <c r="DX19" s="74" t="str">
        <f>IF($V19="","",IF(COUNTIF(choice!$D:$D,CONCATENATE($V19,"@",DX$7))=0,"",VLOOKUP(CONCATENATE($V19,"@",DX$7),choice!$D:$E,2,0)))</f>
        <v/>
      </c>
      <c r="DY19" s="74" t="str">
        <f>IF($V19="","",IF(COUNTIF(choice!$D:$D,CONCATENATE($V19,"@",DY$7))=0,"",VLOOKUP(CONCATENATE($V19,"@",DY$7),choice!$D:$E,2,0)))</f>
        <v/>
      </c>
      <c r="DZ19" s="74" t="str">
        <f>IF($V19="","",IF(COUNTIF(choice!$D:$D,CONCATENATE($V19,"@",DZ$7))=0,"",VLOOKUP(CONCATENATE($V19,"@",DZ$7),choice!$D:$E,2,0)))</f>
        <v/>
      </c>
      <c r="EA19" s="74" t="str">
        <f>IF($V19="","",IF(COUNTIF(choice!$D:$D,CONCATENATE($V19,"@",EA$7))=0,"",VLOOKUP(CONCATENATE($V19,"@",EA$7),choice!$D:$E,2,0)))</f>
        <v/>
      </c>
      <c r="EB19" s="74" t="str">
        <f>IF($V19="","",IF(COUNTIF(choice!$D:$D,CONCATENATE($V19,"@",EB$7))=0,"",VLOOKUP(CONCATENATE($V19,"@",EB$7),choice!$D:$E,2,0)))</f>
        <v/>
      </c>
      <c r="EC19" s="81" t="str">
        <f>IF($V19="","",IF(COUNTIF(choice!$D:$D,CONCATENATE($V19,"@",EC$7))=0,"",VLOOKUP(CONCATENATE($V19,"@",EC$7),choice!$D:$E,2,0)))</f>
        <v/>
      </c>
      <c r="ED19" s="80" t="str">
        <f>IF($W19="","",IF(COUNTIF(choice!$D:$D,CONCATENATE($W19,"@",ED$7))=0,"",VLOOKUP(CONCATENATE($W19,"@",ED$7),choice!$D:$E,2,0)))</f>
        <v/>
      </c>
      <c r="EE19" s="74" t="str">
        <f>IF($W19="","",IF(COUNTIF(choice!$D:$D,CONCATENATE($W19,"@",EE$7))=0,"",VLOOKUP(CONCATENATE($W19,"@",EE$7),choice!$D:$E,2,0)))</f>
        <v/>
      </c>
      <c r="EF19" s="74" t="str">
        <f>IF($W19="","",IF(COUNTIF(choice!$D:$D,CONCATENATE($W19,"@",EF$7))=0,"",VLOOKUP(CONCATENATE($W19,"@",EF$7),choice!$D:$E,2,0)))</f>
        <v/>
      </c>
      <c r="EG19" s="74" t="str">
        <f>IF($W19="","",IF(COUNTIF(choice!$D:$D,CONCATENATE($W19,"@",EG$7))=0,"",VLOOKUP(CONCATENATE($W19,"@",EG$7),choice!$D:$E,2,0)))</f>
        <v/>
      </c>
      <c r="EH19" s="74" t="str">
        <f>IF($W19="","",IF(COUNTIF(choice!$D:$D,CONCATENATE($W19,"@",EH$7))=0,"",VLOOKUP(CONCATENATE($W19,"@",EH$7),choice!$D:$E,2,0)))</f>
        <v/>
      </c>
      <c r="EI19" s="74" t="str">
        <f>IF($W19="","",IF(COUNTIF(choice!$D:$D,CONCATENATE($W19,"@",EI$7))=0,"",VLOOKUP(CONCATENATE($W19,"@",EI$7),choice!$D:$E,2,0)))</f>
        <v/>
      </c>
      <c r="EJ19" s="74" t="str">
        <f>IF($W19="","",IF(COUNTIF(choice!$D:$D,CONCATENATE($W19,"@",EJ$7))=0,"",VLOOKUP(CONCATENATE($W19,"@",EJ$7),choice!$D:$E,2,0)))</f>
        <v/>
      </c>
      <c r="EK19" s="74" t="str">
        <f>IF($W19="","",IF(COUNTIF(choice!$D:$D,CONCATENATE($W19,"@",EK$7))=0,"",VLOOKUP(CONCATENATE($W19,"@",EK$7),choice!$D:$E,2,0)))</f>
        <v/>
      </c>
      <c r="EL19" s="74" t="str">
        <f>IF($W19="","",IF(COUNTIF(choice!$D:$D,CONCATENATE($W19,"@",EL$7))=0,"",VLOOKUP(CONCATENATE($W19,"@",EL$7),choice!$D:$E,2,0)))</f>
        <v/>
      </c>
      <c r="EM19" s="74" t="str">
        <f>IF($W19="","",IF(COUNTIF(choice!$D:$D,CONCATENATE($W19,"@",EM$7))=0,"",VLOOKUP(CONCATENATE($W19,"@",EM$7),choice!$D:$E,2,0)))</f>
        <v/>
      </c>
      <c r="EN19" s="74" t="str">
        <f>IF($W19="","",IF(COUNTIF(choice!$D:$D,CONCATENATE($W19,"@",EN$7))=0,"",VLOOKUP(CONCATENATE($W19,"@",EN$7),choice!$D:$E,2,0)))</f>
        <v/>
      </c>
      <c r="EO19" s="74" t="str">
        <f>IF($W19="","",IF(COUNTIF(choice!$D:$D,CONCATENATE($W19,"@",EO$7))=0,"",VLOOKUP(CONCATENATE($W19,"@",EO$7),choice!$D:$E,2,0)))</f>
        <v/>
      </c>
      <c r="EP19" s="74" t="str">
        <f>IF($W19="","",IF(COUNTIF(choice!$D:$D,CONCATENATE($W19,"@",EP$7))=0,"",VLOOKUP(CONCATENATE($W19,"@",EP$7),choice!$D:$E,2,0)))</f>
        <v/>
      </c>
      <c r="EQ19" s="74" t="str">
        <f>IF($W19="","",IF(COUNTIF(choice!$D:$D,CONCATENATE($W19,"@",EQ$7))=0,"",VLOOKUP(CONCATENATE($W19,"@",EQ$7),choice!$D:$E,2,0)))</f>
        <v/>
      </c>
      <c r="ER19" s="74" t="str">
        <f>IF($W19="","",IF(COUNTIF(choice!$D:$D,CONCATENATE($W19,"@",ER$7))=0,"",VLOOKUP(CONCATENATE($W19,"@",ER$7),choice!$D:$E,2,0)))</f>
        <v/>
      </c>
      <c r="ES19" s="74" t="str">
        <f>IF($W19="","",IF(COUNTIF(choice!$D:$D,CONCATENATE($W19,"@",ES$7))=0,"",VLOOKUP(CONCATENATE($W19,"@",ES$7),choice!$D:$E,2,0)))</f>
        <v/>
      </c>
      <c r="ET19" s="74" t="str">
        <f>IF($W19="","",IF(COUNTIF(choice!$D:$D,CONCATENATE($W19,"@",ET$7))=0,"",VLOOKUP(CONCATENATE($W19,"@",ET$7),choice!$D:$E,2,0)))</f>
        <v/>
      </c>
      <c r="EU19" s="74" t="str">
        <f>IF($W19="","",IF(COUNTIF(choice!$D:$D,CONCATENATE($W19,"@",EU$7))=0,"",VLOOKUP(CONCATENATE($W19,"@",EU$7),choice!$D:$E,2,0)))</f>
        <v/>
      </c>
      <c r="EV19" s="74" t="str">
        <f>IF($W19="","",IF(COUNTIF(choice!$D:$D,CONCATENATE($W19,"@",EV$7))=0,"",VLOOKUP(CONCATENATE($W19,"@",EV$7),choice!$D:$E,2,0)))</f>
        <v/>
      </c>
      <c r="EW19" s="74" t="str">
        <f>IF($W19="","",IF(COUNTIF(choice!$D:$D,CONCATENATE($W19,"@",EW$7))=0,"",VLOOKUP(CONCATENATE($W19,"@",EW$7),choice!$D:$E,2,0)))</f>
        <v/>
      </c>
      <c r="EX19" s="74" t="str">
        <f>IF($W19="","",IF(COUNTIF(choice!$D:$D,CONCATENATE($W19,"@",EX$7))=0,"",VLOOKUP(CONCATENATE($W19,"@",EX$7),choice!$D:$E,2,0)))</f>
        <v/>
      </c>
      <c r="EY19" s="74" t="str">
        <f>IF($W19="","",IF(COUNTIF(choice!$D:$D,CONCATENATE($W19,"@",EY$7))=0,"",VLOOKUP(CONCATENATE($W19,"@",EY$7),choice!$D:$E,2,0)))</f>
        <v/>
      </c>
      <c r="EZ19" s="74" t="str">
        <f>IF($W19="","",IF(COUNTIF(choice!$D:$D,CONCATENATE($W19,"@",EZ$7))=0,"",VLOOKUP(CONCATENATE($W19,"@",EZ$7),choice!$D:$E,2,0)))</f>
        <v/>
      </c>
      <c r="FA19" s="74" t="str">
        <f>IF($W19="","",IF(COUNTIF(choice!$D:$D,CONCATENATE($W19,"@",FA$7))=0,"",VLOOKUP(CONCATENATE($W19,"@",FA$7),choice!$D:$E,2,0)))</f>
        <v/>
      </c>
      <c r="FB19" s="74" t="str">
        <f>IF($W19="","",IF(COUNTIF(choice!$D:$D,CONCATENATE($W19,"@",FB$7))=0,"",VLOOKUP(CONCATENATE($W19,"@",FB$7),choice!$D:$E,2,0)))</f>
        <v/>
      </c>
      <c r="FC19" s="74" t="str">
        <f>IF($W19="","",IF(COUNTIF(choice!$D:$D,CONCATENATE($W19,"@",FC$7))=0,"",VLOOKUP(CONCATENATE($W19,"@",FC$7),choice!$D:$E,2,0)))</f>
        <v/>
      </c>
      <c r="FD19" s="74" t="str">
        <f>IF($W19="","",IF(COUNTIF(choice!$D:$D,CONCATENATE($W19,"@",FD$7))=0,"",VLOOKUP(CONCATENATE($W19,"@",FD$7),choice!$D:$E,2,0)))</f>
        <v/>
      </c>
      <c r="FE19" s="74" t="str">
        <f>IF($W19="","",IF(COUNTIF(choice!$D:$D,CONCATENATE($W19,"@",FE$7))=0,"",VLOOKUP(CONCATENATE($W19,"@",FE$7),choice!$D:$E,2,0)))</f>
        <v/>
      </c>
      <c r="FF19" s="74" t="str">
        <f>IF($W19="","",IF(COUNTIF(choice!$D:$D,CONCATENATE($W19,"@",FF$7))=0,"",VLOOKUP(CONCATENATE($W19,"@",FF$7),choice!$D:$E,2,0)))</f>
        <v/>
      </c>
      <c r="FG19" s="74" t="str">
        <f>IF($W19="","",IF(COUNTIF(choice!$D:$D,CONCATENATE($W19,"@",FG$7))=0,"",VLOOKUP(CONCATENATE($W19,"@",FG$7),choice!$D:$E,2,0)))</f>
        <v/>
      </c>
      <c r="FH19" s="74" t="str">
        <f>IF($W19="","",IF(COUNTIF(choice!$D:$D,CONCATENATE($W19,"@",FH$7))=0,"",VLOOKUP(CONCATENATE($W19,"@",FH$7),choice!$D:$E,2,0)))</f>
        <v/>
      </c>
      <c r="FI19" s="74" t="str">
        <f>IF($W19="","",IF(COUNTIF(choice!$D:$D,CONCATENATE($W19,"@",FI$7))=0,"",VLOOKUP(CONCATENATE($W19,"@",FI$7),choice!$D:$E,2,0)))</f>
        <v/>
      </c>
      <c r="FJ19" s="74" t="str">
        <f>IF($W19="","",IF(COUNTIF(choice!$D:$D,CONCATENATE($W19,"@",FJ$7))=0,"",VLOOKUP(CONCATENATE($W19,"@",FJ$7),choice!$D:$E,2,0)))</f>
        <v/>
      </c>
      <c r="FK19" s="74" t="str">
        <f>IF($W19="","",IF(COUNTIF(choice!$D:$D,CONCATENATE($W19,"@",FK$7))=0,"",VLOOKUP(CONCATENATE($W19,"@",FK$7),choice!$D:$E,2,0)))</f>
        <v/>
      </c>
      <c r="FL19" s="74" t="str">
        <f>IF($W19="","",IF(COUNTIF(choice!$D:$D,CONCATENATE($W19,"@",FL$7))=0,"",VLOOKUP(CONCATENATE($W19,"@",FL$7),choice!$D:$E,2,0)))</f>
        <v/>
      </c>
      <c r="FM19" s="74" t="str">
        <f>IF($W19="","",IF(COUNTIF(choice!$D:$D,CONCATENATE($W19,"@",FM$7))=0,"",VLOOKUP(CONCATENATE($W19,"@",FM$7),choice!$D:$E,2,0)))</f>
        <v/>
      </c>
      <c r="FN19" s="74" t="str">
        <f>IF($W19="","",IF(COUNTIF(choice!$D:$D,CONCATENATE($W19,"@",FN$7))=0,"",VLOOKUP(CONCATENATE($W19,"@",FN$7),choice!$D:$E,2,0)))</f>
        <v/>
      </c>
      <c r="FO19" s="74" t="str">
        <f>IF($W19="","",IF(COUNTIF(choice!$D:$D,CONCATENATE($W19,"@",FO$7))=0,"",VLOOKUP(CONCATENATE($W19,"@",FO$7),choice!$D:$E,2,0)))</f>
        <v/>
      </c>
      <c r="FP19" s="74" t="str">
        <f>IF($W19="","",IF(COUNTIF(choice!$D:$D,CONCATENATE($W19,"@",FP$7))=0,"",VLOOKUP(CONCATENATE($W19,"@",FP$7),choice!$D:$E,2,0)))</f>
        <v/>
      </c>
      <c r="FQ19" s="74" t="str">
        <f>IF($W19="","",IF(COUNTIF(choice!$D:$D,CONCATENATE($W19,"@",FQ$7))=0,"",VLOOKUP(CONCATENATE($W19,"@",FQ$7),choice!$D:$E,2,0)))</f>
        <v/>
      </c>
      <c r="FR19" s="74" t="str">
        <f>IF($W19="","",IF(COUNTIF(choice!$D:$D,CONCATENATE($W19,"@",FR$7))=0,"",VLOOKUP(CONCATENATE($W19,"@",FR$7),choice!$D:$E,2,0)))</f>
        <v/>
      </c>
      <c r="FS19" s="74" t="str">
        <f>IF($W19="","",IF(COUNTIF(choice!$D:$D,CONCATENATE($W19,"@",FS$7))=0,"",VLOOKUP(CONCATENATE($W19,"@",FS$7),choice!$D:$E,2,0)))</f>
        <v/>
      </c>
      <c r="FT19" s="74" t="str">
        <f>IF($W19="","",IF(COUNTIF(choice!$D:$D,CONCATENATE($W19,"@",FT$7))=0,"",VLOOKUP(CONCATENATE($W19,"@",FT$7),choice!$D:$E,2,0)))</f>
        <v/>
      </c>
      <c r="FU19" s="74" t="str">
        <f>IF($W19="","",IF(COUNTIF(choice!$D:$D,CONCATENATE($W19,"@",FU$7))=0,"",VLOOKUP(CONCATENATE($W19,"@",FU$7),choice!$D:$E,2,0)))</f>
        <v/>
      </c>
      <c r="FV19" s="81" t="str">
        <f>IF($W19="","",IF(COUNTIF(choice!$D:$D,CONCATENATE($W19,"@",FV$7))=0,"",VLOOKUP(CONCATENATE($W19,"@",FV$7),choice!$D:$E,2,0)))</f>
        <v/>
      </c>
      <c r="FW19" s="80" t="str">
        <f>IF($X19="","",IF(COUNTIF(choice!$D:$D,CONCATENATE($X19,"@",FW$7))=0,"",VLOOKUP(CONCATENATE($X19,"@",FW$7),choice!$D:$E,2,0)))</f>
        <v/>
      </c>
      <c r="FX19" s="74" t="str">
        <f>IF($X19="","",IF(COUNTIF(choice!$D:$D,CONCATENATE($X19,"@",FX$7))=0,"",VLOOKUP(CONCATENATE($X19,"@",FX$7),choice!$D:$E,2,0)))</f>
        <v/>
      </c>
      <c r="FY19" s="74" t="str">
        <f>IF($X19="","",IF(COUNTIF(choice!$D:$D,CONCATENATE($X19,"@",FY$7))=0,"",VLOOKUP(CONCATENATE($X19,"@",FY$7),choice!$D:$E,2,0)))</f>
        <v/>
      </c>
      <c r="FZ19" s="74" t="str">
        <f>IF($X19="","",IF(COUNTIF(choice!$D:$D,CONCATENATE($X19,"@",FZ$7))=0,"",VLOOKUP(CONCATENATE($X19,"@",FZ$7),choice!$D:$E,2,0)))</f>
        <v/>
      </c>
      <c r="GA19" s="74" t="str">
        <f>IF($X19="","",IF(COUNTIF(choice!$D:$D,CONCATENATE($X19,"@",GA$7))=0,"",VLOOKUP(CONCATENATE($X19,"@",GA$7),choice!$D:$E,2,0)))</f>
        <v/>
      </c>
      <c r="GB19" s="74" t="str">
        <f>IF($X19="","",IF(COUNTIF(choice!$D:$D,CONCATENATE($X19,"@",GB$7))=0,"",VLOOKUP(CONCATENATE($X19,"@",GB$7),choice!$D:$E,2,0)))</f>
        <v/>
      </c>
      <c r="GC19" s="74" t="str">
        <f>IF($X19="","",IF(COUNTIF(choice!$D:$D,CONCATENATE($X19,"@",GC$7))=0,"",VLOOKUP(CONCATENATE($X19,"@",GC$7),choice!$D:$E,2,0)))</f>
        <v/>
      </c>
      <c r="GD19" s="74" t="str">
        <f>IF($X19="","",IF(COUNTIF(choice!$D:$D,CONCATENATE($X19,"@",GD$7))=0,"",VLOOKUP(CONCATENATE($X19,"@",GD$7),choice!$D:$E,2,0)))</f>
        <v/>
      </c>
      <c r="GE19" s="74" t="str">
        <f>IF($X19="","",IF(COUNTIF(choice!$D:$D,CONCATENATE($X19,"@",GE$7))=0,"",VLOOKUP(CONCATENATE($X19,"@",GE$7),choice!$D:$E,2,0)))</f>
        <v/>
      </c>
      <c r="GF19" s="74" t="str">
        <f>IF($X19="","",IF(COUNTIF(choice!$D:$D,CONCATENATE($X19,"@",GF$7))=0,"",VLOOKUP(CONCATENATE($X19,"@",GF$7),choice!$D:$E,2,0)))</f>
        <v/>
      </c>
      <c r="GG19" s="74" t="str">
        <f>IF($X19="","",IF(COUNTIF(choice!$D:$D,CONCATENATE($X19,"@",GG$7))=0,"",VLOOKUP(CONCATENATE($X19,"@",GG$7),choice!$D:$E,2,0)))</f>
        <v/>
      </c>
      <c r="GH19" s="74" t="str">
        <f>IF($X19="","",IF(COUNTIF(choice!$D:$D,CONCATENATE($X19,"@",GH$7))=0,"",VLOOKUP(CONCATENATE($X19,"@",GH$7),choice!$D:$E,2,0)))</f>
        <v/>
      </c>
      <c r="GI19" s="74" t="str">
        <f>IF($X19="","",IF(COUNTIF(choice!$D:$D,CONCATENATE($X19,"@",GI$7))=0,"",VLOOKUP(CONCATENATE($X19,"@",GI$7),choice!$D:$E,2,0)))</f>
        <v/>
      </c>
      <c r="GJ19" s="74" t="str">
        <f>IF($X19="","",IF(COUNTIF(choice!$D:$D,CONCATENATE($X19,"@",GJ$7))=0,"",VLOOKUP(CONCATENATE($X19,"@",GJ$7),choice!$D:$E,2,0)))</f>
        <v/>
      </c>
      <c r="GK19" s="74" t="str">
        <f>IF($X19="","",IF(COUNTIF(choice!$D:$D,CONCATENATE($X19,"@",GK$7))=0,"",VLOOKUP(CONCATENATE($X19,"@",GK$7),choice!$D:$E,2,0)))</f>
        <v/>
      </c>
      <c r="GL19" s="74" t="str">
        <f>IF($X19="","",IF(COUNTIF(choice!$D:$D,CONCATENATE($X19,"@",GL$7))=0,"",VLOOKUP(CONCATENATE($X19,"@",GL$7),choice!$D:$E,2,0)))</f>
        <v/>
      </c>
      <c r="GM19" s="74" t="str">
        <f>IF($X19="","",IF(COUNTIF(choice!$D:$D,CONCATENATE($X19,"@",GM$7))=0,"",VLOOKUP(CONCATENATE($X19,"@",GM$7),choice!$D:$E,2,0)))</f>
        <v/>
      </c>
      <c r="GN19" s="74" t="str">
        <f>IF($X19="","",IF(COUNTIF(choice!$D:$D,CONCATENATE($X19,"@",GN$7))=0,"",VLOOKUP(CONCATENATE($X19,"@",GN$7),choice!$D:$E,2,0)))</f>
        <v/>
      </c>
      <c r="GO19" s="74" t="str">
        <f>IF($X19="","",IF(COUNTIF(choice!$D:$D,CONCATENATE($X19,"@",GO$7))=0,"",VLOOKUP(CONCATENATE($X19,"@",GO$7),choice!$D:$E,2,0)))</f>
        <v/>
      </c>
      <c r="GP19" s="74" t="str">
        <f>IF($X19="","",IF(COUNTIF(choice!$D:$D,CONCATENATE($X19,"@",GP$7))=0,"",VLOOKUP(CONCATENATE($X19,"@",GP$7),choice!$D:$E,2,0)))</f>
        <v/>
      </c>
      <c r="GQ19" s="74" t="str">
        <f>IF($X19="","",IF(COUNTIF(choice!$D:$D,CONCATENATE($X19,"@",GQ$7))=0,"",VLOOKUP(CONCATENATE($X19,"@",GQ$7),choice!$D:$E,2,0)))</f>
        <v/>
      </c>
      <c r="GR19" s="74" t="str">
        <f>IF($X19="","",IF(COUNTIF(choice!$D:$D,CONCATENATE($X19,"@",GR$7))=0,"",VLOOKUP(CONCATENATE($X19,"@",GR$7),choice!$D:$E,2,0)))</f>
        <v/>
      </c>
      <c r="GS19" s="74" t="str">
        <f>IF($X19="","",IF(COUNTIF(choice!$D:$D,CONCATENATE($X19,"@",GS$7))=0,"",VLOOKUP(CONCATENATE($X19,"@",GS$7),choice!$D:$E,2,0)))</f>
        <v/>
      </c>
      <c r="GT19" s="74" t="str">
        <f>IF($X19="","",IF(COUNTIF(choice!$D:$D,CONCATENATE($X19,"@",GT$7))=0,"",VLOOKUP(CONCATENATE($X19,"@",GT$7),choice!$D:$E,2,0)))</f>
        <v/>
      </c>
      <c r="GU19" s="74" t="str">
        <f>IF($X19="","",IF(COUNTIF(choice!$D:$D,CONCATENATE($X19,"@",GU$7))=0,"",VLOOKUP(CONCATENATE($X19,"@",GU$7),choice!$D:$E,2,0)))</f>
        <v/>
      </c>
      <c r="GV19" s="74" t="str">
        <f>IF($X19="","",IF(COUNTIF(choice!$D:$D,CONCATENATE($X19,"@",GV$7))=0,"",VLOOKUP(CONCATENATE($X19,"@",GV$7),choice!$D:$E,2,0)))</f>
        <v/>
      </c>
      <c r="GW19" s="74" t="str">
        <f>IF($X19="","",IF(COUNTIF(choice!$D:$D,CONCATENATE($X19,"@",GW$7))=0,"",VLOOKUP(CONCATENATE($X19,"@",GW$7),choice!$D:$E,2,0)))</f>
        <v/>
      </c>
      <c r="GX19" s="74" t="str">
        <f>IF($X19="","",IF(COUNTIF(choice!$D:$D,CONCATENATE($X19,"@",GX$7))=0,"",VLOOKUP(CONCATENATE($X19,"@",GX$7),choice!$D:$E,2,0)))</f>
        <v/>
      </c>
      <c r="GY19" s="74" t="str">
        <f>IF($X19="","",IF(COUNTIF(choice!$D:$D,CONCATENATE($X19,"@",GY$7))=0,"",VLOOKUP(CONCATENATE($X19,"@",GY$7),choice!$D:$E,2,0)))</f>
        <v/>
      </c>
      <c r="GZ19" s="74" t="str">
        <f>IF($X19="","",IF(COUNTIF(choice!$D:$D,CONCATENATE($X19,"@",GZ$7))=0,"",VLOOKUP(CONCATENATE($X19,"@",GZ$7),choice!$D:$E,2,0)))</f>
        <v/>
      </c>
      <c r="HA19" s="74" t="str">
        <f>IF($X19="","",IF(COUNTIF(choice!$D:$D,CONCATENATE($X19,"@",HA$7))=0,"",VLOOKUP(CONCATENATE($X19,"@",HA$7),choice!$D:$E,2,0)))</f>
        <v/>
      </c>
      <c r="HB19" s="74" t="str">
        <f>IF($X19="","",IF(COUNTIF(choice!$D:$D,CONCATENATE($X19,"@",HB$7))=0,"",VLOOKUP(CONCATENATE($X19,"@",HB$7),choice!$D:$E,2,0)))</f>
        <v/>
      </c>
      <c r="HC19" s="74" t="str">
        <f>IF($X19="","",IF(COUNTIF(choice!$D:$D,CONCATENATE($X19,"@",HC$7))=0,"",VLOOKUP(CONCATENATE($X19,"@",HC$7),choice!$D:$E,2,0)))</f>
        <v/>
      </c>
      <c r="HD19" s="74" t="str">
        <f>IF($X19="","",IF(COUNTIF(choice!$D:$D,CONCATENATE($X19,"@",HD$7))=0,"",VLOOKUP(CONCATENATE($X19,"@",HD$7),choice!$D:$E,2,0)))</f>
        <v/>
      </c>
      <c r="HE19" s="74" t="str">
        <f>IF($X19="","",IF(COUNTIF(choice!$D:$D,CONCATENATE($X19,"@",HE$7))=0,"",VLOOKUP(CONCATENATE($X19,"@",HE$7),choice!$D:$E,2,0)))</f>
        <v/>
      </c>
      <c r="HF19" s="74" t="str">
        <f>IF($X19="","",IF(COUNTIF(choice!$D:$D,CONCATENATE($X19,"@",HF$7))=0,"",VLOOKUP(CONCATENATE($X19,"@",HF$7),choice!$D:$E,2,0)))</f>
        <v/>
      </c>
      <c r="HG19" s="74" t="str">
        <f>IF($X19="","",IF(COUNTIF(choice!$D:$D,CONCATENATE($X19,"@",HG$7))=0,"",VLOOKUP(CONCATENATE($X19,"@",HG$7),choice!$D:$E,2,0)))</f>
        <v/>
      </c>
      <c r="HH19" s="74" t="str">
        <f>IF($X19="","",IF(COUNTIF(choice!$D:$D,CONCATENATE($X19,"@",HH$7))=0,"",VLOOKUP(CONCATENATE($X19,"@",HH$7),choice!$D:$E,2,0)))</f>
        <v/>
      </c>
      <c r="HI19" s="74" t="str">
        <f>IF($X19="","",IF(COUNTIF(choice!$D:$D,CONCATENATE($X19,"@",HI$7))=0,"",VLOOKUP(CONCATENATE($X19,"@",HI$7),choice!$D:$E,2,0)))</f>
        <v/>
      </c>
      <c r="HJ19" s="74" t="str">
        <f>IF($X19="","",IF(COUNTIF(choice!$D:$D,CONCATENATE($X19,"@",HJ$7))=0,"",VLOOKUP(CONCATENATE($X19,"@",HJ$7),choice!$D:$E,2,0)))</f>
        <v/>
      </c>
      <c r="HK19" s="74" t="str">
        <f>IF($X19="","",IF(COUNTIF(choice!$D:$D,CONCATENATE($X19,"@",HK$7))=0,"",VLOOKUP(CONCATENATE($X19,"@",HK$7),choice!$D:$E,2,0)))</f>
        <v/>
      </c>
      <c r="HL19" s="74" t="str">
        <f>IF($X19="","",IF(COUNTIF(choice!$D:$D,CONCATENATE($X19,"@",HL$7))=0,"",VLOOKUP(CONCATENATE($X19,"@",HL$7),choice!$D:$E,2,0)))</f>
        <v/>
      </c>
      <c r="HM19" s="74" t="str">
        <f>IF($X19="","",IF(COUNTIF(choice!$D:$D,CONCATENATE($X19,"@",HM$7))=0,"",VLOOKUP(CONCATENATE($X19,"@",HM$7),choice!$D:$E,2,0)))</f>
        <v/>
      </c>
      <c r="HN19" s="74" t="str">
        <f>IF($X19="","",IF(COUNTIF(choice!$D:$D,CONCATENATE($X19,"@",HN$7))=0,"",VLOOKUP(CONCATENATE($X19,"@",HN$7),choice!$D:$E,2,0)))</f>
        <v/>
      </c>
      <c r="HO19" s="81" t="str">
        <f>IF($X19="","",IF(COUNTIF(choice!$D:$D,CONCATENATE($X19,"@",HO$7))=0,"",VLOOKUP(CONCATENATE($X19,"@",HO$7),choice!$D:$E,2,0)))</f>
        <v/>
      </c>
      <c r="HP19" s="20" t="s">
        <v>73</v>
      </c>
      <c r="HQ19" s="20" t="s">
        <v>74</v>
      </c>
      <c r="HV19" s="74">
        <f t="shared" si="20"/>
        <v>0</v>
      </c>
      <c r="HW19" s="74">
        <f t="shared" si="21"/>
        <v>0</v>
      </c>
      <c r="HX19" s="74">
        <f t="shared" si="22"/>
        <v>0</v>
      </c>
      <c r="HY19" s="74">
        <f t="shared" si="23"/>
        <v>0</v>
      </c>
      <c r="HZ19" s="74">
        <f t="shared" si="30"/>
        <v>0</v>
      </c>
      <c r="IA19" s="74">
        <f t="shared" si="30"/>
        <v>0</v>
      </c>
      <c r="IB19" s="74" t="str">
        <f t="shared" si="31"/>
        <v/>
      </c>
      <c r="IC19" s="74" t="str">
        <f t="shared" si="32"/>
        <v/>
      </c>
      <c r="ID19" s="74" t="str">
        <f t="shared" si="24"/>
        <v/>
      </c>
      <c r="IE19" s="74">
        <f t="shared" si="25"/>
        <v>25</v>
      </c>
      <c r="IF19" s="74">
        <f>COUNTIFS(ID$8:ID19,"BLUE")</f>
        <v>0</v>
      </c>
      <c r="IG19" s="74" t="str">
        <f t="shared" si="26"/>
        <v/>
      </c>
      <c r="IH19" s="74" t="str">
        <f>IF(COUNTIFS($AQ19,"*02*")=0,"",COUNTIFS(IJ$8:IJ19,"BLUE"))</f>
        <v/>
      </c>
      <c r="II19" s="74" t="str">
        <f>IF(COUNTIFS($AQ19,"*04*")=0,"",COUNTIFS(IK$8:IK19,"BLUE"))</f>
        <v/>
      </c>
      <c r="IJ19" s="74" t="str">
        <f t="shared" si="33"/>
        <v/>
      </c>
      <c r="IK19" s="74" t="str">
        <f t="shared" si="34"/>
        <v/>
      </c>
      <c r="IL19" s="74" t="str">
        <f t="shared" si="27"/>
        <v/>
      </c>
      <c r="IM19" s="74" t="str">
        <f t="shared" si="28"/>
        <v/>
      </c>
      <c r="IN19" s="74">
        <f>COUNTIFS(IJ$8:IJ19,"BLUE")</f>
        <v>0</v>
      </c>
      <c r="IO19" s="74">
        <f>COUNTIFS(IK$8:IK19,"BLUE")</f>
        <v>0</v>
      </c>
    </row>
    <row r="20" spans="1:249" s="20" customFormat="1" ht="24.9" customHeight="1" thickBot="1">
      <c r="A20" s="33"/>
      <c r="B20" s="31">
        <v>26</v>
      </c>
      <c r="C20" s="178"/>
      <c r="D20" s="174"/>
      <c r="E20" s="92" t="e">
        <f>VLOOKUP(F20,'Radio Call Sign'!A:B,2)</f>
        <v>#N/A</v>
      </c>
      <c r="F20" s="92"/>
      <c r="G20" s="92" t="e">
        <f>VLOOKUP(H20,'Radio Call Sign'!A:B,2)</f>
        <v>#N/A</v>
      </c>
      <c r="H20" s="92"/>
      <c r="I20" s="92" t="str">
        <f>IF(U20="","",IF(Y20="",IF(X20="",IF(W20="",CONCATENATE(U20,"-",V20),CONCATENATE(U20,"-",W20)),CONCATENATE(U20,"-",X20)),CONCATENATE(U20,"-",Y20)))</f>
        <v/>
      </c>
      <c r="J20" s="94" t="str">
        <f t="shared" si="17"/>
        <v/>
      </c>
      <c r="K20" s="93" t="str">
        <f t="shared" si="18"/>
        <v/>
      </c>
      <c r="L20" s="178"/>
      <c r="M20" s="192" t="str">
        <f t="shared" si="19"/>
        <v/>
      </c>
      <c r="N20" s="25"/>
      <c r="O20" s="25"/>
      <c r="P20" s="54"/>
      <c r="Q20" s="164" t="str">
        <f>IF(AA20="","",IF(COUNTIFS('overhead line area'!$D$3:$D$100,AA20)+COUNTIFS('overhead line area'!$D$3:$D$100,AB20)+COUNTIFS('overhead line area'!$D$3:$D$100,AC20)+COUNTIFS('overhead line area'!$D$3:$D$100,AD20)=0,"","*               "))</f>
        <v/>
      </c>
      <c r="R20" s="54"/>
      <c r="S20" s="28"/>
      <c r="U20" s="74"/>
      <c r="V20" s="74"/>
      <c r="W20" s="74"/>
      <c r="X20" s="74"/>
      <c r="Y20" s="74"/>
      <c r="AA20" s="74" t="str">
        <f>IF(U20="","",CONCATENATE(U20,"-",V20))</f>
        <v/>
      </c>
      <c r="AB20" s="74" t="str">
        <f t="shared" si="29"/>
        <v/>
      </c>
      <c r="AC20" s="74" t="str">
        <f t="shared" si="35"/>
        <v/>
      </c>
      <c r="AD20" s="74" t="str">
        <f t="shared" si="36"/>
        <v/>
      </c>
      <c r="AF20" s="74" t="str">
        <f>IF(AA20="","",IF(COUNTIF(Route!$AM:$AM,'Train Movement Log (page.2)'!AA20)=0,"未有資料",VLOOKUP('Train Movement Log (page.2)'!AA20,Route!$AM:$AP,3,0)))</f>
        <v/>
      </c>
      <c r="AG20" s="74" t="str">
        <f>IF(AB20="","",IF(COUNTIF(Route!$AM:$AM,'Train Movement Log (page.2)'!AB20)=0,"未有資料",VLOOKUP('Train Movement Log (page.2)'!AB20,Route!$AM:$AP,3,0)))</f>
        <v/>
      </c>
      <c r="AH20" s="74" t="str">
        <f>IF(AC20="","",IF(COUNTIF(Route!$AM:$AM,'Train Movement Log (page.2)'!AC20)=0,"未有資料",VLOOKUP('Train Movement Log (page.2)'!AC20,Route!$AM:$AP,3,0)))</f>
        <v/>
      </c>
      <c r="AI20" s="74" t="str">
        <f>IF(AD20="","",IF(COUNTIF(Route!$AM:$AM,'Train Movement Log (page.2)'!AD20)=0,"未有資料",VLOOKUP('Train Movement Log (page.2)'!AD20,Route!$AM:$AP,3,0)))</f>
        <v/>
      </c>
      <c r="AK20" s="74" t="str">
        <f>IF(AA20="","",IF(COUNTIF(Route!$AM:$AM,'Train Movement Log (page.2)'!AA20)=0,"未有資料",VLOOKUP('Train Movement Log (page.2)'!AA20,Route!$AM:$AP,4,0)))</f>
        <v/>
      </c>
      <c r="AL20" s="74" t="str">
        <f>IF(AB20="","",IF(COUNTIF(Route!$AM:$AM,'Train Movement Log (page.2)'!AB20)=0,"未有資料",VLOOKUP('Train Movement Log (page.2)'!AB20,Route!$AM:$AP,4,0)))</f>
        <v/>
      </c>
      <c r="AM20" s="74" t="str">
        <f>IF(AC20="","",IF(COUNTIF(Route!$AM:$AM,'Train Movement Log (page.2)'!AC20)=0,"未有資料",VLOOKUP('Train Movement Log (page.2)'!AC20,Route!$AM:$AP,4,0)))</f>
        <v/>
      </c>
      <c r="AN20" s="74" t="str">
        <f>IF(AD20="","",IF(COUNTIF(Route!$AM:$AM,'Train Movement Log (page.2)'!AD20)=0,"未有資料",VLOOKUP('Train Movement Log (page.2)'!AD20,Route!$AM:$AP,4,0)))</f>
        <v/>
      </c>
      <c r="AP20" s="74" t="str">
        <f t="shared" si="15"/>
        <v/>
      </c>
      <c r="AQ20" s="76" t="str">
        <f t="shared" si="16"/>
        <v/>
      </c>
      <c r="AR20" s="82" t="str">
        <f>IF($U20="","",IF(COUNTIF(choice!$D:$D,CONCATENATE($U20,"@",AR$7))=0,"",VLOOKUP(CONCATENATE($U20,"@",AR$7),choice!$D:$E,2,0)))</f>
        <v/>
      </c>
      <c r="AS20" s="83" t="str">
        <f>IF($U20="","",IF(COUNTIF(choice!$D:$D,CONCATENATE($U20,"@",AS$7))=0,"",VLOOKUP(CONCATENATE($U20,"@",AS$7),choice!$D:$E,2,0)))</f>
        <v/>
      </c>
      <c r="AT20" s="83" t="str">
        <f>IF($U20="","",IF(COUNTIF(choice!$D:$D,CONCATENATE($U20,"@",AT$7))=0,"",VLOOKUP(CONCATENATE($U20,"@",AT$7),choice!$D:$E,2,0)))</f>
        <v/>
      </c>
      <c r="AU20" s="83" t="str">
        <f>IF($U20="","",IF(COUNTIF(choice!$D:$D,CONCATENATE($U20,"@",AU$7))=0,"",VLOOKUP(CONCATENATE($U20,"@",AU$7),choice!$D:$E,2,0)))</f>
        <v/>
      </c>
      <c r="AV20" s="83" t="str">
        <f>IF($U20="","",IF(COUNTIF(choice!$D:$D,CONCATENATE($U20,"@",AV$7))=0,"",VLOOKUP(CONCATENATE($U20,"@",AV$7),choice!$D:$E,2,0)))</f>
        <v/>
      </c>
      <c r="AW20" s="83" t="str">
        <f>IF($U20="","",IF(COUNTIF(choice!$D:$D,CONCATENATE($U20,"@",AW$7))=0,"",VLOOKUP(CONCATENATE($U20,"@",AW$7),choice!$D:$E,2,0)))</f>
        <v/>
      </c>
      <c r="AX20" s="83" t="str">
        <f>IF($U20="","",IF(COUNTIF(choice!$D:$D,CONCATENATE($U20,"@",AX$7))=0,"",VLOOKUP(CONCATENATE($U20,"@",AX$7),choice!$D:$E,2,0)))</f>
        <v/>
      </c>
      <c r="AY20" s="83" t="str">
        <f>IF($U20="","",IF(COUNTIF(choice!$D:$D,CONCATENATE($U20,"@",AY$7))=0,"",VLOOKUP(CONCATENATE($U20,"@",AY$7),choice!$D:$E,2,0)))</f>
        <v/>
      </c>
      <c r="AZ20" s="83" t="str">
        <f>IF($U20="","",IF(COUNTIF(choice!$D:$D,CONCATENATE($U20,"@",AZ$7))=0,"",VLOOKUP(CONCATENATE($U20,"@",AZ$7),choice!$D:$E,2,0)))</f>
        <v/>
      </c>
      <c r="BA20" s="83" t="str">
        <f>IF($U20="","",IF(COUNTIF(choice!$D:$D,CONCATENATE($U20,"@",BA$7))=0,"",VLOOKUP(CONCATENATE($U20,"@",BA$7),choice!$D:$E,2,0)))</f>
        <v/>
      </c>
      <c r="BB20" s="83" t="str">
        <f>IF($U20="","",IF(COUNTIF(choice!$D:$D,CONCATENATE($U20,"@",BB$7))=0,"",VLOOKUP(CONCATENATE($U20,"@",BB$7),choice!$D:$E,2,0)))</f>
        <v/>
      </c>
      <c r="BC20" s="83" t="str">
        <f>IF($U20="","",IF(COUNTIF(choice!$D:$D,CONCATENATE($U20,"@",BC$7))=0,"",VLOOKUP(CONCATENATE($U20,"@",BC$7),choice!$D:$E,2,0)))</f>
        <v/>
      </c>
      <c r="BD20" s="83" t="str">
        <f>IF($U20="","",IF(COUNTIF(choice!$D:$D,CONCATENATE($U20,"@",BD$7))=0,"",VLOOKUP(CONCATENATE($U20,"@",BD$7),choice!$D:$E,2,0)))</f>
        <v/>
      </c>
      <c r="BE20" s="83" t="str">
        <f>IF($U20="","",IF(COUNTIF(choice!$D:$D,CONCATENATE($U20,"@",BE$7))=0,"",VLOOKUP(CONCATENATE($U20,"@",BE$7),choice!$D:$E,2,0)))</f>
        <v/>
      </c>
      <c r="BF20" s="83" t="str">
        <f>IF($U20="","",IF(COUNTIF(choice!$D:$D,CONCATENATE($U20,"@",BF$7))=0,"",VLOOKUP(CONCATENATE($U20,"@",BF$7),choice!$D:$E,2,0)))</f>
        <v/>
      </c>
      <c r="BG20" s="83" t="str">
        <f>IF($U20="","",IF(COUNTIF(choice!$D:$D,CONCATENATE($U20,"@",BG$7))=0,"",VLOOKUP(CONCATENATE($U20,"@",BG$7),choice!$D:$E,2,0)))</f>
        <v/>
      </c>
      <c r="BH20" s="83" t="str">
        <f>IF($U20="","",IF(COUNTIF(choice!$D:$D,CONCATENATE($U20,"@",BH$7))=0,"",VLOOKUP(CONCATENATE($U20,"@",BH$7),choice!$D:$E,2,0)))</f>
        <v/>
      </c>
      <c r="BI20" s="83" t="str">
        <f>IF($U20="","",IF(COUNTIF(choice!$D:$D,CONCATENATE($U20,"@",BI$7))=0,"",VLOOKUP(CONCATENATE($U20,"@",BI$7),choice!$D:$E,2,0)))</f>
        <v/>
      </c>
      <c r="BJ20" s="83" t="str">
        <f>IF($U20="","",IF(COUNTIF(choice!$D:$D,CONCATENATE($U20,"@",BJ$7))=0,"",VLOOKUP(CONCATENATE($U20,"@",BJ$7),choice!$D:$E,2,0)))</f>
        <v/>
      </c>
      <c r="BK20" s="83" t="str">
        <f>IF($U20="","",IF(COUNTIF(choice!$D:$D,CONCATENATE($U20,"@",BK$7))=0,"",VLOOKUP(CONCATENATE($U20,"@",BK$7),choice!$D:$E,2,0)))</f>
        <v/>
      </c>
      <c r="BL20" s="83" t="str">
        <f>IF($U20="","",IF(COUNTIF(choice!$D:$D,CONCATENATE($U20,"@",BL$7))=0,"",VLOOKUP(CONCATENATE($U20,"@",BL$7),choice!$D:$E,2,0)))</f>
        <v/>
      </c>
      <c r="BM20" s="83" t="str">
        <f>IF($U20="","",IF(COUNTIF(choice!$D:$D,CONCATENATE($U20,"@",BM$7))=0,"",VLOOKUP(CONCATENATE($U20,"@",BM$7),choice!$D:$E,2,0)))</f>
        <v/>
      </c>
      <c r="BN20" s="83" t="str">
        <f>IF($U20="","",IF(COUNTIF(choice!$D:$D,CONCATENATE($U20,"@",BN$7))=0,"",VLOOKUP(CONCATENATE($U20,"@",BN$7),choice!$D:$E,2,0)))</f>
        <v/>
      </c>
      <c r="BO20" s="83" t="str">
        <f>IF($U20="","",IF(COUNTIF(choice!$D:$D,CONCATENATE($U20,"@",BO$7))=0,"",VLOOKUP(CONCATENATE($U20,"@",BO$7),choice!$D:$E,2,0)))</f>
        <v/>
      </c>
      <c r="BP20" s="83" t="str">
        <f>IF($U20="","",IF(COUNTIF(choice!$D:$D,CONCATENATE($U20,"@",BP$7))=0,"",VLOOKUP(CONCATENATE($U20,"@",BP$7),choice!$D:$E,2,0)))</f>
        <v/>
      </c>
      <c r="BQ20" s="83" t="str">
        <f>IF($U20="","",IF(COUNTIF(choice!$D:$D,CONCATENATE($U20,"@",BQ$7))=0,"",VLOOKUP(CONCATENATE($U20,"@",BQ$7),choice!$D:$E,2,0)))</f>
        <v/>
      </c>
      <c r="BR20" s="83" t="str">
        <f>IF($U20="","",IF(COUNTIF(choice!$D:$D,CONCATENATE($U20,"@",BR$7))=0,"",VLOOKUP(CONCATENATE($U20,"@",BR$7),choice!$D:$E,2,0)))</f>
        <v/>
      </c>
      <c r="BS20" s="83" t="str">
        <f>IF($U20="","",IF(COUNTIF(choice!$D:$D,CONCATENATE($U20,"@",BS$7))=0,"",VLOOKUP(CONCATENATE($U20,"@",BS$7),choice!$D:$E,2,0)))</f>
        <v/>
      </c>
      <c r="BT20" s="83" t="str">
        <f>IF($U20="","",IF(COUNTIF(choice!$D:$D,CONCATENATE($U20,"@",BT$7))=0,"",VLOOKUP(CONCATENATE($U20,"@",BT$7),choice!$D:$E,2,0)))</f>
        <v/>
      </c>
      <c r="BU20" s="83" t="str">
        <f>IF($U20="","",IF(COUNTIF(choice!$D:$D,CONCATENATE($U20,"@",BU$7))=0,"",VLOOKUP(CONCATENATE($U20,"@",BU$7),choice!$D:$E,2,0)))</f>
        <v/>
      </c>
      <c r="BV20" s="83" t="str">
        <f>IF($U20="","",IF(COUNTIF(choice!$D:$D,CONCATENATE($U20,"@",BV$7))=0,"",VLOOKUP(CONCATENATE($U20,"@",BV$7),choice!$D:$E,2,0)))</f>
        <v/>
      </c>
      <c r="BW20" s="83" t="str">
        <f>IF($U20="","",IF(COUNTIF(choice!$D:$D,CONCATENATE($U20,"@",BW$7))=0,"",VLOOKUP(CONCATENATE($U20,"@",BW$7),choice!$D:$E,2,0)))</f>
        <v/>
      </c>
      <c r="BX20" s="83" t="str">
        <f>IF($U20="","",IF(COUNTIF(choice!$D:$D,CONCATENATE($U20,"@",BX$7))=0,"",VLOOKUP(CONCATENATE($U20,"@",BX$7),choice!$D:$E,2,0)))</f>
        <v/>
      </c>
      <c r="BY20" s="83" t="str">
        <f>IF($U20="","",IF(COUNTIF(choice!$D:$D,CONCATENATE($U20,"@",BY$7))=0,"",VLOOKUP(CONCATENATE($U20,"@",BY$7),choice!$D:$E,2,0)))</f>
        <v/>
      </c>
      <c r="BZ20" s="83" t="str">
        <f>IF($U20="","",IF(COUNTIF(choice!$D:$D,CONCATENATE($U20,"@",BZ$7))=0,"",VLOOKUP(CONCATENATE($U20,"@",BZ$7),choice!$D:$E,2,0)))</f>
        <v/>
      </c>
      <c r="CA20" s="83" t="str">
        <f>IF($U20="","",IF(COUNTIF(choice!$D:$D,CONCATENATE($U20,"@",CA$7))=0,"",VLOOKUP(CONCATENATE($U20,"@",CA$7),choice!$D:$E,2,0)))</f>
        <v/>
      </c>
      <c r="CB20" s="83" t="str">
        <f>IF($U20="","",IF(COUNTIF(choice!$D:$D,CONCATENATE($U20,"@",CB$7))=0,"",VLOOKUP(CONCATENATE($U20,"@",CB$7),choice!$D:$E,2,0)))</f>
        <v/>
      </c>
      <c r="CC20" s="83" t="str">
        <f>IF($U20="","",IF(COUNTIF(choice!$D:$D,CONCATENATE($U20,"@",CC$7))=0,"",VLOOKUP(CONCATENATE($U20,"@",CC$7),choice!$D:$E,2,0)))</f>
        <v/>
      </c>
      <c r="CD20" s="83" t="str">
        <f>IF($U20="","",IF(COUNTIF(choice!$D:$D,CONCATENATE($U20,"@",CD$7))=0,"",VLOOKUP(CONCATENATE($U20,"@",CD$7),choice!$D:$E,2,0)))</f>
        <v/>
      </c>
      <c r="CE20" s="83" t="str">
        <f>IF($U20="","",IF(COUNTIF(choice!$D:$D,CONCATENATE($U20,"@",CE$7))=0,"",VLOOKUP(CONCATENATE($U20,"@",CE$7),choice!$D:$E,2,0)))</f>
        <v/>
      </c>
      <c r="CF20" s="83" t="str">
        <f>IF($U20="","",IF(COUNTIF(choice!$D:$D,CONCATENATE($U20,"@",CF$7))=0,"",VLOOKUP(CONCATENATE($U20,"@",CF$7),choice!$D:$E,2,0)))</f>
        <v/>
      </c>
      <c r="CG20" s="83" t="str">
        <f>IF($U20="","",IF(COUNTIF(choice!$D:$D,CONCATENATE($U20,"@",CG$7))=0,"",VLOOKUP(CONCATENATE($U20,"@",CG$7),choice!$D:$E,2,0)))</f>
        <v/>
      </c>
      <c r="CH20" s="83" t="str">
        <f>IF($U20="","",IF(COUNTIF(choice!$D:$D,CONCATENATE($U20,"@",CH$7))=0,"",VLOOKUP(CONCATENATE($U20,"@",CH$7),choice!$D:$E,2,0)))</f>
        <v/>
      </c>
      <c r="CI20" s="83" t="str">
        <f>IF($U20="","",IF(COUNTIF(choice!$D:$D,CONCATENATE($U20,"@",CI$7))=0,"",VLOOKUP(CONCATENATE($U20,"@",CI$7),choice!$D:$E,2,0)))</f>
        <v/>
      </c>
      <c r="CJ20" s="84" t="str">
        <f>IF($U20="","",IF(COUNTIF(choice!$D:$D,CONCATENATE($U20,"@",CJ$7))=0,"",VLOOKUP(CONCATENATE($U20,"@",CJ$7),choice!$D:$E,2,0)))</f>
        <v/>
      </c>
      <c r="CK20" s="82" t="str">
        <f>IF($V20="","",IF(COUNTIF(choice!$D:$D,CONCATENATE($V20,"@",CK$7))=0,"",VLOOKUP(CONCATENATE($V20,"@",CK$7),choice!$D:$E,2,0)))</f>
        <v/>
      </c>
      <c r="CL20" s="83" t="str">
        <f>IF($V20="","",IF(COUNTIF(choice!$D:$D,CONCATENATE($V20,"@",CL$7))=0,"",VLOOKUP(CONCATENATE($V20,"@",CL$7),choice!$D:$E,2,0)))</f>
        <v/>
      </c>
      <c r="CM20" s="83" t="str">
        <f>IF($V20="","",IF(COUNTIF(choice!$D:$D,CONCATENATE($V20,"@",CM$7))=0,"",VLOOKUP(CONCATENATE($V20,"@",CM$7),choice!$D:$E,2,0)))</f>
        <v/>
      </c>
      <c r="CN20" s="83" t="str">
        <f>IF($V20="","",IF(COUNTIF(choice!$D:$D,CONCATENATE($V20,"@",CN$7))=0,"",VLOOKUP(CONCATENATE($V20,"@",CN$7),choice!$D:$E,2,0)))</f>
        <v/>
      </c>
      <c r="CO20" s="83" t="str">
        <f>IF($V20="","",IF(COUNTIF(choice!$D:$D,CONCATENATE($V20,"@",CO$7))=0,"",VLOOKUP(CONCATENATE($V20,"@",CO$7),choice!$D:$E,2,0)))</f>
        <v/>
      </c>
      <c r="CP20" s="83" t="str">
        <f>IF($V20="","",IF(COUNTIF(choice!$D:$D,CONCATENATE($V20,"@",CP$7))=0,"",VLOOKUP(CONCATENATE($V20,"@",CP$7),choice!$D:$E,2,0)))</f>
        <v/>
      </c>
      <c r="CQ20" s="83" t="str">
        <f>IF($V20="","",IF(COUNTIF(choice!$D:$D,CONCATENATE($V20,"@",CQ$7))=0,"",VLOOKUP(CONCATENATE($V20,"@",CQ$7),choice!$D:$E,2,0)))</f>
        <v/>
      </c>
      <c r="CR20" s="83" t="str">
        <f>IF($V20="","",IF(COUNTIF(choice!$D:$D,CONCATENATE($V20,"@",CR$7))=0,"",VLOOKUP(CONCATENATE($V20,"@",CR$7),choice!$D:$E,2,0)))</f>
        <v/>
      </c>
      <c r="CS20" s="83" t="str">
        <f>IF($V20="","",IF(COUNTIF(choice!$D:$D,CONCATENATE($V20,"@",CS$7))=0,"",VLOOKUP(CONCATENATE($V20,"@",CS$7),choice!$D:$E,2,0)))</f>
        <v/>
      </c>
      <c r="CT20" s="83" t="str">
        <f>IF($V20="","",IF(COUNTIF(choice!$D:$D,CONCATENATE($V20,"@",CT$7))=0,"",VLOOKUP(CONCATENATE($V20,"@",CT$7),choice!$D:$E,2,0)))</f>
        <v/>
      </c>
      <c r="CU20" s="83" t="str">
        <f>IF($V20="","",IF(COUNTIF(choice!$D:$D,CONCATENATE($V20,"@",CU$7))=0,"",VLOOKUP(CONCATENATE($V20,"@",CU$7),choice!$D:$E,2,0)))</f>
        <v/>
      </c>
      <c r="CV20" s="83" t="str">
        <f>IF($V20="","",IF(COUNTIF(choice!$D:$D,CONCATENATE($V20,"@",CV$7))=0,"",VLOOKUP(CONCATENATE($V20,"@",CV$7),choice!$D:$E,2,0)))</f>
        <v/>
      </c>
      <c r="CW20" s="83" t="str">
        <f>IF($V20="","",IF(COUNTIF(choice!$D:$D,CONCATENATE($V20,"@",CW$7))=0,"",VLOOKUP(CONCATENATE($V20,"@",CW$7),choice!$D:$E,2,0)))</f>
        <v/>
      </c>
      <c r="CX20" s="83" t="str">
        <f>IF($V20="","",IF(COUNTIF(choice!$D:$D,CONCATENATE($V20,"@",CX$7))=0,"",VLOOKUP(CONCATENATE($V20,"@",CX$7),choice!$D:$E,2,0)))</f>
        <v/>
      </c>
      <c r="CY20" s="83" t="str">
        <f>IF($V20="","",IF(COUNTIF(choice!$D:$D,CONCATENATE($V20,"@",CY$7))=0,"",VLOOKUP(CONCATENATE($V20,"@",CY$7),choice!$D:$E,2,0)))</f>
        <v/>
      </c>
      <c r="CZ20" s="83" t="str">
        <f>IF($V20="","",IF(COUNTIF(choice!$D:$D,CONCATENATE($V20,"@",CZ$7))=0,"",VLOOKUP(CONCATENATE($V20,"@",CZ$7),choice!$D:$E,2,0)))</f>
        <v/>
      </c>
      <c r="DA20" s="83" t="str">
        <f>IF($V20="","",IF(COUNTIF(choice!$D:$D,CONCATENATE($V20,"@",DA$7))=0,"",VLOOKUP(CONCATENATE($V20,"@",DA$7),choice!$D:$E,2,0)))</f>
        <v/>
      </c>
      <c r="DB20" s="83" t="str">
        <f>IF($V20="","",IF(COUNTIF(choice!$D:$D,CONCATENATE($V20,"@",DB$7))=0,"",VLOOKUP(CONCATENATE($V20,"@",DB$7),choice!$D:$E,2,0)))</f>
        <v/>
      </c>
      <c r="DC20" s="83" t="str">
        <f>IF($V20="","",IF(COUNTIF(choice!$D:$D,CONCATENATE($V20,"@",DC$7))=0,"",VLOOKUP(CONCATENATE($V20,"@",DC$7),choice!$D:$E,2,0)))</f>
        <v/>
      </c>
      <c r="DD20" s="83" t="str">
        <f>IF($V20="","",IF(COUNTIF(choice!$D:$D,CONCATENATE($V20,"@",DD$7))=0,"",VLOOKUP(CONCATENATE($V20,"@",DD$7),choice!$D:$E,2,0)))</f>
        <v/>
      </c>
      <c r="DE20" s="83" t="str">
        <f>IF($V20="","",IF(COUNTIF(choice!$D:$D,CONCATENATE($V20,"@",DE$7))=0,"",VLOOKUP(CONCATENATE($V20,"@",DE$7),choice!$D:$E,2,0)))</f>
        <v/>
      </c>
      <c r="DF20" s="83" t="str">
        <f>IF($V20="","",IF(COUNTIF(choice!$D:$D,CONCATENATE($V20,"@",DF$7))=0,"",VLOOKUP(CONCATENATE($V20,"@",DF$7),choice!$D:$E,2,0)))</f>
        <v/>
      </c>
      <c r="DG20" s="83" t="str">
        <f>IF($V20="","",IF(COUNTIF(choice!$D:$D,CONCATENATE($V20,"@",DG$7))=0,"",VLOOKUP(CONCATENATE($V20,"@",DG$7),choice!$D:$E,2,0)))</f>
        <v/>
      </c>
      <c r="DH20" s="83" t="str">
        <f>IF($V20="","",IF(COUNTIF(choice!$D:$D,CONCATENATE($V20,"@",DH$7))=0,"",VLOOKUP(CONCATENATE($V20,"@",DH$7),choice!$D:$E,2,0)))</f>
        <v/>
      </c>
      <c r="DI20" s="83" t="str">
        <f>IF($V20="","",IF(COUNTIF(choice!$D:$D,CONCATENATE($V20,"@",DI$7))=0,"",VLOOKUP(CONCATENATE($V20,"@",DI$7),choice!$D:$E,2,0)))</f>
        <v/>
      </c>
      <c r="DJ20" s="83" t="str">
        <f>IF($V20="","",IF(COUNTIF(choice!$D:$D,CONCATENATE($V20,"@",DJ$7))=0,"",VLOOKUP(CONCATENATE($V20,"@",DJ$7),choice!$D:$E,2,0)))</f>
        <v/>
      </c>
      <c r="DK20" s="83" t="str">
        <f>IF($V20="","",IF(COUNTIF(choice!$D:$D,CONCATENATE($V20,"@",DK$7))=0,"",VLOOKUP(CONCATENATE($V20,"@",DK$7),choice!$D:$E,2,0)))</f>
        <v/>
      </c>
      <c r="DL20" s="83" t="str">
        <f>IF($V20="","",IF(COUNTIF(choice!$D:$D,CONCATENATE($V20,"@",DL$7))=0,"",VLOOKUP(CONCATENATE($V20,"@",DL$7),choice!$D:$E,2,0)))</f>
        <v/>
      </c>
      <c r="DM20" s="83" t="str">
        <f>IF($V20="","",IF(COUNTIF(choice!$D:$D,CONCATENATE($V20,"@",DM$7))=0,"",VLOOKUP(CONCATENATE($V20,"@",DM$7),choice!$D:$E,2,0)))</f>
        <v/>
      </c>
      <c r="DN20" s="83" t="str">
        <f>IF($V20="","",IF(COUNTIF(choice!$D:$D,CONCATENATE($V20,"@",DN$7))=0,"",VLOOKUP(CONCATENATE($V20,"@",DN$7),choice!$D:$E,2,0)))</f>
        <v/>
      </c>
      <c r="DO20" s="83" t="str">
        <f>IF($V20="","",IF(COUNTIF(choice!$D:$D,CONCATENATE($V20,"@",DO$7))=0,"",VLOOKUP(CONCATENATE($V20,"@",DO$7),choice!$D:$E,2,0)))</f>
        <v/>
      </c>
      <c r="DP20" s="83" t="str">
        <f>IF($V20="","",IF(COUNTIF(choice!$D:$D,CONCATENATE($V20,"@",DP$7))=0,"",VLOOKUP(CONCATENATE($V20,"@",DP$7),choice!$D:$E,2,0)))</f>
        <v/>
      </c>
      <c r="DQ20" s="83" t="str">
        <f>IF($V20="","",IF(COUNTIF(choice!$D:$D,CONCATENATE($V20,"@",DQ$7))=0,"",VLOOKUP(CONCATENATE($V20,"@",DQ$7),choice!$D:$E,2,0)))</f>
        <v/>
      </c>
      <c r="DR20" s="83" t="str">
        <f>IF($V20="","",IF(COUNTIF(choice!$D:$D,CONCATENATE($V20,"@",DR$7))=0,"",VLOOKUP(CONCATENATE($V20,"@",DR$7),choice!$D:$E,2,0)))</f>
        <v/>
      </c>
      <c r="DS20" s="83" t="str">
        <f>IF($V20="","",IF(COUNTIF(choice!$D:$D,CONCATENATE($V20,"@",DS$7))=0,"",VLOOKUP(CONCATENATE($V20,"@",DS$7),choice!$D:$E,2,0)))</f>
        <v/>
      </c>
      <c r="DT20" s="83" t="str">
        <f>IF($V20="","",IF(COUNTIF(choice!$D:$D,CONCATENATE($V20,"@",DT$7))=0,"",VLOOKUP(CONCATENATE($V20,"@",DT$7),choice!$D:$E,2,0)))</f>
        <v/>
      </c>
      <c r="DU20" s="83" t="str">
        <f>IF($V20="","",IF(COUNTIF(choice!$D:$D,CONCATENATE($V20,"@",DU$7))=0,"",VLOOKUP(CONCATENATE($V20,"@",DU$7),choice!$D:$E,2,0)))</f>
        <v/>
      </c>
      <c r="DV20" s="83" t="str">
        <f>IF($V20="","",IF(COUNTIF(choice!$D:$D,CONCATENATE($V20,"@",DV$7))=0,"",VLOOKUP(CONCATENATE($V20,"@",DV$7),choice!$D:$E,2,0)))</f>
        <v/>
      </c>
      <c r="DW20" s="83" t="str">
        <f>IF($V20="","",IF(COUNTIF(choice!$D:$D,CONCATENATE($V20,"@",DW$7))=0,"",VLOOKUP(CONCATENATE($V20,"@",DW$7),choice!$D:$E,2,0)))</f>
        <v/>
      </c>
      <c r="DX20" s="83" t="str">
        <f>IF($V20="","",IF(COUNTIF(choice!$D:$D,CONCATENATE($V20,"@",DX$7))=0,"",VLOOKUP(CONCATENATE($V20,"@",DX$7),choice!$D:$E,2,0)))</f>
        <v/>
      </c>
      <c r="DY20" s="83" t="str">
        <f>IF($V20="","",IF(COUNTIF(choice!$D:$D,CONCATENATE($V20,"@",DY$7))=0,"",VLOOKUP(CONCATENATE($V20,"@",DY$7),choice!$D:$E,2,0)))</f>
        <v/>
      </c>
      <c r="DZ20" s="83" t="str">
        <f>IF($V20="","",IF(COUNTIF(choice!$D:$D,CONCATENATE($V20,"@",DZ$7))=0,"",VLOOKUP(CONCATENATE($V20,"@",DZ$7),choice!$D:$E,2,0)))</f>
        <v/>
      </c>
      <c r="EA20" s="83" t="str">
        <f>IF($V20="","",IF(COUNTIF(choice!$D:$D,CONCATENATE($V20,"@",EA$7))=0,"",VLOOKUP(CONCATENATE($V20,"@",EA$7),choice!$D:$E,2,0)))</f>
        <v/>
      </c>
      <c r="EB20" s="83" t="str">
        <f>IF($V20="","",IF(COUNTIF(choice!$D:$D,CONCATENATE($V20,"@",EB$7))=0,"",VLOOKUP(CONCATENATE($V20,"@",EB$7),choice!$D:$E,2,0)))</f>
        <v/>
      </c>
      <c r="EC20" s="84" t="str">
        <f>IF($V20="","",IF(COUNTIF(choice!$D:$D,CONCATENATE($V20,"@",EC$7))=0,"",VLOOKUP(CONCATENATE($V20,"@",EC$7),choice!$D:$E,2,0)))</f>
        <v/>
      </c>
      <c r="ED20" s="82" t="str">
        <f>IF($W20="","",IF(COUNTIF(choice!$D:$D,CONCATENATE($W20,"@",ED$7))=0,"",VLOOKUP(CONCATENATE($W20,"@",ED$7),choice!$D:$E,2,0)))</f>
        <v/>
      </c>
      <c r="EE20" s="83" t="str">
        <f>IF($W20="","",IF(COUNTIF(choice!$D:$D,CONCATENATE($W20,"@",EE$7))=0,"",VLOOKUP(CONCATENATE($W20,"@",EE$7),choice!$D:$E,2,0)))</f>
        <v/>
      </c>
      <c r="EF20" s="83" t="str">
        <f>IF($W20="","",IF(COUNTIF(choice!$D:$D,CONCATENATE($W20,"@",EF$7))=0,"",VLOOKUP(CONCATENATE($W20,"@",EF$7),choice!$D:$E,2,0)))</f>
        <v/>
      </c>
      <c r="EG20" s="83" t="str">
        <f>IF($W20="","",IF(COUNTIF(choice!$D:$D,CONCATENATE($W20,"@",EG$7))=0,"",VLOOKUP(CONCATENATE($W20,"@",EG$7),choice!$D:$E,2,0)))</f>
        <v/>
      </c>
      <c r="EH20" s="83" t="str">
        <f>IF($W20="","",IF(COUNTIF(choice!$D:$D,CONCATENATE($W20,"@",EH$7))=0,"",VLOOKUP(CONCATENATE($W20,"@",EH$7),choice!$D:$E,2,0)))</f>
        <v/>
      </c>
      <c r="EI20" s="83" t="str">
        <f>IF($W20="","",IF(COUNTIF(choice!$D:$D,CONCATENATE($W20,"@",EI$7))=0,"",VLOOKUP(CONCATENATE($W20,"@",EI$7),choice!$D:$E,2,0)))</f>
        <v/>
      </c>
      <c r="EJ20" s="83" t="str">
        <f>IF($W20="","",IF(COUNTIF(choice!$D:$D,CONCATENATE($W20,"@",EJ$7))=0,"",VLOOKUP(CONCATENATE($W20,"@",EJ$7),choice!$D:$E,2,0)))</f>
        <v/>
      </c>
      <c r="EK20" s="83" t="str">
        <f>IF($W20="","",IF(COUNTIF(choice!$D:$D,CONCATENATE($W20,"@",EK$7))=0,"",VLOOKUP(CONCATENATE($W20,"@",EK$7),choice!$D:$E,2,0)))</f>
        <v/>
      </c>
      <c r="EL20" s="83" t="str">
        <f>IF($W20="","",IF(COUNTIF(choice!$D:$D,CONCATENATE($W20,"@",EL$7))=0,"",VLOOKUP(CONCATENATE($W20,"@",EL$7),choice!$D:$E,2,0)))</f>
        <v/>
      </c>
      <c r="EM20" s="83" t="str">
        <f>IF($W20="","",IF(COUNTIF(choice!$D:$D,CONCATENATE($W20,"@",EM$7))=0,"",VLOOKUP(CONCATENATE($W20,"@",EM$7),choice!$D:$E,2,0)))</f>
        <v/>
      </c>
      <c r="EN20" s="83" t="str">
        <f>IF($W20="","",IF(COUNTIF(choice!$D:$D,CONCATENATE($W20,"@",EN$7))=0,"",VLOOKUP(CONCATENATE($W20,"@",EN$7),choice!$D:$E,2,0)))</f>
        <v/>
      </c>
      <c r="EO20" s="83" t="str">
        <f>IF($W20="","",IF(COUNTIF(choice!$D:$D,CONCATENATE($W20,"@",EO$7))=0,"",VLOOKUP(CONCATENATE($W20,"@",EO$7),choice!$D:$E,2,0)))</f>
        <v/>
      </c>
      <c r="EP20" s="83" t="str">
        <f>IF($W20="","",IF(COUNTIF(choice!$D:$D,CONCATENATE($W20,"@",EP$7))=0,"",VLOOKUP(CONCATENATE($W20,"@",EP$7),choice!$D:$E,2,0)))</f>
        <v/>
      </c>
      <c r="EQ20" s="83" t="str">
        <f>IF($W20="","",IF(COUNTIF(choice!$D:$D,CONCATENATE($W20,"@",EQ$7))=0,"",VLOOKUP(CONCATENATE($W20,"@",EQ$7),choice!$D:$E,2,0)))</f>
        <v/>
      </c>
      <c r="ER20" s="83" t="str">
        <f>IF($W20="","",IF(COUNTIF(choice!$D:$D,CONCATENATE($W20,"@",ER$7))=0,"",VLOOKUP(CONCATENATE($W20,"@",ER$7),choice!$D:$E,2,0)))</f>
        <v/>
      </c>
      <c r="ES20" s="83" t="str">
        <f>IF($W20="","",IF(COUNTIF(choice!$D:$D,CONCATENATE($W20,"@",ES$7))=0,"",VLOOKUP(CONCATENATE($W20,"@",ES$7),choice!$D:$E,2,0)))</f>
        <v/>
      </c>
      <c r="ET20" s="83" t="str">
        <f>IF($W20="","",IF(COUNTIF(choice!$D:$D,CONCATENATE($W20,"@",ET$7))=0,"",VLOOKUP(CONCATENATE($W20,"@",ET$7),choice!$D:$E,2,0)))</f>
        <v/>
      </c>
      <c r="EU20" s="83" t="str">
        <f>IF($W20="","",IF(COUNTIF(choice!$D:$D,CONCATENATE($W20,"@",EU$7))=0,"",VLOOKUP(CONCATENATE($W20,"@",EU$7),choice!$D:$E,2,0)))</f>
        <v/>
      </c>
      <c r="EV20" s="83" t="str">
        <f>IF($W20="","",IF(COUNTIF(choice!$D:$D,CONCATENATE($W20,"@",EV$7))=0,"",VLOOKUP(CONCATENATE($W20,"@",EV$7),choice!$D:$E,2,0)))</f>
        <v/>
      </c>
      <c r="EW20" s="83" t="str">
        <f>IF($W20="","",IF(COUNTIF(choice!$D:$D,CONCATENATE($W20,"@",EW$7))=0,"",VLOOKUP(CONCATENATE($W20,"@",EW$7),choice!$D:$E,2,0)))</f>
        <v/>
      </c>
      <c r="EX20" s="83" t="str">
        <f>IF($W20="","",IF(COUNTIF(choice!$D:$D,CONCATENATE($W20,"@",EX$7))=0,"",VLOOKUP(CONCATENATE($W20,"@",EX$7),choice!$D:$E,2,0)))</f>
        <v/>
      </c>
      <c r="EY20" s="83" t="str">
        <f>IF($W20="","",IF(COUNTIF(choice!$D:$D,CONCATENATE($W20,"@",EY$7))=0,"",VLOOKUP(CONCATENATE($W20,"@",EY$7),choice!$D:$E,2,0)))</f>
        <v/>
      </c>
      <c r="EZ20" s="83" t="str">
        <f>IF($W20="","",IF(COUNTIF(choice!$D:$D,CONCATENATE($W20,"@",EZ$7))=0,"",VLOOKUP(CONCATENATE($W20,"@",EZ$7),choice!$D:$E,2,0)))</f>
        <v/>
      </c>
      <c r="FA20" s="83" t="str">
        <f>IF($W20="","",IF(COUNTIF(choice!$D:$D,CONCATENATE($W20,"@",FA$7))=0,"",VLOOKUP(CONCATENATE($W20,"@",FA$7),choice!$D:$E,2,0)))</f>
        <v/>
      </c>
      <c r="FB20" s="83" t="str">
        <f>IF($W20="","",IF(COUNTIF(choice!$D:$D,CONCATENATE($W20,"@",FB$7))=0,"",VLOOKUP(CONCATENATE($W20,"@",FB$7),choice!$D:$E,2,0)))</f>
        <v/>
      </c>
      <c r="FC20" s="83" t="str">
        <f>IF($W20="","",IF(COUNTIF(choice!$D:$D,CONCATENATE($W20,"@",FC$7))=0,"",VLOOKUP(CONCATENATE($W20,"@",FC$7),choice!$D:$E,2,0)))</f>
        <v/>
      </c>
      <c r="FD20" s="83" t="str">
        <f>IF($W20="","",IF(COUNTIF(choice!$D:$D,CONCATENATE($W20,"@",FD$7))=0,"",VLOOKUP(CONCATENATE($W20,"@",FD$7),choice!$D:$E,2,0)))</f>
        <v/>
      </c>
      <c r="FE20" s="83" t="str">
        <f>IF($W20="","",IF(COUNTIF(choice!$D:$D,CONCATENATE($W20,"@",FE$7))=0,"",VLOOKUP(CONCATENATE($W20,"@",FE$7),choice!$D:$E,2,0)))</f>
        <v/>
      </c>
      <c r="FF20" s="83" t="str">
        <f>IF($W20="","",IF(COUNTIF(choice!$D:$D,CONCATENATE($W20,"@",FF$7))=0,"",VLOOKUP(CONCATENATE($W20,"@",FF$7),choice!$D:$E,2,0)))</f>
        <v/>
      </c>
      <c r="FG20" s="83" t="str">
        <f>IF($W20="","",IF(COUNTIF(choice!$D:$D,CONCATENATE($W20,"@",FG$7))=0,"",VLOOKUP(CONCATENATE($W20,"@",FG$7),choice!$D:$E,2,0)))</f>
        <v/>
      </c>
      <c r="FH20" s="83" t="str">
        <f>IF($W20="","",IF(COUNTIF(choice!$D:$D,CONCATENATE($W20,"@",FH$7))=0,"",VLOOKUP(CONCATENATE($W20,"@",FH$7),choice!$D:$E,2,0)))</f>
        <v/>
      </c>
      <c r="FI20" s="83" t="str">
        <f>IF($W20="","",IF(COUNTIF(choice!$D:$D,CONCATENATE($W20,"@",FI$7))=0,"",VLOOKUP(CONCATENATE($W20,"@",FI$7),choice!$D:$E,2,0)))</f>
        <v/>
      </c>
      <c r="FJ20" s="83" t="str">
        <f>IF($W20="","",IF(COUNTIF(choice!$D:$D,CONCATENATE($W20,"@",FJ$7))=0,"",VLOOKUP(CONCATENATE($W20,"@",FJ$7),choice!$D:$E,2,0)))</f>
        <v/>
      </c>
      <c r="FK20" s="83" t="str">
        <f>IF($W20="","",IF(COUNTIF(choice!$D:$D,CONCATENATE($W20,"@",FK$7))=0,"",VLOOKUP(CONCATENATE($W20,"@",FK$7),choice!$D:$E,2,0)))</f>
        <v/>
      </c>
      <c r="FL20" s="83" t="str">
        <f>IF($W20="","",IF(COUNTIF(choice!$D:$D,CONCATENATE($W20,"@",FL$7))=0,"",VLOOKUP(CONCATENATE($W20,"@",FL$7),choice!$D:$E,2,0)))</f>
        <v/>
      </c>
      <c r="FM20" s="83" t="str">
        <f>IF($W20="","",IF(COUNTIF(choice!$D:$D,CONCATENATE($W20,"@",FM$7))=0,"",VLOOKUP(CONCATENATE($W20,"@",FM$7),choice!$D:$E,2,0)))</f>
        <v/>
      </c>
      <c r="FN20" s="83" t="str">
        <f>IF($W20="","",IF(COUNTIF(choice!$D:$D,CONCATENATE($W20,"@",FN$7))=0,"",VLOOKUP(CONCATENATE($W20,"@",FN$7),choice!$D:$E,2,0)))</f>
        <v/>
      </c>
      <c r="FO20" s="83" t="str">
        <f>IF($W20="","",IF(COUNTIF(choice!$D:$D,CONCATENATE($W20,"@",FO$7))=0,"",VLOOKUP(CONCATENATE($W20,"@",FO$7),choice!$D:$E,2,0)))</f>
        <v/>
      </c>
      <c r="FP20" s="83" t="str">
        <f>IF($W20="","",IF(COUNTIF(choice!$D:$D,CONCATENATE($W20,"@",FP$7))=0,"",VLOOKUP(CONCATENATE($W20,"@",FP$7),choice!$D:$E,2,0)))</f>
        <v/>
      </c>
      <c r="FQ20" s="83" t="str">
        <f>IF($W20="","",IF(COUNTIF(choice!$D:$D,CONCATENATE($W20,"@",FQ$7))=0,"",VLOOKUP(CONCATENATE($W20,"@",FQ$7),choice!$D:$E,2,0)))</f>
        <v/>
      </c>
      <c r="FR20" s="83" t="str">
        <f>IF($W20="","",IF(COUNTIF(choice!$D:$D,CONCATENATE($W20,"@",FR$7))=0,"",VLOOKUP(CONCATENATE($W20,"@",FR$7),choice!$D:$E,2,0)))</f>
        <v/>
      </c>
      <c r="FS20" s="83" t="str">
        <f>IF($W20="","",IF(COUNTIF(choice!$D:$D,CONCATENATE($W20,"@",FS$7))=0,"",VLOOKUP(CONCATENATE($W20,"@",FS$7),choice!$D:$E,2,0)))</f>
        <v/>
      </c>
      <c r="FT20" s="83" t="str">
        <f>IF($W20="","",IF(COUNTIF(choice!$D:$D,CONCATENATE($W20,"@",FT$7))=0,"",VLOOKUP(CONCATENATE($W20,"@",FT$7),choice!$D:$E,2,0)))</f>
        <v/>
      </c>
      <c r="FU20" s="83" t="str">
        <f>IF($W20="","",IF(COUNTIF(choice!$D:$D,CONCATENATE($W20,"@",FU$7))=0,"",VLOOKUP(CONCATENATE($W20,"@",FU$7),choice!$D:$E,2,0)))</f>
        <v/>
      </c>
      <c r="FV20" s="84" t="str">
        <f>IF($W20="","",IF(COUNTIF(choice!$D:$D,CONCATENATE($W20,"@",FV$7))=0,"",VLOOKUP(CONCATENATE($W20,"@",FV$7),choice!$D:$E,2,0)))</f>
        <v/>
      </c>
      <c r="FW20" s="82" t="str">
        <f>IF($X20="","",IF(COUNTIF(choice!$D:$D,CONCATENATE($X20,"@",FW$7))=0,"",VLOOKUP(CONCATENATE($X20,"@",FW$7),choice!$D:$E,2,0)))</f>
        <v/>
      </c>
      <c r="FX20" s="83" t="str">
        <f>IF($X20="","",IF(COUNTIF(choice!$D:$D,CONCATENATE($X20,"@",FX$7))=0,"",VLOOKUP(CONCATENATE($X20,"@",FX$7),choice!$D:$E,2,0)))</f>
        <v/>
      </c>
      <c r="FY20" s="83" t="str">
        <f>IF($X20="","",IF(COUNTIF(choice!$D:$D,CONCATENATE($X20,"@",FY$7))=0,"",VLOOKUP(CONCATENATE($X20,"@",FY$7),choice!$D:$E,2,0)))</f>
        <v/>
      </c>
      <c r="FZ20" s="83" t="str">
        <f>IF($X20="","",IF(COUNTIF(choice!$D:$D,CONCATENATE($X20,"@",FZ$7))=0,"",VLOOKUP(CONCATENATE($X20,"@",FZ$7),choice!$D:$E,2,0)))</f>
        <v/>
      </c>
      <c r="GA20" s="83" t="str">
        <f>IF($X20="","",IF(COUNTIF(choice!$D:$D,CONCATENATE($X20,"@",GA$7))=0,"",VLOOKUP(CONCATENATE($X20,"@",GA$7),choice!$D:$E,2,0)))</f>
        <v/>
      </c>
      <c r="GB20" s="83" t="str">
        <f>IF($X20="","",IF(COUNTIF(choice!$D:$D,CONCATENATE($X20,"@",GB$7))=0,"",VLOOKUP(CONCATENATE($X20,"@",GB$7),choice!$D:$E,2,0)))</f>
        <v/>
      </c>
      <c r="GC20" s="83" t="str">
        <f>IF($X20="","",IF(COUNTIF(choice!$D:$D,CONCATENATE($X20,"@",GC$7))=0,"",VLOOKUP(CONCATENATE($X20,"@",GC$7),choice!$D:$E,2,0)))</f>
        <v/>
      </c>
      <c r="GD20" s="83" t="str">
        <f>IF($X20="","",IF(COUNTIF(choice!$D:$D,CONCATENATE($X20,"@",GD$7))=0,"",VLOOKUP(CONCATENATE($X20,"@",GD$7),choice!$D:$E,2,0)))</f>
        <v/>
      </c>
      <c r="GE20" s="83" t="str">
        <f>IF($X20="","",IF(COUNTIF(choice!$D:$D,CONCATENATE($X20,"@",GE$7))=0,"",VLOOKUP(CONCATENATE($X20,"@",GE$7),choice!$D:$E,2,0)))</f>
        <v/>
      </c>
      <c r="GF20" s="83" t="str">
        <f>IF($X20="","",IF(COUNTIF(choice!$D:$D,CONCATENATE($X20,"@",GF$7))=0,"",VLOOKUP(CONCATENATE($X20,"@",GF$7),choice!$D:$E,2,0)))</f>
        <v/>
      </c>
      <c r="GG20" s="83" t="str">
        <f>IF($X20="","",IF(COUNTIF(choice!$D:$D,CONCATENATE($X20,"@",GG$7))=0,"",VLOOKUP(CONCATENATE($X20,"@",GG$7),choice!$D:$E,2,0)))</f>
        <v/>
      </c>
      <c r="GH20" s="83" t="str">
        <f>IF($X20="","",IF(COUNTIF(choice!$D:$D,CONCATENATE($X20,"@",GH$7))=0,"",VLOOKUP(CONCATENATE($X20,"@",GH$7),choice!$D:$E,2,0)))</f>
        <v/>
      </c>
      <c r="GI20" s="83" t="str">
        <f>IF($X20="","",IF(COUNTIF(choice!$D:$D,CONCATENATE($X20,"@",GI$7))=0,"",VLOOKUP(CONCATENATE($X20,"@",GI$7),choice!$D:$E,2,0)))</f>
        <v/>
      </c>
      <c r="GJ20" s="83" t="str">
        <f>IF($X20="","",IF(COUNTIF(choice!$D:$D,CONCATENATE($X20,"@",GJ$7))=0,"",VLOOKUP(CONCATENATE($X20,"@",GJ$7),choice!$D:$E,2,0)))</f>
        <v/>
      </c>
      <c r="GK20" s="83" t="str">
        <f>IF($X20="","",IF(COUNTIF(choice!$D:$D,CONCATENATE($X20,"@",GK$7))=0,"",VLOOKUP(CONCATENATE($X20,"@",GK$7),choice!$D:$E,2,0)))</f>
        <v/>
      </c>
      <c r="GL20" s="83" t="str">
        <f>IF($X20="","",IF(COUNTIF(choice!$D:$D,CONCATENATE($X20,"@",GL$7))=0,"",VLOOKUP(CONCATENATE($X20,"@",GL$7),choice!$D:$E,2,0)))</f>
        <v/>
      </c>
      <c r="GM20" s="83" t="str">
        <f>IF($X20="","",IF(COUNTIF(choice!$D:$D,CONCATENATE($X20,"@",GM$7))=0,"",VLOOKUP(CONCATENATE($X20,"@",GM$7),choice!$D:$E,2,0)))</f>
        <v/>
      </c>
      <c r="GN20" s="83" t="str">
        <f>IF($X20="","",IF(COUNTIF(choice!$D:$D,CONCATENATE($X20,"@",GN$7))=0,"",VLOOKUP(CONCATENATE($X20,"@",GN$7),choice!$D:$E,2,0)))</f>
        <v/>
      </c>
      <c r="GO20" s="83" t="str">
        <f>IF($X20="","",IF(COUNTIF(choice!$D:$D,CONCATENATE($X20,"@",GO$7))=0,"",VLOOKUP(CONCATENATE($X20,"@",GO$7),choice!$D:$E,2,0)))</f>
        <v/>
      </c>
      <c r="GP20" s="83" t="str">
        <f>IF($X20="","",IF(COUNTIF(choice!$D:$D,CONCATENATE($X20,"@",GP$7))=0,"",VLOOKUP(CONCATENATE($X20,"@",GP$7),choice!$D:$E,2,0)))</f>
        <v/>
      </c>
      <c r="GQ20" s="83" t="str">
        <f>IF($X20="","",IF(COUNTIF(choice!$D:$D,CONCATENATE($X20,"@",GQ$7))=0,"",VLOOKUP(CONCATENATE($X20,"@",GQ$7),choice!$D:$E,2,0)))</f>
        <v/>
      </c>
      <c r="GR20" s="83" t="str">
        <f>IF($X20="","",IF(COUNTIF(choice!$D:$D,CONCATENATE($X20,"@",GR$7))=0,"",VLOOKUP(CONCATENATE($X20,"@",GR$7),choice!$D:$E,2,0)))</f>
        <v/>
      </c>
      <c r="GS20" s="83" t="str">
        <f>IF($X20="","",IF(COUNTIF(choice!$D:$D,CONCATENATE($X20,"@",GS$7))=0,"",VLOOKUP(CONCATENATE($X20,"@",GS$7),choice!$D:$E,2,0)))</f>
        <v/>
      </c>
      <c r="GT20" s="83" t="str">
        <f>IF($X20="","",IF(COUNTIF(choice!$D:$D,CONCATENATE($X20,"@",GT$7))=0,"",VLOOKUP(CONCATENATE($X20,"@",GT$7),choice!$D:$E,2,0)))</f>
        <v/>
      </c>
      <c r="GU20" s="83" t="str">
        <f>IF($X20="","",IF(COUNTIF(choice!$D:$D,CONCATENATE($X20,"@",GU$7))=0,"",VLOOKUP(CONCATENATE($X20,"@",GU$7),choice!$D:$E,2,0)))</f>
        <v/>
      </c>
      <c r="GV20" s="83" t="str">
        <f>IF($X20="","",IF(COUNTIF(choice!$D:$D,CONCATENATE($X20,"@",GV$7))=0,"",VLOOKUP(CONCATENATE($X20,"@",GV$7),choice!$D:$E,2,0)))</f>
        <v/>
      </c>
      <c r="GW20" s="83" t="str">
        <f>IF($X20="","",IF(COUNTIF(choice!$D:$D,CONCATENATE($X20,"@",GW$7))=0,"",VLOOKUP(CONCATENATE($X20,"@",GW$7),choice!$D:$E,2,0)))</f>
        <v/>
      </c>
      <c r="GX20" s="83" t="str">
        <f>IF($X20="","",IF(COUNTIF(choice!$D:$D,CONCATENATE($X20,"@",GX$7))=0,"",VLOOKUP(CONCATENATE($X20,"@",GX$7),choice!$D:$E,2,0)))</f>
        <v/>
      </c>
      <c r="GY20" s="83" t="str">
        <f>IF($X20="","",IF(COUNTIF(choice!$D:$D,CONCATENATE($X20,"@",GY$7))=0,"",VLOOKUP(CONCATENATE($X20,"@",GY$7),choice!$D:$E,2,0)))</f>
        <v/>
      </c>
      <c r="GZ20" s="83" t="str">
        <f>IF($X20="","",IF(COUNTIF(choice!$D:$D,CONCATENATE($X20,"@",GZ$7))=0,"",VLOOKUP(CONCATENATE($X20,"@",GZ$7),choice!$D:$E,2,0)))</f>
        <v/>
      </c>
      <c r="HA20" s="83" t="str">
        <f>IF($X20="","",IF(COUNTIF(choice!$D:$D,CONCATENATE($X20,"@",HA$7))=0,"",VLOOKUP(CONCATENATE($X20,"@",HA$7),choice!$D:$E,2,0)))</f>
        <v/>
      </c>
      <c r="HB20" s="83" t="str">
        <f>IF($X20="","",IF(COUNTIF(choice!$D:$D,CONCATENATE($X20,"@",HB$7))=0,"",VLOOKUP(CONCATENATE($X20,"@",HB$7),choice!$D:$E,2,0)))</f>
        <v/>
      </c>
      <c r="HC20" s="83" t="str">
        <f>IF($X20="","",IF(COUNTIF(choice!$D:$D,CONCATENATE($X20,"@",HC$7))=0,"",VLOOKUP(CONCATENATE($X20,"@",HC$7),choice!$D:$E,2,0)))</f>
        <v/>
      </c>
      <c r="HD20" s="83" t="str">
        <f>IF($X20="","",IF(COUNTIF(choice!$D:$D,CONCATENATE($X20,"@",HD$7))=0,"",VLOOKUP(CONCATENATE($X20,"@",HD$7),choice!$D:$E,2,0)))</f>
        <v/>
      </c>
      <c r="HE20" s="83" t="str">
        <f>IF($X20="","",IF(COUNTIF(choice!$D:$D,CONCATENATE($X20,"@",HE$7))=0,"",VLOOKUP(CONCATENATE($X20,"@",HE$7),choice!$D:$E,2,0)))</f>
        <v/>
      </c>
      <c r="HF20" s="83" t="str">
        <f>IF($X20="","",IF(COUNTIF(choice!$D:$D,CONCATENATE($X20,"@",HF$7))=0,"",VLOOKUP(CONCATENATE($X20,"@",HF$7),choice!$D:$E,2,0)))</f>
        <v/>
      </c>
      <c r="HG20" s="83" t="str">
        <f>IF($X20="","",IF(COUNTIF(choice!$D:$D,CONCATENATE($X20,"@",HG$7))=0,"",VLOOKUP(CONCATENATE($X20,"@",HG$7),choice!$D:$E,2,0)))</f>
        <v/>
      </c>
      <c r="HH20" s="83" t="str">
        <f>IF($X20="","",IF(COUNTIF(choice!$D:$D,CONCATENATE($X20,"@",HH$7))=0,"",VLOOKUP(CONCATENATE($X20,"@",HH$7),choice!$D:$E,2,0)))</f>
        <v/>
      </c>
      <c r="HI20" s="83" t="str">
        <f>IF($X20="","",IF(COUNTIF(choice!$D:$D,CONCATENATE($X20,"@",HI$7))=0,"",VLOOKUP(CONCATENATE($X20,"@",HI$7),choice!$D:$E,2,0)))</f>
        <v/>
      </c>
      <c r="HJ20" s="83" t="str">
        <f>IF($X20="","",IF(COUNTIF(choice!$D:$D,CONCATENATE($X20,"@",HJ$7))=0,"",VLOOKUP(CONCATENATE($X20,"@",HJ$7),choice!$D:$E,2,0)))</f>
        <v/>
      </c>
      <c r="HK20" s="83" t="str">
        <f>IF($X20="","",IF(COUNTIF(choice!$D:$D,CONCATENATE($X20,"@",HK$7))=0,"",VLOOKUP(CONCATENATE($X20,"@",HK$7),choice!$D:$E,2,0)))</f>
        <v/>
      </c>
      <c r="HL20" s="83" t="str">
        <f>IF($X20="","",IF(COUNTIF(choice!$D:$D,CONCATENATE($X20,"@",HL$7))=0,"",VLOOKUP(CONCATENATE($X20,"@",HL$7),choice!$D:$E,2,0)))</f>
        <v/>
      </c>
      <c r="HM20" s="83" t="str">
        <f>IF($X20="","",IF(COUNTIF(choice!$D:$D,CONCATENATE($X20,"@",HM$7))=0,"",VLOOKUP(CONCATENATE($X20,"@",HM$7),choice!$D:$E,2,0)))</f>
        <v/>
      </c>
      <c r="HN20" s="83" t="str">
        <f>IF($X20="","",IF(COUNTIF(choice!$D:$D,CONCATENATE($X20,"@",HN$7))=0,"",VLOOKUP(CONCATENATE($X20,"@",HN$7),choice!$D:$E,2,0)))</f>
        <v/>
      </c>
      <c r="HO20" s="84" t="str">
        <f>IF($X20="","",IF(COUNTIF(choice!$D:$D,CONCATENATE($X20,"@",HO$7))=0,"",VLOOKUP(CONCATENATE($X20,"@",HO$7),choice!$D:$E,2,0)))</f>
        <v/>
      </c>
      <c r="HP20" s="20" t="s">
        <v>75</v>
      </c>
      <c r="HQ20" s="20" t="s">
        <v>76</v>
      </c>
      <c r="HV20" s="74">
        <f t="shared" si="20"/>
        <v>0</v>
      </c>
      <c r="HW20" s="74">
        <f t="shared" si="21"/>
        <v>0</v>
      </c>
      <c r="HX20" s="74">
        <f t="shared" si="22"/>
        <v>0</v>
      </c>
      <c r="HY20" s="74">
        <f t="shared" si="23"/>
        <v>0</v>
      </c>
      <c r="HZ20" s="74">
        <f t="shared" si="30"/>
        <v>0</v>
      </c>
      <c r="IA20" s="74">
        <f t="shared" si="30"/>
        <v>0</v>
      </c>
      <c r="IB20" s="74" t="str">
        <f t="shared" si="31"/>
        <v/>
      </c>
      <c r="IC20" s="74" t="str">
        <f t="shared" si="32"/>
        <v/>
      </c>
      <c r="ID20" s="74" t="str">
        <f t="shared" si="24"/>
        <v/>
      </c>
      <c r="IE20" s="74">
        <f t="shared" si="25"/>
        <v>26</v>
      </c>
      <c r="IF20" s="74">
        <f>COUNTIFS(ID$8:ID20,"BLUE")</f>
        <v>0</v>
      </c>
      <c r="IG20" s="74" t="str">
        <f t="shared" si="26"/>
        <v/>
      </c>
      <c r="IH20" s="74" t="str">
        <f>IF(COUNTIFS($AQ20,"*02*")=0,"",COUNTIFS(IJ$8:IJ20,"BLUE"))</f>
        <v/>
      </c>
      <c r="II20" s="74" t="str">
        <f>IF(COUNTIFS($AQ20,"*04*")=0,"",COUNTIFS(IK$8:IK20,"BLUE"))</f>
        <v/>
      </c>
      <c r="IJ20" s="74" t="str">
        <f t="shared" si="33"/>
        <v/>
      </c>
      <c r="IK20" s="74" t="str">
        <f t="shared" si="34"/>
        <v/>
      </c>
      <c r="IL20" s="74" t="str">
        <f t="shared" si="27"/>
        <v/>
      </c>
      <c r="IM20" s="74" t="str">
        <f t="shared" si="28"/>
        <v/>
      </c>
      <c r="IN20" s="74">
        <f>COUNTIFS(IJ$8:IJ20,"BLUE")</f>
        <v>0</v>
      </c>
      <c r="IO20" s="74">
        <f>COUNTIFS(IK$8:IK20,"BLUE")</f>
        <v>0</v>
      </c>
    </row>
    <row r="21" spans="1:249" s="2" customFormat="1" ht="15.75" customHeight="1" thickTop="1">
      <c r="B21" s="14" t="s">
        <v>77</v>
      </c>
      <c r="C21" s="12" t="s">
        <v>100</v>
      </c>
      <c r="D21" s="204" t="s">
        <v>79</v>
      </c>
      <c r="E21" s="204"/>
      <c r="F21" s="204"/>
      <c r="G21" s="204"/>
      <c r="H21" s="204"/>
      <c r="I21" s="204"/>
      <c r="J21" s="204"/>
      <c r="K21" s="204"/>
      <c r="HP21" s="2" t="s">
        <v>80</v>
      </c>
      <c r="HQ21" s="2" t="s">
        <v>81</v>
      </c>
      <c r="HR21" s="2" t="s">
        <v>82</v>
      </c>
      <c r="HS21" s="2" t="s">
        <v>83</v>
      </c>
      <c r="HV21" s="74">
        <f t="shared" si="20"/>
        <v>0</v>
      </c>
      <c r="HW21" s="74">
        <f t="shared" si="21"/>
        <v>0</v>
      </c>
      <c r="HX21" s="74">
        <f t="shared" si="22"/>
        <v>0</v>
      </c>
      <c r="HY21" s="74">
        <f t="shared" si="23"/>
        <v>0</v>
      </c>
      <c r="HZ21" s="74">
        <f t="shared" si="30"/>
        <v>0</v>
      </c>
      <c r="IA21" s="74">
        <f t="shared" si="30"/>
        <v>0</v>
      </c>
      <c r="IB21" s="74" t="str">
        <f t="shared" ref="IB21" si="37">IF(RIGHT(I21,4)="E AV",IF(HZ20=0,"","SPAD"),IF(RIGHT(I21,4)="E DT",IF(IA20=0,"","SPAD"),""))</f>
        <v/>
      </c>
    </row>
    <row r="22" spans="1:249" s="2" customFormat="1" ht="25.5" customHeight="1">
      <c r="C22" s="60" t="s">
        <v>84</v>
      </c>
      <c r="D22" s="204" t="s">
        <v>85</v>
      </c>
      <c r="E22" s="204"/>
      <c r="F22" s="204"/>
      <c r="G22" s="204"/>
      <c r="H22" s="204"/>
      <c r="I22" s="3"/>
      <c r="J22" s="3"/>
      <c r="K22" s="13"/>
      <c r="L22" s="4"/>
      <c r="HP22" s="20" t="s">
        <v>86</v>
      </c>
      <c r="HQ22" s="20" t="s">
        <v>87</v>
      </c>
    </row>
    <row r="23" spans="1:249" ht="14.25" customHeight="1">
      <c r="B23" s="3"/>
      <c r="C23" s="3"/>
      <c r="D23" s="204" t="str">
        <f>CONCATENATE(IF(IN20=0,"",CONCATENATE("項目",IL8,IL9,IL10,IL11,IL12,IL13,IL14,IL15,IL16,IL17,IL18,IL19,IL20,"需獲SHD02藍燈授權到SHD01或SHD03附近鈎接")),IF(IN20=0,"","          "),IF(IO20=0,"",CONCATENATE("項目",IM8,IM9,IM10,IM11,IM12,IM13,IM14,IM15,IM16,IM17,IM18,IM19,IM20,"需獲SHD04藍燈授權到SHD01或SHD03附近鈎接")))</f>
        <v/>
      </c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  <c r="HP23" s="20" t="s">
        <v>88</v>
      </c>
      <c r="HQ23" s="20" t="s">
        <v>89</v>
      </c>
    </row>
    <row r="24" spans="1:249">
      <c r="B24" s="2"/>
      <c r="D24" s="3"/>
      <c r="E24" s="2"/>
      <c r="G24" s="3"/>
      <c r="J24" s="3"/>
      <c r="L24" s="4"/>
      <c r="M24" s="5"/>
      <c r="N24" s="5"/>
      <c r="O24" s="5"/>
      <c r="P24" s="5"/>
      <c r="Q24" s="5"/>
      <c r="R24" s="5"/>
      <c r="S24" s="5"/>
    </row>
    <row r="25" spans="1:249">
      <c r="B25" s="2"/>
      <c r="D25" s="3"/>
      <c r="E25" s="2"/>
      <c r="G25" s="3"/>
      <c r="J25" s="3"/>
      <c r="L25" s="4"/>
      <c r="M25" s="5"/>
      <c r="N25" s="5"/>
      <c r="O25" s="5"/>
      <c r="P25" s="5"/>
      <c r="Q25" s="5"/>
      <c r="R25" s="5"/>
      <c r="S25" s="5"/>
    </row>
    <row r="26" spans="1:249">
      <c r="B26" s="2"/>
      <c r="D26" s="3"/>
      <c r="E26" s="2"/>
      <c r="G26" s="3"/>
      <c r="J26" s="3"/>
      <c r="L26" s="4"/>
      <c r="M26" s="5"/>
      <c r="N26" s="5"/>
      <c r="O26" s="5"/>
      <c r="P26" s="5"/>
      <c r="Q26" s="5"/>
      <c r="R26" s="5"/>
      <c r="S26" s="5"/>
    </row>
    <row r="27" spans="1:249">
      <c r="B27" s="2"/>
      <c r="D27" s="3"/>
      <c r="E27" s="2"/>
      <c r="G27" s="3"/>
      <c r="J27" s="3"/>
      <c r="L27" s="4"/>
      <c r="M27" s="5"/>
      <c r="N27" s="5"/>
      <c r="O27" s="5"/>
      <c r="P27" s="5"/>
      <c r="Q27" s="5"/>
      <c r="R27" s="5"/>
      <c r="S27" s="5"/>
    </row>
    <row r="28" spans="1:249">
      <c r="B28" s="2"/>
      <c r="D28" s="3"/>
      <c r="E28" s="2"/>
      <c r="G28" s="3"/>
      <c r="J28" s="3"/>
      <c r="L28" s="4"/>
      <c r="M28" s="5"/>
      <c r="N28" s="5"/>
      <c r="O28" s="5"/>
      <c r="P28" s="5"/>
      <c r="Q28" s="5"/>
      <c r="R28" s="5"/>
      <c r="S28" s="5"/>
    </row>
    <row r="29" spans="1:249">
      <c r="B29" s="2"/>
      <c r="D29" s="3"/>
      <c r="E29" s="2"/>
      <c r="G29" s="3"/>
      <c r="J29" s="3"/>
      <c r="L29" s="4"/>
      <c r="M29" s="5"/>
      <c r="N29" s="5"/>
      <c r="O29" s="5"/>
      <c r="P29" s="5"/>
      <c r="Q29" s="5"/>
      <c r="R29" s="5"/>
      <c r="S29" s="5"/>
    </row>
    <row r="30" spans="1:249">
      <c r="B30" s="2"/>
      <c r="D30" s="3"/>
      <c r="E30" s="2"/>
      <c r="G30" s="3"/>
      <c r="J30" s="3"/>
      <c r="L30" s="4"/>
      <c r="M30" s="5"/>
      <c r="N30" s="5"/>
      <c r="O30" s="5"/>
      <c r="P30" s="5"/>
      <c r="Q30" s="5"/>
      <c r="R30" s="5"/>
      <c r="S30" s="5"/>
    </row>
    <row r="31" spans="1:249">
      <c r="B31" s="2"/>
      <c r="D31" s="3"/>
      <c r="E31" s="2"/>
      <c r="G31" s="3"/>
      <c r="J31" s="3"/>
      <c r="L31" s="4"/>
      <c r="M31" s="5"/>
      <c r="N31" s="5"/>
      <c r="O31" s="5"/>
      <c r="P31" s="5"/>
      <c r="Q31" s="5"/>
      <c r="R31" s="5"/>
      <c r="S31" s="5"/>
    </row>
    <row r="32" spans="1:249">
      <c r="B32" s="2"/>
      <c r="D32" s="3"/>
      <c r="E32" s="2"/>
      <c r="G32" s="3"/>
      <c r="J32" s="3"/>
      <c r="L32" s="4"/>
      <c r="M32" s="5"/>
      <c r="N32" s="5"/>
      <c r="O32" s="5"/>
      <c r="P32" s="5"/>
      <c r="Q32" s="5"/>
      <c r="R32" s="5"/>
      <c r="S32" s="5"/>
    </row>
    <row r="33" spans="2:19">
      <c r="B33" s="2"/>
      <c r="D33" s="3"/>
      <c r="E33" s="2"/>
      <c r="G33" s="3"/>
      <c r="J33" s="3"/>
      <c r="L33" s="4"/>
      <c r="M33" s="5"/>
      <c r="N33" s="5"/>
      <c r="O33" s="5"/>
      <c r="P33" s="5"/>
      <c r="Q33" s="5"/>
      <c r="R33" s="5"/>
      <c r="S33" s="5"/>
    </row>
    <row r="34" spans="2:19">
      <c r="B34" s="2"/>
      <c r="D34" s="3"/>
      <c r="E34" s="2"/>
      <c r="G34" s="3"/>
      <c r="J34" s="3"/>
      <c r="L34" s="4"/>
      <c r="M34" s="5"/>
      <c r="N34" s="5"/>
      <c r="O34" s="5"/>
      <c r="P34" s="5"/>
      <c r="Q34" s="5"/>
      <c r="R34" s="5"/>
      <c r="S34" s="5"/>
    </row>
    <row r="35" spans="2:19">
      <c r="B35" s="2"/>
      <c r="D35" s="3"/>
      <c r="E35" s="2"/>
      <c r="G35" s="3"/>
      <c r="J35" s="3"/>
      <c r="L35" s="4"/>
      <c r="M35" s="5"/>
      <c r="N35" s="5"/>
      <c r="O35" s="5"/>
      <c r="P35" s="5"/>
      <c r="Q35" s="5"/>
      <c r="R35" s="5"/>
      <c r="S35" s="5"/>
    </row>
    <row r="36" spans="2:19">
      <c r="B36" s="2"/>
      <c r="D36" s="3"/>
      <c r="E36" s="2"/>
      <c r="G36" s="3"/>
      <c r="J36" s="3"/>
      <c r="L36" s="4"/>
      <c r="M36" s="5"/>
      <c r="N36" s="5"/>
      <c r="O36" s="5"/>
      <c r="P36" s="5"/>
      <c r="Q36" s="5"/>
      <c r="R36" s="5"/>
      <c r="S36" s="5"/>
    </row>
    <row r="37" spans="2:19">
      <c r="B37" s="2"/>
      <c r="D37" s="3"/>
      <c r="E37" s="2"/>
      <c r="G37" s="3"/>
      <c r="J37" s="3"/>
      <c r="L37" s="4"/>
      <c r="M37" s="5"/>
      <c r="N37" s="5"/>
      <c r="O37" s="5"/>
      <c r="P37" s="5"/>
      <c r="Q37" s="5"/>
      <c r="R37" s="5"/>
      <c r="S37" s="5"/>
    </row>
    <row r="38" spans="2:19">
      <c r="B38" s="2"/>
      <c r="D38" s="3"/>
      <c r="E38" s="2"/>
      <c r="G38" s="3"/>
      <c r="J38" s="3"/>
      <c r="L38" s="4"/>
      <c r="M38" s="5"/>
      <c r="N38" s="5"/>
      <c r="O38" s="5"/>
      <c r="P38" s="5"/>
      <c r="Q38" s="5"/>
      <c r="R38" s="5"/>
      <c r="S38" s="5"/>
    </row>
    <row r="39" spans="2:19">
      <c r="B39" s="2"/>
      <c r="D39" s="3"/>
      <c r="E39" s="2"/>
      <c r="G39" s="3"/>
      <c r="J39" s="3"/>
      <c r="L39" s="4"/>
      <c r="M39" s="5"/>
      <c r="N39" s="5"/>
      <c r="O39" s="5"/>
      <c r="P39" s="5"/>
      <c r="Q39" s="5"/>
      <c r="R39" s="5"/>
      <c r="S39" s="5"/>
    </row>
    <row r="40" spans="2:19">
      <c r="B40" s="2"/>
      <c r="D40" s="3"/>
      <c r="E40" s="2"/>
      <c r="G40" s="3"/>
      <c r="J40" s="3"/>
      <c r="L40" s="4"/>
      <c r="M40" s="5"/>
      <c r="N40" s="5"/>
      <c r="O40" s="5"/>
      <c r="P40" s="5"/>
      <c r="Q40" s="5"/>
      <c r="R40" s="5"/>
      <c r="S40" s="5"/>
    </row>
    <row r="41" spans="2:19">
      <c r="B41" s="2"/>
      <c r="D41" s="3"/>
      <c r="E41" s="2"/>
      <c r="G41" s="3"/>
      <c r="J41" s="3"/>
      <c r="L41" s="4"/>
      <c r="M41" s="5"/>
      <c r="N41" s="5"/>
      <c r="O41" s="5"/>
      <c r="P41" s="5"/>
      <c r="Q41" s="5"/>
      <c r="R41" s="5"/>
      <c r="S41" s="5"/>
    </row>
    <row r="42" spans="2:19">
      <c r="B42" s="2"/>
      <c r="D42" s="3"/>
      <c r="E42" s="2"/>
      <c r="G42" s="3"/>
      <c r="J42" s="3"/>
      <c r="L42" s="4"/>
      <c r="M42" s="5"/>
      <c r="N42" s="5"/>
      <c r="O42" s="5"/>
      <c r="P42" s="5"/>
      <c r="Q42" s="5"/>
      <c r="R42" s="5"/>
      <c r="S42" s="5"/>
    </row>
    <row r="43" spans="2:19">
      <c r="B43" s="2"/>
      <c r="D43" s="3"/>
      <c r="E43" s="2"/>
      <c r="G43" s="3"/>
      <c r="J43" s="3"/>
      <c r="L43" s="4"/>
      <c r="M43" s="5"/>
      <c r="N43" s="5"/>
      <c r="O43" s="5"/>
      <c r="P43" s="5"/>
      <c r="Q43" s="5"/>
      <c r="R43" s="5"/>
      <c r="S43" s="5"/>
    </row>
    <row r="44" spans="2:19">
      <c r="B44" s="2"/>
      <c r="D44" s="3"/>
      <c r="E44" s="2"/>
      <c r="G44" s="3"/>
      <c r="J44" s="3"/>
      <c r="L44" s="4"/>
      <c r="M44" s="5"/>
      <c r="N44" s="5"/>
      <c r="O44" s="5"/>
      <c r="P44" s="5"/>
      <c r="Q44" s="5"/>
      <c r="R44" s="5"/>
      <c r="S44" s="5"/>
    </row>
    <row r="45" spans="2:19">
      <c r="B45" s="2"/>
      <c r="D45" s="3"/>
      <c r="E45" s="2"/>
      <c r="G45" s="3"/>
      <c r="J45" s="3"/>
      <c r="L45" s="4"/>
      <c r="M45" s="5"/>
      <c r="N45" s="5"/>
      <c r="O45" s="5"/>
      <c r="P45" s="5"/>
      <c r="Q45" s="5"/>
      <c r="R45" s="5"/>
      <c r="S45" s="5"/>
    </row>
    <row r="46" spans="2:19">
      <c r="B46" s="2"/>
      <c r="D46" s="3"/>
      <c r="E46" s="2"/>
      <c r="G46" s="3"/>
      <c r="J46" s="3"/>
      <c r="L46" s="4"/>
      <c r="M46" s="5"/>
      <c r="N46" s="5"/>
      <c r="O46" s="5"/>
      <c r="P46" s="5"/>
      <c r="Q46" s="5"/>
      <c r="R46" s="5"/>
      <c r="S46" s="5"/>
    </row>
    <row r="47" spans="2:19">
      <c r="B47" s="2"/>
      <c r="D47" s="3"/>
      <c r="E47" s="2"/>
      <c r="G47" s="3"/>
      <c r="J47" s="3"/>
      <c r="L47" s="4"/>
      <c r="M47" s="5"/>
      <c r="N47" s="5"/>
      <c r="O47" s="5"/>
      <c r="P47" s="5"/>
      <c r="Q47" s="5"/>
      <c r="R47" s="5"/>
      <c r="S47" s="5"/>
    </row>
    <row r="48" spans="2:19">
      <c r="B48" s="2"/>
      <c r="D48" s="3"/>
      <c r="E48" s="2"/>
      <c r="G48" s="3"/>
      <c r="J48" s="3"/>
      <c r="L48" s="4"/>
      <c r="M48" s="5"/>
      <c r="N48" s="5"/>
      <c r="O48" s="5"/>
      <c r="P48" s="5"/>
      <c r="Q48" s="5"/>
      <c r="R48" s="5"/>
      <c r="S48" s="5"/>
    </row>
    <row r="49" spans="2:19">
      <c r="B49" s="2"/>
      <c r="D49" s="3"/>
      <c r="E49" s="2"/>
      <c r="G49" s="3"/>
      <c r="J49" s="3"/>
      <c r="L49" s="4"/>
      <c r="M49" s="5"/>
      <c r="N49" s="5"/>
      <c r="O49" s="5"/>
      <c r="P49" s="5"/>
      <c r="Q49" s="5"/>
      <c r="R49" s="5"/>
      <c r="S49" s="5"/>
    </row>
    <row r="50" spans="2:19">
      <c r="B50" s="2"/>
      <c r="D50" s="3"/>
      <c r="E50" s="2"/>
      <c r="G50" s="3"/>
      <c r="J50" s="3"/>
      <c r="L50" s="4"/>
      <c r="M50" s="5"/>
      <c r="N50" s="5"/>
      <c r="O50" s="5"/>
      <c r="P50" s="5"/>
      <c r="Q50" s="5"/>
      <c r="R50" s="5"/>
      <c r="S50" s="5"/>
    </row>
    <row r="51" spans="2:19">
      <c r="B51" s="2"/>
      <c r="D51" s="3"/>
      <c r="E51" s="2"/>
      <c r="G51" s="3"/>
      <c r="J51" s="3"/>
      <c r="L51" s="4"/>
      <c r="M51" s="5"/>
      <c r="N51" s="5"/>
      <c r="O51" s="5"/>
      <c r="P51" s="5"/>
      <c r="Q51" s="5"/>
      <c r="R51" s="5"/>
      <c r="S51" s="5"/>
    </row>
    <row r="52" spans="2:19">
      <c r="B52" s="2"/>
      <c r="D52" s="3"/>
      <c r="E52" s="2"/>
      <c r="G52" s="3"/>
      <c r="J52" s="3"/>
      <c r="L52" s="4"/>
      <c r="M52" s="5"/>
      <c r="N52" s="5"/>
      <c r="O52" s="5"/>
      <c r="P52" s="5"/>
      <c r="Q52" s="5"/>
      <c r="R52" s="5"/>
      <c r="S52" s="5"/>
    </row>
    <row r="53" spans="2:19">
      <c r="B53" s="2"/>
      <c r="D53" s="3"/>
      <c r="E53" s="2"/>
      <c r="G53" s="3"/>
      <c r="J53" s="3"/>
      <c r="L53" s="4"/>
      <c r="M53" s="5"/>
      <c r="N53" s="5"/>
      <c r="O53" s="5"/>
      <c r="P53" s="5"/>
      <c r="Q53" s="5"/>
      <c r="R53" s="5"/>
      <c r="S53" s="5"/>
    </row>
    <row r="54" spans="2:19">
      <c r="B54" s="2"/>
      <c r="D54" s="3"/>
      <c r="E54" s="2"/>
      <c r="G54" s="3"/>
      <c r="J54" s="3"/>
      <c r="L54" s="4"/>
      <c r="M54" s="5"/>
      <c r="N54" s="5"/>
      <c r="O54" s="5"/>
      <c r="P54" s="5"/>
      <c r="Q54" s="5"/>
      <c r="R54" s="5"/>
      <c r="S54" s="5"/>
    </row>
    <row r="55" spans="2:19">
      <c r="B55" s="2"/>
      <c r="D55" s="3"/>
      <c r="E55" s="2"/>
      <c r="G55" s="3"/>
      <c r="J55" s="3"/>
      <c r="L55" s="4"/>
      <c r="M55" s="5"/>
      <c r="N55" s="5"/>
      <c r="O55" s="5"/>
      <c r="P55" s="5"/>
      <c r="Q55" s="5"/>
      <c r="R55" s="5"/>
      <c r="S55" s="5"/>
    </row>
    <row r="56" spans="2:19">
      <c r="B56" s="2"/>
      <c r="D56" s="3"/>
      <c r="E56" s="2"/>
      <c r="G56" s="3"/>
      <c r="J56" s="3"/>
      <c r="L56" s="4"/>
      <c r="M56" s="5"/>
      <c r="N56" s="5"/>
      <c r="O56" s="5"/>
      <c r="P56" s="5"/>
      <c r="Q56" s="5"/>
      <c r="R56" s="5"/>
      <c r="S56" s="5"/>
    </row>
    <row r="57" spans="2:19">
      <c r="B57" s="2"/>
      <c r="D57" s="3"/>
      <c r="E57" s="2"/>
      <c r="G57" s="3"/>
      <c r="J57" s="3"/>
      <c r="L57" s="4"/>
      <c r="M57" s="5"/>
      <c r="N57" s="5"/>
      <c r="O57" s="5"/>
      <c r="P57" s="5"/>
      <c r="Q57" s="5"/>
      <c r="R57" s="5"/>
      <c r="S57" s="5"/>
    </row>
    <row r="58" spans="2:19">
      <c r="B58" s="2"/>
      <c r="D58" s="3"/>
      <c r="E58" s="2"/>
      <c r="G58" s="3"/>
      <c r="J58" s="3"/>
      <c r="L58" s="4"/>
      <c r="M58" s="5"/>
      <c r="N58" s="5"/>
      <c r="O58" s="5"/>
      <c r="P58" s="5"/>
      <c r="Q58" s="5"/>
      <c r="R58" s="5"/>
      <c r="S58" s="5"/>
    </row>
    <row r="59" spans="2:19">
      <c r="B59" s="2"/>
      <c r="D59" s="3"/>
      <c r="E59" s="2"/>
      <c r="G59" s="3"/>
      <c r="J59" s="3"/>
      <c r="L59" s="4"/>
      <c r="M59" s="5"/>
      <c r="N59" s="5"/>
      <c r="O59" s="5"/>
      <c r="P59" s="5"/>
      <c r="Q59" s="5"/>
      <c r="R59" s="5"/>
      <c r="S59" s="5"/>
    </row>
  </sheetData>
  <sheetProtection sheet="1" formatCells="0" formatColumns="0" formatRows="0"/>
  <protectedRanges>
    <protectedRange sqref="F8:F20 H16:H20 C4 D20 D14:D15 W8:Y20" name="Range1"/>
    <protectedRange sqref="V8:V20" name="範圍1_2"/>
    <protectedRange sqref="U8:U20" name="範圍1_1_1"/>
    <protectedRange sqref="D9 D12:D13 D16:D19" name="範圍1_1"/>
    <protectedRange sqref="H12:H15" name="範圍1"/>
    <protectedRange sqref="H8:H11" name="範圍1_3"/>
    <protectedRange sqref="D11" name="範圍1_5"/>
    <protectedRange sqref="D8 D10" name="範圍1_6"/>
    <protectedRange sqref="C8:C20" name="範圍1_7"/>
    <protectedRange sqref="L8:L20" name="範圍1_8"/>
  </protectedRanges>
  <mergeCells count="18">
    <mergeCell ref="D23:S23"/>
    <mergeCell ref="L6:L7"/>
    <mergeCell ref="M6:S6"/>
    <mergeCell ref="I6:I7"/>
    <mergeCell ref="D22:H22"/>
    <mergeCell ref="D21:K21"/>
    <mergeCell ref="J6:J7"/>
    <mergeCell ref="K6:K7"/>
    <mergeCell ref="N1:S1"/>
    <mergeCell ref="N2:S2"/>
    <mergeCell ref="B3:S3"/>
    <mergeCell ref="C4:D4"/>
    <mergeCell ref="O4:S4"/>
    <mergeCell ref="B6:B7"/>
    <mergeCell ref="C6:C7"/>
    <mergeCell ref="D6:D7"/>
    <mergeCell ref="E6:F6"/>
    <mergeCell ref="G6:H6"/>
  </mergeCells>
  <phoneticPr fontId="10" type="noConversion"/>
  <conditionalFormatting sqref="J8:J20">
    <cfRule type="containsText" dxfId="6" priority="2" operator="containsText" text="要獲授權">
      <formula>NOT(ISERROR(SEARCH("要獲授權",J8)))</formula>
    </cfRule>
    <cfRule type="containsText" dxfId="5" priority="3" operator="containsText" text="SPAD">
      <formula>NOT(ISERROR(SEARCH("SPAD",J8)))</formula>
    </cfRule>
  </conditionalFormatting>
  <conditionalFormatting sqref="J8:K20">
    <cfRule type="containsText" dxfId="4" priority="9" stopIfTrue="1" operator="containsText" text="未">
      <formula>NOT(ISERROR(SEARCH("未",J8)))</formula>
    </cfRule>
  </conditionalFormatting>
  <dataValidations count="4">
    <dataValidation type="list" allowBlank="1" showInputMessage="1" showErrorMessage="1" sqref="V20 V8:V18" xr:uid="{55935FE1-D561-4DCC-A872-2CE6DAB55065}">
      <formula1>$AR8:$CJ8</formula1>
    </dataValidation>
    <dataValidation type="list" allowBlank="1" showInputMessage="1" showErrorMessage="1" sqref="W8:W20" xr:uid="{A37A9C54-CD81-4A0A-B037-4A59BECB4A62}">
      <formula1>$CK8:$EC8</formula1>
    </dataValidation>
    <dataValidation type="list" allowBlank="1" showInputMessage="1" showErrorMessage="1" sqref="X8:X20" xr:uid="{00000000-0002-0000-0500-000002000000}">
      <formula1>$ED8:$FV8</formula1>
    </dataValidation>
    <dataValidation type="list" allowBlank="1" showInputMessage="1" showErrorMessage="1" sqref="Y8:Y20" xr:uid="{00000000-0002-0000-0500-000003000000}">
      <formula1>$FW8:$HO8</formula1>
    </dataValidation>
  </dataValidations>
  <printOptions horizontalCentered="1" verticalCentered="1"/>
  <pageMargins left="0" right="0" top="0" bottom="0" header="0" footer="0"/>
  <pageSetup paperSize="9" fitToHeight="0" orientation="landscape" errors="blank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EA7FC-7C2F-4FE7-9983-50C2AAC72E40}">
  <sheetPr codeName="Sheet5">
    <pageSetUpPr fitToPage="1"/>
  </sheetPr>
  <dimension ref="A1:IO59"/>
  <sheetViews>
    <sheetView view="pageBreakPreview" topLeftCell="A7" zoomScaleNormal="100" zoomScaleSheetLayoutView="100" workbookViewId="0">
      <selection activeCell="F11" sqref="F11"/>
    </sheetView>
  </sheetViews>
  <sheetFormatPr defaultColWidth="9" defaultRowHeight="15"/>
  <cols>
    <col min="1" max="1" width="1.109375" style="5" customWidth="1"/>
    <col min="2" max="2" width="3.77734375" style="6" customWidth="1"/>
    <col min="3" max="3" width="5.33203125" style="2" customWidth="1"/>
    <col min="4" max="4" width="21.5546875" style="48" customWidth="1"/>
    <col min="5" max="5" width="6.5546875" style="6" customWidth="1"/>
    <col min="6" max="6" width="6.5546875" style="2" customWidth="1"/>
    <col min="7" max="7" width="6.5546875" style="9" customWidth="1"/>
    <col min="8" max="8" width="6.5546875" style="3" customWidth="1"/>
    <col min="9" max="9" width="6.44140625" style="3" bestFit="1" customWidth="1"/>
    <col min="10" max="10" width="7.5546875" style="9" bestFit="1" customWidth="1"/>
    <col min="11" max="11" width="15.33203125" style="11" customWidth="1"/>
    <col min="12" max="12" width="6.33203125" style="10" customWidth="1"/>
    <col min="13" max="13" width="8.33203125" style="7" customWidth="1"/>
    <col min="14" max="14" width="8.21875" style="7" bestFit="1" customWidth="1"/>
    <col min="15" max="15" width="6.77734375" style="7" bestFit="1" customWidth="1"/>
    <col min="16" max="16" width="6.77734375" style="7" customWidth="1"/>
    <col min="17" max="18" width="7.21875" style="7" bestFit="1" customWidth="1"/>
    <col min="19" max="19" width="10.33203125" style="8" bestFit="1" customWidth="1"/>
    <col min="20" max="20" width="3.33203125" style="5" customWidth="1"/>
    <col min="21" max="25" width="6.5546875" style="5" customWidth="1"/>
    <col min="26" max="26" width="1.77734375" style="5" customWidth="1"/>
    <col min="27" max="27" width="8.44140625" style="5" hidden="1" customWidth="1"/>
    <col min="28" max="28" width="12.109375" style="5" hidden="1" customWidth="1"/>
    <col min="29" max="29" width="11.77734375" style="5" hidden="1" customWidth="1"/>
    <col min="30" max="31" width="9" style="5" hidden="1" customWidth="1"/>
    <col min="32" max="32" width="26.44140625" style="5" hidden="1" customWidth="1"/>
    <col min="33" max="33" width="8" style="5" hidden="1" customWidth="1"/>
    <col min="34" max="34" width="17.77734375" style="5" hidden="1" customWidth="1"/>
    <col min="35" max="35" width="32.77734375" style="5" hidden="1" customWidth="1"/>
    <col min="36" max="41" width="9" style="5" hidden="1" customWidth="1"/>
    <col min="42" max="42" width="88" style="5" hidden="1" customWidth="1"/>
    <col min="43" max="43" width="20.109375" style="5" hidden="1" customWidth="1"/>
    <col min="44" max="223" width="9" style="5" hidden="1" customWidth="1"/>
    <col min="224" max="224" width="12.33203125" style="5" customWidth="1"/>
    <col min="225" max="227" width="9" style="5"/>
    <col min="228" max="228" width="19.33203125" style="5" customWidth="1"/>
    <col min="229" max="233" width="9" style="5" hidden="1" customWidth="1"/>
    <col min="234" max="235" width="9" style="5"/>
    <col min="236" max="249" width="9" style="5" hidden="1" customWidth="1"/>
    <col min="250" max="16384" width="9" style="5"/>
  </cols>
  <sheetData>
    <row r="1" spans="1:249" ht="24" customHeight="1">
      <c r="B1" s="2"/>
      <c r="D1" s="3"/>
      <c r="E1" s="2"/>
      <c r="G1" s="3"/>
      <c r="J1" s="3"/>
      <c r="K1" s="16"/>
      <c r="L1" s="17" t="s">
        <v>101</v>
      </c>
      <c r="M1" s="56" t="s">
        <v>1</v>
      </c>
      <c r="N1" s="215" t="s">
        <v>102</v>
      </c>
      <c r="O1" s="216"/>
      <c r="P1" s="216"/>
      <c r="Q1" s="216"/>
      <c r="R1" s="216"/>
      <c r="S1" s="217"/>
      <c r="U1" s="5" t="s">
        <v>3</v>
      </c>
    </row>
    <row r="2" spans="1:249" ht="19.5" customHeight="1">
      <c r="B2" s="2"/>
      <c r="D2" s="3"/>
      <c r="E2" s="2"/>
      <c r="G2" s="3"/>
      <c r="J2" s="3"/>
      <c r="K2" s="16"/>
      <c r="L2" s="19" t="s">
        <v>4</v>
      </c>
      <c r="M2" s="18" t="s">
        <v>5</v>
      </c>
      <c r="N2" s="218">
        <v>45387</v>
      </c>
      <c r="O2" s="219"/>
      <c r="P2" s="219"/>
      <c r="Q2" s="219"/>
      <c r="R2" s="219"/>
      <c r="S2" s="220"/>
    </row>
    <row r="3" spans="1:249" s="2" customFormat="1" ht="24" customHeight="1">
      <c r="B3" s="221" t="s">
        <v>103</v>
      </c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</row>
    <row r="4" spans="1:249" s="34" customFormat="1" ht="15" customHeight="1">
      <c r="B4" s="35" t="s">
        <v>10</v>
      </c>
      <c r="C4" s="229" t="s">
        <v>99</v>
      </c>
      <c r="D4" s="230"/>
      <c r="G4" s="36"/>
      <c r="H4" s="36"/>
      <c r="I4" s="36"/>
      <c r="J4" s="36"/>
      <c r="K4" s="36"/>
      <c r="L4" s="37"/>
      <c r="N4" s="38" t="s">
        <v>11</v>
      </c>
      <c r="O4" s="225">
        <f ca="1">TODAY()</f>
        <v>45526</v>
      </c>
      <c r="P4" s="225"/>
      <c r="Q4" s="225"/>
      <c r="R4" s="225"/>
      <c r="S4" s="225"/>
    </row>
    <row r="5" spans="1:249" s="2" customFormat="1" ht="1.5" customHeight="1" thickBot="1">
      <c r="B5" s="205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</row>
    <row r="6" spans="1:249" s="2" customFormat="1" ht="36.75" customHeight="1" thickTop="1">
      <c r="B6" s="206" t="s">
        <v>12</v>
      </c>
      <c r="C6" s="208" t="s">
        <v>104</v>
      </c>
      <c r="D6" s="208" t="s">
        <v>92</v>
      </c>
      <c r="E6" s="208" t="s">
        <v>15</v>
      </c>
      <c r="F6" s="211"/>
      <c r="G6" s="208" t="s">
        <v>16</v>
      </c>
      <c r="H6" s="211"/>
      <c r="I6" s="208" t="s">
        <v>17</v>
      </c>
      <c r="J6" s="208" t="s">
        <v>18</v>
      </c>
      <c r="K6" s="208" t="s">
        <v>19</v>
      </c>
      <c r="L6" s="212" t="s">
        <v>20</v>
      </c>
      <c r="M6" s="208" t="s">
        <v>21</v>
      </c>
      <c r="N6" s="211"/>
      <c r="O6" s="211"/>
      <c r="P6" s="213"/>
      <c r="Q6" s="213"/>
      <c r="R6" s="213"/>
      <c r="S6" s="214"/>
    </row>
    <row r="7" spans="1:249" s="2" customFormat="1" ht="111" customHeight="1" thickBot="1">
      <c r="B7" s="207"/>
      <c r="C7" s="209"/>
      <c r="D7" s="210"/>
      <c r="E7" s="15" t="s">
        <v>22</v>
      </c>
      <c r="F7" s="15" t="s">
        <v>23</v>
      </c>
      <c r="G7" s="15" t="s">
        <v>22</v>
      </c>
      <c r="H7" s="15" t="s">
        <v>23</v>
      </c>
      <c r="I7" s="209"/>
      <c r="J7" s="209"/>
      <c r="K7" s="209"/>
      <c r="L7" s="209"/>
      <c r="M7" s="55" t="s">
        <v>93</v>
      </c>
      <c r="N7" s="55" t="s">
        <v>94</v>
      </c>
      <c r="O7" s="55" t="s">
        <v>95</v>
      </c>
      <c r="P7" s="55" t="s">
        <v>27</v>
      </c>
      <c r="Q7" s="57" t="s">
        <v>96</v>
      </c>
      <c r="R7" s="58" t="s">
        <v>97</v>
      </c>
      <c r="S7" s="59" t="s">
        <v>98</v>
      </c>
      <c r="U7" s="85" t="s">
        <v>31</v>
      </c>
      <c r="V7" s="85" t="s">
        <v>32</v>
      </c>
      <c r="W7" s="85" t="s">
        <v>33</v>
      </c>
      <c r="X7" s="85" t="s">
        <v>34</v>
      </c>
      <c r="Y7" s="85" t="s">
        <v>35</v>
      </c>
      <c r="AR7" s="2">
        <v>1</v>
      </c>
      <c r="AS7" s="2">
        <f>AR7+1</f>
        <v>2</v>
      </c>
      <c r="AT7" s="2">
        <f t="shared" ref="AT7:CJ7" si="0">AS7+1</f>
        <v>3</v>
      </c>
      <c r="AU7" s="2">
        <f t="shared" si="0"/>
        <v>4</v>
      </c>
      <c r="AV7" s="2">
        <f t="shared" si="0"/>
        <v>5</v>
      </c>
      <c r="AW7" s="2">
        <f t="shared" si="0"/>
        <v>6</v>
      </c>
      <c r="AX7" s="2">
        <f t="shared" si="0"/>
        <v>7</v>
      </c>
      <c r="AY7" s="2">
        <f t="shared" si="0"/>
        <v>8</v>
      </c>
      <c r="AZ7" s="2">
        <f t="shared" si="0"/>
        <v>9</v>
      </c>
      <c r="BA7" s="2">
        <f>AZ7+1</f>
        <v>10</v>
      </c>
      <c r="BB7" s="2">
        <f t="shared" si="0"/>
        <v>11</v>
      </c>
      <c r="BC7" s="2">
        <f t="shared" si="0"/>
        <v>12</v>
      </c>
      <c r="BD7" s="2">
        <f t="shared" si="0"/>
        <v>13</v>
      </c>
      <c r="BE7" s="2">
        <f t="shared" si="0"/>
        <v>14</v>
      </c>
      <c r="BF7" s="2">
        <f t="shared" si="0"/>
        <v>15</v>
      </c>
      <c r="BG7" s="2">
        <f t="shared" si="0"/>
        <v>16</v>
      </c>
      <c r="BH7" s="2">
        <f>BG7+1</f>
        <v>17</v>
      </c>
      <c r="BI7" s="2">
        <f t="shared" si="0"/>
        <v>18</v>
      </c>
      <c r="BJ7" s="2">
        <f t="shared" si="0"/>
        <v>19</v>
      </c>
      <c r="BK7" s="2">
        <f t="shared" si="0"/>
        <v>20</v>
      </c>
      <c r="BL7" s="2">
        <f t="shared" si="0"/>
        <v>21</v>
      </c>
      <c r="BM7" s="2">
        <f t="shared" si="0"/>
        <v>22</v>
      </c>
      <c r="BN7" s="2">
        <f t="shared" si="0"/>
        <v>23</v>
      </c>
      <c r="BO7" s="2">
        <f t="shared" si="0"/>
        <v>24</v>
      </c>
      <c r="BP7" s="2">
        <f>BO7+1</f>
        <v>25</v>
      </c>
      <c r="BQ7" s="2">
        <f t="shared" si="0"/>
        <v>26</v>
      </c>
      <c r="BR7" s="2">
        <f t="shared" si="0"/>
        <v>27</v>
      </c>
      <c r="BS7" s="2">
        <f t="shared" si="0"/>
        <v>28</v>
      </c>
      <c r="BT7" s="2">
        <f t="shared" si="0"/>
        <v>29</v>
      </c>
      <c r="BU7" s="2">
        <f>BT7+1</f>
        <v>30</v>
      </c>
      <c r="BV7" s="2">
        <f t="shared" si="0"/>
        <v>31</v>
      </c>
      <c r="BW7" s="2">
        <f t="shared" si="0"/>
        <v>32</v>
      </c>
      <c r="BX7" s="2">
        <f t="shared" si="0"/>
        <v>33</v>
      </c>
      <c r="BY7" s="2">
        <f t="shared" si="0"/>
        <v>34</v>
      </c>
      <c r="BZ7" s="2">
        <f t="shared" si="0"/>
        <v>35</v>
      </c>
      <c r="CA7" s="2">
        <f t="shared" si="0"/>
        <v>36</v>
      </c>
      <c r="CB7" s="2">
        <f t="shared" si="0"/>
        <v>37</v>
      </c>
      <c r="CC7" s="2">
        <f t="shared" si="0"/>
        <v>38</v>
      </c>
      <c r="CD7" s="2">
        <f t="shared" si="0"/>
        <v>39</v>
      </c>
      <c r="CE7" s="2">
        <f t="shared" si="0"/>
        <v>40</v>
      </c>
      <c r="CF7" s="2">
        <f t="shared" si="0"/>
        <v>41</v>
      </c>
      <c r="CG7" s="2">
        <f t="shared" si="0"/>
        <v>42</v>
      </c>
      <c r="CH7" s="2">
        <f t="shared" si="0"/>
        <v>43</v>
      </c>
      <c r="CI7" s="2">
        <f t="shared" si="0"/>
        <v>44</v>
      </c>
      <c r="CJ7" s="2">
        <f t="shared" si="0"/>
        <v>45</v>
      </c>
      <c r="CK7" s="2">
        <v>1</v>
      </c>
      <c r="CL7" s="2">
        <f>CK7+1</f>
        <v>2</v>
      </c>
      <c r="CM7" s="2">
        <f t="shared" ref="CM7:EC7" si="1">CL7+1</f>
        <v>3</v>
      </c>
      <c r="CN7" s="2">
        <f t="shared" si="1"/>
        <v>4</v>
      </c>
      <c r="CO7" s="2">
        <f t="shared" si="1"/>
        <v>5</v>
      </c>
      <c r="CP7" s="2">
        <f t="shared" si="1"/>
        <v>6</v>
      </c>
      <c r="CQ7" s="2">
        <f t="shared" si="1"/>
        <v>7</v>
      </c>
      <c r="CR7" s="2">
        <f t="shared" si="1"/>
        <v>8</v>
      </c>
      <c r="CS7" s="2">
        <f t="shared" si="1"/>
        <v>9</v>
      </c>
      <c r="CT7" s="2">
        <f>CS7+1</f>
        <v>10</v>
      </c>
      <c r="CU7" s="2">
        <f t="shared" si="1"/>
        <v>11</v>
      </c>
      <c r="CV7" s="2">
        <f t="shared" si="1"/>
        <v>12</v>
      </c>
      <c r="CW7" s="2">
        <f t="shared" si="1"/>
        <v>13</v>
      </c>
      <c r="CX7" s="2">
        <f t="shared" si="1"/>
        <v>14</v>
      </c>
      <c r="CY7" s="2">
        <f t="shared" si="1"/>
        <v>15</v>
      </c>
      <c r="CZ7" s="2">
        <f t="shared" si="1"/>
        <v>16</v>
      </c>
      <c r="DA7" s="2">
        <f>CZ7+1</f>
        <v>17</v>
      </c>
      <c r="DB7" s="2">
        <f t="shared" si="1"/>
        <v>18</v>
      </c>
      <c r="DC7" s="2">
        <f t="shared" si="1"/>
        <v>19</v>
      </c>
      <c r="DD7" s="2">
        <f t="shared" si="1"/>
        <v>20</v>
      </c>
      <c r="DE7" s="2">
        <f t="shared" si="1"/>
        <v>21</v>
      </c>
      <c r="DF7" s="2">
        <f t="shared" si="1"/>
        <v>22</v>
      </c>
      <c r="DG7" s="2">
        <f t="shared" si="1"/>
        <v>23</v>
      </c>
      <c r="DH7" s="2">
        <f t="shared" si="1"/>
        <v>24</v>
      </c>
      <c r="DI7" s="2">
        <f>DH7+1</f>
        <v>25</v>
      </c>
      <c r="DJ7" s="2">
        <f t="shared" si="1"/>
        <v>26</v>
      </c>
      <c r="DK7" s="2">
        <f t="shared" si="1"/>
        <v>27</v>
      </c>
      <c r="DL7" s="2">
        <f t="shared" si="1"/>
        <v>28</v>
      </c>
      <c r="DM7" s="2">
        <f t="shared" si="1"/>
        <v>29</v>
      </c>
      <c r="DN7" s="2">
        <f>DM7+1</f>
        <v>30</v>
      </c>
      <c r="DO7" s="2">
        <f t="shared" si="1"/>
        <v>31</v>
      </c>
      <c r="DP7" s="2">
        <f t="shared" si="1"/>
        <v>32</v>
      </c>
      <c r="DQ7" s="2">
        <f t="shared" si="1"/>
        <v>33</v>
      </c>
      <c r="DR7" s="2">
        <f t="shared" si="1"/>
        <v>34</v>
      </c>
      <c r="DS7" s="2">
        <f t="shared" si="1"/>
        <v>35</v>
      </c>
      <c r="DT7" s="2">
        <f t="shared" si="1"/>
        <v>36</v>
      </c>
      <c r="DU7" s="2">
        <f t="shared" si="1"/>
        <v>37</v>
      </c>
      <c r="DV7" s="2">
        <f t="shared" si="1"/>
        <v>38</v>
      </c>
      <c r="DW7" s="2">
        <f t="shared" si="1"/>
        <v>39</v>
      </c>
      <c r="DX7" s="2">
        <f t="shared" si="1"/>
        <v>40</v>
      </c>
      <c r="DY7" s="2">
        <f t="shared" si="1"/>
        <v>41</v>
      </c>
      <c r="DZ7" s="2">
        <f t="shared" si="1"/>
        <v>42</v>
      </c>
      <c r="EA7" s="2">
        <f t="shared" si="1"/>
        <v>43</v>
      </c>
      <c r="EB7" s="2">
        <f t="shared" si="1"/>
        <v>44</v>
      </c>
      <c r="EC7" s="2">
        <f t="shared" si="1"/>
        <v>45</v>
      </c>
      <c r="ED7" s="2">
        <v>1</v>
      </c>
      <c r="EE7" s="2">
        <f>ED7+1</f>
        <v>2</v>
      </c>
      <c r="EF7" s="2">
        <f t="shared" ref="EF7:FV7" si="2">EE7+1</f>
        <v>3</v>
      </c>
      <c r="EG7" s="2">
        <f t="shared" si="2"/>
        <v>4</v>
      </c>
      <c r="EH7" s="2">
        <f t="shared" si="2"/>
        <v>5</v>
      </c>
      <c r="EI7" s="2">
        <f t="shared" si="2"/>
        <v>6</v>
      </c>
      <c r="EJ7" s="2">
        <f t="shared" si="2"/>
        <v>7</v>
      </c>
      <c r="EK7" s="2">
        <f t="shared" si="2"/>
        <v>8</v>
      </c>
      <c r="EL7" s="2">
        <f t="shared" si="2"/>
        <v>9</v>
      </c>
      <c r="EM7" s="2">
        <f>EL7+1</f>
        <v>10</v>
      </c>
      <c r="EN7" s="2">
        <f t="shared" si="2"/>
        <v>11</v>
      </c>
      <c r="EO7" s="2">
        <f t="shared" si="2"/>
        <v>12</v>
      </c>
      <c r="EP7" s="2">
        <f t="shared" si="2"/>
        <v>13</v>
      </c>
      <c r="EQ7" s="2">
        <f t="shared" si="2"/>
        <v>14</v>
      </c>
      <c r="ER7" s="2">
        <f t="shared" si="2"/>
        <v>15</v>
      </c>
      <c r="ES7" s="2">
        <f t="shared" si="2"/>
        <v>16</v>
      </c>
      <c r="ET7" s="2">
        <f>ES7+1</f>
        <v>17</v>
      </c>
      <c r="EU7" s="2">
        <f t="shared" si="2"/>
        <v>18</v>
      </c>
      <c r="EV7" s="2">
        <f t="shared" si="2"/>
        <v>19</v>
      </c>
      <c r="EW7" s="2">
        <f t="shared" si="2"/>
        <v>20</v>
      </c>
      <c r="EX7" s="2">
        <f t="shared" si="2"/>
        <v>21</v>
      </c>
      <c r="EY7" s="2">
        <f t="shared" si="2"/>
        <v>22</v>
      </c>
      <c r="EZ7" s="2">
        <f t="shared" si="2"/>
        <v>23</v>
      </c>
      <c r="FA7" s="2">
        <f t="shared" si="2"/>
        <v>24</v>
      </c>
      <c r="FB7" s="2">
        <f>FA7+1</f>
        <v>25</v>
      </c>
      <c r="FC7" s="2">
        <f t="shared" si="2"/>
        <v>26</v>
      </c>
      <c r="FD7" s="2">
        <f t="shared" si="2"/>
        <v>27</v>
      </c>
      <c r="FE7" s="2">
        <f t="shared" si="2"/>
        <v>28</v>
      </c>
      <c r="FF7" s="2">
        <f t="shared" si="2"/>
        <v>29</v>
      </c>
      <c r="FG7" s="2">
        <f>FF7+1</f>
        <v>30</v>
      </c>
      <c r="FH7" s="2">
        <f t="shared" si="2"/>
        <v>31</v>
      </c>
      <c r="FI7" s="2">
        <f t="shared" si="2"/>
        <v>32</v>
      </c>
      <c r="FJ7" s="2">
        <f t="shared" si="2"/>
        <v>33</v>
      </c>
      <c r="FK7" s="2">
        <f t="shared" si="2"/>
        <v>34</v>
      </c>
      <c r="FL7" s="2">
        <f t="shared" si="2"/>
        <v>35</v>
      </c>
      <c r="FM7" s="2">
        <f t="shared" si="2"/>
        <v>36</v>
      </c>
      <c r="FN7" s="2">
        <f t="shared" si="2"/>
        <v>37</v>
      </c>
      <c r="FO7" s="2">
        <f t="shared" si="2"/>
        <v>38</v>
      </c>
      <c r="FP7" s="2">
        <f t="shared" si="2"/>
        <v>39</v>
      </c>
      <c r="FQ7" s="2">
        <f t="shared" si="2"/>
        <v>40</v>
      </c>
      <c r="FR7" s="2">
        <f t="shared" si="2"/>
        <v>41</v>
      </c>
      <c r="FS7" s="2">
        <f t="shared" si="2"/>
        <v>42</v>
      </c>
      <c r="FT7" s="2">
        <f t="shared" si="2"/>
        <v>43</v>
      </c>
      <c r="FU7" s="2">
        <f t="shared" si="2"/>
        <v>44</v>
      </c>
      <c r="FV7" s="2">
        <f t="shared" si="2"/>
        <v>45</v>
      </c>
      <c r="FW7" s="2">
        <v>1</v>
      </c>
      <c r="FX7" s="2">
        <f>FW7+1</f>
        <v>2</v>
      </c>
      <c r="FY7" s="2">
        <f t="shared" ref="FY7:HO7" si="3">FX7+1</f>
        <v>3</v>
      </c>
      <c r="FZ7" s="2">
        <f t="shared" si="3"/>
        <v>4</v>
      </c>
      <c r="GA7" s="2">
        <f t="shared" si="3"/>
        <v>5</v>
      </c>
      <c r="GB7" s="2">
        <f t="shared" si="3"/>
        <v>6</v>
      </c>
      <c r="GC7" s="2">
        <f t="shared" si="3"/>
        <v>7</v>
      </c>
      <c r="GD7" s="2">
        <f t="shared" si="3"/>
        <v>8</v>
      </c>
      <c r="GE7" s="2">
        <f t="shared" si="3"/>
        <v>9</v>
      </c>
      <c r="GF7" s="2">
        <f>GE7+1</f>
        <v>10</v>
      </c>
      <c r="GG7" s="2">
        <f t="shared" si="3"/>
        <v>11</v>
      </c>
      <c r="GH7" s="2">
        <f t="shared" si="3"/>
        <v>12</v>
      </c>
      <c r="GI7" s="2">
        <f t="shared" si="3"/>
        <v>13</v>
      </c>
      <c r="GJ7" s="2">
        <f t="shared" si="3"/>
        <v>14</v>
      </c>
      <c r="GK7" s="2">
        <f t="shared" si="3"/>
        <v>15</v>
      </c>
      <c r="GL7" s="2">
        <f t="shared" si="3"/>
        <v>16</v>
      </c>
      <c r="GM7" s="2">
        <f>GL7+1</f>
        <v>17</v>
      </c>
      <c r="GN7" s="2">
        <f t="shared" si="3"/>
        <v>18</v>
      </c>
      <c r="GO7" s="2">
        <f t="shared" si="3"/>
        <v>19</v>
      </c>
      <c r="GP7" s="2">
        <f t="shared" si="3"/>
        <v>20</v>
      </c>
      <c r="GQ7" s="2">
        <f t="shared" si="3"/>
        <v>21</v>
      </c>
      <c r="GR7" s="2">
        <f t="shared" si="3"/>
        <v>22</v>
      </c>
      <c r="GS7" s="2">
        <f t="shared" si="3"/>
        <v>23</v>
      </c>
      <c r="GT7" s="2">
        <f t="shared" si="3"/>
        <v>24</v>
      </c>
      <c r="GU7" s="2">
        <f>GT7+1</f>
        <v>25</v>
      </c>
      <c r="GV7" s="2">
        <f t="shared" si="3"/>
        <v>26</v>
      </c>
      <c r="GW7" s="2">
        <f t="shared" si="3"/>
        <v>27</v>
      </c>
      <c r="GX7" s="2">
        <f t="shared" si="3"/>
        <v>28</v>
      </c>
      <c r="GY7" s="2">
        <f t="shared" si="3"/>
        <v>29</v>
      </c>
      <c r="GZ7" s="2">
        <f>GY7+1</f>
        <v>30</v>
      </c>
      <c r="HA7" s="2">
        <f t="shared" si="3"/>
        <v>31</v>
      </c>
      <c r="HB7" s="2">
        <f t="shared" si="3"/>
        <v>32</v>
      </c>
      <c r="HC7" s="2">
        <f t="shared" si="3"/>
        <v>33</v>
      </c>
      <c r="HD7" s="2">
        <f t="shared" si="3"/>
        <v>34</v>
      </c>
      <c r="HE7" s="2">
        <f t="shared" si="3"/>
        <v>35</v>
      </c>
      <c r="HF7" s="2">
        <f t="shared" si="3"/>
        <v>36</v>
      </c>
      <c r="HG7" s="2">
        <f t="shared" si="3"/>
        <v>37</v>
      </c>
      <c r="HH7" s="2">
        <f t="shared" si="3"/>
        <v>38</v>
      </c>
      <c r="HI7" s="2">
        <f t="shared" si="3"/>
        <v>39</v>
      </c>
      <c r="HJ7" s="2">
        <f t="shared" si="3"/>
        <v>40</v>
      </c>
      <c r="HK7" s="2">
        <f t="shared" si="3"/>
        <v>41</v>
      </c>
      <c r="HL7" s="2">
        <f t="shared" si="3"/>
        <v>42</v>
      </c>
      <c r="HM7" s="2">
        <f t="shared" si="3"/>
        <v>43</v>
      </c>
      <c r="HN7" s="2">
        <f t="shared" si="3"/>
        <v>44</v>
      </c>
      <c r="HO7" s="2">
        <f t="shared" si="3"/>
        <v>45</v>
      </c>
      <c r="HV7" s="2" t="s">
        <v>36</v>
      </c>
      <c r="HW7" s="2" t="s">
        <v>37</v>
      </c>
      <c r="HX7" s="2" t="s">
        <v>38</v>
      </c>
      <c r="HY7" s="2" t="s">
        <v>39</v>
      </c>
      <c r="HZ7" s="3" t="s">
        <v>40</v>
      </c>
      <c r="IA7" s="3" t="s">
        <v>41</v>
      </c>
      <c r="IB7" s="2" t="s">
        <v>42</v>
      </c>
      <c r="IC7" s="184" t="str">
        <f>'Train Movement Log (page.2)'!IC20</f>
        <v/>
      </c>
      <c r="IH7" s="3" t="s">
        <v>43</v>
      </c>
      <c r="II7" s="3" t="s">
        <v>44</v>
      </c>
      <c r="IJ7" s="3" t="s">
        <v>45</v>
      </c>
      <c r="IK7" s="3" t="s">
        <v>46</v>
      </c>
      <c r="IL7" s="3" t="s">
        <v>47</v>
      </c>
      <c r="IM7" s="3" t="s">
        <v>48</v>
      </c>
      <c r="IN7" s="3" t="s">
        <v>49</v>
      </c>
      <c r="IO7" s="3" t="s">
        <v>50</v>
      </c>
    </row>
    <row r="8" spans="1:249" s="20" customFormat="1" ht="24.75" customHeight="1" thickTop="1">
      <c r="A8" s="33"/>
      <c r="B8" s="39">
        <v>27</v>
      </c>
      <c r="C8" s="150"/>
      <c r="D8" s="174"/>
      <c r="E8" s="88" t="e">
        <f>VLOOKUP(F8,'Radio Call Sign'!A:B,2)</f>
        <v>#N/A</v>
      </c>
      <c r="F8" s="89"/>
      <c r="G8" s="88" t="e">
        <f>VLOOKUP(H8,'Radio Call Sign'!A:B,2)</f>
        <v>#N/A</v>
      </c>
      <c r="H8" s="89"/>
      <c r="I8" s="89" t="str">
        <f t="shared" ref="I8:I19" si="4">IF(U8="","",IF(Y8="",IF(X8="",IF(W8="",CONCATENATE(U8,"-",V8),CONCATENATE(U8,"-",W8)),CONCATENATE(U8,"-",X8)),CONCATENATE(U8,"-",Y8)))</f>
        <v/>
      </c>
      <c r="J8" s="90" t="str">
        <f>AQ8</f>
        <v/>
      </c>
      <c r="K8" s="86" t="str">
        <f>AP8</f>
        <v/>
      </c>
      <c r="L8" s="151"/>
      <c r="M8" s="189" t="str">
        <f>IF(J8="","",IF(J8=0,"*",""))</f>
        <v/>
      </c>
      <c r="N8" s="42"/>
      <c r="O8" s="43"/>
      <c r="P8" s="52"/>
      <c r="Q8" s="161" t="str">
        <f>IF(AA8="","",IF(COUNTIFS('overhead line area'!$D$3:$D$100,AA8)+COUNTIFS('overhead line area'!$D$3:$D$100,AB8)+COUNTIFS('overhead line area'!$D$3:$D$100,AC8)+COUNTIFS('overhead line area'!$D$3:$D$100,AD8)=0,"","*               "))</f>
        <v/>
      </c>
      <c r="R8" s="52"/>
      <c r="S8" s="44"/>
      <c r="U8" s="74"/>
      <c r="V8" s="74"/>
      <c r="W8" s="74"/>
      <c r="X8" s="74"/>
      <c r="Y8" s="74"/>
      <c r="AA8" s="74" t="str">
        <f t="shared" ref="AA8:AA19" si="5">IF(U8="","",CONCATENATE(U8,"-",V8))</f>
        <v/>
      </c>
      <c r="AB8" s="74" t="str">
        <f t="shared" ref="AB8:AD20" si="6">IF(W8="","",CONCATENATE(V8,"-",W8))</f>
        <v/>
      </c>
      <c r="AC8" s="74" t="str">
        <f t="shared" si="6"/>
        <v/>
      </c>
      <c r="AD8" s="74" t="str">
        <f t="shared" si="6"/>
        <v/>
      </c>
      <c r="AF8" s="74" t="str">
        <f>IF(AA8="","",IF(COUNTIF(Route!$AM:$AM,'Add-on Train Movement Log'!AA8)=0,"未有資料",VLOOKUP('Add-on Train Movement Log'!AA8,Route!$AM:$AP,3,0)))</f>
        <v/>
      </c>
      <c r="AG8" s="74" t="str">
        <f>IF(AB8="","",IF(COUNTIF(Route!$AM:$AM,'Add-on Train Movement Log'!AB8)=0,"未有資料",VLOOKUP('Add-on Train Movement Log'!AB8,Route!$AM:$AP,3,0)))</f>
        <v/>
      </c>
      <c r="AH8" s="74" t="str">
        <f>IF(AC8="","",IF(COUNTIF(Route!$AM:$AM,'Add-on Train Movement Log'!AC8)=0,"未有資料",VLOOKUP('Add-on Train Movement Log'!AC8,Route!$AM:$AP,3,0)))</f>
        <v/>
      </c>
      <c r="AI8" s="74" t="str">
        <f>IF(AD8="","",IF(COUNTIF(Route!$AM:$AM,'Add-on Train Movement Log'!AD8)=0,"未有資料",VLOOKUP('Add-on Train Movement Log'!AD8,Route!$AM:$AP,3,0)))</f>
        <v/>
      </c>
      <c r="AK8" s="74" t="str">
        <f>IF(AA8="","",IF(COUNTIF(Route!$AM:$AM,'Add-on Train Movement Log'!AA8)=0,"未有資料",VLOOKUP('Add-on Train Movement Log'!AA8,Route!$AM:$AP,4,0)))</f>
        <v/>
      </c>
      <c r="AL8" s="74" t="str">
        <f>IF(AB8="","",IF(COUNTIF(Route!$AM:$AM,'Add-on Train Movement Log'!AB8)=0,"未有資料",VLOOKUP('Add-on Train Movement Log'!AB8,Route!$AM:$AP,4,0)))</f>
        <v/>
      </c>
      <c r="AM8" s="74" t="str">
        <f>IF(AC8="","",IF(COUNTIF(Route!$AM:$AM,'Add-on Train Movement Log'!AC8)=0,"未有資料",VLOOKUP('Add-on Train Movement Log'!AC8,Route!$AM:$AP,4,0)))</f>
        <v/>
      </c>
      <c r="AN8" s="74" t="str">
        <f>IF(AD8="","",IF(COUNTIF(Route!$AM:$AM,'Add-on Train Movement Log'!AD8)=0,"未有資料",VLOOKUP('Add-on Train Movement Log'!AD8,Route!$AM:$AP,4,0)))</f>
        <v/>
      </c>
      <c r="AP8" s="74" t="str">
        <f t="shared" ref="AP8:AP20" si="7">IF(AI8="",IF(AH8="",IF(AG8="",AF8,CONCATENATE(AF8,", ",AG8)),CONCATENATE(AF8,", ",AG8,", ",AH8)),CONCATENATE(AF8,", ",AG8,", ",AH8,", ",AI8))</f>
        <v/>
      </c>
      <c r="AQ8" s="76" t="str">
        <f t="shared" ref="AQ8:AQ20" si="8">IF(AN8="",IF(AM8="",IF(AL8="",AK8,CONCATENATE(AK8,", ",AL8)),CONCATENATE(AK8,", ",AL8,", ",AM8)),CONCATENATE(AK8,", ",AL8,", ",AM8,", ",AN8))</f>
        <v/>
      </c>
      <c r="AR8" s="77" t="str">
        <f>IF($U8="","",IF(COUNTIF(choice!$D:$D,CONCATENATE($U8,"@",AR$7))=0,"",VLOOKUP(CONCATENATE($U8,"@",AR$7),choice!$D:$E,2,0)))</f>
        <v/>
      </c>
      <c r="AS8" s="78" t="str">
        <f>IF($U8="","",IF(COUNTIF(choice!$D:$D,CONCATENATE($U8,"@",AS$7))=0,"",VLOOKUP(CONCATENATE($U8,"@",AS$7),choice!$D:$E,2,0)))</f>
        <v/>
      </c>
      <c r="AT8" s="78" t="str">
        <f>IF($U8="","",IF(COUNTIF(choice!$D:$D,CONCATENATE($U8,"@",AT$7))=0,"",VLOOKUP(CONCATENATE($U8,"@",AT$7),choice!$D:$E,2,0)))</f>
        <v/>
      </c>
      <c r="AU8" s="78" t="str">
        <f>IF($U8="","",IF(COUNTIF(choice!$D:$D,CONCATENATE($U8,"@",AU$7))=0,"",VLOOKUP(CONCATENATE($U8,"@",AU$7),choice!$D:$E,2,0)))</f>
        <v/>
      </c>
      <c r="AV8" s="78" t="str">
        <f>IF($U8="","",IF(COUNTIF(choice!$D:$D,CONCATENATE($U8,"@",AV$7))=0,"",VLOOKUP(CONCATENATE($U8,"@",AV$7),choice!$D:$E,2,0)))</f>
        <v/>
      </c>
      <c r="AW8" s="78" t="str">
        <f>IF($U8="","",IF(COUNTIF(choice!$D:$D,CONCATENATE($U8,"@",AW$7))=0,"",VLOOKUP(CONCATENATE($U8,"@",AW$7),choice!$D:$E,2,0)))</f>
        <v/>
      </c>
      <c r="AX8" s="78" t="str">
        <f>IF($U8="","",IF(COUNTIF(choice!$D:$D,CONCATENATE($U8,"@",AX$7))=0,"",VLOOKUP(CONCATENATE($U8,"@",AX$7),choice!$D:$E,2,0)))</f>
        <v/>
      </c>
      <c r="AY8" s="78" t="str">
        <f>IF($U8="","",IF(COUNTIF(choice!$D:$D,CONCATENATE($U8,"@",AY$7))=0,"",VLOOKUP(CONCATENATE($U8,"@",AY$7),choice!$D:$E,2,0)))</f>
        <v/>
      </c>
      <c r="AZ8" s="78" t="str">
        <f>IF($U8="","",IF(COUNTIF(choice!$D:$D,CONCATENATE($U8,"@",AZ$7))=0,"",VLOOKUP(CONCATENATE($U8,"@",AZ$7),choice!$D:$E,2,0)))</f>
        <v/>
      </c>
      <c r="BA8" s="78" t="str">
        <f>IF($U8="","",IF(COUNTIF(choice!$D:$D,CONCATENATE($U8,"@",BA$7))=0,"",VLOOKUP(CONCATENATE($U8,"@",BA$7),choice!$D:$E,2,0)))</f>
        <v/>
      </c>
      <c r="BB8" s="78" t="str">
        <f>IF($U8="","",IF(COUNTIF(choice!$D:$D,CONCATENATE($U8,"@",BB$7))=0,"",VLOOKUP(CONCATENATE($U8,"@",BB$7),choice!$D:$E,2,0)))</f>
        <v/>
      </c>
      <c r="BC8" s="78" t="str">
        <f>IF($U8="","",IF(COUNTIF(choice!$D:$D,CONCATENATE($U8,"@",BC$7))=0,"",VLOOKUP(CONCATENATE($U8,"@",BC$7),choice!$D:$E,2,0)))</f>
        <v/>
      </c>
      <c r="BD8" s="78" t="str">
        <f>IF($U8="","",IF(COUNTIF(choice!$D:$D,CONCATENATE($U8,"@",BD$7))=0,"",VLOOKUP(CONCATENATE($U8,"@",BD$7),choice!$D:$E,2,0)))</f>
        <v/>
      </c>
      <c r="BE8" s="78" t="str">
        <f>IF($U8="","",IF(COUNTIF(choice!$D:$D,CONCATENATE($U8,"@",BE$7))=0,"",VLOOKUP(CONCATENATE($U8,"@",BE$7),choice!$D:$E,2,0)))</f>
        <v/>
      </c>
      <c r="BF8" s="78" t="str">
        <f>IF($U8="","",IF(COUNTIF(choice!$D:$D,CONCATENATE($U8,"@",BF$7))=0,"",VLOOKUP(CONCATENATE($U8,"@",BF$7),choice!$D:$E,2,0)))</f>
        <v/>
      </c>
      <c r="BG8" s="78" t="str">
        <f>IF($U8="","",IF(COUNTIF(choice!$D:$D,CONCATENATE($U8,"@",BG$7))=0,"",VLOOKUP(CONCATENATE($U8,"@",BG$7),choice!$D:$E,2,0)))</f>
        <v/>
      </c>
      <c r="BH8" s="78" t="str">
        <f>IF($U8="","",IF(COUNTIF(choice!$D:$D,CONCATENATE($U8,"@",BH$7))=0,"",VLOOKUP(CONCATENATE($U8,"@",BH$7),choice!$D:$E,2,0)))</f>
        <v/>
      </c>
      <c r="BI8" s="78" t="str">
        <f>IF($U8="","",IF(COUNTIF(choice!$D:$D,CONCATENATE($U8,"@",BI$7))=0,"",VLOOKUP(CONCATENATE($U8,"@",BI$7),choice!$D:$E,2,0)))</f>
        <v/>
      </c>
      <c r="BJ8" s="78" t="str">
        <f>IF($U8="","",IF(COUNTIF(choice!$D:$D,CONCATENATE($U8,"@",BJ$7))=0,"",VLOOKUP(CONCATENATE($U8,"@",BJ$7),choice!$D:$E,2,0)))</f>
        <v/>
      </c>
      <c r="BK8" s="78" t="str">
        <f>IF($U8="","",IF(COUNTIF(choice!$D:$D,CONCATENATE($U8,"@",BK$7))=0,"",VLOOKUP(CONCATENATE($U8,"@",BK$7),choice!$D:$E,2,0)))</f>
        <v/>
      </c>
      <c r="BL8" s="78" t="str">
        <f>IF($U8="","",IF(COUNTIF(choice!$D:$D,CONCATENATE($U8,"@",BL$7))=0,"",VLOOKUP(CONCATENATE($U8,"@",BL$7),choice!$D:$E,2,0)))</f>
        <v/>
      </c>
      <c r="BM8" s="78" t="str">
        <f>IF($U8="","",IF(COUNTIF(choice!$D:$D,CONCATENATE($U8,"@",BM$7))=0,"",VLOOKUP(CONCATENATE($U8,"@",BM$7),choice!$D:$E,2,0)))</f>
        <v/>
      </c>
      <c r="BN8" s="78" t="str">
        <f>IF($U8="","",IF(COUNTIF(choice!$D:$D,CONCATENATE($U8,"@",BN$7))=0,"",VLOOKUP(CONCATENATE($U8,"@",BN$7),choice!$D:$E,2,0)))</f>
        <v/>
      </c>
      <c r="BO8" s="78" t="str">
        <f>IF($U8="","",IF(COUNTIF(choice!$D:$D,CONCATENATE($U8,"@",BO$7))=0,"",VLOOKUP(CONCATENATE($U8,"@",BO$7),choice!$D:$E,2,0)))</f>
        <v/>
      </c>
      <c r="BP8" s="78" t="str">
        <f>IF($U8="","",IF(COUNTIF(choice!$D:$D,CONCATENATE($U8,"@",BP$7))=0,"",VLOOKUP(CONCATENATE($U8,"@",BP$7),choice!$D:$E,2,0)))</f>
        <v/>
      </c>
      <c r="BQ8" s="78" t="str">
        <f>IF($U8="","",IF(COUNTIF(choice!$D:$D,CONCATENATE($U8,"@",BQ$7))=0,"",VLOOKUP(CONCATENATE($U8,"@",BQ$7),choice!$D:$E,2,0)))</f>
        <v/>
      </c>
      <c r="BR8" s="78" t="str">
        <f>IF($U8="","",IF(COUNTIF(choice!$D:$D,CONCATENATE($U8,"@",BR$7))=0,"",VLOOKUP(CONCATENATE($U8,"@",BR$7),choice!$D:$E,2,0)))</f>
        <v/>
      </c>
      <c r="BS8" s="78" t="str">
        <f>IF($U8="","",IF(COUNTIF(choice!$D:$D,CONCATENATE($U8,"@",BS$7))=0,"",VLOOKUP(CONCATENATE($U8,"@",BS$7),choice!$D:$E,2,0)))</f>
        <v/>
      </c>
      <c r="BT8" s="78" t="str">
        <f>IF($U8="","",IF(COUNTIF(choice!$D:$D,CONCATENATE($U8,"@",BT$7))=0,"",VLOOKUP(CONCATENATE($U8,"@",BT$7),choice!$D:$E,2,0)))</f>
        <v/>
      </c>
      <c r="BU8" s="78" t="str">
        <f>IF($U8="","",IF(COUNTIF(choice!$D:$D,CONCATENATE($U8,"@",BU$7))=0,"",VLOOKUP(CONCATENATE($U8,"@",BU$7),choice!$D:$E,2,0)))</f>
        <v/>
      </c>
      <c r="BV8" s="78" t="str">
        <f>IF($U8="","",IF(COUNTIF(choice!$D:$D,CONCATENATE($U8,"@",BV$7))=0,"",VLOOKUP(CONCATENATE($U8,"@",BV$7),choice!$D:$E,2,0)))</f>
        <v/>
      </c>
      <c r="BW8" s="78" t="str">
        <f>IF($U8="","",IF(COUNTIF(choice!$D:$D,CONCATENATE($U8,"@",BW$7))=0,"",VLOOKUP(CONCATENATE($U8,"@",BW$7),choice!$D:$E,2,0)))</f>
        <v/>
      </c>
      <c r="BX8" s="78" t="str">
        <f>IF($U8="","",IF(COUNTIF(choice!$D:$D,CONCATENATE($U8,"@",BX$7))=0,"",VLOOKUP(CONCATENATE($U8,"@",BX$7),choice!$D:$E,2,0)))</f>
        <v/>
      </c>
      <c r="BY8" s="78" t="str">
        <f>IF($U8="","",IF(COUNTIF(choice!$D:$D,CONCATENATE($U8,"@",BY$7))=0,"",VLOOKUP(CONCATENATE($U8,"@",BY$7),choice!$D:$E,2,0)))</f>
        <v/>
      </c>
      <c r="BZ8" s="78" t="str">
        <f>IF($U8="","",IF(COUNTIF(choice!$D:$D,CONCATENATE($U8,"@",BZ$7))=0,"",VLOOKUP(CONCATENATE($U8,"@",BZ$7),choice!$D:$E,2,0)))</f>
        <v/>
      </c>
      <c r="CA8" s="78" t="str">
        <f>IF($U8="","",IF(COUNTIF(choice!$D:$D,CONCATENATE($U8,"@",CA$7))=0,"",VLOOKUP(CONCATENATE($U8,"@",CA$7),choice!$D:$E,2,0)))</f>
        <v/>
      </c>
      <c r="CB8" s="78" t="str">
        <f>IF($U8="","",IF(COUNTIF(choice!$D:$D,CONCATENATE($U8,"@",CB$7))=0,"",VLOOKUP(CONCATENATE($U8,"@",CB$7),choice!$D:$E,2,0)))</f>
        <v/>
      </c>
      <c r="CC8" s="78" t="str">
        <f>IF($U8="","",IF(COUNTIF(choice!$D:$D,CONCATENATE($U8,"@",CC$7))=0,"",VLOOKUP(CONCATENATE($U8,"@",CC$7),choice!$D:$E,2,0)))</f>
        <v/>
      </c>
      <c r="CD8" s="78" t="str">
        <f>IF($U8="","",IF(COUNTIF(choice!$D:$D,CONCATENATE($U8,"@",CD$7))=0,"",VLOOKUP(CONCATENATE($U8,"@",CD$7),choice!$D:$E,2,0)))</f>
        <v/>
      </c>
      <c r="CE8" s="78" t="str">
        <f>IF($U8="","",IF(COUNTIF(choice!$D:$D,CONCATENATE($U8,"@",CE$7))=0,"",VLOOKUP(CONCATENATE($U8,"@",CE$7),choice!$D:$E,2,0)))</f>
        <v/>
      </c>
      <c r="CF8" s="78" t="str">
        <f>IF($U8="","",IF(COUNTIF(choice!$D:$D,CONCATENATE($U8,"@",CF$7))=0,"",VLOOKUP(CONCATENATE($U8,"@",CF$7),choice!$D:$E,2,0)))</f>
        <v/>
      </c>
      <c r="CG8" s="78" t="str">
        <f>IF($U8="","",IF(COUNTIF(choice!$D:$D,CONCATENATE($U8,"@",CG$7))=0,"",VLOOKUP(CONCATENATE($U8,"@",CG$7),choice!$D:$E,2,0)))</f>
        <v/>
      </c>
      <c r="CH8" s="78" t="str">
        <f>IF($U8="","",IF(COUNTIF(choice!$D:$D,CONCATENATE($U8,"@",CH$7))=0,"",VLOOKUP(CONCATENATE($U8,"@",CH$7),choice!$D:$E,2,0)))</f>
        <v/>
      </c>
      <c r="CI8" s="78" t="str">
        <f>IF($U8="","",IF(COUNTIF(choice!$D:$D,CONCATENATE($U8,"@",CI$7))=0,"",VLOOKUP(CONCATENATE($U8,"@",CI$7),choice!$D:$E,2,0)))</f>
        <v/>
      </c>
      <c r="CJ8" s="79" t="str">
        <f>IF($U8="","",IF(COUNTIF(choice!$D:$D,CONCATENATE($U8,"@",CJ$7))=0,"",VLOOKUP(CONCATENATE($U8,"@",CJ$7),choice!$D:$E,2,0)))</f>
        <v/>
      </c>
      <c r="CK8" s="77" t="str">
        <f>IF($V8="","",IF(COUNTIF(choice!$D:$D,CONCATENATE($V8,"@",CK$7))=0,"",VLOOKUP(CONCATENATE($V8,"@",CK$7),choice!$D:$E,2,0)))</f>
        <v/>
      </c>
      <c r="CL8" s="78" t="str">
        <f>IF($V8="","",IF(COUNTIF(choice!$D:$D,CONCATENATE($V8,"@",CL$7))=0,"",VLOOKUP(CONCATENATE($V8,"@",CL$7),choice!$D:$E,2,0)))</f>
        <v/>
      </c>
      <c r="CM8" s="78" t="str">
        <f>IF($V8="","",IF(COUNTIF(choice!$D:$D,CONCATENATE($V8,"@",CM$7))=0,"",VLOOKUP(CONCATENATE($V8,"@",CM$7),choice!$D:$E,2,0)))</f>
        <v/>
      </c>
      <c r="CN8" s="78" t="str">
        <f>IF($V8="","",IF(COUNTIF(choice!$D:$D,CONCATENATE($V8,"@",CN$7))=0,"",VLOOKUP(CONCATENATE($V8,"@",CN$7),choice!$D:$E,2,0)))</f>
        <v/>
      </c>
      <c r="CO8" s="78" t="str">
        <f>IF($V8="","",IF(COUNTIF(choice!$D:$D,CONCATENATE($V8,"@",CO$7))=0,"",VLOOKUP(CONCATENATE($V8,"@",CO$7),choice!$D:$E,2,0)))</f>
        <v/>
      </c>
      <c r="CP8" s="78" t="str">
        <f>IF($V8="","",IF(COUNTIF(choice!$D:$D,CONCATENATE($V8,"@",CP$7))=0,"",VLOOKUP(CONCATENATE($V8,"@",CP$7),choice!$D:$E,2,0)))</f>
        <v/>
      </c>
      <c r="CQ8" s="78" t="str">
        <f>IF($V8="","",IF(COUNTIF(choice!$D:$D,CONCATENATE($V8,"@",CQ$7))=0,"",VLOOKUP(CONCATENATE($V8,"@",CQ$7),choice!$D:$E,2,0)))</f>
        <v/>
      </c>
      <c r="CR8" s="78" t="str">
        <f>IF($V8="","",IF(COUNTIF(choice!$D:$D,CONCATENATE($V8,"@",CR$7))=0,"",VLOOKUP(CONCATENATE($V8,"@",CR$7),choice!$D:$E,2,0)))</f>
        <v/>
      </c>
      <c r="CS8" s="78" t="str">
        <f>IF($V8="","",IF(COUNTIF(choice!$D:$D,CONCATENATE($V8,"@",CS$7))=0,"",VLOOKUP(CONCATENATE($V8,"@",CS$7),choice!$D:$E,2,0)))</f>
        <v/>
      </c>
      <c r="CT8" s="78" t="str">
        <f>IF($V8="","",IF(COUNTIF(choice!$D:$D,CONCATENATE($V8,"@",CT$7))=0,"",VLOOKUP(CONCATENATE($V8,"@",CT$7),choice!$D:$E,2,0)))</f>
        <v/>
      </c>
      <c r="CU8" s="78" t="str">
        <f>IF($V8="","",IF(COUNTIF(choice!$D:$D,CONCATENATE($V8,"@",CU$7))=0,"",VLOOKUP(CONCATENATE($V8,"@",CU$7),choice!$D:$E,2,0)))</f>
        <v/>
      </c>
      <c r="CV8" s="78" t="str">
        <f>IF($V8="","",IF(COUNTIF(choice!$D:$D,CONCATENATE($V8,"@",CV$7))=0,"",VLOOKUP(CONCATENATE($V8,"@",CV$7),choice!$D:$E,2,0)))</f>
        <v/>
      </c>
      <c r="CW8" s="78" t="str">
        <f>IF($V8="","",IF(COUNTIF(choice!$D:$D,CONCATENATE($V8,"@",CW$7))=0,"",VLOOKUP(CONCATENATE($V8,"@",CW$7),choice!$D:$E,2,0)))</f>
        <v/>
      </c>
      <c r="CX8" s="78" t="str">
        <f>IF($V8="","",IF(COUNTIF(choice!$D:$D,CONCATENATE($V8,"@",CX$7))=0,"",VLOOKUP(CONCATENATE($V8,"@",CX$7),choice!$D:$E,2,0)))</f>
        <v/>
      </c>
      <c r="CY8" s="78" t="str">
        <f>IF($V8="","",IF(COUNTIF(choice!$D:$D,CONCATENATE($V8,"@",CY$7))=0,"",VLOOKUP(CONCATENATE($V8,"@",CY$7),choice!$D:$E,2,0)))</f>
        <v/>
      </c>
      <c r="CZ8" s="78" t="str">
        <f>IF($V8="","",IF(COUNTIF(choice!$D:$D,CONCATENATE($V8,"@",CZ$7))=0,"",VLOOKUP(CONCATENATE($V8,"@",CZ$7),choice!$D:$E,2,0)))</f>
        <v/>
      </c>
      <c r="DA8" s="78" t="str">
        <f>IF($V8="","",IF(COUNTIF(choice!$D:$D,CONCATENATE($V8,"@",DA$7))=0,"",VLOOKUP(CONCATENATE($V8,"@",DA$7),choice!$D:$E,2,0)))</f>
        <v/>
      </c>
      <c r="DB8" s="78" t="str">
        <f>IF($V8="","",IF(COUNTIF(choice!$D:$D,CONCATENATE($V8,"@",DB$7))=0,"",VLOOKUP(CONCATENATE($V8,"@",DB$7),choice!$D:$E,2,0)))</f>
        <v/>
      </c>
      <c r="DC8" s="78" t="str">
        <f>IF($V8="","",IF(COUNTIF(choice!$D:$D,CONCATENATE($V8,"@",DC$7))=0,"",VLOOKUP(CONCATENATE($V8,"@",DC$7),choice!$D:$E,2,0)))</f>
        <v/>
      </c>
      <c r="DD8" s="78" t="str">
        <f>IF($V8="","",IF(COUNTIF(choice!$D:$D,CONCATENATE($V8,"@",DD$7))=0,"",VLOOKUP(CONCATENATE($V8,"@",DD$7),choice!$D:$E,2,0)))</f>
        <v/>
      </c>
      <c r="DE8" s="78" t="str">
        <f>IF($V8="","",IF(COUNTIF(choice!$D:$D,CONCATENATE($V8,"@",DE$7))=0,"",VLOOKUP(CONCATENATE($V8,"@",DE$7),choice!$D:$E,2,0)))</f>
        <v/>
      </c>
      <c r="DF8" s="78" t="str">
        <f>IF($V8="","",IF(COUNTIF(choice!$D:$D,CONCATENATE($V8,"@",DF$7))=0,"",VLOOKUP(CONCATENATE($V8,"@",DF$7),choice!$D:$E,2,0)))</f>
        <v/>
      </c>
      <c r="DG8" s="78" t="str">
        <f>IF($V8="","",IF(COUNTIF(choice!$D:$D,CONCATENATE($V8,"@",DG$7))=0,"",VLOOKUP(CONCATENATE($V8,"@",DG$7),choice!$D:$E,2,0)))</f>
        <v/>
      </c>
      <c r="DH8" s="78" t="str">
        <f>IF($V8="","",IF(COUNTIF(choice!$D:$D,CONCATENATE($V8,"@",DH$7))=0,"",VLOOKUP(CONCATENATE($V8,"@",DH$7),choice!$D:$E,2,0)))</f>
        <v/>
      </c>
      <c r="DI8" s="78" t="str">
        <f>IF($V8="","",IF(COUNTIF(choice!$D:$D,CONCATENATE($V8,"@",DI$7))=0,"",VLOOKUP(CONCATENATE($V8,"@",DI$7),choice!$D:$E,2,0)))</f>
        <v/>
      </c>
      <c r="DJ8" s="78" t="str">
        <f>IF($V8="","",IF(COUNTIF(choice!$D:$D,CONCATENATE($V8,"@",DJ$7))=0,"",VLOOKUP(CONCATENATE($V8,"@",DJ$7),choice!$D:$E,2,0)))</f>
        <v/>
      </c>
      <c r="DK8" s="78" t="str">
        <f>IF($V8="","",IF(COUNTIF(choice!$D:$D,CONCATENATE($V8,"@",DK$7))=0,"",VLOOKUP(CONCATENATE($V8,"@",DK$7),choice!$D:$E,2,0)))</f>
        <v/>
      </c>
      <c r="DL8" s="78" t="str">
        <f>IF($V8="","",IF(COUNTIF(choice!$D:$D,CONCATENATE($V8,"@",DL$7))=0,"",VLOOKUP(CONCATENATE($V8,"@",DL$7),choice!$D:$E,2,0)))</f>
        <v/>
      </c>
      <c r="DM8" s="78" t="str">
        <f>IF($V8="","",IF(COUNTIF(choice!$D:$D,CONCATENATE($V8,"@",DM$7))=0,"",VLOOKUP(CONCATENATE($V8,"@",DM$7),choice!$D:$E,2,0)))</f>
        <v/>
      </c>
      <c r="DN8" s="78" t="str">
        <f>IF($V8="","",IF(COUNTIF(choice!$D:$D,CONCATENATE($V8,"@",DN$7))=0,"",VLOOKUP(CONCATENATE($V8,"@",DN$7),choice!$D:$E,2,0)))</f>
        <v/>
      </c>
      <c r="DO8" s="78" t="str">
        <f>IF($V8="","",IF(COUNTIF(choice!$D:$D,CONCATENATE($V8,"@",DO$7))=0,"",VLOOKUP(CONCATENATE($V8,"@",DO$7),choice!$D:$E,2,0)))</f>
        <v/>
      </c>
      <c r="DP8" s="78" t="str">
        <f>IF($V8="","",IF(COUNTIF(choice!$D:$D,CONCATENATE($V8,"@",DP$7))=0,"",VLOOKUP(CONCATENATE($V8,"@",DP$7),choice!$D:$E,2,0)))</f>
        <v/>
      </c>
      <c r="DQ8" s="78" t="str">
        <f>IF($V8="","",IF(COUNTIF(choice!$D:$D,CONCATENATE($V8,"@",DQ$7))=0,"",VLOOKUP(CONCATENATE($V8,"@",DQ$7),choice!$D:$E,2,0)))</f>
        <v/>
      </c>
      <c r="DR8" s="78" t="str">
        <f>IF($V8="","",IF(COUNTIF(choice!$D:$D,CONCATENATE($V8,"@",DR$7))=0,"",VLOOKUP(CONCATENATE($V8,"@",DR$7),choice!$D:$E,2,0)))</f>
        <v/>
      </c>
      <c r="DS8" s="78" t="str">
        <f>IF($V8="","",IF(COUNTIF(choice!$D:$D,CONCATENATE($V8,"@",DS$7))=0,"",VLOOKUP(CONCATENATE($V8,"@",DS$7),choice!$D:$E,2,0)))</f>
        <v/>
      </c>
      <c r="DT8" s="78" t="str">
        <f>IF($V8="","",IF(COUNTIF(choice!$D:$D,CONCATENATE($V8,"@",DT$7))=0,"",VLOOKUP(CONCATENATE($V8,"@",DT$7),choice!$D:$E,2,0)))</f>
        <v/>
      </c>
      <c r="DU8" s="78" t="str">
        <f>IF($V8="","",IF(COUNTIF(choice!$D:$D,CONCATENATE($V8,"@",DU$7))=0,"",VLOOKUP(CONCATENATE($V8,"@",DU$7),choice!$D:$E,2,0)))</f>
        <v/>
      </c>
      <c r="DV8" s="78" t="str">
        <f>IF($V8="","",IF(COUNTIF(choice!$D:$D,CONCATENATE($V8,"@",DV$7))=0,"",VLOOKUP(CONCATENATE($V8,"@",DV$7),choice!$D:$E,2,0)))</f>
        <v/>
      </c>
      <c r="DW8" s="78" t="str">
        <f>IF($V8="","",IF(COUNTIF(choice!$D:$D,CONCATENATE($V8,"@",DW$7))=0,"",VLOOKUP(CONCATENATE($V8,"@",DW$7),choice!$D:$E,2,0)))</f>
        <v/>
      </c>
      <c r="DX8" s="78" t="str">
        <f>IF($V8="","",IF(COUNTIF(choice!$D:$D,CONCATENATE($V8,"@",DX$7))=0,"",VLOOKUP(CONCATENATE($V8,"@",DX$7),choice!$D:$E,2,0)))</f>
        <v/>
      </c>
      <c r="DY8" s="78" t="str">
        <f>IF($V8="","",IF(COUNTIF(choice!$D:$D,CONCATENATE($V8,"@",DY$7))=0,"",VLOOKUP(CONCATENATE($V8,"@",DY$7),choice!$D:$E,2,0)))</f>
        <v/>
      </c>
      <c r="DZ8" s="78" t="str">
        <f>IF($V8="","",IF(COUNTIF(choice!$D:$D,CONCATENATE($V8,"@",DZ$7))=0,"",VLOOKUP(CONCATENATE($V8,"@",DZ$7),choice!$D:$E,2,0)))</f>
        <v/>
      </c>
      <c r="EA8" s="78" t="str">
        <f>IF($V8="","",IF(COUNTIF(choice!$D:$D,CONCATENATE($V8,"@",EA$7))=0,"",VLOOKUP(CONCATENATE($V8,"@",EA$7),choice!$D:$E,2,0)))</f>
        <v/>
      </c>
      <c r="EB8" s="78" t="str">
        <f>IF($V8="","",IF(COUNTIF(choice!$D:$D,CONCATENATE($V8,"@",EB$7))=0,"",VLOOKUP(CONCATENATE($V8,"@",EB$7),choice!$D:$E,2,0)))</f>
        <v/>
      </c>
      <c r="EC8" s="79" t="str">
        <f>IF($V8="","",IF(COUNTIF(choice!$D:$D,CONCATENATE($V8,"@",EC$7))=0,"",VLOOKUP(CONCATENATE($V8,"@",EC$7),choice!$D:$E,2,0)))</f>
        <v/>
      </c>
      <c r="ED8" s="77" t="str">
        <f>IF($W8="","",IF(COUNTIF(choice!$D:$D,CONCATENATE($W8,"@",ED$7))=0,"",VLOOKUP(CONCATENATE($W8,"@",ED$7),choice!$D:$E,2,0)))</f>
        <v/>
      </c>
      <c r="EE8" s="78" t="str">
        <f>IF($W8="","",IF(COUNTIF(choice!$D:$D,CONCATENATE($W8,"@",EE$7))=0,"",VLOOKUP(CONCATENATE($W8,"@",EE$7),choice!$D:$E,2,0)))</f>
        <v/>
      </c>
      <c r="EF8" s="78" t="str">
        <f>IF($W8="","",IF(COUNTIF(choice!$D:$D,CONCATENATE($W8,"@",EF$7))=0,"",VLOOKUP(CONCATENATE($W8,"@",EF$7),choice!$D:$E,2,0)))</f>
        <v/>
      </c>
      <c r="EG8" s="78" t="str">
        <f>IF($W8="","",IF(COUNTIF(choice!$D:$D,CONCATENATE($W8,"@",EG$7))=0,"",VLOOKUP(CONCATENATE($W8,"@",EG$7),choice!$D:$E,2,0)))</f>
        <v/>
      </c>
      <c r="EH8" s="78" t="str">
        <f>IF($W8="","",IF(COUNTIF(choice!$D:$D,CONCATENATE($W8,"@",EH$7))=0,"",VLOOKUP(CONCATENATE($W8,"@",EH$7),choice!$D:$E,2,0)))</f>
        <v/>
      </c>
      <c r="EI8" s="78" t="str">
        <f>IF($W8="","",IF(COUNTIF(choice!$D:$D,CONCATENATE($W8,"@",EI$7))=0,"",VLOOKUP(CONCATENATE($W8,"@",EI$7),choice!$D:$E,2,0)))</f>
        <v/>
      </c>
      <c r="EJ8" s="78" t="str">
        <f>IF($W8="","",IF(COUNTIF(choice!$D:$D,CONCATENATE($W8,"@",EJ$7))=0,"",VLOOKUP(CONCATENATE($W8,"@",EJ$7),choice!$D:$E,2,0)))</f>
        <v/>
      </c>
      <c r="EK8" s="78" t="str">
        <f>IF($W8="","",IF(COUNTIF(choice!$D:$D,CONCATENATE($W8,"@",EK$7))=0,"",VLOOKUP(CONCATENATE($W8,"@",EK$7),choice!$D:$E,2,0)))</f>
        <v/>
      </c>
      <c r="EL8" s="78" t="str">
        <f>IF($W8="","",IF(COUNTIF(choice!$D:$D,CONCATENATE($W8,"@",EL$7))=0,"",VLOOKUP(CONCATENATE($W8,"@",EL$7),choice!$D:$E,2,0)))</f>
        <v/>
      </c>
      <c r="EM8" s="78" t="str">
        <f>IF($W8="","",IF(COUNTIF(choice!$D:$D,CONCATENATE($W8,"@",EM$7))=0,"",VLOOKUP(CONCATENATE($W8,"@",EM$7),choice!$D:$E,2,0)))</f>
        <v/>
      </c>
      <c r="EN8" s="78" t="str">
        <f>IF($W8="","",IF(COUNTIF(choice!$D:$D,CONCATENATE($W8,"@",EN$7))=0,"",VLOOKUP(CONCATENATE($W8,"@",EN$7),choice!$D:$E,2,0)))</f>
        <v/>
      </c>
      <c r="EO8" s="78" t="str">
        <f>IF($W8="","",IF(COUNTIF(choice!$D:$D,CONCATENATE($W8,"@",EO$7))=0,"",VLOOKUP(CONCATENATE($W8,"@",EO$7),choice!$D:$E,2,0)))</f>
        <v/>
      </c>
      <c r="EP8" s="78" t="str">
        <f>IF($W8="","",IF(COUNTIF(choice!$D:$D,CONCATENATE($W8,"@",EP$7))=0,"",VLOOKUP(CONCATENATE($W8,"@",EP$7),choice!$D:$E,2,0)))</f>
        <v/>
      </c>
      <c r="EQ8" s="78" t="str">
        <f>IF($W8="","",IF(COUNTIF(choice!$D:$D,CONCATENATE($W8,"@",EQ$7))=0,"",VLOOKUP(CONCATENATE($W8,"@",EQ$7),choice!$D:$E,2,0)))</f>
        <v/>
      </c>
      <c r="ER8" s="78" t="str">
        <f>IF($W8="","",IF(COUNTIF(choice!$D:$D,CONCATENATE($W8,"@",ER$7))=0,"",VLOOKUP(CONCATENATE($W8,"@",ER$7),choice!$D:$E,2,0)))</f>
        <v/>
      </c>
      <c r="ES8" s="78" t="str">
        <f>IF($W8="","",IF(COUNTIF(choice!$D:$D,CONCATENATE($W8,"@",ES$7))=0,"",VLOOKUP(CONCATENATE($W8,"@",ES$7),choice!$D:$E,2,0)))</f>
        <v/>
      </c>
      <c r="ET8" s="78" t="str">
        <f>IF($W8="","",IF(COUNTIF(choice!$D:$D,CONCATENATE($W8,"@",ET$7))=0,"",VLOOKUP(CONCATENATE($W8,"@",ET$7),choice!$D:$E,2,0)))</f>
        <v/>
      </c>
      <c r="EU8" s="78" t="str">
        <f>IF($W8="","",IF(COUNTIF(choice!$D:$D,CONCATENATE($W8,"@",EU$7))=0,"",VLOOKUP(CONCATENATE($W8,"@",EU$7),choice!$D:$E,2,0)))</f>
        <v/>
      </c>
      <c r="EV8" s="78" t="str">
        <f>IF($W8="","",IF(COUNTIF(choice!$D:$D,CONCATENATE($W8,"@",EV$7))=0,"",VLOOKUP(CONCATENATE($W8,"@",EV$7),choice!$D:$E,2,0)))</f>
        <v/>
      </c>
      <c r="EW8" s="78" t="str">
        <f>IF($W8="","",IF(COUNTIF(choice!$D:$D,CONCATENATE($W8,"@",EW$7))=0,"",VLOOKUP(CONCATENATE($W8,"@",EW$7),choice!$D:$E,2,0)))</f>
        <v/>
      </c>
      <c r="EX8" s="78" t="str">
        <f>IF($W8="","",IF(COUNTIF(choice!$D:$D,CONCATENATE($W8,"@",EX$7))=0,"",VLOOKUP(CONCATENATE($W8,"@",EX$7),choice!$D:$E,2,0)))</f>
        <v/>
      </c>
      <c r="EY8" s="78" t="str">
        <f>IF($W8="","",IF(COUNTIF(choice!$D:$D,CONCATENATE($W8,"@",EY$7))=0,"",VLOOKUP(CONCATENATE($W8,"@",EY$7),choice!$D:$E,2,0)))</f>
        <v/>
      </c>
      <c r="EZ8" s="78" t="str">
        <f>IF($W8="","",IF(COUNTIF(choice!$D:$D,CONCATENATE($W8,"@",EZ$7))=0,"",VLOOKUP(CONCATENATE($W8,"@",EZ$7),choice!$D:$E,2,0)))</f>
        <v/>
      </c>
      <c r="FA8" s="78" t="str">
        <f>IF($W8="","",IF(COUNTIF(choice!$D:$D,CONCATENATE($W8,"@",FA$7))=0,"",VLOOKUP(CONCATENATE($W8,"@",FA$7),choice!$D:$E,2,0)))</f>
        <v/>
      </c>
      <c r="FB8" s="78" t="str">
        <f>IF($W8="","",IF(COUNTIF(choice!$D:$D,CONCATENATE($W8,"@",FB$7))=0,"",VLOOKUP(CONCATENATE($W8,"@",FB$7),choice!$D:$E,2,0)))</f>
        <v/>
      </c>
      <c r="FC8" s="78" t="str">
        <f>IF($W8="","",IF(COUNTIF(choice!$D:$D,CONCATENATE($W8,"@",FC$7))=0,"",VLOOKUP(CONCATENATE($W8,"@",FC$7),choice!$D:$E,2,0)))</f>
        <v/>
      </c>
      <c r="FD8" s="78" t="str">
        <f>IF($W8="","",IF(COUNTIF(choice!$D:$D,CONCATENATE($W8,"@",FD$7))=0,"",VLOOKUP(CONCATENATE($W8,"@",FD$7),choice!$D:$E,2,0)))</f>
        <v/>
      </c>
      <c r="FE8" s="78" t="str">
        <f>IF($W8="","",IF(COUNTIF(choice!$D:$D,CONCATENATE($W8,"@",FE$7))=0,"",VLOOKUP(CONCATENATE($W8,"@",FE$7),choice!$D:$E,2,0)))</f>
        <v/>
      </c>
      <c r="FF8" s="78" t="str">
        <f>IF($W8="","",IF(COUNTIF(choice!$D:$D,CONCATENATE($W8,"@",FF$7))=0,"",VLOOKUP(CONCATENATE($W8,"@",FF$7),choice!$D:$E,2,0)))</f>
        <v/>
      </c>
      <c r="FG8" s="78" t="str">
        <f>IF($W8="","",IF(COUNTIF(choice!$D:$D,CONCATENATE($W8,"@",FG$7))=0,"",VLOOKUP(CONCATENATE($W8,"@",FG$7),choice!$D:$E,2,0)))</f>
        <v/>
      </c>
      <c r="FH8" s="78" t="str">
        <f>IF($W8="","",IF(COUNTIF(choice!$D:$D,CONCATENATE($W8,"@",FH$7))=0,"",VLOOKUP(CONCATENATE($W8,"@",FH$7),choice!$D:$E,2,0)))</f>
        <v/>
      </c>
      <c r="FI8" s="78" t="str">
        <f>IF($W8="","",IF(COUNTIF(choice!$D:$D,CONCATENATE($W8,"@",FI$7))=0,"",VLOOKUP(CONCATENATE($W8,"@",FI$7),choice!$D:$E,2,0)))</f>
        <v/>
      </c>
      <c r="FJ8" s="78" t="str">
        <f>IF($W8="","",IF(COUNTIF(choice!$D:$D,CONCATENATE($W8,"@",FJ$7))=0,"",VLOOKUP(CONCATENATE($W8,"@",FJ$7),choice!$D:$E,2,0)))</f>
        <v/>
      </c>
      <c r="FK8" s="78" t="str">
        <f>IF($W8="","",IF(COUNTIF(choice!$D:$D,CONCATENATE($W8,"@",FK$7))=0,"",VLOOKUP(CONCATENATE($W8,"@",FK$7),choice!$D:$E,2,0)))</f>
        <v/>
      </c>
      <c r="FL8" s="78" t="str">
        <f>IF($W8="","",IF(COUNTIF(choice!$D:$D,CONCATENATE($W8,"@",FL$7))=0,"",VLOOKUP(CONCATENATE($W8,"@",FL$7),choice!$D:$E,2,0)))</f>
        <v/>
      </c>
      <c r="FM8" s="78" t="str">
        <f>IF($W8="","",IF(COUNTIF(choice!$D:$D,CONCATENATE($W8,"@",FM$7))=0,"",VLOOKUP(CONCATENATE($W8,"@",FM$7),choice!$D:$E,2,0)))</f>
        <v/>
      </c>
      <c r="FN8" s="78" t="str">
        <f>IF($W8="","",IF(COUNTIF(choice!$D:$D,CONCATENATE($W8,"@",FN$7))=0,"",VLOOKUP(CONCATENATE($W8,"@",FN$7),choice!$D:$E,2,0)))</f>
        <v/>
      </c>
      <c r="FO8" s="78" t="str">
        <f>IF($W8="","",IF(COUNTIF(choice!$D:$D,CONCATENATE($W8,"@",FO$7))=0,"",VLOOKUP(CONCATENATE($W8,"@",FO$7),choice!$D:$E,2,0)))</f>
        <v/>
      </c>
      <c r="FP8" s="78" t="str">
        <f>IF($W8="","",IF(COUNTIF(choice!$D:$D,CONCATENATE($W8,"@",FP$7))=0,"",VLOOKUP(CONCATENATE($W8,"@",FP$7),choice!$D:$E,2,0)))</f>
        <v/>
      </c>
      <c r="FQ8" s="78" t="str">
        <f>IF($W8="","",IF(COUNTIF(choice!$D:$D,CONCATENATE($W8,"@",FQ$7))=0,"",VLOOKUP(CONCATENATE($W8,"@",FQ$7),choice!$D:$E,2,0)))</f>
        <v/>
      </c>
      <c r="FR8" s="78" t="str">
        <f>IF($W8="","",IF(COUNTIF(choice!$D:$D,CONCATENATE($W8,"@",FR$7))=0,"",VLOOKUP(CONCATENATE($W8,"@",FR$7),choice!$D:$E,2,0)))</f>
        <v/>
      </c>
      <c r="FS8" s="78" t="str">
        <f>IF($W8="","",IF(COUNTIF(choice!$D:$D,CONCATENATE($W8,"@",FS$7))=0,"",VLOOKUP(CONCATENATE($W8,"@",FS$7),choice!$D:$E,2,0)))</f>
        <v/>
      </c>
      <c r="FT8" s="78" t="str">
        <f>IF($W8="","",IF(COUNTIF(choice!$D:$D,CONCATENATE($W8,"@",FT$7))=0,"",VLOOKUP(CONCATENATE($W8,"@",FT$7),choice!$D:$E,2,0)))</f>
        <v/>
      </c>
      <c r="FU8" s="78" t="str">
        <f>IF($W8="","",IF(COUNTIF(choice!$D:$D,CONCATENATE($W8,"@",FU$7))=0,"",VLOOKUP(CONCATENATE($W8,"@",FU$7),choice!$D:$E,2,0)))</f>
        <v/>
      </c>
      <c r="FV8" s="79" t="str">
        <f>IF($W8="","",IF(COUNTIF(choice!$D:$D,CONCATENATE($W8,"@",FV$7))=0,"",VLOOKUP(CONCATENATE($W8,"@",FV$7),choice!$D:$E,2,0)))</f>
        <v/>
      </c>
      <c r="FW8" s="77" t="str">
        <f>IF($X8="","",IF(COUNTIF(choice!$D:$D,CONCATENATE($X8,"@",FW$7))=0,"",VLOOKUP(CONCATENATE($X8,"@",FW$7),choice!$D:$E,2,0)))</f>
        <v/>
      </c>
      <c r="FX8" s="78" t="str">
        <f>IF($X8="","",IF(COUNTIF(choice!$D:$D,CONCATENATE($X8,"@",FX$7))=0,"",VLOOKUP(CONCATENATE($X8,"@",FX$7),choice!$D:$E,2,0)))</f>
        <v/>
      </c>
      <c r="FY8" s="78" t="str">
        <f>IF($X8="","",IF(COUNTIF(choice!$D:$D,CONCATENATE($X8,"@",FY$7))=0,"",VLOOKUP(CONCATENATE($X8,"@",FY$7),choice!$D:$E,2,0)))</f>
        <v/>
      </c>
      <c r="FZ8" s="78" t="str">
        <f>IF($X8="","",IF(COUNTIF(choice!$D:$D,CONCATENATE($X8,"@",FZ$7))=0,"",VLOOKUP(CONCATENATE($X8,"@",FZ$7),choice!$D:$E,2,0)))</f>
        <v/>
      </c>
      <c r="GA8" s="78" t="str">
        <f>IF($X8="","",IF(COUNTIF(choice!$D:$D,CONCATENATE($X8,"@",GA$7))=0,"",VLOOKUP(CONCATENATE($X8,"@",GA$7),choice!$D:$E,2,0)))</f>
        <v/>
      </c>
      <c r="GB8" s="78" t="str">
        <f>IF($X8="","",IF(COUNTIF(choice!$D:$D,CONCATENATE($X8,"@",GB$7))=0,"",VLOOKUP(CONCATENATE($X8,"@",GB$7),choice!$D:$E,2,0)))</f>
        <v/>
      </c>
      <c r="GC8" s="78" t="str">
        <f>IF($X8="","",IF(COUNTIF(choice!$D:$D,CONCATENATE($X8,"@",GC$7))=0,"",VLOOKUP(CONCATENATE($X8,"@",GC$7),choice!$D:$E,2,0)))</f>
        <v/>
      </c>
      <c r="GD8" s="78" t="str">
        <f>IF($X8="","",IF(COUNTIF(choice!$D:$D,CONCATENATE($X8,"@",GD$7))=0,"",VLOOKUP(CONCATENATE($X8,"@",GD$7),choice!$D:$E,2,0)))</f>
        <v/>
      </c>
      <c r="GE8" s="78" t="str">
        <f>IF($X8="","",IF(COUNTIF(choice!$D:$D,CONCATENATE($X8,"@",GE$7))=0,"",VLOOKUP(CONCATENATE($X8,"@",GE$7),choice!$D:$E,2,0)))</f>
        <v/>
      </c>
      <c r="GF8" s="78" t="str">
        <f>IF($X8="","",IF(COUNTIF(choice!$D:$D,CONCATENATE($X8,"@",GF$7))=0,"",VLOOKUP(CONCATENATE($X8,"@",GF$7),choice!$D:$E,2,0)))</f>
        <v/>
      </c>
      <c r="GG8" s="78" t="str">
        <f>IF($X8="","",IF(COUNTIF(choice!$D:$D,CONCATENATE($X8,"@",GG$7))=0,"",VLOOKUP(CONCATENATE($X8,"@",GG$7),choice!$D:$E,2,0)))</f>
        <v/>
      </c>
      <c r="GH8" s="78" t="str">
        <f>IF($X8="","",IF(COUNTIF(choice!$D:$D,CONCATENATE($X8,"@",GH$7))=0,"",VLOOKUP(CONCATENATE($X8,"@",GH$7),choice!$D:$E,2,0)))</f>
        <v/>
      </c>
      <c r="GI8" s="78" t="str">
        <f>IF($X8="","",IF(COUNTIF(choice!$D:$D,CONCATENATE($X8,"@",GI$7))=0,"",VLOOKUP(CONCATENATE($X8,"@",GI$7),choice!$D:$E,2,0)))</f>
        <v/>
      </c>
      <c r="GJ8" s="78" t="str">
        <f>IF($X8="","",IF(COUNTIF(choice!$D:$D,CONCATENATE($X8,"@",GJ$7))=0,"",VLOOKUP(CONCATENATE($X8,"@",GJ$7),choice!$D:$E,2,0)))</f>
        <v/>
      </c>
      <c r="GK8" s="78" t="str">
        <f>IF($X8="","",IF(COUNTIF(choice!$D:$D,CONCATENATE($X8,"@",GK$7))=0,"",VLOOKUP(CONCATENATE($X8,"@",GK$7),choice!$D:$E,2,0)))</f>
        <v/>
      </c>
      <c r="GL8" s="78" t="str">
        <f>IF($X8="","",IF(COUNTIF(choice!$D:$D,CONCATENATE($X8,"@",GL$7))=0,"",VLOOKUP(CONCATENATE($X8,"@",GL$7),choice!$D:$E,2,0)))</f>
        <v/>
      </c>
      <c r="GM8" s="78" t="str">
        <f>IF($X8="","",IF(COUNTIF(choice!$D:$D,CONCATENATE($X8,"@",GM$7))=0,"",VLOOKUP(CONCATENATE($X8,"@",GM$7),choice!$D:$E,2,0)))</f>
        <v/>
      </c>
      <c r="GN8" s="78" t="str">
        <f>IF($X8="","",IF(COUNTIF(choice!$D:$D,CONCATENATE($X8,"@",GN$7))=0,"",VLOOKUP(CONCATENATE($X8,"@",GN$7),choice!$D:$E,2,0)))</f>
        <v/>
      </c>
      <c r="GO8" s="78" t="str">
        <f>IF($X8="","",IF(COUNTIF(choice!$D:$D,CONCATENATE($X8,"@",GO$7))=0,"",VLOOKUP(CONCATENATE($X8,"@",GO$7),choice!$D:$E,2,0)))</f>
        <v/>
      </c>
      <c r="GP8" s="78" t="str">
        <f>IF($X8="","",IF(COUNTIF(choice!$D:$D,CONCATENATE($X8,"@",GP$7))=0,"",VLOOKUP(CONCATENATE($X8,"@",GP$7),choice!$D:$E,2,0)))</f>
        <v/>
      </c>
      <c r="GQ8" s="78" t="str">
        <f>IF($X8="","",IF(COUNTIF(choice!$D:$D,CONCATENATE($X8,"@",GQ$7))=0,"",VLOOKUP(CONCATENATE($X8,"@",GQ$7),choice!$D:$E,2,0)))</f>
        <v/>
      </c>
      <c r="GR8" s="78" t="str">
        <f>IF($X8="","",IF(COUNTIF(choice!$D:$D,CONCATENATE($X8,"@",GR$7))=0,"",VLOOKUP(CONCATENATE($X8,"@",GR$7),choice!$D:$E,2,0)))</f>
        <v/>
      </c>
      <c r="GS8" s="78" t="str">
        <f>IF($X8="","",IF(COUNTIF(choice!$D:$D,CONCATENATE($X8,"@",GS$7))=0,"",VLOOKUP(CONCATENATE($X8,"@",GS$7),choice!$D:$E,2,0)))</f>
        <v/>
      </c>
      <c r="GT8" s="78" t="str">
        <f>IF($X8="","",IF(COUNTIF(choice!$D:$D,CONCATENATE($X8,"@",GT$7))=0,"",VLOOKUP(CONCATENATE($X8,"@",GT$7),choice!$D:$E,2,0)))</f>
        <v/>
      </c>
      <c r="GU8" s="78" t="str">
        <f>IF($X8="","",IF(COUNTIF(choice!$D:$D,CONCATENATE($X8,"@",GU$7))=0,"",VLOOKUP(CONCATENATE($X8,"@",GU$7),choice!$D:$E,2,0)))</f>
        <v/>
      </c>
      <c r="GV8" s="78" t="str">
        <f>IF($X8="","",IF(COUNTIF(choice!$D:$D,CONCATENATE($X8,"@",GV$7))=0,"",VLOOKUP(CONCATENATE($X8,"@",GV$7),choice!$D:$E,2,0)))</f>
        <v/>
      </c>
      <c r="GW8" s="78" t="str">
        <f>IF($X8="","",IF(COUNTIF(choice!$D:$D,CONCATENATE($X8,"@",GW$7))=0,"",VLOOKUP(CONCATENATE($X8,"@",GW$7),choice!$D:$E,2,0)))</f>
        <v/>
      </c>
      <c r="GX8" s="78" t="str">
        <f>IF($X8="","",IF(COUNTIF(choice!$D:$D,CONCATENATE($X8,"@",GX$7))=0,"",VLOOKUP(CONCATENATE($X8,"@",GX$7),choice!$D:$E,2,0)))</f>
        <v/>
      </c>
      <c r="GY8" s="78" t="str">
        <f>IF($X8="","",IF(COUNTIF(choice!$D:$D,CONCATENATE($X8,"@",GY$7))=0,"",VLOOKUP(CONCATENATE($X8,"@",GY$7),choice!$D:$E,2,0)))</f>
        <v/>
      </c>
      <c r="GZ8" s="78" t="str">
        <f>IF($X8="","",IF(COUNTIF(choice!$D:$D,CONCATENATE($X8,"@",GZ$7))=0,"",VLOOKUP(CONCATENATE($X8,"@",GZ$7),choice!$D:$E,2,0)))</f>
        <v/>
      </c>
      <c r="HA8" s="78" t="str">
        <f>IF($X8="","",IF(COUNTIF(choice!$D:$D,CONCATENATE($X8,"@",HA$7))=0,"",VLOOKUP(CONCATENATE($X8,"@",HA$7),choice!$D:$E,2,0)))</f>
        <v/>
      </c>
      <c r="HB8" s="78" t="str">
        <f>IF($X8="","",IF(COUNTIF(choice!$D:$D,CONCATENATE($X8,"@",HB$7))=0,"",VLOOKUP(CONCATENATE($X8,"@",HB$7),choice!$D:$E,2,0)))</f>
        <v/>
      </c>
      <c r="HC8" s="78" t="str">
        <f>IF($X8="","",IF(COUNTIF(choice!$D:$D,CONCATENATE($X8,"@",HC$7))=0,"",VLOOKUP(CONCATENATE($X8,"@",HC$7),choice!$D:$E,2,0)))</f>
        <v/>
      </c>
      <c r="HD8" s="78" t="str">
        <f>IF($X8="","",IF(COUNTIF(choice!$D:$D,CONCATENATE($X8,"@",HD$7))=0,"",VLOOKUP(CONCATENATE($X8,"@",HD$7),choice!$D:$E,2,0)))</f>
        <v/>
      </c>
      <c r="HE8" s="78" t="str">
        <f>IF($X8="","",IF(COUNTIF(choice!$D:$D,CONCATENATE($X8,"@",HE$7))=0,"",VLOOKUP(CONCATENATE($X8,"@",HE$7),choice!$D:$E,2,0)))</f>
        <v/>
      </c>
      <c r="HF8" s="78" t="str">
        <f>IF($X8="","",IF(COUNTIF(choice!$D:$D,CONCATENATE($X8,"@",HF$7))=0,"",VLOOKUP(CONCATENATE($X8,"@",HF$7),choice!$D:$E,2,0)))</f>
        <v/>
      </c>
      <c r="HG8" s="78" t="str">
        <f>IF($X8="","",IF(COUNTIF(choice!$D:$D,CONCATENATE($X8,"@",HG$7))=0,"",VLOOKUP(CONCATENATE($X8,"@",HG$7),choice!$D:$E,2,0)))</f>
        <v/>
      </c>
      <c r="HH8" s="78" t="str">
        <f>IF($X8="","",IF(COUNTIF(choice!$D:$D,CONCATENATE($X8,"@",HH$7))=0,"",VLOOKUP(CONCATENATE($X8,"@",HH$7),choice!$D:$E,2,0)))</f>
        <v/>
      </c>
      <c r="HI8" s="78" t="str">
        <f>IF($X8="","",IF(COUNTIF(choice!$D:$D,CONCATENATE($X8,"@",HI$7))=0,"",VLOOKUP(CONCATENATE($X8,"@",HI$7),choice!$D:$E,2,0)))</f>
        <v/>
      </c>
      <c r="HJ8" s="78" t="str">
        <f>IF($X8="","",IF(COUNTIF(choice!$D:$D,CONCATENATE($X8,"@",HJ$7))=0,"",VLOOKUP(CONCATENATE($X8,"@",HJ$7),choice!$D:$E,2,0)))</f>
        <v/>
      </c>
      <c r="HK8" s="78" t="str">
        <f>IF($X8="","",IF(COUNTIF(choice!$D:$D,CONCATENATE($X8,"@",HK$7))=0,"",VLOOKUP(CONCATENATE($X8,"@",HK$7),choice!$D:$E,2,0)))</f>
        <v/>
      </c>
      <c r="HL8" s="78" t="str">
        <f>IF($X8="","",IF(COUNTIF(choice!$D:$D,CONCATENATE($X8,"@",HL$7))=0,"",VLOOKUP(CONCATENATE($X8,"@",HL$7),choice!$D:$E,2,0)))</f>
        <v/>
      </c>
      <c r="HM8" s="78" t="str">
        <f>IF($X8="","",IF(COUNTIF(choice!$D:$D,CONCATENATE($X8,"@",HM$7))=0,"",VLOOKUP(CONCATENATE($X8,"@",HM$7),choice!$D:$E,2,0)))</f>
        <v/>
      </c>
      <c r="HN8" s="78" t="str">
        <f>IF($X8="","",IF(COUNTIF(choice!$D:$D,CONCATENATE($X8,"@",HN$7))=0,"",VLOOKUP(CONCATENATE($X8,"@",HN$7),choice!$D:$E,2,0)))</f>
        <v/>
      </c>
      <c r="HO8" s="79" t="str">
        <f>IF($X8="","",IF(COUNTIF(choice!$D:$D,CONCATENATE($X8,"@",HO$7))=0,"",VLOOKUP(CONCATENATE($X8,"@",HO$7),choice!$D:$E,2,0)))</f>
        <v/>
      </c>
      <c r="HP8" s="20" t="s">
        <v>52</v>
      </c>
      <c r="HQ8" s="20" t="s">
        <v>53</v>
      </c>
      <c r="HU8" s="74" t="s">
        <v>105</v>
      </c>
      <c r="HV8" s="74">
        <f>IF(RIGHT(I8,4)="E AV",LEN(IC8)-LEN(SUBSTITUTE(IC8,"+",""))+1,0)</f>
        <v>0</v>
      </c>
      <c r="HW8" s="74">
        <f>IF(RIGHT(I8,4)="E DT",LEN(IC8)-LEN(SUBSTITUTE(IC8,"+",""))+1,0)</f>
        <v>0</v>
      </c>
      <c r="HX8" s="74">
        <f>IF(LEFT(I8,4)="E AV",LEN(IC8)-LEN(SUBSTITUTE(IC8,"+",""))+1,0)</f>
        <v>0</v>
      </c>
      <c r="HY8" s="74">
        <f>IF(LEFT(I8,4)="E DT",LEN(IC8)-LEN(SUBSTITUTE(IC8,"+",""))+1,0)</f>
        <v>0</v>
      </c>
      <c r="HZ8" s="74">
        <f>HV8-HX8+'Train Movement Log (page.2)'!HZ21</f>
        <v>0</v>
      </c>
      <c r="IA8" s="74">
        <f>HW8-HY8+'Train Movement Log (page.2)'!IA21</f>
        <v>0</v>
      </c>
      <c r="IB8" s="74" t="str">
        <f>IF(COUNTIF(AQ8,"*02*")=0,IF(COUNTIF(AQ8,"*04*")=0,IF(RIGHT(I8,4)="E AV",IF('Train Movement Log (page.2)'!HZ20=0,"","SPAD"),IF(RIGHT(I8,4)="E DT",IF('Train Movement Log (page.2)'!IA20=0,"","SPAD"),""))),"")</f>
        <v/>
      </c>
      <c r="IC8" s="74" t="str">
        <f>IF(D8="","",IF(COUNTIFS(D8,"*'")++COUNTIFS(D8,"*""")=0,D8,'Train Movement Log (page.2)'!IC20))</f>
        <v/>
      </c>
      <c r="ID8" s="74"/>
      <c r="IE8" s="74">
        <f>IF(B8="","",B8)</f>
        <v>27</v>
      </c>
      <c r="IF8" s="74">
        <f>COUNTIFS(ID$8:ID8,"BLUE")</f>
        <v>0</v>
      </c>
      <c r="IG8" s="74" t="str">
        <f>IF(ID8="","",IF(IF8=1,IE8,IF(IF8=0,"",CONCATENATE(", ",IE8))))</f>
        <v/>
      </c>
      <c r="IH8" s="74" t="str">
        <f>IF(COUNTIFS($AQ8,"*02*")=0,"",COUNTIFS(IJ$8:IJ8,"BLUE"))</f>
        <v/>
      </c>
      <c r="II8" s="74" t="str">
        <f>IF(COUNTIFS($AQ8,"*04*")=0,"",COUNTIFS(IK$8:IK8,"BLUE"))</f>
        <v/>
      </c>
      <c r="IJ8" s="74" t="str">
        <f>IF(COUNTIFS(AQ8,"*02*")&gt;0,IF(RIGHT(I8,4)="E AV",IF('Train Movement Log (page.2)'!HZ20=0,"","BLUE"),IF(RIGHT(I8,4)="E DT",IF('Train Movement Log (page.2)'!IA20=0,"","BLUE"),"")),"")</f>
        <v/>
      </c>
      <c r="IK8" s="74" t="str">
        <f>IF(COUNTIFS(AQ8,"*04*")&gt;0,IF(RIGHT(I8,4)="E AV",IF('Train Movement Log (page.2)'!HZ20=0,"","BLUE"),IF(RIGHT(I8,4)="E DT",IF('Train Movement Log (page.2)'!IA20=0,"","BLUE"),"")),"")</f>
        <v/>
      </c>
      <c r="IL8" s="74" t="str">
        <f>IF(IJ8="","",IF(IH8=1,$IE8,CONCATENATE(", ",$IE8)))</f>
        <v/>
      </c>
      <c r="IM8" s="74" t="str">
        <f>IF(IK8="","",IF(II8=1,$IE8,CONCATENATE(", ",$IE8)))</f>
        <v/>
      </c>
      <c r="IN8" s="74">
        <f>COUNTIFS(IJ$8:IJ8,"BLUE")</f>
        <v>0</v>
      </c>
      <c r="IO8" s="74">
        <f>COUNTIFS(IK$8:IK8,"BLUE")</f>
        <v>0</v>
      </c>
    </row>
    <row r="9" spans="1:249" s="20" customFormat="1" ht="27.75" customHeight="1">
      <c r="A9" s="33"/>
      <c r="B9" s="30">
        <v>28</v>
      </c>
      <c r="C9" s="150"/>
      <c r="D9" s="174"/>
      <c r="E9" s="88" t="e">
        <f>VLOOKUP(F9,'Radio Call Sign'!A:B,2)</f>
        <v>#N/A</v>
      </c>
      <c r="F9" s="88"/>
      <c r="G9" s="88" t="e">
        <f>VLOOKUP(H9,'Radio Call Sign'!A:B,2)</f>
        <v>#N/A</v>
      </c>
      <c r="H9" s="89"/>
      <c r="I9" s="89" t="str">
        <f t="shared" si="4"/>
        <v/>
      </c>
      <c r="J9" s="90" t="str">
        <f t="shared" ref="J9:J20" si="9">AQ9</f>
        <v/>
      </c>
      <c r="K9" s="86" t="str">
        <f t="shared" ref="K9:K20" si="10">AP9</f>
        <v/>
      </c>
      <c r="L9" s="42"/>
      <c r="M9" s="190" t="str">
        <f t="shared" ref="M9:M20" si="11">IF(J9="","",IF(J9=0,"*",""))</f>
        <v/>
      </c>
      <c r="N9" s="21"/>
      <c r="O9" s="21"/>
      <c r="P9" s="53"/>
      <c r="Q9" s="163" t="str">
        <f>IF(AA9="","",IF(COUNTIFS('overhead line area'!$D$3:$D$100,AA9)+COUNTIFS('overhead line area'!$D$3:$D$100,AB9)+COUNTIFS('overhead line area'!$D$3:$D$100,AC9)+COUNTIFS('overhead line area'!$D$3:$D$100,AD9)=0,"","*               "))</f>
        <v/>
      </c>
      <c r="R9" s="53"/>
      <c r="S9" s="24"/>
      <c r="U9" s="74"/>
      <c r="V9" s="74"/>
      <c r="W9" s="74"/>
      <c r="X9" s="74"/>
      <c r="Y9" s="74"/>
      <c r="AA9" s="74" t="str">
        <f t="shared" si="5"/>
        <v/>
      </c>
      <c r="AB9" s="74" t="str">
        <f t="shared" si="6"/>
        <v/>
      </c>
      <c r="AC9" s="74" t="str">
        <f t="shared" si="6"/>
        <v/>
      </c>
      <c r="AD9" s="74" t="str">
        <f t="shared" si="6"/>
        <v/>
      </c>
      <c r="AF9" s="74" t="str">
        <f>IF(AA9="","",IF(COUNTIF(Route!$AM:$AM,'Add-on Train Movement Log'!AA9)=0,"未有資料",VLOOKUP('Add-on Train Movement Log'!AA9,Route!$AM:$AP,3,0)))</f>
        <v/>
      </c>
      <c r="AG9" s="74" t="str">
        <f>IF(AB9="","",IF(COUNTIF(Route!$AM:$AM,'Add-on Train Movement Log'!AB9)=0,"未有資料",VLOOKUP('Add-on Train Movement Log'!AB9,Route!$AM:$AP,3,0)))</f>
        <v/>
      </c>
      <c r="AH9" s="74" t="str">
        <f>IF(AC9="","",IF(COUNTIF(Route!$AM:$AM,'Add-on Train Movement Log'!AC9)=0,"未有資料",VLOOKUP('Add-on Train Movement Log'!AC9,Route!$AM:$AP,3,0)))</f>
        <v/>
      </c>
      <c r="AI9" s="74" t="str">
        <f>IF(AD9="","",IF(COUNTIF(Route!$AM:$AM,'Add-on Train Movement Log'!AD9)=0,"未有資料",VLOOKUP('Add-on Train Movement Log'!AD9,Route!$AM:$AP,3,0)))</f>
        <v/>
      </c>
      <c r="AK9" s="74" t="str">
        <f>IF(AA9="","",IF(COUNTIF(Route!$AM:$AM,'Add-on Train Movement Log'!AA9)=0,"未有資料",VLOOKUP('Add-on Train Movement Log'!AA9,Route!$AM:$AP,4,0)))</f>
        <v/>
      </c>
      <c r="AL9" s="74" t="str">
        <f>IF(AB9="","",IF(COUNTIF(Route!$AM:$AM,'Add-on Train Movement Log'!AB9)=0,"未有資料",VLOOKUP('Add-on Train Movement Log'!AB9,Route!$AM:$AP,4,0)))</f>
        <v/>
      </c>
      <c r="AM9" s="74" t="str">
        <f>IF(AC9="","",IF(COUNTIF(Route!$AM:$AM,'Add-on Train Movement Log'!AC9)=0,"未有資料",VLOOKUP('Add-on Train Movement Log'!AC9,Route!$AM:$AP,4,0)))</f>
        <v/>
      </c>
      <c r="AN9" s="74" t="str">
        <f>IF(AD9="","",IF(COUNTIF(Route!$AM:$AM,'Add-on Train Movement Log'!AD9)=0,"未有資料",VLOOKUP('Add-on Train Movement Log'!AD9,Route!$AM:$AP,4,0)))</f>
        <v/>
      </c>
      <c r="AP9" s="74" t="str">
        <f t="shared" si="7"/>
        <v/>
      </c>
      <c r="AQ9" s="76" t="str">
        <f t="shared" si="8"/>
        <v/>
      </c>
      <c r="AR9" s="80" t="str">
        <f>IF($U9="","",IF(COUNTIF(choice!$D:$D,CONCATENATE($U9,"@",AR$7))=0,"",VLOOKUP(CONCATENATE($U9,"@",AR$7),choice!$D:$E,2,0)))</f>
        <v/>
      </c>
      <c r="AS9" s="74" t="str">
        <f>IF($U9="","",IF(COUNTIF(choice!$D:$D,CONCATENATE($U9,"@",AS$7))=0,"",VLOOKUP(CONCATENATE($U9,"@",AS$7),choice!$D:$E,2,0)))</f>
        <v/>
      </c>
      <c r="AT9" s="74" t="str">
        <f>IF($U9="","",IF(COUNTIF(choice!$D:$D,CONCATENATE($U9,"@",AT$7))=0,"",VLOOKUP(CONCATENATE($U9,"@",AT$7),choice!$D:$E,2,0)))</f>
        <v/>
      </c>
      <c r="AU9" s="74" t="str">
        <f>IF($U9="","",IF(COUNTIF(choice!$D:$D,CONCATENATE($U9,"@",AU$7))=0,"",VLOOKUP(CONCATENATE($U9,"@",AU$7),choice!$D:$E,2,0)))</f>
        <v/>
      </c>
      <c r="AV9" s="74" t="str">
        <f>IF($U9="","",IF(COUNTIF(choice!$D:$D,CONCATENATE($U9,"@",AV$7))=0,"",VLOOKUP(CONCATENATE($U9,"@",AV$7),choice!$D:$E,2,0)))</f>
        <v/>
      </c>
      <c r="AW9" s="74" t="str">
        <f>IF($U9="","",IF(COUNTIF(choice!$D:$D,CONCATENATE($U9,"@",AW$7))=0,"",VLOOKUP(CONCATENATE($U9,"@",AW$7),choice!$D:$E,2,0)))</f>
        <v/>
      </c>
      <c r="AX9" s="74" t="str">
        <f>IF($U9="","",IF(COUNTIF(choice!$D:$D,CONCATENATE($U9,"@",AX$7))=0,"",VLOOKUP(CONCATENATE($U9,"@",AX$7),choice!$D:$E,2,0)))</f>
        <v/>
      </c>
      <c r="AY9" s="74" t="str">
        <f>IF($U9="","",IF(COUNTIF(choice!$D:$D,CONCATENATE($U9,"@",AY$7))=0,"",VLOOKUP(CONCATENATE($U9,"@",AY$7),choice!$D:$E,2,0)))</f>
        <v/>
      </c>
      <c r="AZ9" s="74" t="str">
        <f>IF($U9="","",IF(COUNTIF(choice!$D:$D,CONCATENATE($U9,"@",AZ$7))=0,"",VLOOKUP(CONCATENATE($U9,"@",AZ$7),choice!$D:$E,2,0)))</f>
        <v/>
      </c>
      <c r="BA9" s="74" t="str">
        <f>IF($U9="","",IF(COUNTIF(choice!$D:$D,CONCATENATE($U9,"@",BA$7))=0,"",VLOOKUP(CONCATENATE($U9,"@",BA$7),choice!$D:$E,2,0)))</f>
        <v/>
      </c>
      <c r="BB9" s="74" t="str">
        <f>IF($U9="","",IF(COUNTIF(choice!$D:$D,CONCATENATE($U9,"@",BB$7))=0,"",VLOOKUP(CONCATENATE($U9,"@",BB$7),choice!$D:$E,2,0)))</f>
        <v/>
      </c>
      <c r="BC9" s="74" t="str">
        <f>IF($U9="","",IF(COUNTIF(choice!$D:$D,CONCATENATE($U9,"@",BC$7))=0,"",VLOOKUP(CONCATENATE($U9,"@",BC$7),choice!$D:$E,2,0)))</f>
        <v/>
      </c>
      <c r="BD9" s="74" t="str">
        <f>IF($U9="","",IF(COUNTIF(choice!$D:$D,CONCATENATE($U9,"@",BD$7))=0,"",VLOOKUP(CONCATENATE($U9,"@",BD$7),choice!$D:$E,2,0)))</f>
        <v/>
      </c>
      <c r="BE9" s="74" t="str">
        <f>IF($U9="","",IF(COUNTIF(choice!$D:$D,CONCATENATE($U9,"@",BE$7))=0,"",VLOOKUP(CONCATENATE($U9,"@",BE$7),choice!$D:$E,2,0)))</f>
        <v/>
      </c>
      <c r="BF9" s="74" t="str">
        <f>IF($U9="","",IF(COUNTIF(choice!$D:$D,CONCATENATE($U9,"@",BF$7))=0,"",VLOOKUP(CONCATENATE($U9,"@",BF$7),choice!$D:$E,2,0)))</f>
        <v/>
      </c>
      <c r="BG9" s="74" t="str">
        <f>IF($U9="","",IF(COUNTIF(choice!$D:$D,CONCATENATE($U9,"@",BG$7))=0,"",VLOOKUP(CONCATENATE($U9,"@",BG$7),choice!$D:$E,2,0)))</f>
        <v/>
      </c>
      <c r="BH9" s="74" t="str">
        <f>IF($U9="","",IF(COUNTIF(choice!$D:$D,CONCATENATE($U9,"@",BH$7))=0,"",VLOOKUP(CONCATENATE($U9,"@",BH$7),choice!$D:$E,2,0)))</f>
        <v/>
      </c>
      <c r="BI9" s="74" t="str">
        <f>IF($U9="","",IF(COUNTIF(choice!$D:$D,CONCATENATE($U9,"@",BI$7))=0,"",VLOOKUP(CONCATENATE($U9,"@",BI$7),choice!$D:$E,2,0)))</f>
        <v/>
      </c>
      <c r="BJ9" s="74" t="str">
        <f>IF($U9="","",IF(COUNTIF(choice!$D:$D,CONCATENATE($U9,"@",BJ$7))=0,"",VLOOKUP(CONCATENATE($U9,"@",BJ$7),choice!$D:$E,2,0)))</f>
        <v/>
      </c>
      <c r="BK9" s="74" t="str">
        <f>IF($U9="","",IF(COUNTIF(choice!$D:$D,CONCATENATE($U9,"@",BK$7))=0,"",VLOOKUP(CONCATENATE($U9,"@",BK$7),choice!$D:$E,2,0)))</f>
        <v/>
      </c>
      <c r="BL9" s="74" t="str">
        <f>IF($U9="","",IF(COUNTIF(choice!$D:$D,CONCATENATE($U9,"@",BL$7))=0,"",VLOOKUP(CONCATENATE($U9,"@",BL$7),choice!$D:$E,2,0)))</f>
        <v/>
      </c>
      <c r="BM9" s="74" t="str">
        <f>IF($U9="","",IF(COUNTIF(choice!$D:$D,CONCATENATE($U9,"@",BM$7))=0,"",VLOOKUP(CONCATENATE($U9,"@",BM$7),choice!$D:$E,2,0)))</f>
        <v/>
      </c>
      <c r="BN9" s="74" t="str">
        <f>IF($U9="","",IF(COUNTIF(choice!$D:$D,CONCATENATE($U9,"@",BN$7))=0,"",VLOOKUP(CONCATENATE($U9,"@",BN$7),choice!$D:$E,2,0)))</f>
        <v/>
      </c>
      <c r="BO9" s="74" t="str">
        <f>IF($U9="","",IF(COUNTIF(choice!$D:$D,CONCATENATE($U9,"@",BO$7))=0,"",VLOOKUP(CONCATENATE($U9,"@",BO$7),choice!$D:$E,2,0)))</f>
        <v/>
      </c>
      <c r="BP9" s="74" t="str">
        <f>IF($U9="","",IF(COUNTIF(choice!$D:$D,CONCATENATE($U9,"@",BP$7))=0,"",VLOOKUP(CONCATENATE($U9,"@",BP$7),choice!$D:$E,2,0)))</f>
        <v/>
      </c>
      <c r="BQ9" s="74" t="str">
        <f>IF($U9="","",IF(COUNTIF(choice!$D:$D,CONCATENATE($U9,"@",BQ$7))=0,"",VLOOKUP(CONCATENATE($U9,"@",BQ$7),choice!$D:$E,2,0)))</f>
        <v/>
      </c>
      <c r="BR9" s="74" t="str">
        <f>IF($U9="","",IF(COUNTIF(choice!$D:$D,CONCATENATE($U9,"@",BR$7))=0,"",VLOOKUP(CONCATENATE($U9,"@",BR$7),choice!$D:$E,2,0)))</f>
        <v/>
      </c>
      <c r="BS9" s="74" t="str">
        <f>IF($U9="","",IF(COUNTIF(choice!$D:$D,CONCATENATE($U9,"@",BS$7))=0,"",VLOOKUP(CONCATENATE($U9,"@",BS$7),choice!$D:$E,2,0)))</f>
        <v/>
      </c>
      <c r="BT9" s="74" t="str">
        <f>IF($U9="","",IF(COUNTIF(choice!$D:$D,CONCATENATE($U9,"@",BT$7))=0,"",VLOOKUP(CONCATENATE($U9,"@",BT$7),choice!$D:$E,2,0)))</f>
        <v/>
      </c>
      <c r="BU9" s="74" t="str">
        <f>IF($U9="","",IF(COUNTIF(choice!$D:$D,CONCATENATE($U9,"@",BU$7))=0,"",VLOOKUP(CONCATENATE($U9,"@",BU$7),choice!$D:$E,2,0)))</f>
        <v/>
      </c>
      <c r="BV9" s="74" t="str">
        <f>IF($U9="","",IF(COUNTIF(choice!$D:$D,CONCATENATE($U9,"@",BV$7))=0,"",VLOOKUP(CONCATENATE($U9,"@",BV$7),choice!$D:$E,2,0)))</f>
        <v/>
      </c>
      <c r="BW9" s="74" t="str">
        <f>IF($U9="","",IF(COUNTIF(choice!$D:$D,CONCATENATE($U9,"@",BW$7))=0,"",VLOOKUP(CONCATENATE($U9,"@",BW$7),choice!$D:$E,2,0)))</f>
        <v/>
      </c>
      <c r="BX9" s="74" t="str">
        <f>IF($U9="","",IF(COUNTIF(choice!$D:$D,CONCATENATE($U9,"@",BX$7))=0,"",VLOOKUP(CONCATENATE($U9,"@",BX$7),choice!$D:$E,2,0)))</f>
        <v/>
      </c>
      <c r="BY9" s="74" t="str">
        <f>IF($U9="","",IF(COUNTIF(choice!$D:$D,CONCATENATE($U9,"@",BY$7))=0,"",VLOOKUP(CONCATENATE($U9,"@",BY$7),choice!$D:$E,2,0)))</f>
        <v/>
      </c>
      <c r="BZ9" s="74" t="str">
        <f>IF($U9="","",IF(COUNTIF(choice!$D:$D,CONCATENATE($U9,"@",BZ$7))=0,"",VLOOKUP(CONCATENATE($U9,"@",BZ$7),choice!$D:$E,2,0)))</f>
        <v/>
      </c>
      <c r="CA9" s="74" t="str">
        <f>IF($U9="","",IF(COUNTIF(choice!$D:$D,CONCATENATE($U9,"@",CA$7))=0,"",VLOOKUP(CONCATENATE($U9,"@",CA$7),choice!$D:$E,2,0)))</f>
        <v/>
      </c>
      <c r="CB9" s="74" t="str">
        <f>IF($U9="","",IF(COUNTIF(choice!$D:$D,CONCATENATE($U9,"@",CB$7))=0,"",VLOOKUP(CONCATENATE($U9,"@",CB$7),choice!$D:$E,2,0)))</f>
        <v/>
      </c>
      <c r="CC9" s="74" t="str">
        <f>IF($U9="","",IF(COUNTIF(choice!$D:$D,CONCATENATE($U9,"@",CC$7))=0,"",VLOOKUP(CONCATENATE($U9,"@",CC$7),choice!$D:$E,2,0)))</f>
        <v/>
      </c>
      <c r="CD9" s="74" t="str">
        <f>IF($U9="","",IF(COUNTIF(choice!$D:$D,CONCATENATE($U9,"@",CD$7))=0,"",VLOOKUP(CONCATENATE($U9,"@",CD$7),choice!$D:$E,2,0)))</f>
        <v/>
      </c>
      <c r="CE9" s="74" t="str">
        <f>IF($U9="","",IF(COUNTIF(choice!$D:$D,CONCATENATE($U9,"@",CE$7))=0,"",VLOOKUP(CONCATENATE($U9,"@",CE$7),choice!$D:$E,2,0)))</f>
        <v/>
      </c>
      <c r="CF9" s="74" t="str">
        <f>IF($U9="","",IF(COUNTIF(choice!$D:$D,CONCATENATE($U9,"@",CF$7))=0,"",VLOOKUP(CONCATENATE($U9,"@",CF$7),choice!$D:$E,2,0)))</f>
        <v/>
      </c>
      <c r="CG9" s="74" t="str">
        <f>IF($U9="","",IF(COUNTIF(choice!$D:$D,CONCATENATE($U9,"@",CG$7))=0,"",VLOOKUP(CONCATENATE($U9,"@",CG$7),choice!$D:$E,2,0)))</f>
        <v/>
      </c>
      <c r="CH9" s="74" t="str">
        <f>IF($U9="","",IF(COUNTIF(choice!$D:$D,CONCATENATE($U9,"@",CH$7))=0,"",VLOOKUP(CONCATENATE($U9,"@",CH$7),choice!$D:$E,2,0)))</f>
        <v/>
      </c>
      <c r="CI9" s="74" t="str">
        <f>IF($U9="","",IF(COUNTIF(choice!$D:$D,CONCATENATE($U9,"@",CI$7))=0,"",VLOOKUP(CONCATENATE($U9,"@",CI$7),choice!$D:$E,2,0)))</f>
        <v/>
      </c>
      <c r="CJ9" s="81" t="str">
        <f>IF($U9="","",IF(COUNTIF(choice!$D:$D,CONCATENATE($U9,"@",CJ$7))=0,"",VLOOKUP(CONCATENATE($U9,"@",CJ$7),choice!$D:$E,2,0)))</f>
        <v/>
      </c>
      <c r="CK9" s="80" t="str">
        <f>IF($V9="","",IF(COUNTIF(choice!$D:$D,CONCATENATE($V9,"@",CK$7))=0,"",VLOOKUP(CONCATENATE($V9,"@",CK$7),choice!$D:$E,2,0)))</f>
        <v/>
      </c>
      <c r="CL9" s="74" t="str">
        <f>IF($V9="","",IF(COUNTIF(choice!$D:$D,CONCATENATE($V9,"@",CL$7))=0,"",VLOOKUP(CONCATENATE($V9,"@",CL$7),choice!$D:$E,2,0)))</f>
        <v/>
      </c>
      <c r="CM9" s="74" t="str">
        <f>IF($V9="","",IF(COUNTIF(choice!$D:$D,CONCATENATE($V9,"@",CM$7))=0,"",VLOOKUP(CONCATENATE($V9,"@",CM$7),choice!$D:$E,2,0)))</f>
        <v/>
      </c>
      <c r="CN9" s="74" t="str">
        <f>IF($V9="","",IF(COUNTIF(choice!$D:$D,CONCATENATE($V9,"@",CN$7))=0,"",VLOOKUP(CONCATENATE($V9,"@",CN$7),choice!$D:$E,2,0)))</f>
        <v/>
      </c>
      <c r="CO9" s="74" t="str">
        <f>IF($V9="","",IF(COUNTIF(choice!$D:$D,CONCATENATE($V9,"@",CO$7))=0,"",VLOOKUP(CONCATENATE($V9,"@",CO$7),choice!$D:$E,2,0)))</f>
        <v/>
      </c>
      <c r="CP9" s="74" t="str">
        <f>IF($V9="","",IF(COUNTIF(choice!$D:$D,CONCATENATE($V9,"@",CP$7))=0,"",VLOOKUP(CONCATENATE($V9,"@",CP$7),choice!$D:$E,2,0)))</f>
        <v/>
      </c>
      <c r="CQ9" s="74" t="str">
        <f>IF($V9="","",IF(COUNTIF(choice!$D:$D,CONCATENATE($V9,"@",CQ$7))=0,"",VLOOKUP(CONCATENATE($V9,"@",CQ$7),choice!$D:$E,2,0)))</f>
        <v/>
      </c>
      <c r="CR9" s="74" t="str">
        <f>IF($V9="","",IF(COUNTIF(choice!$D:$D,CONCATENATE($V9,"@",CR$7))=0,"",VLOOKUP(CONCATENATE($V9,"@",CR$7),choice!$D:$E,2,0)))</f>
        <v/>
      </c>
      <c r="CS9" s="74" t="str">
        <f>IF($V9="","",IF(COUNTIF(choice!$D:$D,CONCATENATE($V9,"@",CS$7))=0,"",VLOOKUP(CONCATENATE($V9,"@",CS$7),choice!$D:$E,2,0)))</f>
        <v/>
      </c>
      <c r="CT9" s="74" t="str">
        <f>IF($V9="","",IF(COUNTIF(choice!$D:$D,CONCATENATE($V9,"@",CT$7))=0,"",VLOOKUP(CONCATENATE($V9,"@",CT$7),choice!$D:$E,2,0)))</f>
        <v/>
      </c>
      <c r="CU9" s="74" t="str">
        <f>IF($V9="","",IF(COUNTIF(choice!$D:$D,CONCATENATE($V9,"@",CU$7))=0,"",VLOOKUP(CONCATENATE($V9,"@",CU$7),choice!$D:$E,2,0)))</f>
        <v/>
      </c>
      <c r="CV9" s="74" t="str">
        <f>IF($V9="","",IF(COUNTIF(choice!$D:$D,CONCATENATE($V9,"@",CV$7))=0,"",VLOOKUP(CONCATENATE($V9,"@",CV$7),choice!$D:$E,2,0)))</f>
        <v/>
      </c>
      <c r="CW9" s="74" t="str">
        <f>IF($V9="","",IF(COUNTIF(choice!$D:$D,CONCATENATE($V9,"@",CW$7))=0,"",VLOOKUP(CONCATENATE($V9,"@",CW$7),choice!$D:$E,2,0)))</f>
        <v/>
      </c>
      <c r="CX9" s="74" t="str">
        <f>IF($V9="","",IF(COUNTIF(choice!$D:$D,CONCATENATE($V9,"@",CX$7))=0,"",VLOOKUP(CONCATENATE($V9,"@",CX$7),choice!$D:$E,2,0)))</f>
        <v/>
      </c>
      <c r="CY9" s="74" t="str">
        <f>IF($V9="","",IF(COUNTIF(choice!$D:$D,CONCATENATE($V9,"@",CY$7))=0,"",VLOOKUP(CONCATENATE($V9,"@",CY$7),choice!$D:$E,2,0)))</f>
        <v/>
      </c>
      <c r="CZ9" s="74" t="str">
        <f>IF($V9="","",IF(COUNTIF(choice!$D:$D,CONCATENATE($V9,"@",CZ$7))=0,"",VLOOKUP(CONCATENATE($V9,"@",CZ$7),choice!$D:$E,2,0)))</f>
        <v/>
      </c>
      <c r="DA9" s="74" t="str">
        <f>IF($V9="","",IF(COUNTIF(choice!$D:$D,CONCATENATE($V9,"@",DA$7))=0,"",VLOOKUP(CONCATENATE($V9,"@",DA$7),choice!$D:$E,2,0)))</f>
        <v/>
      </c>
      <c r="DB9" s="74" t="str">
        <f>IF($V9="","",IF(COUNTIF(choice!$D:$D,CONCATENATE($V9,"@",DB$7))=0,"",VLOOKUP(CONCATENATE($V9,"@",DB$7),choice!$D:$E,2,0)))</f>
        <v/>
      </c>
      <c r="DC9" s="74" t="str">
        <f>IF($V9="","",IF(COUNTIF(choice!$D:$D,CONCATENATE($V9,"@",DC$7))=0,"",VLOOKUP(CONCATENATE($V9,"@",DC$7),choice!$D:$E,2,0)))</f>
        <v/>
      </c>
      <c r="DD9" s="74" t="str">
        <f>IF($V9="","",IF(COUNTIF(choice!$D:$D,CONCATENATE($V9,"@",DD$7))=0,"",VLOOKUP(CONCATENATE($V9,"@",DD$7),choice!$D:$E,2,0)))</f>
        <v/>
      </c>
      <c r="DE9" s="74" t="str">
        <f>IF($V9="","",IF(COUNTIF(choice!$D:$D,CONCATENATE($V9,"@",DE$7))=0,"",VLOOKUP(CONCATENATE($V9,"@",DE$7),choice!$D:$E,2,0)))</f>
        <v/>
      </c>
      <c r="DF9" s="74" t="str">
        <f>IF($V9="","",IF(COUNTIF(choice!$D:$D,CONCATENATE($V9,"@",DF$7))=0,"",VLOOKUP(CONCATENATE($V9,"@",DF$7),choice!$D:$E,2,0)))</f>
        <v/>
      </c>
      <c r="DG9" s="74" t="str">
        <f>IF($V9="","",IF(COUNTIF(choice!$D:$D,CONCATENATE($V9,"@",DG$7))=0,"",VLOOKUP(CONCATENATE($V9,"@",DG$7),choice!$D:$E,2,0)))</f>
        <v/>
      </c>
      <c r="DH9" s="74" t="str">
        <f>IF($V9="","",IF(COUNTIF(choice!$D:$D,CONCATENATE($V9,"@",DH$7))=0,"",VLOOKUP(CONCATENATE($V9,"@",DH$7),choice!$D:$E,2,0)))</f>
        <v/>
      </c>
      <c r="DI9" s="74" t="str">
        <f>IF($V9="","",IF(COUNTIF(choice!$D:$D,CONCATENATE($V9,"@",DI$7))=0,"",VLOOKUP(CONCATENATE($V9,"@",DI$7),choice!$D:$E,2,0)))</f>
        <v/>
      </c>
      <c r="DJ9" s="74" t="str">
        <f>IF($V9="","",IF(COUNTIF(choice!$D:$D,CONCATENATE($V9,"@",DJ$7))=0,"",VLOOKUP(CONCATENATE($V9,"@",DJ$7),choice!$D:$E,2,0)))</f>
        <v/>
      </c>
      <c r="DK9" s="74" t="str">
        <f>IF($V9="","",IF(COUNTIF(choice!$D:$D,CONCATENATE($V9,"@",DK$7))=0,"",VLOOKUP(CONCATENATE($V9,"@",DK$7),choice!$D:$E,2,0)))</f>
        <v/>
      </c>
      <c r="DL9" s="74" t="str">
        <f>IF($V9="","",IF(COUNTIF(choice!$D:$D,CONCATENATE($V9,"@",DL$7))=0,"",VLOOKUP(CONCATENATE($V9,"@",DL$7),choice!$D:$E,2,0)))</f>
        <v/>
      </c>
      <c r="DM9" s="74" t="str">
        <f>IF($V9="","",IF(COUNTIF(choice!$D:$D,CONCATENATE($V9,"@",DM$7))=0,"",VLOOKUP(CONCATENATE($V9,"@",DM$7),choice!$D:$E,2,0)))</f>
        <v/>
      </c>
      <c r="DN9" s="74" t="str">
        <f>IF($V9="","",IF(COUNTIF(choice!$D:$D,CONCATENATE($V9,"@",DN$7))=0,"",VLOOKUP(CONCATENATE($V9,"@",DN$7),choice!$D:$E,2,0)))</f>
        <v/>
      </c>
      <c r="DO9" s="74" t="str">
        <f>IF($V9="","",IF(COUNTIF(choice!$D:$D,CONCATENATE($V9,"@",DO$7))=0,"",VLOOKUP(CONCATENATE($V9,"@",DO$7),choice!$D:$E,2,0)))</f>
        <v/>
      </c>
      <c r="DP9" s="74" t="str">
        <f>IF($V9="","",IF(COUNTIF(choice!$D:$D,CONCATENATE($V9,"@",DP$7))=0,"",VLOOKUP(CONCATENATE($V9,"@",DP$7),choice!$D:$E,2,0)))</f>
        <v/>
      </c>
      <c r="DQ9" s="74" t="str">
        <f>IF($V9="","",IF(COUNTIF(choice!$D:$D,CONCATENATE($V9,"@",DQ$7))=0,"",VLOOKUP(CONCATENATE($V9,"@",DQ$7),choice!$D:$E,2,0)))</f>
        <v/>
      </c>
      <c r="DR9" s="74" t="str">
        <f>IF($V9="","",IF(COUNTIF(choice!$D:$D,CONCATENATE($V9,"@",DR$7))=0,"",VLOOKUP(CONCATENATE($V9,"@",DR$7),choice!$D:$E,2,0)))</f>
        <v/>
      </c>
      <c r="DS9" s="74" t="str">
        <f>IF($V9="","",IF(COUNTIF(choice!$D:$D,CONCATENATE($V9,"@",DS$7))=0,"",VLOOKUP(CONCATENATE($V9,"@",DS$7),choice!$D:$E,2,0)))</f>
        <v/>
      </c>
      <c r="DT9" s="74" t="str">
        <f>IF($V9="","",IF(COUNTIF(choice!$D:$D,CONCATENATE($V9,"@",DT$7))=0,"",VLOOKUP(CONCATENATE($V9,"@",DT$7),choice!$D:$E,2,0)))</f>
        <v/>
      </c>
      <c r="DU9" s="74" t="str">
        <f>IF($V9="","",IF(COUNTIF(choice!$D:$D,CONCATENATE($V9,"@",DU$7))=0,"",VLOOKUP(CONCATENATE($V9,"@",DU$7),choice!$D:$E,2,0)))</f>
        <v/>
      </c>
      <c r="DV9" s="74" t="str">
        <f>IF($V9="","",IF(COUNTIF(choice!$D:$D,CONCATENATE($V9,"@",DV$7))=0,"",VLOOKUP(CONCATENATE($V9,"@",DV$7),choice!$D:$E,2,0)))</f>
        <v/>
      </c>
      <c r="DW9" s="74" t="str">
        <f>IF($V9="","",IF(COUNTIF(choice!$D:$D,CONCATENATE($V9,"@",DW$7))=0,"",VLOOKUP(CONCATENATE($V9,"@",DW$7),choice!$D:$E,2,0)))</f>
        <v/>
      </c>
      <c r="DX9" s="74" t="str">
        <f>IF($V9="","",IF(COUNTIF(choice!$D:$D,CONCATENATE($V9,"@",DX$7))=0,"",VLOOKUP(CONCATENATE($V9,"@",DX$7),choice!$D:$E,2,0)))</f>
        <v/>
      </c>
      <c r="DY9" s="74" t="str">
        <f>IF($V9="","",IF(COUNTIF(choice!$D:$D,CONCATENATE($V9,"@",DY$7))=0,"",VLOOKUP(CONCATENATE($V9,"@",DY$7),choice!$D:$E,2,0)))</f>
        <v/>
      </c>
      <c r="DZ9" s="74" t="str">
        <f>IF($V9="","",IF(COUNTIF(choice!$D:$D,CONCATENATE($V9,"@",DZ$7))=0,"",VLOOKUP(CONCATENATE($V9,"@",DZ$7),choice!$D:$E,2,0)))</f>
        <v/>
      </c>
      <c r="EA9" s="74" t="str">
        <f>IF($V9="","",IF(COUNTIF(choice!$D:$D,CONCATENATE($V9,"@",EA$7))=0,"",VLOOKUP(CONCATENATE($V9,"@",EA$7),choice!$D:$E,2,0)))</f>
        <v/>
      </c>
      <c r="EB9" s="74" t="str">
        <f>IF($V9="","",IF(COUNTIF(choice!$D:$D,CONCATENATE($V9,"@",EB$7))=0,"",VLOOKUP(CONCATENATE($V9,"@",EB$7),choice!$D:$E,2,0)))</f>
        <v/>
      </c>
      <c r="EC9" s="81" t="str">
        <f>IF($V9="","",IF(COUNTIF(choice!$D:$D,CONCATENATE($V9,"@",EC$7))=0,"",VLOOKUP(CONCATENATE($V9,"@",EC$7),choice!$D:$E,2,0)))</f>
        <v/>
      </c>
      <c r="ED9" s="80" t="str">
        <f>IF($W9="","",IF(COUNTIF(choice!$D:$D,CONCATENATE($W9,"@",ED$7))=0,"",VLOOKUP(CONCATENATE($W9,"@",ED$7),choice!$D:$E,2,0)))</f>
        <v/>
      </c>
      <c r="EE9" s="74" t="str">
        <f>IF($W9="","",IF(COUNTIF(choice!$D:$D,CONCATENATE($W9,"@",EE$7))=0,"",VLOOKUP(CONCATENATE($W9,"@",EE$7),choice!$D:$E,2,0)))</f>
        <v/>
      </c>
      <c r="EF9" s="74" t="str">
        <f>IF($W9="","",IF(COUNTIF(choice!$D:$D,CONCATENATE($W9,"@",EF$7))=0,"",VLOOKUP(CONCATENATE($W9,"@",EF$7),choice!$D:$E,2,0)))</f>
        <v/>
      </c>
      <c r="EG9" s="74" t="str">
        <f>IF($W9="","",IF(COUNTIF(choice!$D:$D,CONCATENATE($W9,"@",EG$7))=0,"",VLOOKUP(CONCATENATE($W9,"@",EG$7),choice!$D:$E,2,0)))</f>
        <v/>
      </c>
      <c r="EH9" s="74" t="str">
        <f>IF($W9="","",IF(COUNTIF(choice!$D:$D,CONCATENATE($W9,"@",EH$7))=0,"",VLOOKUP(CONCATENATE($W9,"@",EH$7),choice!$D:$E,2,0)))</f>
        <v/>
      </c>
      <c r="EI9" s="74" t="str">
        <f>IF($W9="","",IF(COUNTIF(choice!$D:$D,CONCATENATE($W9,"@",EI$7))=0,"",VLOOKUP(CONCATENATE($W9,"@",EI$7),choice!$D:$E,2,0)))</f>
        <v/>
      </c>
      <c r="EJ9" s="74" t="str">
        <f>IF($W9="","",IF(COUNTIF(choice!$D:$D,CONCATENATE($W9,"@",EJ$7))=0,"",VLOOKUP(CONCATENATE($W9,"@",EJ$7),choice!$D:$E,2,0)))</f>
        <v/>
      </c>
      <c r="EK9" s="74" t="str">
        <f>IF($W9="","",IF(COUNTIF(choice!$D:$D,CONCATENATE($W9,"@",EK$7))=0,"",VLOOKUP(CONCATENATE($W9,"@",EK$7),choice!$D:$E,2,0)))</f>
        <v/>
      </c>
      <c r="EL9" s="74" t="str">
        <f>IF($W9="","",IF(COUNTIF(choice!$D:$D,CONCATENATE($W9,"@",EL$7))=0,"",VLOOKUP(CONCATENATE($W9,"@",EL$7),choice!$D:$E,2,0)))</f>
        <v/>
      </c>
      <c r="EM9" s="74" t="str">
        <f>IF($W9="","",IF(COUNTIF(choice!$D:$D,CONCATENATE($W9,"@",EM$7))=0,"",VLOOKUP(CONCATENATE($W9,"@",EM$7),choice!$D:$E,2,0)))</f>
        <v/>
      </c>
      <c r="EN9" s="74" t="str">
        <f>IF($W9="","",IF(COUNTIF(choice!$D:$D,CONCATENATE($W9,"@",EN$7))=0,"",VLOOKUP(CONCATENATE($W9,"@",EN$7),choice!$D:$E,2,0)))</f>
        <v/>
      </c>
      <c r="EO9" s="74" t="str">
        <f>IF($W9="","",IF(COUNTIF(choice!$D:$D,CONCATENATE($W9,"@",EO$7))=0,"",VLOOKUP(CONCATENATE($W9,"@",EO$7),choice!$D:$E,2,0)))</f>
        <v/>
      </c>
      <c r="EP9" s="74" t="str">
        <f>IF($W9="","",IF(COUNTIF(choice!$D:$D,CONCATENATE($W9,"@",EP$7))=0,"",VLOOKUP(CONCATENATE($W9,"@",EP$7),choice!$D:$E,2,0)))</f>
        <v/>
      </c>
      <c r="EQ9" s="74" t="str">
        <f>IF($W9="","",IF(COUNTIF(choice!$D:$D,CONCATENATE($W9,"@",EQ$7))=0,"",VLOOKUP(CONCATENATE($W9,"@",EQ$7),choice!$D:$E,2,0)))</f>
        <v/>
      </c>
      <c r="ER9" s="74" t="str">
        <f>IF($W9="","",IF(COUNTIF(choice!$D:$D,CONCATENATE($W9,"@",ER$7))=0,"",VLOOKUP(CONCATENATE($W9,"@",ER$7),choice!$D:$E,2,0)))</f>
        <v/>
      </c>
      <c r="ES9" s="74" t="str">
        <f>IF($W9="","",IF(COUNTIF(choice!$D:$D,CONCATENATE($W9,"@",ES$7))=0,"",VLOOKUP(CONCATENATE($W9,"@",ES$7),choice!$D:$E,2,0)))</f>
        <v/>
      </c>
      <c r="ET9" s="74" t="str">
        <f>IF($W9="","",IF(COUNTIF(choice!$D:$D,CONCATENATE($W9,"@",ET$7))=0,"",VLOOKUP(CONCATENATE($W9,"@",ET$7),choice!$D:$E,2,0)))</f>
        <v/>
      </c>
      <c r="EU9" s="74" t="str">
        <f>IF($W9="","",IF(COUNTIF(choice!$D:$D,CONCATENATE($W9,"@",EU$7))=0,"",VLOOKUP(CONCATENATE($W9,"@",EU$7),choice!$D:$E,2,0)))</f>
        <v/>
      </c>
      <c r="EV9" s="74" t="str">
        <f>IF($W9="","",IF(COUNTIF(choice!$D:$D,CONCATENATE($W9,"@",EV$7))=0,"",VLOOKUP(CONCATENATE($W9,"@",EV$7),choice!$D:$E,2,0)))</f>
        <v/>
      </c>
      <c r="EW9" s="74" t="str">
        <f>IF($W9="","",IF(COUNTIF(choice!$D:$D,CONCATENATE($W9,"@",EW$7))=0,"",VLOOKUP(CONCATENATE($W9,"@",EW$7),choice!$D:$E,2,0)))</f>
        <v/>
      </c>
      <c r="EX9" s="74" t="str">
        <f>IF($W9="","",IF(COUNTIF(choice!$D:$D,CONCATENATE($W9,"@",EX$7))=0,"",VLOOKUP(CONCATENATE($W9,"@",EX$7),choice!$D:$E,2,0)))</f>
        <v/>
      </c>
      <c r="EY9" s="74" t="str">
        <f>IF($W9="","",IF(COUNTIF(choice!$D:$D,CONCATENATE($W9,"@",EY$7))=0,"",VLOOKUP(CONCATENATE($W9,"@",EY$7),choice!$D:$E,2,0)))</f>
        <v/>
      </c>
      <c r="EZ9" s="74" t="str">
        <f>IF($W9="","",IF(COUNTIF(choice!$D:$D,CONCATENATE($W9,"@",EZ$7))=0,"",VLOOKUP(CONCATENATE($W9,"@",EZ$7),choice!$D:$E,2,0)))</f>
        <v/>
      </c>
      <c r="FA9" s="74" t="str">
        <f>IF($W9="","",IF(COUNTIF(choice!$D:$D,CONCATENATE($W9,"@",FA$7))=0,"",VLOOKUP(CONCATENATE($W9,"@",FA$7),choice!$D:$E,2,0)))</f>
        <v/>
      </c>
      <c r="FB9" s="74" t="str">
        <f>IF($W9="","",IF(COUNTIF(choice!$D:$D,CONCATENATE($W9,"@",FB$7))=0,"",VLOOKUP(CONCATENATE($W9,"@",FB$7),choice!$D:$E,2,0)))</f>
        <v/>
      </c>
      <c r="FC9" s="74" t="str">
        <f>IF($W9="","",IF(COUNTIF(choice!$D:$D,CONCATENATE($W9,"@",FC$7))=0,"",VLOOKUP(CONCATENATE($W9,"@",FC$7),choice!$D:$E,2,0)))</f>
        <v/>
      </c>
      <c r="FD9" s="74" t="str">
        <f>IF($W9="","",IF(COUNTIF(choice!$D:$D,CONCATENATE($W9,"@",FD$7))=0,"",VLOOKUP(CONCATENATE($W9,"@",FD$7),choice!$D:$E,2,0)))</f>
        <v/>
      </c>
      <c r="FE9" s="74" t="str">
        <f>IF($W9="","",IF(COUNTIF(choice!$D:$D,CONCATENATE($W9,"@",FE$7))=0,"",VLOOKUP(CONCATENATE($W9,"@",FE$7),choice!$D:$E,2,0)))</f>
        <v/>
      </c>
      <c r="FF9" s="74" t="str">
        <f>IF($W9="","",IF(COUNTIF(choice!$D:$D,CONCATENATE($W9,"@",FF$7))=0,"",VLOOKUP(CONCATENATE($W9,"@",FF$7),choice!$D:$E,2,0)))</f>
        <v/>
      </c>
      <c r="FG9" s="74" t="str">
        <f>IF($W9="","",IF(COUNTIF(choice!$D:$D,CONCATENATE($W9,"@",FG$7))=0,"",VLOOKUP(CONCATENATE($W9,"@",FG$7),choice!$D:$E,2,0)))</f>
        <v/>
      </c>
      <c r="FH9" s="74" t="str">
        <f>IF($W9="","",IF(COUNTIF(choice!$D:$D,CONCATENATE($W9,"@",FH$7))=0,"",VLOOKUP(CONCATENATE($W9,"@",FH$7),choice!$D:$E,2,0)))</f>
        <v/>
      </c>
      <c r="FI9" s="74" t="str">
        <f>IF($W9="","",IF(COUNTIF(choice!$D:$D,CONCATENATE($W9,"@",FI$7))=0,"",VLOOKUP(CONCATENATE($W9,"@",FI$7),choice!$D:$E,2,0)))</f>
        <v/>
      </c>
      <c r="FJ9" s="74" t="str">
        <f>IF($W9="","",IF(COUNTIF(choice!$D:$D,CONCATENATE($W9,"@",FJ$7))=0,"",VLOOKUP(CONCATENATE($W9,"@",FJ$7),choice!$D:$E,2,0)))</f>
        <v/>
      </c>
      <c r="FK9" s="74" t="str">
        <f>IF($W9="","",IF(COUNTIF(choice!$D:$D,CONCATENATE($W9,"@",FK$7))=0,"",VLOOKUP(CONCATENATE($W9,"@",FK$7),choice!$D:$E,2,0)))</f>
        <v/>
      </c>
      <c r="FL9" s="74" t="str">
        <f>IF($W9="","",IF(COUNTIF(choice!$D:$D,CONCATENATE($W9,"@",FL$7))=0,"",VLOOKUP(CONCATENATE($W9,"@",FL$7),choice!$D:$E,2,0)))</f>
        <v/>
      </c>
      <c r="FM9" s="74" t="str">
        <f>IF($W9="","",IF(COUNTIF(choice!$D:$D,CONCATENATE($W9,"@",FM$7))=0,"",VLOOKUP(CONCATENATE($W9,"@",FM$7),choice!$D:$E,2,0)))</f>
        <v/>
      </c>
      <c r="FN9" s="74" t="str">
        <f>IF($W9="","",IF(COUNTIF(choice!$D:$D,CONCATENATE($W9,"@",FN$7))=0,"",VLOOKUP(CONCATENATE($W9,"@",FN$7),choice!$D:$E,2,0)))</f>
        <v/>
      </c>
      <c r="FO9" s="74" t="str">
        <f>IF($W9="","",IF(COUNTIF(choice!$D:$D,CONCATENATE($W9,"@",FO$7))=0,"",VLOOKUP(CONCATENATE($W9,"@",FO$7),choice!$D:$E,2,0)))</f>
        <v/>
      </c>
      <c r="FP9" s="74" t="str">
        <f>IF($W9="","",IF(COUNTIF(choice!$D:$D,CONCATENATE($W9,"@",FP$7))=0,"",VLOOKUP(CONCATENATE($W9,"@",FP$7),choice!$D:$E,2,0)))</f>
        <v/>
      </c>
      <c r="FQ9" s="74" t="str">
        <f>IF($W9="","",IF(COUNTIF(choice!$D:$D,CONCATENATE($W9,"@",FQ$7))=0,"",VLOOKUP(CONCATENATE($W9,"@",FQ$7),choice!$D:$E,2,0)))</f>
        <v/>
      </c>
      <c r="FR9" s="74" t="str">
        <f>IF($W9="","",IF(COUNTIF(choice!$D:$D,CONCATENATE($W9,"@",FR$7))=0,"",VLOOKUP(CONCATENATE($W9,"@",FR$7),choice!$D:$E,2,0)))</f>
        <v/>
      </c>
      <c r="FS9" s="74" t="str">
        <f>IF($W9="","",IF(COUNTIF(choice!$D:$D,CONCATENATE($W9,"@",FS$7))=0,"",VLOOKUP(CONCATENATE($W9,"@",FS$7),choice!$D:$E,2,0)))</f>
        <v/>
      </c>
      <c r="FT9" s="74" t="str">
        <f>IF($W9="","",IF(COUNTIF(choice!$D:$D,CONCATENATE($W9,"@",FT$7))=0,"",VLOOKUP(CONCATENATE($W9,"@",FT$7),choice!$D:$E,2,0)))</f>
        <v/>
      </c>
      <c r="FU9" s="74" t="str">
        <f>IF($W9="","",IF(COUNTIF(choice!$D:$D,CONCATENATE($W9,"@",FU$7))=0,"",VLOOKUP(CONCATENATE($W9,"@",FU$7),choice!$D:$E,2,0)))</f>
        <v/>
      </c>
      <c r="FV9" s="81" t="str">
        <f>IF($W9="","",IF(COUNTIF(choice!$D:$D,CONCATENATE($W9,"@",FV$7))=0,"",VLOOKUP(CONCATENATE($W9,"@",FV$7),choice!$D:$E,2,0)))</f>
        <v/>
      </c>
      <c r="FW9" s="80" t="str">
        <f>IF($X9="","",IF(COUNTIF(choice!$D:$D,CONCATENATE($X9,"@",FW$7))=0,"",VLOOKUP(CONCATENATE($X9,"@",FW$7),choice!$D:$E,2,0)))</f>
        <v/>
      </c>
      <c r="FX9" s="74" t="str">
        <f>IF($X9="","",IF(COUNTIF(choice!$D:$D,CONCATENATE($X9,"@",FX$7))=0,"",VLOOKUP(CONCATENATE($X9,"@",FX$7),choice!$D:$E,2,0)))</f>
        <v/>
      </c>
      <c r="FY9" s="74" t="str">
        <f>IF($X9="","",IF(COUNTIF(choice!$D:$D,CONCATENATE($X9,"@",FY$7))=0,"",VLOOKUP(CONCATENATE($X9,"@",FY$7),choice!$D:$E,2,0)))</f>
        <v/>
      </c>
      <c r="FZ9" s="74" t="str">
        <f>IF($X9="","",IF(COUNTIF(choice!$D:$D,CONCATENATE($X9,"@",FZ$7))=0,"",VLOOKUP(CONCATENATE($X9,"@",FZ$7),choice!$D:$E,2,0)))</f>
        <v/>
      </c>
      <c r="GA9" s="74" t="str">
        <f>IF($X9="","",IF(COUNTIF(choice!$D:$D,CONCATENATE($X9,"@",GA$7))=0,"",VLOOKUP(CONCATENATE($X9,"@",GA$7),choice!$D:$E,2,0)))</f>
        <v/>
      </c>
      <c r="GB9" s="74" t="str">
        <f>IF($X9="","",IF(COUNTIF(choice!$D:$D,CONCATENATE($X9,"@",GB$7))=0,"",VLOOKUP(CONCATENATE($X9,"@",GB$7),choice!$D:$E,2,0)))</f>
        <v/>
      </c>
      <c r="GC9" s="74" t="str">
        <f>IF($X9="","",IF(COUNTIF(choice!$D:$D,CONCATENATE($X9,"@",GC$7))=0,"",VLOOKUP(CONCATENATE($X9,"@",GC$7),choice!$D:$E,2,0)))</f>
        <v/>
      </c>
      <c r="GD9" s="74" t="str">
        <f>IF($X9="","",IF(COUNTIF(choice!$D:$D,CONCATENATE($X9,"@",GD$7))=0,"",VLOOKUP(CONCATENATE($X9,"@",GD$7),choice!$D:$E,2,0)))</f>
        <v/>
      </c>
      <c r="GE9" s="74" t="str">
        <f>IF($X9="","",IF(COUNTIF(choice!$D:$D,CONCATENATE($X9,"@",GE$7))=0,"",VLOOKUP(CONCATENATE($X9,"@",GE$7),choice!$D:$E,2,0)))</f>
        <v/>
      </c>
      <c r="GF9" s="74" t="str">
        <f>IF($X9="","",IF(COUNTIF(choice!$D:$D,CONCATENATE($X9,"@",GF$7))=0,"",VLOOKUP(CONCATENATE($X9,"@",GF$7),choice!$D:$E,2,0)))</f>
        <v/>
      </c>
      <c r="GG9" s="74" t="str">
        <f>IF($X9="","",IF(COUNTIF(choice!$D:$D,CONCATENATE($X9,"@",GG$7))=0,"",VLOOKUP(CONCATENATE($X9,"@",GG$7),choice!$D:$E,2,0)))</f>
        <v/>
      </c>
      <c r="GH9" s="74" t="str">
        <f>IF($X9="","",IF(COUNTIF(choice!$D:$D,CONCATENATE($X9,"@",GH$7))=0,"",VLOOKUP(CONCATENATE($X9,"@",GH$7),choice!$D:$E,2,0)))</f>
        <v/>
      </c>
      <c r="GI9" s="74" t="str">
        <f>IF($X9="","",IF(COUNTIF(choice!$D:$D,CONCATENATE($X9,"@",GI$7))=0,"",VLOOKUP(CONCATENATE($X9,"@",GI$7),choice!$D:$E,2,0)))</f>
        <v/>
      </c>
      <c r="GJ9" s="74" t="str">
        <f>IF($X9="","",IF(COUNTIF(choice!$D:$D,CONCATENATE($X9,"@",GJ$7))=0,"",VLOOKUP(CONCATENATE($X9,"@",GJ$7),choice!$D:$E,2,0)))</f>
        <v/>
      </c>
      <c r="GK9" s="74" t="str">
        <f>IF($X9="","",IF(COUNTIF(choice!$D:$D,CONCATENATE($X9,"@",GK$7))=0,"",VLOOKUP(CONCATENATE($X9,"@",GK$7),choice!$D:$E,2,0)))</f>
        <v/>
      </c>
      <c r="GL9" s="74" t="str">
        <f>IF($X9="","",IF(COUNTIF(choice!$D:$D,CONCATENATE($X9,"@",GL$7))=0,"",VLOOKUP(CONCATENATE($X9,"@",GL$7),choice!$D:$E,2,0)))</f>
        <v/>
      </c>
      <c r="GM9" s="74" t="str">
        <f>IF($X9="","",IF(COUNTIF(choice!$D:$D,CONCATENATE($X9,"@",GM$7))=0,"",VLOOKUP(CONCATENATE($X9,"@",GM$7),choice!$D:$E,2,0)))</f>
        <v/>
      </c>
      <c r="GN9" s="74" t="str">
        <f>IF($X9="","",IF(COUNTIF(choice!$D:$D,CONCATENATE($X9,"@",GN$7))=0,"",VLOOKUP(CONCATENATE($X9,"@",GN$7),choice!$D:$E,2,0)))</f>
        <v/>
      </c>
      <c r="GO9" s="74" t="str">
        <f>IF($X9="","",IF(COUNTIF(choice!$D:$D,CONCATENATE($X9,"@",GO$7))=0,"",VLOOKUP(CONCATENATE($X9,"@",GO$7),choice!$D:$E,2,0)))</f>
        <v/>
      </c>
      <c r="GP9" s="74" t="str">
        <f>IF($X9="","",IF(COUNTIF(choice!$D:$D,CONCATENATE($X9,"@",GP$7))=0,"",VLOOKUP(CONCATENATE($X9,"@",GP$7),choice!$D:$E,2,0)))</f>
        <v/>
      </c>
      <c r="GQ9" s="74" t="str">
        <f>IF($X9="","",IF(COUNTIF(choice!$D:$D,CONCATENATE($X9,"@",GQ$7))=0,"",VLOOKUP(CONCATENATE($X9,"@",GQ$7),choice!$D:$E,2,0)))</f>
        <v/>
      </c>
      <c r="GR9" s="74" t="str">
        <f>IF($X9="","",IF(COUNTIF(choice!$D:$D,CONCATENATE($X9,"@",GR$7))=0,"",VLOOKUP(CONCATENATE($X9,"@",GR$7),choice!$D:$E,2,0)))</f>
        <v/>
      </c>
      <c r="GS9" s="74" t="str">
        <f>IF($X9="","",IF(COUNTIF(choice!$D:$D,CONCATENATE($X9,"@",GS$7))=0,"",VLOOKUP(CONCATENATE($X9,"@",GS$7),choice!$D:$E,2,0)))</f>
        <v/>
      </c>
      <c r="GT9" s="74" t="str">
        <f>IF($X9="","",IF(COUNTIF(choice!$D:$D,CONCATENATE($X9,"@",GT$7))=0,"",VLOOKUP(CONCATENATE($X9,"@",GT$7),choice!$D:$E,2,0)))</f>
        <v/>
      </c>
      <c r="GU9" s="74" t="str">
        <f>IF($X9="","",IF(COUNTIF(choice!$D:$D,CONCATENATE($X9,"@",GU$7))=0,"",VLOOKUP(CONCATENATE($X9,"@",GU$7),choice!$D:$E,2,0)))</f>
        <v/>
      </c>
      <c r="GV9" s="74" t="str">
        <f>IF($X9="","",IF(COUNTIF(choice!$D:$D,CONCATENATE($X9,"@",GV$7))=0,"",VLOOKUP(CONCATENATE($X9,"@",GV$7),choice!$D:$E,2,0)))</f>
        <v/>
      </c>
      <c r="GW9" s="74" t="str">
        <f>IF($X9="","",IF(COUNTIF(choice!$D:$D,CONCATENATE($X9,"@",GW$7))=0,"",VLOOKUP(CONCATENATE($X9,"@",GW$7),choice!$D:$E,2,0)))</f>
        <v/>
      </c>
      <c r="GX9" s="74" t="str">
        <f>IF($X9="","",IF(COUNTIF(choice!$D:$D,CONCATENATE($X9,"@",GX$7))=0,"",VLOOKUP(CONCATENATE($X9,"@",GX$7),choice!$D:$E,2,0)))</f>
        <v/>
      </c>
      <c r="GY9" s="74" t="str">
        <f>IF($X9="","",IF(COUNTIF(choice!$D:$D,CONCATENATE($X9,"@",GY$7))=0,"",VLOOKUP(CONCATENATE($X9,"@",GY$7),choice!$D:$E,2,0)))</f>
        <v/>
      </c>
      <c r="GZ9" s="74" t="str">
        <f>IF($X9="","",IF(COUNTIF(choice!$D:$D,CONCATENATE($X9,"@",GZ$7))=0,"",VLOOKUP(CONCATENATE($X9,"@",GZ$7),choice!$D:$E,2,0)))</f>
        <v/>
      </c>
      <c r="HA9" s="74" t="str">
        <f>IF($X9="","",IF(COUNTIF(choice!$D:$D,CONCATENATE($X9,"@",HA$7))=0,"",VLOOKUP(CONCATENATE($X9,"@",HA$7),choice!$D:$E,2,0)))</f>
        <v/>
      </c>
      <c r="HB9" s="74" t="str">
        <f>IF($X9="","",IF(COUNTIF(choice!$D:$D,CONCATENATE($X9,"@",HB$7))=0,"",VLOOKUP(CONCATENATE($X9,"@",HB$7),choice!$D:$E,2,0)))</f>
        <v/>
      </c>
      <c r="HC9" s="74" t="str">
        <f>IF($X9="","",IF(COUNTIF(choice!$D:$D,CONCATENATE($X9,"@",HC$7))=0,"",VLOOKUP(CONCATENATE($X9,"@",HC$7),choice!$D:$E,2,0)))</f>
        <v/>
      </c>
      <c r="HD9" s="74" t="str">
        <f>IF($X9="","",IF(COUNTIF(choice!$D:$D,CONCATENATE($X9,"@",HD$7))=0,"",VLOOKUP(CONCATENATE($X9,"@",HD$7),choice!$D:$E,2,0)))</f>
        <v/>
      </c>
      <c r="HE9" s="74" t="str">
        <f>IF($X9="","",IF(COUNTIF(choice!$D:$D,CONCATENATE($X9,"@",HE$7))=0,"",VLOOKUP(CONCATENATE($X9,"@",HE$7),choice!$D:$E,2,0)))</f>
        <v/>
      </c>
      <c r="HF9" s="74" t="str">
        <f>IF($X9="","",IF(COUNTIF(choice!$D:$D,CONCATENATE($X9,"@",HF$7))=0,"",VLOOKUP(CONCATENATE($X9,"@",HF$7),choice!$D:$E,2,0)))</f>
        <v/>
      </c>
      <c r="HG9" s="74" t="str">
        <f>IF($X9="","",IF(COUNTIF(choice!$D:$D,CONCATENATE($X9,"@",HG$7))=0,"",VLOOKUP(CONCATENATE($X9,"@",HG$7),choice!$D:$E,2,0)))</f>
        <v/>
      </c>
      <c r="HH9" s="74" t="str">
        <f>IF($X9="","",IF(COUNTIF(choice!$D:$D,CONCATENATE($X9,"@",HH$7))=0,"",VLOOKUP(CONCATENATE($X9,"@",HH$7),choice!$D:$E,2,0)))</f>
        <v/>
      </c>
      <c r="HI9" s="74" t="str">
        <f>IF($X9="","",IF(COUNTIF(choice!$D:$D,CONCATENATE($X9,"@",HI$7))=0,"",VLOOKUP(CONCATENATE($X9,"@",HI$7),choice!$D:$E,2,0)))</f>
        <v/>
      </c>
      <c r="HJ9" s="74" t="str">
        <f>IF($X9="","",IF(COUNTIF(choice!$D:$D,CONCATENATE($X9,"@",HJ$7))=0,"",VLOOKUP(CONCATENATE($X9,"@",HJ$7),choice!$D:$E,2,0)))</f>
        <v/>
      </c>
      <c r="HK9" s="74" t="str">
        <f>IF($X9="","",IF(COUNTIF(choice!$D:$D,CONCATENATE($X9,"@",HK$7))=0,"",VLOOKUP(CONCATENATE($X9,"@",HK$7),choice!$D:$E,2,0)))</f>
        <v/>
      </c>
      <c r="HL9" s="74" t="str">
        <f>IF($X9="","",IF(COUNTIF(choice!$D:$D,CONCATENATE($X9,"@",HL$7))=0,"",VLOOKUP(CONCATENATE($X9,"@",HL$7),choice!$D:$E,2,0)))</f>
        <v/>
      </c>
      <c r="HM9" s="74" t="str">
        <f>IF($X9="","",IF(COUNTIF(choice!$D:$D,CONCATENATE($X9,"@",HM$7))=0,"",VLOOKUP(CONCATENATE($X9,"@",HM$7),choice!$D:$E,2,0)))</f>
        <v/>
      </c>
      <c r="HN9" s="74" t="str">
        <f>IF($X9="","",IF(COUNTIF(choice!$D:$D,CONCATENATE($X9,"@",HN$7))=0,"",VLOOKUP(CONCATENATE($X9,"@",HN$7),choice!$D:$E,2,0)))</f>
        <v/>
      </c>
      <c r="HO9" s="81" t="str">
        <f>IF($X9="","",IF(COUNTIF(choice!$D:$D,CONCATENATE($X9,"@",HO$7))=0,"",VLOOKUP(CONCATENATE($X9,"@",HO$7),choice!$D:$E,2,0)))</f>
        <v/>
      </c>
      <c r="HP9" s="20" t="s">
        <v>54</v>
      </c>
      <c r="HQ9" s="20" t="s">
        <v>55</v>
      </c>
      <c r="HU9" s="74" t="s">
        <v>106</v>
      </c>
      <c r="HV9" s="74">
        <f t="shared" ref="HV9:HV21" si="12">IF(RIGHT(I9,4)="E AV",LEN(IC9)-LEN(SUBSTITUTE(IC9,"+",""))+1,0)</f>
        <v>0</v>
      </c>
      <c r="HW9" s="74">
        <f t="shared" ref="HW9:HW21" si="13">IF(RIGHT(I9,4)="E DT",LEN(IC9)-LEN(SUBSTITUTE(IC9,"+",""))+1,0)</f>
        <v>0</v>
      </c>
      <c r="HX9" s="74">
        <f t="shared" ref="HX9:HX21" si="14">IF(LEFT(I9,4)="E AV",LEN(IC9)-LEN(SUBSTITUTE(IC9,"+",""))+1,0)</f>
        <v>0</v>
      </c>
      <c r="HY9" s="74">
        <f t="shared" ref="HY9:HY21" si="15">IF(LEFT(I9,4)="E DT",LEN(IC9)-LEN(SUBSTITUTE(IC9,"+",""))+1,0)</f>
        <v>0</v>
      </c>
      <c r="HZ9" s="74">
        <f>HV9-HX9+HZ8</f>
        <v>0</v>
      </c>
      <c r="IA9" s="74">
        <f>HW9-HY9+IA8</f>
        <v>0</v>
      </c>
      <c r="IB9" s="74" t="str">
        <f>IF(COUNTIF(AQ9,"*02*")=0,IF(COUNTIF(AQ9,"*04*")=0,IF(RIGHT(I9,4)="E AV",IF(HZ8=0,"","SPAD"),IF(RIGHT(I9,4)="E DT",IF(IA8=0,"","SPAD"),"")),""),"")</f>
        <v/>
      </c>
      <c r="IC9" s="74" t="str">
        <f>IF(D9="","",IF(COUNTIFS(D9,"*'")++COUNTIFS(D9,"*""")=0,D9,IC8))</f>
        <v/>
      </c>
      <c r="ID9" s="74" t="str">
        <f t="shared" ref="ID9:ID20" si="16">IF(COUNTIFS(AQ9,"*04*")+COUNTIFS(AQ9,"*02*")&gt;0,IF(RIGHT(I9,4)="E AV",IF(HZ8=0,"","BLUE"),IF(RIGHT(I9,4)="E DT",IF(IA8=0,"","BLUE"),"")),"")</f>
        <v/>
      </c>
      <c r="IE9" s="74">
        <f t="shared" ref="IE9:IE20" si="17">IF(B9="","",B9)</f>
        <v>28</v>
      </c>
      <c r="IF9" s="74">
        <f>COUNTIFS(ID$8:ID9,"BLUE")</f>
        <v>0</v>
      </c>
      <c r="IG9" s="74" t="str">
        <f t="shared" ref="IG9:IG20" si="18">IF(ID9="","",IF(IF9=1,IE9,IF(IF9=0,"",CONCATENATE(", ",IE9))))</f>
        <v/>
      </c>
      <c r="IH9" s="74" t="str">
        <f>IF(COUNTIFS($AQ9,"*02*")=0,"",COUNTIFS(IJ$8:IJ9,"BLUE"))</f>
        <v/>
      </c>
      <c r="II9" s="74" t="str">
        <f>IF(COUNTIFS($AQ9,"*04*")=0,"",COUNTIFS(IK$8:IK9,"BLUE"))</f>
        <v/>
      </c>
      <c r="IJ9" s="74" t="str">
        <f>IF(COUNTIFS(AQ9,"*02*")&gt;0,IF(RIGHT(I9,4)="E AV",IF(HZ8=0,"","BLUE"),IF(RIGHT(I9,4)="E DT",IF(IA8=0,"","BLUE"),"")),"")</f>
        <v/>
      </c>
      <c r="IK9" s="74" t="str">
        <f>IF(COUNTIFS(AQ9,"*04*")&gt;0,IF(RIGHT(I9,4)="E AV",IF(HZ8=0,"","BLUE"),IF(RIGHT(I9,4)="E DT",IF(IA8=0,"","BLUE"),"")),"")</f>
        <v/>
      </c>
      <c r="IL9" s="74" t="str">
        <f t="shared" ref="IL9:IL20" si="19">IF(IJ9="","",IF(IH9=1,IE9,CONCATENATE(", ",IE9)))</f>
        <v/>
      </c>
      <c r="IM9" s="74" t="str">
        <f t="shared" ref="IM9:IM20" si="20">IF(IK9="","",IF(II9=1,$IE9,CONCATENATE(", ",$IE9)))</f>
        <v/>
      </c>
      <c r="IN9" s="74">
        <f>COUNTIFS(IJ$8:IJ9,"BLUE")</f>
        <v>0</v>
      </c>
      <c r="IO9" s="74">
        <f>COUNTIFS(IK$8:IK9,"BLUE")</f>
        <v>0</v>
      </c>
    </row>
    <row r="10" spans="1:249" s="20" customFormat="1" ht="28.5" customHeight="1">
      <c r="A10" s="33"/>
      <c r="B10" s="30">
        <v>29</v>
      </c>
      <c r="C10" s="150"/>
      <c r="D10" s="174"/>
      <c r="E10" s="88" t="e">
        <f>VLOOKUP(F10,'Radio Call Sign'!A:B,2)</f>
        <v>#N/A</v>
      </c>
      <c r="F10" s="89"/>
      <c r="G10" s="88" t="e">
        <f>VLOOKUP(H10,'Radio Call Sign'!A:B,2)</f>
        <v>#N/A</v>
      </c>
      <c r="H10" s="88"/>
      <c r="I10" s="89" t="str">
        <f t="shared" si="4"/>
        <v/>
      </c>
      <c r="J10" s="90" t="str">
        <f t="shared" si="9"/>
        <v/>
      </c>
      <c r="K10" s="86" t="str">
        <f t="shared" si="10"/>
        <v/>
      </c>
      <c r="L10" s="151"/>
      <c r="M10" s="190" t="str">
        <f t="shared" si="11"/>
        <v/>
      </c>
      <c r="N10" s="21"/>
      <c r="O10" s="21"/>
      <c r="P10" s="53"/>
      <c r="Q10" s="163" t="str">
        <f>IF(AA10="","",IF(COUNTIFS('overhead line area'!$D$3:$D$100,AA10)+COUNTIFS('overhead line area'!$D$3:$D$100,AB10)+COUNTIFS('overhead line area'!$D$3:$D$100,AC10)+COUNTIFS('overhead line area'!$D$3:$D$100,AD10)=0,"","*               "))</f>
        <v/>
      </c>
      <c r="R10" s="53"/>
      <c r="S10" s="24"/>
      <c r="U10" s="74"/>
      <c r="V10" s="74"/>
      <c r="W10" s="74"/>
      <c r="X10" s="74"/>
      <c r="Y10" s="74"/>
      <c r="AA10" s="74" t="str">
        <f t="shared" si="5"/>
        <v/>
      </c>
      <c r="AB10" s="74" t="str">
        <f t="shared" si="6"/>
        <v/>
      </c>
      <c r="AC10" s="74" t="str">
        <f>IF(X10="","",CONCATENATE(W10,"-",X10))</f>
        <v/>
      </c>
      <c r="AD10" s="74" t="str">
        <f>IF(Y10="","",CONCATENATE(X10,"-",Y10))</f>
        <v/>
      </c>
      <c r="AF10" s="74" t="str">
        <f>IF(AA10="","",IF(COUNTIF(Route!$AM:$AM,'Add-on Train Movement Log'!AA10)=0,"未有資料",VLOOKUP('Add-on Train Movement Log'!AA10,Route!$AM:$AP,3,0)))</f>
        <v/>
      </c>
      <c r="AG10" s="74" t="str">
        <f>IF(AB10="","",IF(COUNTIF(Route!$AM:$AM,'Add-on Train Movement Log'!AB10)=0,"未有資料",VLOOKUP('Add-on Train Movement Log'!AB10,Route!$AM:$AP,3,0)))</f>
        <v/>
      </c>
      <c r="AH10" s="74" t="str">
        <f>IF(AC10="","",IF(COUNTIF(Route!$AM:$AM,'Add-on Train Movement Log'!AC10)=0,"未有資料",VLOOKUP('Add-on Train Movement Log'!AC10,Route!$AM:$AP,3,0)))</f>
        <v/>
      </c>
      <c r="AI10" s="74" t="str">
        <f>IF(AD10="","",IF(COUNTIF(Route!$AM:$AM,'Add-on Train Movement Log'!AD10)=0,"未有資料",VLOOKUP('Add-on Train Movement Log'!AD10,Route!$AM:$AP,3,0)))</f>
        <v/>
      </c>
      <c r="AK10" s="74" t="str">
        <f>IF(AA10="","",IF(COUNTIF(Route!$AM:$AM,'Add-on Train Movement Log'!AA10)=0,"未有資料",VLOOKUP('Add-on Train Movement Log'!AA10,Route!$AM:$AP,4,0)))</f>
        <v/>
      </c>
      <c r="AL10" s="74" t="str">
        <f>IF(AB10="","",IF(COUNTIF(Route!$AM:$AM,'Add-on Train Movement Log'!AB10)=0,"未有資料",VLOOKUP('Add-on Train Movement Log'!AB10,Route!$AM:$AP,4,0)))</f>
        <v/>
      </c>
      <c r="AM10" s="74" t="str">
        <f>IF(AC10="","",IF(COUNTIF(Route!$AM:$AM,'Add-on Train Movement Log'!AC10)=0,"未有資料",VLOOKUP('Add-on Train Movement Log'!AC10,Route!$AM:$AP,4,0)))</f>
        <v/>
      </c>
      <c r="AN10" s="74" t="str">
        <f>IF(AD10="","",IF(COUNTIF(Route!$AM:$AM,'Add-on Train Movement Log'!AD10)=0,"未有資料",VLOOKUP('Add-on Train Movement Log'!AD10,Route!$AM:$AP,4,0)))</f>
        <v/>
      </c>
      <c r="AP10" s="74" t="str">
        <f t="shared" si="7"/>
        <v/>
      </c>
      <c r="AQ10" s="76" t="str">
        <f t="shared" si="8"/>
        <v/>
      </c>
      <c r="AR10" s="80" t="str">
        <f>IF($U10="","",IF(COUNTIF(choice!$D:$D,CONCATENATE($U10,"@",AR$7))=0,"",VLOOKUP(CONCATENATE($U10,"@",AR$7),choice!$D:$E,2,0)))</f>
        <v/>
      </c>
      <c r="AS10" s="74" t="str">
        <f>IF($U10="","",IF(COUNTIF(choice!$D:$D,CONCATENATE($U10,"@",AS$7))=0,"",VLOOKUP(CONCATENATE($U10,"@",AS$7),choice!$D:$E,2,0)))</f>
        <v/>
      </c>
      <c r="AT10" s="74" t="str">
        <f>IF($U10="","",IF(COUNTIF(choice!$D:$D,CONCATENATE($U10,"@",AT$7))=0,"",VLOOKUP(CONCATENATE($U10,"@",AT$7),choice!$D:$E,2,0)))</f>
        <v/>
      </c>
      <c r="AU10" s="74" t="str">
        <f>IF($U10="","",IF(COUNTIF(choice!$D:$D,CONCATENATE($U10,"@",AU$7))=0,"",VLOOKUP(CONCATENATE($U10,"@",AU$7),choice!$D:$E,2,0)))</f>
        <v/>
      </c>
      <c r="AV10" s="74" t="str">
        <f>IF($U10="","",IF(COUNTIF(choice!$D:$D,CONCATENATE($U10,"@",AV$7))=0,"",VLOOKUP(CONCATENATE($U10,"@",AV$7),choice!$D:$E,2,0)))</f>
        <v/>
      </c>
      <c r="AW10" s="74" t="str">
        <f>IF($U10="","",IF(COUNTIF(choice!$D:$D,CONCATENATE($U10,"@",AW$7))=0,"",VLOOKUP(CONCATENATE($U10,"@",AW$7),choice!$D:$E,2,0)))</f>
        <v/>
      </c>
      <c r="AX10" s="74" t="str">
        <f>IF($U10="","",IF(COUNTIF(choice!$D:$D,CONCATENATE($U10,"@",AX$7))=0,"",VLOOKUP(CONCATENATE($U10,"@",AX$7),choice!$D:$E,2,0)))</f>
        <v/>
      </c>
      <c r="AY10" s="74" t="str">
        <f>IF($U10="","",IF(COUNTIF(choice!$D:$D,CONCATENATE($U10,"@",AY$7))=0,"",VLOOKUP(CONCATENATE($U10,"@",AY$7),choice!$D:$E,2,0)))</f>
        <v/>
      </c>
      <c r="AZ10" s="74" t="str">
        <f>IF($U10="","",IF(COUNTIF(choice!$D:$D,CONCATENATE($U10,"@",AZ$7))=0,"",VLOOKUP(CONCATENATE($U10,"@",AZ$7),choice!$D:$E,2,0)))</f>
        <v/>
      </c>
      <c r="BA10" s="74" t="str">
        <f>IF($U10="","",IF(COUNTIF(choice!$D:$D,CONCATENATE($U10,"@",BA$7))=0,"",VLOOKUP(CONCATENATE($U10,"@",BA$7),choice!$D:$E,2,0)))</f>
        <v/>
      </c>
      <c r="BB10" s="74" t="str">
        <f>IF($U10="","",IF(COUNTIF(choice!$D:$D,CONCATENATE($U10,"@",BB$7))=0,"",VLOOKUP(CONCATENATE($U10,"@",BB$7),choice!$D:$E,2,0)))</f>
        <v/>
      </c>
      <c r="BC10" s="74" t="str">
        <f>IF($U10="","",IF(COUNTIF(choice!$D:$D,CONCATENATE($U10,"@",BC$7))=0,"",VLOOKUP(CONCATENATE($U10,"@",BC$7),choice!$D:$E,2,0)))</f>
        <v/>
      </c>
      <c r="BD10" s="74" t="str">
        <f>IF($U10="","",IF(COUNTIF(choice!$D:$D,CONCATENATE($U10,"@",BD$7))=0,"",VLOOKUP(CONCATENATE($U10,"@",BD$7),choice!$D:$E,2,0)))</f>
        <v/>
      </c>
      <c r="BE10" s="74" t="str">
        <f>IF($U10="","",IF(COUNTIF(choice!$D:$D,CONCATENATE($U10,"@",BE$7))=0,"",VLOOKUP(CONCATENATE($U10,"@",BE$7),choice!$D:$E,2,0)))</f>
        <v/>
      </c>
      <c r="BF10" s="74" t="str">
        <f>IF($U10="","",IF(COUNTIF(choice!$D:$D,CONCATENATE($U10,"@",BF$7))=0,"",VLOOKUP(CONCATENATE($U10,"@",BF$7),choice!$D:$E,2,0)))</f>
        <v/>
      </c>
      <c r="BG10" s="74" t="str">
        <f>IF($U10="","",IF(COUNTIF(choice!$D:$D,CONCATENATE($U10,"@",BG$7))=0,"",VLOOKUP(CONCATENATE($U10,"@",BG$7),choice!$D:$E,2,0)))</f>
        <v/>
      </c>
      <c r="BH10" s="74" t="str">
        <f>IF($U10="","",IF(COUNTIF(choice!$D:$D,CONCATENATE($U10,"@",BH$7))=0,"",VLOOKUP(CONCATENATE($U10,"@",BH$7),choice!$D:$E,2,0)))</f>
        <v/>
      </c>
      <c r="BI10" s="74" t="str">
        <f>IF($U10="","",IF(COUNTIF(choice!$D:$D,CONCATENATE($U10,"@",BI$7))=0,"",VLOOKUP(CONCATENATE($U10,"@",BI$7),choice!$D:$E,2,0)))</f>
        <v/>
      </c>
      <c r="BJ10" s="74" t="str">
        <f>IF($U10="","",IF(COUNTIF(choice!$D:$D,CONCATENATE($U10,"@",BJ$7))=0,"",VLOOKUP(CONCATENATE($U10,"@",BJ$7),choice!$D:$E,2,0)))</f>
        <v/>
      </c>
      <c r="BK10" s="74" t="str">
        <f>IF($U10="","",IF(COUNTIF(choice!$D:$D,CONCATENATE($U10,"@",BK$7))=0,"",VLOOKUP(CONCATENATE($U10,"@",BK$7),choice!$D:$E,2,0)))</f>
        <v/>
      </c>
      <c r="BL10" s="74" t="str">
        <f>IF($U10="","",IF(COUNTIF(choice!$D:$D,CONCATENATE($U10,"@",BL$7))=0,"",VLOOKUP(CONCATENATE($U10,"@",BL$7),choice!$D:$E,2,0)))</f>
        <v/>
      </c>
      <c r="BM10" s="74" t="str">
        <f>IF($U10="","",IF(COUNTIF(choice!$D:$D,CONCATENATE($U10,"@",BM$7))=0,"",VLOOKUP(CONCATENATE($U10,"@",BM$7),choice!$D:$E,2,0)))</f>
        <v/>
      </c>
      <c r="BN10" s="74" t="str">
        <f>IF($U10="","",IF(COUNTIF(choice!$D:$D,CONCATENATE($U10,"@",BN$7))=0,"",VLOOKUP(CONCATENATE($U10,"@",BN$7),choice!$D:$E,2,0)))</f>
        <v/>
      </c>
      <c r="BO10" s="74" t="str">
        <f>IF($U10="","",IF(COUNTIF(choice!$D:$D,CONCATENATE($U10,"@",BO$7))=0,"",VLOOKUP(CONCATENATE($U10,"@",BO$7),choice!$D:$E,2,0)))</f>
        <v/>
      </c>
      <c r="BP10" s="74" t="str">
        <f>IF($U10="","",IF(COUNTIF(choice!$D:$D,CONCATENATE($U10,"@",BP$7))=0,"",VLOOKUP(CONCATENATE($U10,"@",BP$7),choice!$D:$E,2,0)))</f>
        <v/>
      </c>
      <c r="BQ10" s="74" t="str">
        <f>IF($U10="","",IF(COUNTIF(choice!$D:$D,CONCATENATE($U10,"@",BQ$7))=0,"",VLOOKUP(CONCATENATE($U10,"@",BQ$7),choice!$D:$E,2,0)))</f>
        <v/>
      </c>
      <c r="BR10" s="74" t="str">
        <f>IF($U10="","",IF(COUNTIF(choice!$D:$D,CONCATENATE($U10,"@",BR$7))=0,"",VLOOKUP(CONCATENATE($U10,"@",BR$7),choice!$D:$E,2,0)))</f>
        <v/>
      </c>
      <c r="BS10" s="74" t="str">
        <f>IF($U10="","",IF(COUNTIF(choice!$D:$D,CONCATENATE($U10,"@",BS$7))=0,"",VLOOKUP(CONCATENATE($U10,"@",BS$7),choice!$D:$E,2,0)))</f>
        <v/>
      </c>
      <c r="BT10" s="74" t="str">
        <f>IF($U10="","",IF(COUNTIF(choice!$D:$D,CONCATENATE($U10,"@",BT$7))=0,"",VLOOKUP(CONCATENATE($U10,"@",BT$7),choice!$D:$E,2,0)))</f>
        <v/>
      </c>
      <c r="BU10" s="74" t="str">
        <f>IF($U10="","",IF(COUNTIF(choice!$D:$D,CONCATENATE($U10,"@",BU$7))=0,"",VLOOKUP(CONCATENATE($U10,"@",BU$7),choice!$D:$E,2,0)))</f>
        <v/>
      </c>
      <c r="BV10" s="74" t="str">
        <f>IF($U10="","",IF(COUNTIF(choice!$D:$D,CONCATENATE($U10,"@",BV$7))=0,"",VLOOKUP(CONCATENATE($U10,"@",BV$7),choice!$D:$E,2,0)))</f>
        <v/>
      </c>
      <c r="BW10" s="74" t="str">
        <f>IF($U10="","",IF(COUNTIF(choice!$D:$D,CONCATENATE($U10,"@",BW$7))=0,"",VLOOKUP(CONCATENATE($U10,"@",BW$7),choice!$D:$E,2,0)))</f>
        <v/>
      </c>
      <c r="BX10" s="74" t="str">
        <f>IF($U10="","",IF(COUNTIF(choice!$D:$D,CONCATENATE($U10,"@",BX$7))=0,"",VLOOKUP(CONCATENATE($U10,"@",BX$7),choice!$D:$E,2,0)))</f>
        <v/>
      </c>
      <c r="BY10" s="74" t="str">
        <f>IF($U10="","",IF(COUNTIF(choice!$D:$D,CONCATENATE($U10,"@",BY$7))=0,"",VLOOKUP(CONCATENATE($U10,"@",BY$7),choice!$D:$E,2,0)))</f>
        <v/>
      </c>
      <c r="BZ10" s="74" t="str">
        <f>IF($U10="","",IF(COUNTIF(choice!$D:$D,CONCATENATE($U10,"@",BZ$7))=0,"",VLOOKUP(CONCATENATE($U10,"@",BZ$7),choice!$D:$E,2,0)))</f>
        <v/>
      </c>
      <c r="CA10" s="74" t="str">
        <f>IF($U10="","",IF(COUNTIF(choice!$D:$D,CONCATENATE($U10,"@",CA$7))=0,"",VLOOKUP(CONCATENATE($U10,"@",CA$7),choice!$D:$E,2,0)))</f>
        <v/>
      </c>
      <c r="CB10" s="74" t="str">
        <f>IF($U10="","",IF(COUNTIF(choice!$D:$D,CONCATENATE($U10,"@",CB$7))=0,"",VLOOKUP(CONCATENATE($U10,"@",CB$7),choice!$D:$E,2,0)))</f>
        <v/>
      </c>
      <c r="CC10" s="74" t="str">
        <f>IF($U10="","",IF(COUNTIF(choice!$D:$D,CONCATENATE($U10,"@",CC$7))=0,"",VLOOKUP(CONCATENATE($U10,"@",CC$7),choice!$D:$E,2,0)))</f>
        <v/>
      </c>
      <c r="CD10" s="74" t="str">
        <f>IF($U10="","",IF(COUNTIF(choice!$D:$D,CONCATENATE($U10,"@",CD$7))=0,"",VLOOKUP(CONCATENATE($U10,"@",CD$7),choice!$D:$E,2,0)))</f>
        <v/>
      </c>
      <c r="CE10" s="74" t="str">
        <f>IF($U10="","",IF(COUNTIF(choice!$D:$D,CONCATENATE($U10,"@",CE$7))=0,"",VLOOKUP(CONCATENATE($U10,"@",CE$7),choice!$D:$E,2,0)))</f>
        <v/>
      </c>
      <c r="CF10" s="74" t="str">
        <f>IF($U10="","",IF(COUNTIF(choice!$D:$D,CONCATENATE($U10,"@",CF$7))=0,"",VLOOKUP(CONCATENATE($U10,"@",CF$7),choice!$D:$E,2,0)))</f>
        <v/>
      </c>
      <c r="CG10" s="74" t="str">
        <f>IF($U10="","",IF(COUNTIF(choice!$D:$D,CONCATENATE($U10,"@",CG$7))=0,"",VLOOKUP(CONCATENATE($U10,"@",CG$7),choice!$D:$E,2,0)))</f>
        <v/>
      </c>
      <c r="CH10" s="74" t="str">
        <f>IF($U10="","",IF(COUNTIF(choice!$D:$D,CONCATENATE($U10,"@",CH$7))=0,"",VLOOKUP(CONCATENATE($U10,"@",CH$7),choice!$D:$E,2,0)))</f>
        <v/>
      </c>
      <c r="CI10" s="74" t="str">
        <f>IF($U10="","",IF(COUNTIF(choice!$D:$D,CONCATENATE($U10,"@",CI$7))=0,"",VLOOKUP(CONCATENATE($U10,"@",CI$7),choice!$D:$E,2,0)))</f>
        <v/>
      </c>
      <c r="CJ10" s="81" t="str">
        <f>IF($U10="","",IF(COUNTIF(choice!$D:$D,CONCATENATE($U10,"@",CJ$7))=0,"",VLOOKUP(CONCATENATE($U10,"@",CJ$7),choice!$D:$E,2,0)))</f>
        <v/>
      </c>
      <c r="CK10" s="80" t="str">
        <f>IF($V10="","",IF(COUNTIF(choice!$D:$D,CONCATENATE($V10,"@",CK$7))=0,"",VLOOKUP(CONCATENATE($V10,"@",CK$7),choice!$D:$E,2,0)))</f>
        <v/>
      </c>
      <c r="CL10" s="74" t="str">
        <f>IF($V10="","",IF(COUNTIF(choice!$D:$D,CONCATENATE($V10,"@",CL$7))=0,"",VLOOKUP(CONCATENATE($V10,"@",CL$7),choice!$D:$E,2,0)))</f>
        <v/>
      </c>
      <c r="CM10" s="74" t="str">
        <f>IF($V10="","",IF(COUNTIF(choice!$D:$D,CONCATENATE($V10,"@",CM$7))=0,"",VLOOKUP(CONCATENATE($V10,"@",CM$7),choice!$D:$E,2,0)))</f>
        <v/>
      </c>
      <c r="CN10" s="74" t="str">
        <f>IF($V10="","",IF(COUNTIF(choice!$D:$D,CONCATENATE($V10,"@",CN$7))=0,"",VLOOKUP(CONCATENATE($V10,"@",CN$7),choice!$D:$E,2,0)))</f>
        <v/>
      </c>
      <c r="CO10" s="74" t="str">
        <f>IF($V10="","",IF(COUNTIF(choice!$D:$D,CONCATENATE($V10,"@",CO$7))=0,"",VLOOKUP(CONCATENATE($V10,"@",CO$7),choice!$D:$E,2,0)))</f>
        <v/>
      </c>
      <c r="CP10" s="74" t="str">
        <f>IF($V10="","",IF(COUNTIF(choice!$D:$D,CONCATENATE($V10,"@",CP$7))=0,"",VLOOKUP(CONCATENATE($V10,"@",CP$7),choice!$D:$E,2,0)))</f>
        <v/>
      </c>
      <c r="CQ10" s="74" t="str">
        <f>IF($V10="","",IF(COUNTIF(choice!$D:$D,CONCATENATE($V10,"@",CQ$7))=0,"",VLOOKUP(CONCATENATE($V10,"@",CQ$7),choice!$D:$E,2,0)))</f>
        <v/>
      </c>
      <c r="CR10" s="74" t="str">
        <f>IF($V10="","",IF(COUNTIF(choice!$D:$D,CONCATENATE($V10,"@",CR$7))=0,"",VLOOKUP(CONCATENATE($V10,"@",CR$7),choice!$D:$E,2,0)))</f>
        <v/>
      </c>
      <c r="CS10" s="74" t="str">
        <f>IF($V10="","",IF(COUNTIF(choice!$D:$D,CONCATENATE($V10,"@",CS$7))=0,"",VLOOKUP(CONCATENATE($V10,"@",CS$7),choice!$D:$E,2,0)))</f>
        <v/>
      </c>
      <c r="CT10" s="74" t="str">
        <f>IF($V10="","",IF(COUNTIF(choice!$D:$D,CONCATENATE($V10,"@",CT$7))=0,"",VLOOKUP(CONCATENATE($V10,"@",CT$7),choice!$D:$E,2,0)))</f>
        <v/>
      </c>
      <c r="CU10" s="74" t="str">
        <f>IF($V10="","",IF(COUNTIF(choice!$D:$D,CONCATENATE($V10,"@",CU$7))=0,"",VLOOKUP(CONCATENATE($V10,"@",CU$7),choice!$D:$E,2,0)))</f>
        <v/>
      </c>
      <c r="CV10" s="74" t="str">
        <f>IF($V10="","",IF(COUNTIF(choice!$D:$D,CONCATENATE($V10,"@",CV$7))=0,"",VLOOKUP(CONCATENATE($V10,"@",CV$7),choice!$D:$E,2,0)))</f>
        <v/>
      </c>
      <c r="CW10" s="74" t="str">
        <f>IF($V10="","",IF(COUNTIF(choice!$D:$D,CONCATENATE($V10,"@",CW$7))=0,"",VLOOKUP(CONCATENATE($V10,"@",CW$7),choice!$D:$E,2,0)))</f>
        <v/>
      </c>
      <c r="CX10" s="74" t="str">
        <f>IF($V10="","",IF(COUNTIF(choice!$D:$D,CONCATENATE($V10,"@",CX$7))=0,"",VLOOKUP(CONCATENATE($V10,"@",CX$7),choice!$D:$E,2,0)))</f>
        <v/>
      </c>
      <c r="CY10" s="74" t="str">
        <f>IF($V10="","",IF(COUNTIF(choice!$D:$D,CONCATENATE($V10,"@",CY$7))=0,"",VLOOKUP(CONCATENATE($V10,"@",CY$7),choice!$D:$E,2,0)))</f>
        <v/>
      </c>
      <c r="CZ10" s="74" t="str">
        <f>IF($V10="","",IF(COUNTIF(choice!$D:$D,CONCATENATE($V10,"@",CZ$7))=0,"",VLOOKUP(CONCATENATE($V10,"@",CZ$7),choice!$D:$E,2,0)))</f>
        <v/>
      </c>
      <c r="DA10" s="74" t="str">
        <f>IF($V10="","",IF(COUNTIF(choice!$D:$D,CONCATENATE($V10,"@",DA$7))=0,"",VLOOKUP(CONCATENATE($V10,"@",DA$7),choice!$D:$E,2,0)))</f>
        <v/>
      </c>
      <c r="DB10" s="74" t="str">
        <f>IF($V10="","",IF(COUNTIF(choice!$D:$D,CONCATENATE($V10,"@",DB$7))=0,"",VLOOKUP(CONCATENATE($V10,"@",DB$7),choice!$D:$E,2,0)))</f>
        <v/>
      </c>
      <c r="DC10" s="74" t="str">
        <f>IF($V10="","",IF(COUNTIF(choice!$D:$D,CONCATENATE($V10,"@",DC$7))=0,"",VLOOKUP(CONCATENATE($V10,"@",DC$7),choice!$D:$E,2,0)))</f>
        <v/>
      </c>
      <c r="DD10" s="74" t="str">
        <f>IF($V10="","",IF(COUNTIF(choice!$D:$D,CONCATENATE($V10,"@",DD$7))=0,"",VLOOKUP(CONCATENATE($V10,"@",DD$7),choice!$D:$E,2,0)))</f>
        <v/>
      </c>
      <c r="DE10" s="74" t="str">
        <f>IF($V10="","",IF(COUNTIF(choice!$D:$D,CONCATENATE($V10,"@",DE$7))=0,"",VLOOKUP(CONCATENATE($V10,"@",DE$7),choice!$D:$E,2,0)))</f>
        <v/>
      </c>
      <c r="DF10" s="74" t="str">
        <f>IF($V10="","",IF(COUNTIF(choice!$D:$D,CONCATENATE($V10,"@",DF$7))=0,"",VLOOKUP(CONCATENATE($V10,"@",DF$7),choice!$D:$E,2,0)))</f>
        <v/>
      </c>
      <c r="DG10" s="74" t="str">
        <f>IF($V10="","",IF(COUNTIF(choice!$D:$D,CONCATENATE($V10,"@",DG$7))=0,"",VLOOKUP(CONCATENATE($V10,"@",DG$7),choice!$D:$E,2,0)))</f>
        <v/>
      </c>
      <c r="DH10" s="74" t="str">
        <f>IF($V10="","",IF(COUNTIF(choice!$D:$D,CONCATENATE($V10,"@",DH$7))=0,"",VLOOKUP(CONCATENATE($V10,"@",DH$7),choice!$D:$E,2,0)))</f>
        <v/>
      </c>
      <c r="DI10" s="74" t="str">
        <f>IF($V10="","",IF(COUNTIF(choice!$D:$D,CONCATENATE($V10,"@",DI$7))=0,"",VLOOKUP(CONCATENATE($V10,"@",DI$7),choice!$D:$E,2,0)))</f>
        <v/>
      </c>
      <c r="DJ10" s="74" t="str">
        <f>IF($V10="","",IF(COUNTIF(choice!$D:$D,CONCATENATE($V10,"@",DJ$7))=0,"",VLOOKUP(CONCATENATE($V10,"@",DJ$7),choice!$D:$E,2,0)))</f>
        <v/>
      </c>
      <c r="DK10" s="74" t="str">
        <f>IF($V10="","",IF(COUNTIF(choice!$D:$D,CONCATENATE($V10,"@",DK$7))=0,"",VLOOKUP(CONCATENATE($V10,"@",DK$7),choice!$D:$E,2,0)))</f>
        <v/>
      </c>
      <c r="DL10" s="74" t="str">
        <f>IF($V10="","",IF(COUNTIF(choice!$D:$D,CONCATENATE($V10,"@",DL$7))=0,"",VLOOKUP(CONCATENATE($V10,"@",DL$7),choice!$D:$E,2,0)))</f>
        <v/>
      </c>
      <c r="DM10" s="74" t="str">
        <f>IF($V10="","",IF(COUNTIF(choice!$D:$D,CONCATENATE($V10,"@",DM$7))=0,"",VLOOKUP(CONCATENATE($V10,"@",DM$7),choice!$D:$E,2,0)))</f>
        <v/>
      </c>
      <c r="DN10" s="74" t="str">
        <f>IF($V10="","",IF(COUNTIF(choice!$D:$D,CONCATENATE($V10,"@",DN$7))=0,"",VLOOKUP(CONCATENATE($V10,"@",DN$7),choice!$D:$E,2,0)))</f>
        <v/>
      </c>
      <c r="DO10" s="74" t="str">
        <f>IF($V10="","",IF(COUNTIF(choice!$D:$D,CONCATENATE($V10,"@",DO$7))=0,"",VLOOKUP(CONCATENATE($V10,"@",DO$7),choice!$D:$E,2,0)))</f>
        <v/>
      </c>
      <c r="DP10" s="74" t="str">
        <f>IF($V10="","",IF(COUNTIF(choice!$D:$D,CONCATENATE($V10,"@",DP$7))=0,"",VLOOKUP(CONCATENATE($V10,"@",DP$7),choice!$D:$E,2,0)))</f>
        <v/>
      </c>
      <c r="DQ10" s="74" t="str">
        <f>IF($V10="","",IF(COUNTIF(choice!$D:$D,CONCATENATE($V10,"@",DQ$7))=0,"",VLOOKUP(CONCATENATE($V10,"@",DQ$7),choice!$D:$E,2,0)))</f>
        <v/>
      </c>
      <c r="DR10" s="74" t="str">
        <f>IF($V10="","",IF(COUNTIF(choice!$D:$D,CONCATENATE($V10,"@",DR$7))=0,"",VLOOKUP(CONCATENATE($V10,"@",DR$7),choice!$D:$E,2,0)))</f>
        <v/>
      </c>
      <c r="DS10" s="74" t="str">
        <f>IF($V10="","",IF(COUNTIF(choice!$D:$D,CONCATENATE($V10,"@",DS$7))=0,"",VLOOKUP(CONCATENATE($V10,"@",DS$7),choice!$D:$E,2,0)))</f>
        <v/>
      </c>
      <c r="DT10" s="74" t="str">
        <f>IF($V10="","",IF(COUNTIF(choice!$D:$D,CONCATENATE($V10,"@",DT$7))=0,"",VLOOKUP(CONCATENATE($V10,"@",DT$7),choice!$D:$E,2,0)))</f>
        <v/>
      </c>
      <c r="DU10" s="74" t="str">
        <f>IF($V10="","",IF(COUNTIF(choice!$D:$D,CONCATENATE($V10,"@",DU$7))=0,"",VLOOKUP(CONCATENATE($V10,"@",DU$7),choice!$D:$E,2,0)))</f>
        <v/>
      </c>
      <c r="DV10" s="74" t="str">
        <f>IF($V10="","",IF(COUNTIF(choice!$D:$D,CONCATENATE($V10,"@",DV$7))=0,"",VLOOKUP(CONCATENATE($V10,"@",DV$7),choice!$D:$E,2,0)))</f>
        <v/>
      </c>
      <c r="DW10" s="74" t="str">
        <f>IF($V10="","",IF(COUNTIF(choice!$D:$D,CONCATENATE($V10,"@",DW$7))=0,"",VLOOKUP(CONCATENATE($V10,"@",DW$7),choice!$D:$E,2,0)))</f>
        <v/>
      </c>
      <c r="DX10" s="74" t="str">
        <f>IF($V10="","",IF(COUNTIF(choice!$D:$D,CONCATENATE($V10,"@",DX$7))=0,"",VLOOKUP(CONCATENATE($V10,"@",DX$7),choice!$D:$E,2,0)))</f>
        <v/>
      </c>
      <c r="DY10" s="74" t="str">
        <f>IF($V10="","",IF(COUNTIF(choice!$D:$D,CONCATENATE($V10,"@",DY$7))=0,"",VLOOKUP(CONCATENATE($V10,"@",DY$7),choice!$D:$E,2,0)))</f>
        <v/>
      </c>
      <c r="DZ10" s="74" t="str">
        <f>IF($V10="","",IF(COUNTIF(choice!$D:$D,CONCATENATE($V10,"@",DZ$7))=0,"",VLOOKUP(CONCATENATE($V10,"@",DZ$7),choice!$D:$E,2,0)))</f>
        <v/>
      </c>
      <c r="EA10" s="74" t="str">
        <f>IF($V10="","",IF(COUNTIF(choice!$D:$D,CONCATENATE($V10,"@",EA$7))=0,"",VLOOKUP(CONCATENATE($V10,"@",EA$7),choice!$D:$E,2,0)))</f>
        <v/>
      </c>
      <c r="EB10" s="74" t="str">
        <f>IF($V10="","",IF(COUNTIF(choice!$D:$D,CONCATENATE($V10,"@",EB$7))=0,"",VLOOKUP(CONCATENATE($V10,"@",EB$7),choice!$D:$E,2,0)))</f>
        <v/>
      </c>
      <c r="EC10" s="81" t="str">
        <f>IF($V10="","",IF(COUNTIF(choice!$D:$D,CONCATENATE($V10,"@",EC$7))=0,"",VLOOKUP(CONCATENATE($V10,"@",EC$7),choice!$D:$E,2,0)))</f>
        <v/>
      </c>
      <c r="ED10" s="80" t="str">
        <f>IF($W10="","",IF(COUNTIF(choice!$D:$D,CONCATENATE($W10,"@",ED$7))=0,"",VLOOKUP(CONCATENATE($W10,"@",ED$7),choice!$D:$E,2,0)))</f>
        <v/>
      </c>
      <c r="EE10" s="74" t="str">
        <f>IF($W10="","",IF(COUNTIF(choice!$D:$D,CONCATENATE($W10,"@",EE$7))=0,"",VLOOKUP(CONCATENATE($W10,"@",EE$7),choice!$D:$E,2,0)))</f>
        <v/>
      </c>
      <c r="EF10" s="74" t="str">
        <f>IF($W10="","",IF(COUNTIF(choice!$D:$D,CONCATENATE($W10,"@",EF$7))=0,"",VLOOKUP(CONCATENATE($W10,"@",EF$7),choice!$D:$E,2,0)))</f>
        <v/>
      </c>
      <c r="EG10" s="74" t="str">
        <f>IF($W10="","",IF(COUNTIF(choice!$D:$D,CONCATENATE($W10,"@",EG$7))=0,"",VLOOKUP(CONCATENATE($W10,"@",EG$7),choice!$D:$E,2,0)))</f>
        <v/>
      </c>
      <c r="EH10" s="74" t="str">
        <f>IF($W10="","",IF(COUNTIF(choice!$D:$D,CONCATENATE($W10,"@",EH$7))=0,"",VLOOKUP(CONCATENATE($W10,"@",EH$7),choice!$D:$E,2,0)))</f>
        <v/>
      </c>
      <c r="EI10" s="74" t="str">
        <f>IF($W10="","",IF(COUNTIF(choice!$D:$D,CONCATENATE($W10,"@",EI$7))=0,"",VLOOKUP(CONCATENATE($W10,"@",EI$7),choice!$D:$E,2,0)))</f>
        <v/>
      </c>
      <c r="EJ10" s="74" t="str">
        <f>IF($W10="","",IF(COUNTIF(choice!$D:$D,CONCATENATE($W10,"@",EJ$7))=0,"",VLOOKUP(CONCATENATE($W10,"@",EJ$7),choice!$D:$E,2,0)))</f>
        <v/>
      </c>
      <c r="EK10" s="74" t="str">
        <f>IF($W10="","",IF(COUNTIF(choice!$D:$D,CONCATENATE($W10,"@",EK$7))=0,"",VLOOKUP(CONCATENATE($W10,"@",EK$7),choice!$D:$E,2,0)))</f>
        <v/>
      </c>
      <c r="EL10" s="74" t="str">
        <f>IF($W10="","",IF(COUNTIF(choice!$D:$D,CONCATENATE($W10,"@",EL$7))=0,"",VLOOKUP(CONCATENATE($W10,"@",EL$7),choice!$D:$E,2,0)))</f>
        <v/>
      </c>
      <c r="EM10" s="74" t="str">
        <f>IF($W10="","",IF(COUNTIF(choice!$D:$D,CONCATENATE($W10,"@",EM$7))=0,"",VLOOKUP(CONCATENATE($W10,"@",EM$7),choice!$D:$E,2,0)))</f>
        <v/>
      </c>
      <c r="EN10" s="74" t="str">
        <f>IF($W10="","",IF(COUNTIF(choice!$D:$D,CONCATENATE($W10,"@",EN$7))=0,"",VLOOKUP(CONCATENATE($W10,"@",EN$7),choice!$D:$E,2,0)))</f>
        <v/>
      </c>
      <c r="EO10" s="74" t="str">
        <f>IF($W10="","",IF(COUNTIF(choice!$D:$D,CONCATENATE($W10,"@",EO$7))=0,"",VLOOKUP(CONCATENATE($W10,"@",EO$7),choice!$D:$E,2,0)))</f>
        <v/>
      </c>
      <c r="EP10" s="74" t="str">
        <f>IF($W10="","",IF(COUNTIF(choice!$D:$D,CONCATENATE($W10,"@",EP$7))=0,"",VLOOKUP(CONCATENATE($W10,"@",EP$7),choice!$D:$E,2,0)))</f>
        <v/>
      </c>
      <c r="EQ10" s="74" t="str">
        <f>IF($W10="","",IF(COUNTIF(choice!$D:$D,CONCATENATE($W10,"@",EQ$7))=0,"",VLOOKUP(CONCATENATE($W10,"@",EQ$7),choice!$D:$E,2,0)))</f>
        <v/>
      </c>
      <c r="ER10" s="74" t="str">
        <f>IF($W10="","",IF(COUNTIF(choice!$D:$D,CONCATENATE($W10,"@",ER$7))=0,"",VLOOKUP(CONCATENATE($W10,"@",ER$7),choice!$D:$E,2,0)))</f>
        <v/>
      </c>
      <c r="ES10" s="74" t="str">
        <f>IF($W10="","",IF(COUNTIF(choice!$D:$D,CONCATENATE($W10,"@",ES$7))=0,"",VLOOKUP(CONCATENATE($W10,"@",ES$7),choice!$D:$E,2,0)))</f>
        <v/>
      </c>
      <c r="ET10" s="74" t="str">
        <f>IF($W10="","",IF(COUNTIF(choice!$D:$D,CONCATENATE($W10,"@",ET$7))=0,"",VLOOKUP(CONCATENATE($W10,"@",ET$7),choice!$D:$E,2,0)))</f>
        <v/>
      </c>
      <c r="EU10" s="74" t="str">
        <f>IF($W10="","",IF(COUNTIF(choice!$D:$D,CONCATENATE($W10,"@",EU$7))=0,"",VLOOKUP(CONCATENATE($W10,"@",EU$7),choice!$D:$E,2,0)))</f>
        <v/>
      </c>
      <c r="EV10" s="74" t="str">
        <f>IF($W10="","",IF(COUNTIF(choice!$D:$D,CONCATENATE($W10,"@",EV$7))=0,"",VLOOKUP(CONCATENATE($W10,"@",EV$7),choice!$D:$E,2,0)))</f>
        <v/>
      </c>
      <c r="EW10" s="74" t="str">
        <f>IF($W10="","",IF(COUNTIF(choice!$D:$D,CONCATENATE($W10,"@",EW$7))=0,"",VLOOKUP(CONCATENATE($W10,"@",EW$7),choice!$D:$E,2,0)))</f>
        <v/>
      </c>
      <c r="EX10" s="74" t="str">
        <f>IF($W10="","",IF(COUNTIF(choice!$D:$D,CONCATENATE($W10,"@",EX$7))=0,"",VLOOKUP(CONCATENATE($W10,"@",EX$7),choice!$D:$E,2,0)))</f>
        <v/>
      </c>
      <c r="EY10" s="74" t="str">
        <f>IF($W10="","",IF(COUNTIF(choice!$D:$D,CONCATENATE($W10,"@",EY$7))=0,"",VLOOKUP(CONCATENATE($W10,"@",EY$7),choice!$D:$E,2,0)))</f>
        <v/>
      </c>
      <c r="EZ10" s="74" t="str">
        <f>IF($W10="","",IF(COUNTIF(choice!$D:$D,CONCATENATE($W10,"@",EZ$7))=0,"",VLOOKUP(CONCATENATE($W10,"@",EZ$7),choice!$D:$E,2,0)))</f>
        <v/>
      </c>
      <c r="FA10" s="74" t="str">
        <f>IF($W10="","",IF(COUNTIF(choice!$D:$D,CONCATENATE($W10,"@",FA$7))=0,"",VLOOKUP(CONCATENATE($W10,"@",FA$7),choice!$D:$E,2,0)))</f>
        <v/>
      </c>
      <c r="FB10" s="74" t="str">
        <f>IF($W10="","",IF(COUNTIF(choice!$D:$D,CONCATENATE($W10,"@",FB$7))=0,"",VLOOKUP(CONCATENATE($W10,"@",FB$7),choice!$D:$E,2,0)))</f>
        <v/>
      </c>
      <c r="FC10" s="74" t="str">
        <f>IF($W10="","",IF(COUNTIF(choice!$D:$D,CONCATENATE($W10,"@",FC$7))=0,"",VLOOKUP(CONCATENATE($W10,"@",FC$7),choice!$D:$E,2,0)))</f>
        <v/>
      </c>
      <c r="FD10" s="74" t="str">
        <f>IF($W10="","",IF(COUNTIF(choice!$D:$D,CONCATENATE($W10,"@",FD$7))=0,"",VLOOKUP(CONCATENATE($W10,"@",FD$7),choice!$D:$E,2,0)))</f>
        <v/>
      </c>
      <c r="FE10" s="74" t="str">
        <f>IF($W10="","",IF(COUNTIF(choice!$D:$D,CONCATENATE($W10,"@",FE$7))=0,"",VLOOKUP(CONCATENATE($W10,"@",FE$7),choice!$D:$E,2,0)))</f>
        <v/>
      </c>
      <c r="FF10" s="74" t="str">
        <f>IF($W10="","",IF(COUNTIF(choice!$D:$D,CONCATENATE($W10,"@",FF$7))=0,"",VLOOKUP(CONCATENATE($W10,"@",FF$7),choice!$D:$E,2,0)))</f>
        <v/>
      </c>
      <c r="FG10" s="74" t="str">
        <f>IF($W10="","",IF(COUNTIF(choice!$D:$D,CONCATENATE($W10,"@",FG$7))=0,"",VLOOKUP(CONCATENATE($W10,"@",FG$7),choice!$D:$E,2,0)))</f>
        <v/>
      </c>
      <c r="FH10" s="74" t="str">
        <f>IF($W10="","",IF(COUNTIF(choice!$D:$D,CONCATENATE($W10,"@",FH$7))=0,"",VLOOKUP(CONCATENATE($W10,"@",FH$7),choice!$D:$E,2,0)))</f>
        <v/>
      </c>
      <c r="FI10" s="74" t="str">
        <f>IF($W10="","",IF(COUNTIF(choice!$D:$D,CONCATENATE($W10,"@",FI$7))=0,"",VLOOKUP(CONCATENATE($W10,"@",FI$7),choice!$D:$E,2,0)))</f>
        <v/>
      </c>
      <c r="FJ10" s="74" t="str">
        <f>IF($W10="","",IF(COUNTIF(choice!$D:$D,CONCATENATE($W10,"@",FJ$7))=0,"",VLOOKUP(CONCATENATE($W10,"@",FJ$7),choice!$D:$E,2,0)))</f>
        <v/>
      </c>
      <c r="FK10" s="74" t="str">
        <f>IF($W10="","",IF(COUNTIF(choice!$D:$D,CONCATENATE($W10,"@",FK$7))=0,"",VLOOKUP(CONCATENATE($W10,"@",FK$7),choice!$D:$E,2,0)))</f>
        <v/>
      </c>
      <c r="FL10" s="74" t="str">
        <f>IF($W10="","",IF(COUNTIF(choice!$D:$D,CONCATENATE($W10,"@",FL$7))=0,"",VLOOKUP(CONCATENATE($W10,"@",FL$7),choice!$D:$E,2,0)))</f>
        <v/>
      </c>
      <c r="FM10" s="74" t="str">
        <f>IF($W10="","",IF(COUNTIF(choice!$D:$D,CONCATENATE($W10,"@",FM$7))=0,"",VLOOKUP(CONCATENATE($W10,"@",FM$7),choice!$D:$E,2,0)))</f>
        <v/>
      </c>
      <c r="FN10" s="74" t="str">
        <f>IF($W10="","",IF(COUNTIF(choice!$D:$D,CONCATENATE($W10,"@",FN$7))=0,"",VLOOKUP(CONCATENATE($W10,"@",FN$7),choice!$D:$E,2,0)))</f>
        <v/>
      </c>
      <c r="FO10" s="74" t="str">
        <f>IF($W10="","",IF(COUNTIF(choice!$D:$D,CONCATENATE($W10,"@",FO$7))=0,"",VLOOKUP(CONCATENATE($W10,"@",FO$7),choice!$D:$E,2,0)))</f>
        <v/>
      </c>
      <c r="FP10" s="74" t="str">
        <f>IF($W10="","",IF(COUNTIF(choice!$D:$D,CONCATENATE($W10,"@",FP$7))=0,"",VLOOKUP(CONCATENATE($W10,"@",FP$7),choice!$D:$E,2,0)))</f>
        <v/>
      </c>
      <c r="FQ10" s="74" t="str">
        <f>IF($W10="","",IF(COUNTIF(choice!$D:$D,CONCATENATE($W10,"@",FQ$7))=0,"",VLOOKUP(CONCATENATE($W10,"@",FQ$7),choice!$D:$E,2,0)))</f>
        <v/>
      </c>
      <c r="FR10" s="74" t="str">
        <f>IF($W10="","",IF(COUNTIF(choice!$D:$D,CONCATENATE($W10,"@",FR$7))=0,"",VLOOKUP(CONCATENATE($W10,"@",FR$7),choice!$D:$E,2,0)))</f>
        <v/>
      </c>
      <c r="FS10" s="74" t="str">
        <f>IF($W10="","",IF(COUNTIF(choice!$D:$D,CONCATENATE($W10,"@",FS$7))=0,"",VLOOKUP(CONCATENATE($W10,"@",FS$7),choice!$D:$E,2,0)))</f>
        <v/>
      </c>
      <c r="FT10" s="74" t="str">
        <f>IF($W10="","",IF(COUNTIF(choice!$D:$D,CONCATENATE($W10,"@",FT$7))=0,"",VLOOKUP(CONCATENATE($W10,"@",FT$7),choice!$D:$E,2,0)))</f>
        <v/>
      </c>
      <c r="FU10" s="74" t="str">
        <f>IF($W10="","",IF(COUNTIF(choice!$D:$D,CONCATENATE($W10,"@",FU$7))=0,"",VLOOKUP(CONCATENATE($W10,"@",FU$7),choice!$D:$E,2,0)))</f>
        <v/>
      </c>
      <c r="FV10" s="81" t="str">
        <f>IF($W10="","",IF(COUNTIF(choice!$D:$D,CONCATENATE($W10,"@",FV$7))=0,"",VLOOKUP(CONCATENATE($W10,"@",FV$7),choice!$D:$E,2,0)))</f>
        <v/>
      </c>
      <c r="FW10" s="80" t="str">
        <f>IF($X10="","",IF(COUNTIF(choice!$D:$D,CONCATENATE($X10,"@",FW$7))=0,"",VLOOKUP(CONCATENATE($X10,"@",FW$7),choice!$D:$E,2,0)))</f>
        <v/>
      </c>
      <c r="FX10" s="74" t="str">
        <f>IF($X10="","",IF(COUNTIF(choice!$D:$D,CONCATENATE($X10,"@",FX$7))=0,"",VLOOKUP(CONCATENATE($X10,"@",FX$7),choice!$D:$E,2,0)))</f>
        <v/>
      </c>
      <c r="FY10" s="74" t="str">
        <f>IF($X10="","",IF(COUNTIF(choice!$D:$D,CONCATENATE($X10,"@",FY$7))=0,"",VLOOKUP(CONCATENATE($X10,"@",FY$7),choice!$D:$E,2,0)))</f>
        <v/>
      </c>
      <c r="FZ10" s="74" t="str">
        <f>IF($X10="","",IF(COUNTIF(choice!$D:$D,CONCATENATE($X10,"@",FZ$7))=0,"",VLOOKUP(CONCATENATE($X10,"@",FZ$7),choice!$D:$E,2,0)))</f>
        <v/>
      </c>
      <c r="GA10" s="74" t="str">
        <f>IF($X10="","",IF(COUNTIF(choice!$D:$D,CONCATENATE($X10,"@",GA$7))=0,"",VLOOKUP(CONCATENATE($X10,"@",GA$7),choice!$D:$E,2,0)))</f>
        <v/>
      </c>
      <c r="GB10" s="74" t="str">
        <f>IF($X10="","",IF(COUNTIF(choice!$D:$D,CONCATENATE($X10,"@",GB$7))=0,"",VLOOKUP(CONCATENATE($X10,"@",GB$7),choice!$D:$E,2,0)))</f>
        <v/>
      </c>
      <c r="GC10" s="74" t="str">
        <f>IF($X10="","",IF(COUNTIF(choice!$D:$D,CONCATENATE($X10,"@",GC$7))=0,"",VLOOKUP(CONCATENATE($X10,"@",GC$7),choice!$D:$E,2,0)))</f>
        <v/>
      </c>
      <c r="GD10" s="74" t="str">
        <f>IF($X10="","",IF(COUNTIF(choice!$D:$D,CONCATENATE($X10,"@",GD$7))=0,"",VLOOKUP(CONCATENATE($X10,"@",GD$7),choice!$D:$E,2,0)))</f>
        <v/>
      </c>
      <c r="GE10" s="74" t="str">
        <f>IF($X10="","",IF(COUNTIF(choice!$D:$D,CONCATENATE($X10,"@",GE$7))=0,"",VLOOKUP(CONCATENATE($X10,"@",GE$7),choice!$D:$E,2,0)))</f>
        <v/>
      </c>
      <c r="GF10" s="74" t="str">
        <f>IF($X10="","",IF(COUNTIF(choice!$D:$D,CONCATENATE($X10,"@",GF$7))=0,"",VLOOKUP(CONCATENATE($X10,"@",GF$7),choice!$D:$E,2,0)))</f>
        <v/>
      </c>
      <c r="GG10" s="74" t="str">
        <f>IF($X10="","",IF(COUNTIF(choice!$D:$D,CONCATENATE($X10,"@",GG$7))=0,"",VLOOKUP(CONCATENATE($X10,"@",GG$7),choice!$D:$E,2,0)))</f>
        <v/>
      </c>
      <c r="GH10" s="74" t="str">
        <f>IF($X10="","",IF(COUNTIF(choice!$D:$D,CONCATENATE($X10,"@",GH$7))=0,"",VLOOKUP(CONCATENATE($X10,"@",GH$7),choice!$D:$E,2,0)))</f>
        <v/>
      </c>
      <c r="GI10" s="74" t="str">
        <f>IF($X10="","",IF(COUNTIF(choice!$D:$D,CONCATENATE($X10,"@",GI$7))=0,"",VLOOKUP(CONCATENATE($X10,"@",GI$7),choice!$D:$E,2,0)))</f>
        <v/>
      </c>
      <c r="GJ10" s="74" t="str">
        <f>IF($X10="","",IF(COUNTIF(choice!$D:$D,CONCATENATE($X10,"@",GJ$7))=0,"",VLOOKUP(CONCATENATE($X10,"@",GJ$7),choice!$D:$E,2,0)))</f>
        <v/>
      </c>
      <c r="GK10" s="74" t="str">
        <f>IF($X10="","",IF(COUNTIF(choice!$D:$D,CONCATENATE($X10,"@",GK$7))=0,"",VLOOKUP(CONCATENATE($X10,"@",GK$7),choice!$D:$E,2,0)))</f>
        <v/>
      </c>
      <c r="GL10" s="74" t="str">
        <f>IF($X10="","",IF(COUNTIF(choice!$D:$D,CONCATENATE($X10,"@",GL$7))=0,"",VLOOKUP(CONCATENATE($X10,"@",GL$7),choice!$D:$E,2,0)))</f>
        <v/>
      </c>
      <c r="GM10" s="74" t="str">
        <f>IF($X10="","",IF(COUNTIF(choice!$D:$D,CONCATENATE($X10,"@",GM$7))=0,"",VLOOKUP(CONCATENATE($X10,"@",GM$7),choice!$D:$E,2,0)))</f>
        <v/>
      </c>
      <c r="GN10" s="74" t="str">
        <f>IF($X10="","",IF(COUNTIF(choice!$D:$D,CONCATENATE($X10,"@",GN$7))=0,"",VLOOKUP(CONCATENATE($X10,"@",GN$7),choice!$D:$E,2,0)))</f>
        <v/>
      </c>
      <c r="GO10" s="74" t="str">
        <f>IF($X10="","",IF(COUNTIF(choice!$D:$D,CONCATENATE($X10,"@",GO$7))=0,"",VLOOKUP(CONCATENATE($X10,"@",GO$7),choice!$D:$E,2,0)))</f>
        <v/>
      </c>
      <c r="GP10" s="74" t="str">
        <f>IF($X10="","",IF(COUNTIF(choice!$D:$D,CONCATENATE($X10,"@",GP$7))=0,"",VLOOKUP(CONCATENATE($X10,"@",GP$7),choice!$D:$E,2,0)))</f>
        <v/>
      </c>
      <c r="GQ10" s="74" t="str">
        <f>IF($X10="","",IF(COUNTIF(choice!$D:$D,CONCATENATE($X10,"@",GQ$7))=0,"",VLOOKUP(CONCATENATE($X10,"@",GQ$7),choice!$D:$E,2,0)))</f>
        <v/>
      </c>
      <c r="GR10" s="74" t="str">
        <f>IF($X10="","",IF(COUNTIF(choice!$D:$D,CONCATENATE($X10,"@",GR$7))=0,"",VLOOKUP(CONCATENATE($X10,"@",GR$7),choice!$D:$E,2,0)))</f>
        <v/>
      </c>
      <c r="GS10" s="74" t="str">
        <f>IF($X10="","",IF(COUNTIF(choice!$D:$D,CONCATENATE($X10,"@",GS$7))=0,"",VLOOKUP(CONCATENATE($X10,"@",GS$7),choice!$D:$E,2,0)))</f>
        <v/>
      </c>
      <c r="GT10" s="74" t="str">
        <f>IF($X10="","",IF(COUNTIF(choice!$D:$D,CONCATENATE($X10,"@",GT$7))=0,"",VLOOKUP(CONCATENATE($X10,"@",GT$7),choice!$D:$E,2,0)))</f>
        <v/>
      </c>
      <c r="GU10" s="74" t="str">
        <f>IF($X10="","",IF(COUNTIF(choice!$D:$D,CONCATENATE($X10,"@",GU$7))=0,"",VLOOKUP(CONCATENATE($X10,"@",GU$7),choice!$D:$E,2,0)))</f>
        <v/>
      </c>
      <c r="GV10" s="74" t="str">
        <f>IF($X10="","",IF(COUNTIF(choice!$D:$D,CONCATENATE($X10,"@",GV$7))=0,"",VLOOKUP(CONCATENATE($X10,"@",GV$7),choice!$D:$E,2,0)))</f>
        <v/>
      </c>
      <c r="GW10" s="74" t="str">
        <f>IF($X10="","",IF(COUNTIF(choice!$D:$D,CONCATENATE($X10,"@",GW$7))=0,"",VLOOKUP(CONCATENATE($X10,"@",GW$7),choice!$D:$E,2,0)))</f>
        <v/>
      </c>
      <c r="GX10" s="74" t="str">
        <f>IF($X10="","",IF(COUNTIF(choice!$D:$D,CONCATENATE($X10,"@",GX$7))=0,"",VLOOKUP(CONCATENATE($X10,"@",GX$7),choice!$D:$E,2,0)))</f>
        <v/>
      </c>
      <c r="GY10" s="74" t="str">
        <f>IF($X10="","",IF(COUNTIF(choice!$D:$D,CONCATENATE($X10,"@",GY$7))=0,"",VLOOKUP(CONCATENATE($X10,"@",GY$7),choice!$D:$E,2,0)))</f>
        <v/>
      </c>
      <c r="GZ10" s="74" t="str">
        <f>IF($X10="","",IF(COUNTIF(choice!$D:$D,CONCATENATE($X10,"@",GZ$7))=0,"",VLOOKUP(CONCATENATE($X10,"@",GZ$7),choice!$D:$E,2,0)))</f>
        <v/>
      </c>
      <c r="HA10" s="74" t="str">
        <f>IF($X10="","",IF(COUNTIF(choice!$D:$D,CONCATENATE($X10,"@",HA$7))=0,"",VLOOKUP(CONCATENATE($X10,"@",HA$7),choice!$D:$E,2,0)))</f>
        <v/>
      </c>
      <c r="HB10" s="74" t="str">
        <f>IF($X10="","",IF(COUNTIF(choice!$D:$D,CONCATENATE($X10,"@",HB$7))=0,"",VLOOKUP(CONCATENATE($X10,"@",HB$7),choice!$D:$E,2,0)))</f>
        <v/>
      </c>
      <c r="HC10" s="74" t="str">
        <f>IF($X10="","",IF(COUNTIF(choice!$D:$D,CONCATENATE($X10,"@",HC$7))=0,"",VLOOKUP(CONCATENATE($X10,"@",HC$7),choice!$D:$E,2,0)))</f>
        <v/>
      </c>
      <c r="HD10" s="74" t="str">
        <f>IF($X10="","",IF(COUNTIF(choice!$D:$D,CONCATENATE($X10,"@",HD$7))=0,"",VLOOKUP(CONCATENATE($X10,"@",HD$7),choice!$D:$E,2,0)))</f>
        <v/>
      </c>
      <c r="HE10" s="74" t="str">
        <f>IF($X10="","",IF(COUNTIF(choice!$D:$D,CONCATENATE($X10,"@",HE$7))=0,"",VLOOKUP(CONCATENATE($X10,"@",HE$7),choice!$D:$E,2,0)))</f>
        <v/>
      </c>
      <c r="HF10" s="74" t="str">
        <f>IF($X10="","",IF(COUNTIF(choice!$D:$D,CONCATENATE($X10,"@",HF$7))=0,"",VLOOKUP(CONCATENATE($X10,"@",HF$7),choice!$D:$E,2,0)))</f>
        <v/>
      </c>
      <c r="HG10" s="74" t="str">
        <f>IF($X10="","",IF(COUNTIF(choice!$D:$D,CONCATENATE($X10,"@",HG$7))=0,"",VLOOKUP(CONCATENATE($X10,"@",HG$7),choice!$D:$E,2,0)))</f>
        <v/>
      </c>
      <c r="HH10" s="74" t="str">
        <f>IF($X10="","",IF(COUNTIF(choice!$D:$D,CONCATENATE($X10,"@",HH$7))=0,"",VLOOKUP(CONCATENATE($X10,"@",HH$7),choice!$D:$E,2,0)))</f>
        <v/>
      </c>
      <c r="HI10" s="74" t="str">
        <f>IF($X10="","",IF(COUNTIF(choice!$D:$D,CONCATENATE($X10,"@",HI$7))=0,"",VLOOKUP(CONCATENATE($X10,"@",HI$7),choice!$D:$E,2,0)))</f>
        <v/>
      </c>
      <c r="HJ10" s="74" t="str">
        <f>IF($X10="","",IF(COUNTIF(choice!$D:$D,CONCATENATE($X10,"@",HJ$7))=0,"",VLOOKUP(CONCATENATE($X10,"@",HJ$7),choice!$D:$E,2,0)))</f>
        <v/>
      </c>
      <c r="HK10" s="74" t="str">
        <f>IF($X10="","",IF(COUNTIF(choice!$D:$D,CONCATENATE($X10,"@",HK$7))=0,"",VLOOKUP(CONCATENATE($X10,"@",HK$7),choice!$D:$E,2,0)))</f>
        <v/>
      </c>
      <c r="HL10" s="74" t="str">
        <f>IF($X10="","",IF(COUNTIF(choice!$D:$D,CONCATENATE($X10,"@",HL$7))=0,"",VLOOKUP(CONCATENATE($X10,"@",HL$7),choice!$D:$E,2,0)))</f>
        <v/>
      </c>
      <c r="HM10" s="74" t="str">
        <f>IF($X10="","",IF(COUNTIF(choice!$D:$D,CONCATENATE($X10,"@",HM$7))=0,"",VLOOKUP(CONCATENATE($X10,"@",HM$7),choice!$D:$E,2,0)))</f>
        <v/>
      </c>
      <c r="HN10" s="74" t="str">
        <f>IF($X10="","",IF(COUNTIF(choice!$D:$D,CONCATENATE($X10,"@",HN$7))=0,"",VLOOKUP(CONCATENATE($X10,"@",HN$7),choice!$D:$E,2,0)))</f>
        <v/>
      </c>
      <c r="HO10" s="81" t="str">
        <f>IF($X10="","",IF(COUNTIF(choice!$D:$D,CONCATENATE($X10,"@",HO$7))=0,"",VLOOKUP(CONCATENATE($X10,"@",HO$7),choice!$D:$E,2,0)))</f>
        <v/>
      </c>
      <c r="HP10" s="20" t="s">
        <v>56</v>
      </c>
      <c r="HQ10" s="20" t="s">
        <v>57</v>
      </c>
      <c r="HU10" s="74" t="s">
        <v>99</v>
      </c>
      <c r="HV10" s="74">
        <f t="shared" si="12"/>
        <v>0</v>
      </c>
      <c r="HW10" s="74">
        <f t="shared" si="13"/>
        <v>0</v>
      </c>
      <c r="HX10" s="74">
        <f t="shared" si="14"/>
        <v>0</v>
      </c>
      <c r="HY10" s="74">
        <f t="shared" si="15"/>
        <v>0</v>
      </c>
      <c r="HZ10" s="74">
        <f t="shared" ref="HZ10:IA21" si="21">HV10-HX10+HZ9</f>
        <v>0</v>
      </c>
      <c r="IA10" s="74">
        <f t="shared" si="21"/>
        <v>0</v>
      </c>
      <c r="IB10" s="74" t="str">
        <f t="shared" ref="IB10:IB20" si="22">IF(COUNTIF(AQ10,"*02*")=0,IF(COUNTIF(AQ10,"*04*")=0,IF(RIGHT(I10,4)="E AV",IF(HZ9=0,"","SPAD"),IF(RIGHT(I10,4)="E DT",IF(IA9=0,"","SPAD"),"")),""),"")</f>
        <v/>
      </c>
      <c r="IC10" s="74" t="str">
        <f t="shared" ref="IC10:IC20" si="23">IF(D10="","",IF(COUNTIFS(D10,"*'")++COUNTIFS(D10,"*""")=0,D10,IC9))</f>
        <v/>
      </c>
      <c r="ID10" s="74" t="str">
        <f t="shared" si="16"/>
        <v/>
      </c>
      <c r="IE10" s="74">
        <f t="shared" si="17"/>
        <v>29</v>
      </c>
      <c r="IF10" s="74">
        <f>COUNTIFS(ID$8:ID10,"BLUE")</f>
        <v>0</v>
      </c>
      <c r="IG10" s="74" t="str">
        <f t="shared" si="18"/>
        <v/>
      </c>
      <c r="IH10" s="74" t="str">
        <f>IF(COUNTIFS($AQ10,"*02*")=0,"",COUNTIFS(IJ$8:IJ10,"BLUE"))</f>
        <v/>
      </c>
      <c r="II10" s="74" t="str">
        <f>IF(COUNTIFS($AQ10,"*04*")=0,"",COUNTIFS(IK$8:IK10,"BLUE"))</f>
        <v/>
      </c>
      <c r="IJ10" s="74" t="str">
        <f t="shared" ref="IJ10:IJ20" si="24">IF(COUNTIFS(AQ10,"*02*")&gt;0,IF(RIGHT(I10,4)="E AV",IF(HZ9=0,"","BLUE"),IF(RIGHT(I10,4)="E DT",IF(IA9=0,"","BLUE"),"")),"")</f>
        <v/>
      </c>
      <c r="IK10" s="74" t="str">
        <f t="shared" ref="IK10:IK20" si="25">IF(COUNTIFS(AQ10,"*04*")&gt;0,IF(RIGHT(I10,4)="E AV",IF(HZ9=0,"","BLUE"),IF(RIGHT(I10,4)="E DT",IF(IA9=0,"","BLUE"),"")),"")</f>
        <v/>
      </c>
      <c r="IL10" s="74" t="str">
        <f t="shared" si="19"/>
        <v/>
      </c>
      <c r="IM10" s="74" t="str">
        <f t="shared" si="20"/>
        <v/>
      </c>
      <c r="IN10" s="74">
        <f>COUNTIFS(IJ$8:IJ10,"BLUE")</f>
        <v>0</v>
      </c>
      <c r="IO10" s="74">
        <f>COUNTIFS(IK$8:IK10,"BLUE")</f>
        <v>0</v>
      </c>
    </row>
    <row r="11" spans="1:249" s="20" customFormat="1" ht="24.9" customHeight="1">
      <c r="A11" s="33"/>
      <c r="B11" s="30">
        <v>30</v>
      </c>
      <c r="C11" s="150"/>
      <c r="D11" s="174"/>
      <c r="E11" s="88" t="e">
        <f>VLOOKUP(F11,'Radio Call Sign'!A:B,2)</f>
        <v>#N/A</v>
      </c>
      <c r="F11" s="88"/>
      <c r="G11" s="88" t="e">
        <f>VLOOKUP(H11,'Radio Call Sign'!A:B,2)</f>
        <v>#N/A</v>
      </c>
      <c r="H11" s="89"/>
      <c r="I11" s="89" t="str">
        <f t="shared" si="4"/>
        <v/>
      </c>
      <c r="J11" s="90" t="str">
        <f t="shared" si="9"/>
        <v/>
      </c>
      <c r="K11" s="86" t="str">
        <f t="shared" si="10"/>
        <v/>
      </c>
      <c r="L11" s="151"/>
      <c r="M11" s="190" t="str">
        <f t="shared" si="11"/>
        <v/>
      </c>
      <c r="N11" s="21"/>
      <c r="O11" s="21"/>
      <c r="P11" s="53"/>
      <c r="Q11" s="163" t="str">
        <f>IF(AA11="","",IF(COUNTIFS('overhead line area'!$D$3:$D$100,AA11)+COUNTIFS('overhead line area'!$D$3:$D$100,AB11)+COUNTIFS('overhead line area'!$D$3:$D$100,AC11)+COUNTIFS('overhead line area'!$D$3:$D$100,AD11)=0,"","*               "))</f>
        <v/>
      </c>
      <c r="R11" s="53"/>
      <c r="S11" s="24"/>
      <c r="U11" s="74"/>
      <c r="V11" s="74"/>
      <c r="W11" s="74"/>
      <c r="X11" s="74"/>
      <c r="Y11" s="74"/>
      <c r="AA11" s="74" t="str">
        <f t="shared" si="5"/>
        <v/>
      </c>
      <c r="AB11" s="74" t="str">
        <f t="shared" si="6"/>
        <v/>
      </c>
      <c r="AC11" s="74" t="str">
        <f t="shared" si="6"/>
        <v/>
      </c>
      <c r="AD11" s="74" t="str">
        <f t="shared" si="6"/>
        <v/>
      </c>
      <c r="AF11" s="74" t="str">
        <f>IF(AA11="","",IF(COUNTIF(Route!$AM:$AM,'Add-on Train Movement Log'!AA11)=0,"未有資料",VLOOKUP('Add-on Train Movement Log'!AA11,Route!$AM:$AP,3,0)))</f>
        <v/>
      </c>
      <c r="AG11" s="74" t="str">
        <f>IF(AB11="","",IF(COUNTIF(Route!$AM:$AM,'Add-on Train Movement Log'!AB11)=0,"未有資料",VLOOKUP('Add-on Train Movement Log'!AB11,Route!$AM:$AP,3,0)))</f>
        <v/>
      </c>
      <c r="AH11" s="74" t="str">
        <f>IF(AC11="","",IF(COUNTIF(Route!$AM:$AM,'Add-on Train Movement Log'!AC11)=0,"未有資料",VLOOKUP('Add-on Train Movement Log'!AC11,Route!$AM:$AP,3,0)))</f>
        <v/>
      </c>
      <c r="AI11" s="74" t="str">
        <f>IF(AD11="","",IF(COUNTIF(Route!$AM:$AM,'Add-on Train Movement Log'!AD11)=0,"未有資料",VLOOKUP('Add-on Train Movement Log'!AD11,Route!$AM:$AP,3,0)))</f>
        <v/>
      </c>
      <c r="AK11" s="74" t="str">
        <f>IF(AA11="","",IF(COUNTIF(Route!$AM:$AM,'Add-on Train Movement Log'!AA11)=0,"未有資料",VLOOKUP('Add-on Train Movement Log'!AA11,Route!$AM:$AP,4,0)))</f>
        <v/>
      </c>
      <c r="AL11" s="74" t="str">
        <f>IF(AB11="","",IF(COUNTIF(Route!$AM:$AM,'Add-on Train Movement Log'!AB11)=0,"未有資料",VLOOKUP('Add-on Train Movement Log'!AB11,Route!$AM:$AP,4,0)))</f>
        <v/>
      </c>
      <c r="AM11" s="74" t="str">
        <f>IF(AC11="","",IF(COUNTIF(Route!$AM:$AM,'Add-on Train Movement Log'!AC11)=0,"未有資料",VLOOKUP('Add-on Train Movement Log'!AC11,Route!$AM:$AP,4,0)))</f>
        <v/>
      </c>
      <c r="AN11" s="74" t="str">
        <f>IF(AD11="","",IF(COUNTIF(Route!$AM:$AM,'Add-on Train Movement Log'!AD11)=0,"未有資料",VLOOKUP('Add-on Train Movement Log'!AD11,Route!$AM:$AP,4,0)))</f>
        <v/>
      </c>
      <c r="AP11" s="74" t="str">
        <f t="shared" si="7"/>
        <v/>
      </c>
      <c r="AQ11" s="76" t="str">
        <f t="shared" si="8"/>
        <v/>
      </c>
      <c r="AR11" s="80" t="str">
        <f>IF($U11="","",IF(COUNTIF(choice!$D:$D,CONCATENATE($U11,"@",AR$7))=0,"",VLOOKUP(CONCATENATE($U11,"@",AR$7),choice!$D:$E,2,0)))</f>
        <v/>
      </c>
      <c r="AS11" s="74" t="str">
        <f>IF($U11="","",IF(COUNTIF(choice!$D:$D,CONCATENATE($U11,"@",AS$7))=0,"",VLOOKUP(CONCATENATE($U11,"@",AS$7),choice!$D:$E,2,0)))</f>
        <v/>
      </c>
      <c r="AT11" s="74" t="str">
        <f>IF($U11="","",IF(COUNTIF(choice!$D:$D,CONCATENATE($U11,"@",AT$7))=0,"",VLOOKUP(CONCATENATE($U11,"@",AT$7),choice!$D:$E,2,0)))</f>
        <v/>
      </c>
      <c r="AU11" s="74" t="str">
        <f>IF($U11="","",IF(COUNTIF(choice!$D:$D,CONCATENATE($U11,"@",AU$7))=0,"",VLOOKUP(CONCATENATE($U11,"@",AU$7),choice!$D:$E,2,0)))</f>
        <v/>
      </c>
      <c r="AV11" s="74" t="str">
        <f>IF($U11="","",IF(COUNTIF(choice!$D:$D,CONCATENATE($U11,"@",AV$7))=0,"",VLOOKUP(CONCATENATE($U11,"@",AV$7),choice!$D:$E,2,0)))</f>
        <v/>
      </c>
      <c r="AW11" s="74" t="str">
        <f>IF($U11="","",IF(COUNTIF(choice!$D:$D,CONCATENATE($U11,"@",AW$7))=0,"",VLOOKUP(CONCATENATE($U11,"@",AW$7),choice!$D:$E,2,0)))</f>
        <v/>
      </c>
      <c r="AX11" s="74" t="str">
        <f>IF($U11="","",IF(COUNTIF(choice!$D:$D,CONCATENATE($U11,"@",AX$7))=0,"",VLOOKUP(CONCATENATE($U11,"@",AX$7),choice!$D:$E,2,0)))</f>
        <v/>
      </c>
      <c r="AY11" s="74" t="str">
        <f>IF($U11="","",IF(COUNTIF(choice!$D:$D,CONCATENATE($U11,"@",AY$7))=0,"",VLOOKUP(CONCATENATE($U11,"@",AY$7),choice!$D:$E,2,0)))</f>
        <v/>
      </c>
      <c r="AZ11" s="74" t="str">
        <f>IF($U11="","",IF(COUNTIF(choice!$D:$D,CONCATENATE($U11,"@",AZ$7))=0,"",VLOOKUP(CONCATENATE($U11,"@",AZ$7),choice!$D:$E,2,0)))</f>
        <v/>
      </c>
      <c r="BA11" s="74" t="str">
        <f>IF($U11="","",IF(COUNTIF(choice!$D:$D,CONCATENATE($U11,"@",BA$7))=0,"",VLOOKUP(CONCATENATE($U11,"@",BA$7),choice!$D:$E,2,0)))</f>
        <v/>
      </c>
      <c r="BB11" s="74" t="str">
        <f>IF($U11="","",IF(COUNTIF(choice!$D:$D,CONCATENATE($U11,"@",BB$7))=0,"",VLOOKUP(CONCATENATE($U11,"@",BB$7),choice!$D:$E,2,0)))</f>
        <v/>
      </c>
      <c r="BC11" s="74" t="str">
        <f>IF($U11="","",IF(COUNTIF(choice!$D:$D,CONCATENATE($U11,"@",BC$7))=0,"",VLOOKUP(CONCATENATE($U11,"@",BC$7),choice!$D:$E,2,0)))</f>
        <v/>
      </c>
      <c r="BD11" s="74" t="str">
        <f>IF($U11="","",IF(COUNTIF(choice!$D:$D,CONCATENATE($U11,"@",BD$7))=0,"",VLOOKUP(CONCATENATE($U11,"@",BD$7),choice!$D:$E,2,0)))</f>
        <v/>
      </c>
      <c r="BE11" s="74" t="str">
        <f>IF($U11="","",IF(COUNTIF(choice!$D:$D,CONCATENATE($U11,"@",BE$7))=0,"",VLOOKUP(CONCATENATE($U11,"@",BE$7),choice!$D:$E,2,0)))</f>
        <v/>
      </c>
      <c r="BF11" s="74" t="str">
        <f>IF($U11="","",IF(COUNTIF(choice!$D:$D,CONCATENATE($U11,"@",BF$7))=0,"",VLOOKUP(CONCATENATE($U11,"@",BF$7),choice!$D:$E,2,0)))</f>
        <v/>
      </c>
      <c r="BG11" s="74" t="str">
        <f>IF($U11="","",IF(COUNTIF(choice!$D:$D,CONCATENATE($U11,"@",BG$7))=0,"",VLOOKUP(CONCATENATE($U11,"@",BG$7),choice!$D:$E,2,0)))</f>
        <v/>
      </c>
      <c r="BH11" s="74" t="str">
        <f>IF($U11="","",IF(COUNTIF(choice!$D:$D,CONCATENATE($U11,"@",BH$7))=0,"",VLOOKUP(CONCATENATE($U11,"@",BH$7),choice!$D:$E,2,0)))</f>
        <v/>
      </c>
      <c r="BI11" s="74" t="str">
        <f>IF($U11="","",IF(COUNTIF(choice!$D:$D,CONCATENATE($U11,"@",BI$7))=0,"",VLOOKUP(CONCATENATE($U11,"@",BI$7),choice!$D:$E,2,0)))</f>
        <v/>
      </c>
      <c r="BJ11" s="74" t="str">
        <f>IF($U11="","",IF(COUNTIF(choice!$D:$D,CONCATENATE($U11,"@",BJ$7))=0,"",VLOOKUP(CONCATENATE($U11,"@",BJ$7),choice!$D:$E,2,0)))</f>
        <v/>
      </c>
      <c r="BK11" s="74" t="str">
        <f>IF($U11="","",IF(COUNTIF(choice!$D:$D,CONCATENATE($U11,"@",BK$7))=0,"",VLOOKUP(CONCATENATE($U11,"@",BK$7),choice!$D:$E,2,0)))</f>
        <v/>
      </c>
      <c r="BL11" s="74" t="str">
        <f>IF($U11="","",IF(COUNTIF(choice!$D:$D,CONCATENATE($U11,"@",BL$7))=0,"",VLOOKUP(CONCATENATE($U11,"@",BL$7),choice!$D:$E,2,0)))</f>
        <v/>
      </c>
      <c r="BM11" s="74" t="str">
        <f>IF($U11="","",IF(COUNTIF(choice!$D:$D,CONCATENATE($U11,"@",BM$7))=0,"",VLOOKUP(CONCATENATE($U11,"@",BM$7),choice!$D:$E,2,0)))</f>
        <v/>
      </c>
      <c r="BN11" s="74" t="str">
        <f>IF($U11="","",IF(COUNTIF(choice!$D:$D,CONCATENATE($U11,"@",BN$7))=0,"",VLOOKUP(CONCATENATE($U11,"@",BN$7),choice!$D:$E,2,0)))</f>
        <v/>
      </c>
      <c r="BO11" s="74" t="str">
        <f>IF($U11="","",IF(COUNTIF(choice!$D:$D,CONCATENATE($U11,"@",BO$7))=0,"",VLOOKUP(CONCATENATE($U11,"@",BO$7),choice!$D:$E,2,0)))</f>
        <v/>
      </c>
      <c r="BP11" s="74" t="str">
        <f>IF($U11="","",IF(COUNTIF(choice!$D:$D,CONCATENATE($U11,"@",BP$7))=0,"",VLOOKUP(CONCATENATE($U11,"@",BP$7),choice!$D:$E,2,0)))</f>
        <v/>
      </c>
      <c r="BQ11" s="74" t="str">
        <f>IF($U11="","",IF(COUNTIF(choice!$D:$D,CONCATENATE($U11,"@",BQ$7))=0,"",VLOOKUP(CONCATENATE($U11,"@",BQ$7),choice!$D:$E,2,0)))</f>
        <v/>
      </c>
      <c r="BR11" s="74" t="str">
        <f>IF($U11="","",IF(COUNTIF(choice!$D:$D,CONCATENATE($U11,"@",BR$7))=0,"",VLOOKUP(CONCATENATE($U11,"@",BR$7),choice!$D:$E,2,0)))</f>
        <v/>
      </c>
      <c r="BS11" s="74" t="str">
        <f>IF($U11="","",IF(COUNTIF(choice!$D:$D,CONCATENATE($U11,"@",BS$7))=0,"",VLOOKUP(CONCATENATE($U11,"@",BS$7),choice!$D:$E,2,0)))</f>
        <v/>
      </c>
      <c r="BT11" s="74" t="str">
        <f>IF($U11="","",IF(COUNTIF(choice!$D:$D,CONCATENATE($U11,"@",BT$7))=0,"",VLOOKUP(CONCATENATE($U11,"@",BT$7),choice!$D:$E,2,0)))</f>
        <v/>
      </c>
      <c r="BU11" s="74" t="str">
        <f>IF($U11="","",IF(COUNTIF(choice!$D:$D,CONCATENATE($U11,"@",BU$7))=0,"",VLOOKUP(CONCATENATE($U11,"@",BU$7),choice!$D:$E,2,0)))</f>
        <v/>
      </c>
      <c r="BV11" s="74" t="str">
        <f>IF($U11="","",IF(COUNTIF(choice!$D:$D,CONCATENATE($U11,"@",BV$7))=0,"",VLOOKUP(CONCATENATE($U11,"@",BV$7),choice!$D:$E,2,0)))</f>
        <v/>
      </c>
      <c r="BW11" s="74" t="str">
        <f>IF($U11="","",IF(COUNTIF(choice!$D:$D,CONCATENATE($U11,"@",BW$7))=0,"",VLOOKUP(CONCATENATE($U11,"@",BW$7),choice!$D:$E,2,0)))</f>
        <v/>
      </c>
      <c r="BX11" s="74" t="str">
        <f>IF($U11="","",IF(COUNTIF(choice!$D:$D,CONCATENATE($U11,"@",BX$7))=0,"",VLOOKUP(CONCATENATE($U11,"@",BX$7),choice!$D:$E,2,0)))</f>
        <v/>
      </c>
      <c r="BY11" s="74" t="str">
        <f>IF($U11="","",IF(COUNTIF(choice!$D:$D,CONCATENATE($U11,"@",BY$7))=0,"",VLOOKUP(CONCATENATE($U11,"@",BY$7),choice!$D:$E,2,0)))</f>
        <v/>
      </c>
      <c r="BZ11" s="74" t="str">
        <f>IF($U11="","",IF(COUNTIF(choice!$D:$D,CONCATENATE($U11,"@",BZ$7))=0,"",VLOOKUP(CONCATENATE($U11,"@",BZ$7),choice!$D:$E,2,0)))</f>
        <v/>
      </c>
      <c r="CA11" s="74" t="str">
        <f>IF($U11="","",IF(COUNTIF(choice!$D:$D,CONCATENATE($U11,"@",CA$7))=0,"",VLOOKUP(CONCATENATE($U11,"@",CA$7),choice!$D:$E,2,0)))</f>
        <v/>
      </c>
      <c r="CB11" s="74" t="str">
        <f>IF($U11="","",IF(COUNTIF(choice!$D:$D,CONCATENATE($U11,"@",CB$7))=0,"",VLOOKUP(CONCATENATE($U11,"@",CB$7),choice!$D:$E,2,0)))</f>
        <v/>
      </c>
      <c r="CC11" s="74" t="str">
        <f>IF($U11="","",IF(COUNTIF(choice!$D:$D,CONCATENATE($U11,"@",CC$7))=0,"",VLOOKUP(CONCATENATE($U11,"@",CC$7),choice!$D:$E,2,0)))</f>
        <v/>
      </c>
      <c r="CD11" s="74" t="str">
        <f>IF($U11="","",IF(COUNTIF(choice!$D:$D,CONCATENATE($U11,"@",CD$7))=0,"",VLOOKUP(CONCATENATE($U11,"@",CD$7),choice!$D:$E,2,0)))</f>
        <v/>
      </c>
      <c r="CE11" s="74" t="str">
        <f>IF($U11="","",IF(COUNTIF(choice!$D:$D,CONCATENATE($U11,"@",CE$7))=0,"",VLOOKUP(CONCATENATE($U11,"@",CE$7),choice!$D:$E,2,0)))</f>
        <v/>
      </c>
      <c r="CF11" s="74" t="str">
        <f>IF($U11="","",IF(COUNTIF(choice!$D:$D,CONCATENATE($U11,"@",CF$7))=0,"",VLOOKUP(CONCATENATE($U11,"@",CF$7),choice!$D:$E,2,0)))</f>
        <v/>
      </c>
      <c r="CG11" s="74" t="str">
        <f>IF($U11="","",IF(COUNTIF(choice!$D:$D,CONCATENATE($U11,"@",CG$7))=0,"",VLOOKUP(CONCATENATE($U11,"@",CG$7),choice!$D:$E,2,0)))</f>
        <v/>
      </c>
      <c r="CH11" s="74" t="str">
        <f>IF($U11="","",IF(COUNTIF(choice!$D:$D,CONCATENATE($U11,"@",CH$7))=0,"",VLOOKUP(CONCATENATE($U11,"@",CH$7),choice!$D:$E,2,0)))</f>
        <v/>
      </c>
      <c r="CI11" s="74" t="str">
        <f>IF($U11="","",IF(COUNTIF(choice!$D:$D,CONCATENATE($U11,"@",CI$7))=0,"",VLOOKUP(CONCATENATE($U11,"@",CI$7),choice!$D:$E,2,0)))</f>
        <v/>
      </c>
      <c r="CJ11" s="81" t="str">
        <f>IF($U11="","",IF(COUNTIF(choice!$D:$D,CONCATENATE($U11,"@",CJ$7))=0,"",VLOOKUP(CONCATENATE($U11,"@",CJ$7),choice!$D:$E,2,0)))</f>
        <v/>
      </c>
      <c r="CK11" s="80" t="str">
        <f>IF($V11="","",IF(COUNTIF(choice!$D:$D,CONCATENATE($V11,"@",CK$7))=0,"",VLOOKUP(CONCATENATE($V11,"@",CK$7),choice!$D:$E,2,0)))</f>
        <v/>
      </c>
      <c r="CL11" s="74" t="str">
        <f>IF($V11="","",IF(COUNTIF(choice!$D:$D,CONCATENATE($V11,"@",CL$7))=0,"",VLOOKUP(CONCATENATE($V11,"@",CL$7),choice!$D:$E,2,0)))</f>
        <v/>
      </c>
      <c r="CM11" s="74" t="str">
        <f>IF($V11="","",IF(COUNTIF(choice!$D:$D,CONCATENATE($V11,"@",CM$7))=0,"",VLOOKUP(CONCATENATE($V11,"@",CM$7),choice!$D:$E,2,0)))</f>
        <v/>
      </c>
      <c r="CN11" s="74" t="str">
        <f>IF($V11="","",IF(COUNTIF(choice!$D:$D,CONCATENATE($V11,"@",CN$7))=0,"",VLOOKUP(CONCATENATE($V11,"@",CN$7),choice!$D:$E,2,0)))</f>
        <v/>
      </c>
      <c r="CO11" s="74" t="str">
        <f>IF($V11="","",IF(COUNTIF(choice!$D:$D,CONCATENATE($V11,"@",CO$7))=0,"",VLOOKUP(CONCATENATE($V11,"@",CO$7),choice!$D:$E,2,0)))</f>
        <v/>
      </c>
      <c r="CP11" s="74" t="str">
        <f>IF($V11="","",IF(COUNTIF(choice!$D:$D,CONCATENATE($V11,"@",CP$7))=0,"",VLOOKUP(CONCATENATE($V11,"@",CP$7),choice!$D:$E,2,0)))</f>
        <v/>
      </c>
      <c r="CQ11" s="74" t="str">
        <f>IF($V11="","",IF(COUNTIF(choice!$D:$D,CONCATENATE($V11,"@",CQ$7))=0,"",VLOOKUP(CONCATENATE($V11,"@",CQ$7),choice!$D:$E,2,0)))</f>
        <v/>
      </c>
      <c r="CR11" s="74" t="str">
        <f>IF($V11="","",IF(COUNTIF(choice!$D:$D,CONCATENATE($V11,"@",CR$7))=0,"",VLOOKUP(CONCATENATE($V11,"@",CR$7),choice!$D:$E,2,0)))</f>
        <v/>
      </c>
      <c r="CS11" s="74" t="str">
        <f>IF($V11="","",IF(COUNTIF(choice!$D:$D,CONCATENATE($V11,"@",CS$7))=0,"",VLOOKUP(CONCATENATE($V11,"@",CS$7),choice!$D:$E,2,0)))</f>
        <v/>
      </c>
      <c r="CT11" s="74" t="str">
        <f>IF($V11="","",IF(COUNTIF(choice!$D:$D,CONCATENATE($V11,"@",CT$7))=0,"",VLOOKUP(CONCATENATE($V11,"@",CT$7),choice!$D:$E,2,0)))</f>
        <v/>
      </c>
      <c r="CU11" s="74" t="str">
        <f>IF($V11="","",IF(COUNTIF(choice!$D:$D,CONCATENATE($V11,"@",CU$7))=0,"",VLOOKUP(CONCATENATE($V11,"@",CU$7),choice!$D:$E,2,0)))</f>
        <v/>
      </c>
      <c r="CV11" s="74" t="str">
        <f>IF($V11="","",IF(COUNTIF(choice!$D:$D,CONCATENATE($V11,"@",CV$7))=0,"",VLOOKUP(CONCATENATE($V11,"@",CV$7),choice!$D:$E,2,0)))</f>
        <v/>
      </c>
      <c r="CW11" s="74" t="str">
        <f>IF($V11="","",IF(COUNTIF(choice!$D:$D,CONCATENATE($V11,"@",CW$7))=0,"",VLOOKUP(CONCATENATE($V11,"@",CW$7),choice!$D:$E,2,0)))</f>
        <v/>
      </c>
      <c r="CX11" s="74" t="str">
        <f>IF($V11="","",IF(COUNTIF(choice!$D:$D,CONCATENATE($V11,"@",CX$7))=0,"",VLOOKUP(CONCATENATE($V11,"@",CX$7),choice!$D:$E,2,0)))</f>
        <v/>
      </c>
      <c r="CY11" s="74" t="str">
        <f>IF($V11="","",IF(COUNTIF(choice!$D:$D,CONCATENATE($V11,"@",CY$7))=0,"",VLOOKUP(CONCATENATE($V11,"@",CY$7),choice!$D:$E,2,0)))</f>
        <v/>
      </c>
      <c r="CZ11" s="74" t="str">
        <f>IF($V11="","",IF(COUNTIF(choice!$D:$D,CONCATENATE($V11,"@",CZ$7))=0,"",VLOOKUP(CONCATENATE($V11,"@",CZ$7),choice!$D:$E,2,0)))</f>
        <v/>
      </c>
      <c r="DA11" s="74" t="str">
        <f>IF($V11="","",IF(COUNTIF(choice!$D:$D,CONCATENATE($V11,"@",DA$7))=0,"",VLOOKUP(CONCATENATE($V11,"@",DA$7),choice!$D:$E,2,0)))</f>
        <v/>
      </c>
      <c r="DB11" s="74" t="str">
        <f>IF($V11="","",IF(COUNTIF(choice!$D:$D,CONCATENATE($V11,"@",DB$7))=0,"",VLOOKUP(CONCATENATE($V11,"@",DB$7),choice!$D:$E,2,0)))</f>
        <v/>
      </c>
      <c r="DC11" s="74" t="str">
        <f>IF($V11="","",IF(COUNTIF(choice!$D:$D,CONCATENATE($V11,"@",DC$7))=0,"",VLOOKUP(CONCATENATE($V11,"@",DC$7),choice!$D:$E,2,0)))</f>
        <v/>
      </c>
      <c r="DD11" s="74" t="str">
        <f>IF($V11="","",IF(COUNTIF(choice!$D:$D,CONCATENATE($V11,"@",DD$7))=0,"",VLOOKUP(CONCATENATE($V11,"@",DD$7),choice!$D:$E,2,0)))</f>
        <v/>
      </c>
      <c r="DE11" s="74" t="str">
        <f>IF($V11="","",IF(COUNTIF(choice!$D:$D,CONCATENATE($V11,"@",DE$7))=0,"",VLOOKUP(CONCATENATE($V11,"@",DE$7),choice!$D:$E,2,0)))</f>
        <v/>
      </c>
      <c r="DF11" s="74" t="str">
        <f>IF($V11="","",IF(COUNTIF(choice!$D:$D,CONCATENATE($V11,"@",DF$7))=0,"",VLOOKUP(CONCATENATE($V11,"@",DF$7),choice!$D:$E,2,0)))</f>
        <v/>
      </c>
      <c r="DG11" s="74" t="str">
        <f>IF($V11="","",IF(COUNTIF(choice!$D:$D,CONCATENATE($V11,"@",DG$7))=0,"",VLOOKUP(CONCATENATE($V11,"@",DG$7),choice!$D:$E,2,0)))</f>
        <v/>
      </c>
      <c r="DH11" s="74" t="str">
        <f>IF($V11="","",IF(COUNTIF(choice!$D:$D,CONCATENATE($V11,"@",DH$7))=0,"",VLOOKUP(CONCATENATE($V11,"@",DH$7),choice!$D:$E,2,0)))</f>
        <v/>
      </c>
      <c r="DI11" s="74" t="str">
        <f>IF($V11="","",IF(COUNTIF(choice!$D:$D,CONCATENATE($V11,"@",DI$7))=0,"",VLOOKUP(CONCATENATE($V11,"@",DI$7),choice!$D:$E,2,0)))</f>
        <v/>
      </c>
      <c r="DJ11" s="74" t="str">
        <f>IF($V11="","",IF(COUNTIF(choice!$D:$D,CONCATENATE($V11,"@",DJ$7))=0,"",VLOOKUP(CONCATENATE($V11,"@",DJ$7),choice!$D:$E,2,0)))</f>
        <v/>
      </c>
      <c r="DK11" s="74" t="str">
        <f>IF($V11="","",IF(COUNTIF(choice!$D:$D,CONCATENATE($V11,"@",DK$7))=0,"",VLOOKUP(CONCATENATE($V11,"@",DK$7),choice!$D:$E,2,0)))</f>
        <v/>
      </c>
      <c r="DL11" s="74" t="str">
        <f>IF($V11="","",IF(COUNTIF(choice!$D:$D,CONCATENATE($V11,"@",DL$7))=0,"",VLOOKUP(CONCATENATE($V11,"@",DL$7),choice!$D:$E,2,0)))</f>
        <v/>
      </c>
      <c r="DM11" s="74" t="str">
        <f>IF($V11="","",IF(COUNTIF(choice!$D:$D,CONCATENATE($V11,"@",DM$7))=0,"",VLOOKUP(CONCATENATE($V11,"@",DM$7),choice!$D:$E,2,0)))</f>
        <v/>
      </c>
      <c r="DN11" s="74" t="str">
        <f>IF($V11="","",IF(COUNTIF(choice!$D:$D,CONCATENATE($V11,"@",DN$7))=0,"",VLOOKUP(CONCATENATE($V11,"@",DN$7),choice!$D:$E,2,0)))</f>
        <v/>
      </c>
      <c r="DO11" s="74" t="str">
        <f>IF($V11="","",IF(COUNTIF(choice!$D:$D,CONCATENATE($V11,"@",DO$7))=0,"",VLOOKUP(CONCATENATE($V11,"@",DO$7),choice!$D:$E,2,0)))</f>
        <v/>
      </c>
      <c r="DP11" s="74" t="str">
        <f>IF($V11="","",IF(COUNTIF(choice!$D:$D,CONCATENATE($V11,"@",DP$7))=0,"",VLOOKUP(CONCATENATE($V11,"@",DP$7),choice!$D:$E,2,0)))</f>
        <v/>
      </c>
      <c r="DQ11" s="74" t="str">
        <f>IF($V11="","",IF(COUNTIF(choice!$D:$D,CONCATENATE($V11,"@",DQ$7))=0,"",VLOOKUP(CONCATENATE($V11,"@",DQ$7),choice!$D:$E,2,0)))</f>
        <v/>
      </c>
      <c r="DR11" s="74" t="str">
        <f>IF($V11="","",IF(COUNTIF(choice!$D:$D,CONCATENATE($V11,"@",DR$7))=0,"",VLOOKUP(CONCATENATE($V11,"@",DR$7),choice!$D:$E,2,0)))</f>
        <v/>
      </c>
      <c r="DS11" s="74" t="str">
        <f>IF($V11="","",IF(COUNTIF(choice!$D:$D,CONCATENATE($V11,"@",DS$7))=0,"",VLOOKUP(CONCATENATE($V11,"@",DS$7),choice!$D:$E,2,0)))</f>
        <v/>
      </c>
      <c r="DT11" s="74" t="str">
        <f>IF($V11="","",IF(COUNTIF(choice!$D:$D,CONCATENATE($V11,"@",DT$7))=0,"",VLOOKUP(CONCATENATE($V11,"@",DT$7),choice!$D:$E,2,0)))</f>
        <v/>
      </c>
      <c r="DU11" s="74" t="str">
        <f>IF($V11="","",IF(COUNTIF(choice!$D:$D,CONCATENATE($V11,"@",DU$7))=0,"",VLOOKUP(CONCATENATE($V11,"@",DU$7),choice!$D:$E,2,0)))</f>
        <v/>
      </c>
      <c r="DV11" s="74" t="str">
        <f>IF($V11="","",IF(COUNTIF(choice!$D:$D,CONCATENATE($V11,"@",DV$7))=0,"",VLOOKUP(CONCATENATE($V11,"@",DV$7),choice!$D:$E,2,0)))</f>
        <v/>
      </c>
      <c r="DW11" s="74" t="str">
        <f>IF($V11="","",IF(COUNTIF(choice!$D:$D,CONCATENATE($V11,"@",DW$7))=0,"",VLOOKUP(CONCATENATE($V11,"@",DW$7),choice!$D:$E,2,0)))</f>
        <v/>
      </c>
      <c r="DX11" s="74" t="str">
        <f>IF($V11="","",IF(COUNTIF(choice!$D:$D,CONCATENATE($V11,"@",DX$7))=0,"",VLOOKUP(CONCATENATE($V11,"@",DX$7),choice!$D:$E,2,0)))</f>
        <v/>
      </c>
      <c r="DY11" s="74" t="str">
        <f>IF($V11="","",IF(COUNTIF(choice!$D:$D,CONCATENATE($V11,"@",DY$7))=0,"",VLOOKUP(CONCATENATE($V11,"@",DY$7),choice!$D:$E,2,0)))</f>
        <v/>
      </c>
      <c r="DZ11" s="74" t="str">
        <f>IF($V11="","",IF(COUNTIF(choice!$D:$D,CONCATENATE($V11,"@",DZ$7))=0,"",VLOOKUP(CONCATENATE($V11,"@",DZ$7),choice!$D:$E,2,0)))</f>
        <v/>
      </c>
      <c r="EA11" s="74" t="str">
        <f>IF($V11="","",IF(COUNTIF(choice!$D:$D,CONCATENATE($V11,"@",EA$7))=0,"",VLOOKUP(CONCATENATE($V11,"@",EA$7),choice!$D:$E,2,0)))</f>
        <v/>
      </c>
      <c r="EB11" s="74" t="str">
        <f>IF($V11="","",IF(COUNTIF(choice!$D:$D,CONCATENATE($V11,"@",EB$7))=0,"",VLOOKUP(CONCATENATE($V11,"@",EB$7),choice!$D:$E,2,0)))</f>
        <v/>
      </c>
      <c r="EC11" s="81" t="str">
        <f>IF($V11="","",IF(COUNTIF(choice!$D:$D,CONCATENATE($V11,"@",EC$7))=0,"",VLOOKUP(CONCATENATE($V11,"@",EC$7),choice!$D:$E,2,0)))</f>
        <v/>
      </c>
      <c r="ED11" s="80" t="str">
        <f>IF($W11="","",IF(COUNTIF(choice!$D:$D,CONCATENATE($W11,"@",ED$7))=0,"",VLOOKUP(CONCATENATE($W11,"@",ED$7),choice!$D:$E,2,0)))</f>
        <v/>
      </c>
      <c r="EE11" s="74" t="str">
        <f>IF($W11="","",IF(COUNTIF(choice!$D:$D,CONCATENATE($W11,"@",EE$7))=0,"",VLOOKUP(CONCATENATE($W11,"@",EE$7),choice!$D:$E,2,0)))</f>
        <v/>
      </c>
      <c r="EF11" s="74" t="str">
        <f>IF($W11="","",IF(COUNTIF(choice!$D:$D,CONCATENATE($W11,"@",EF$7))=0,"",VLOOKUP(CONCATENATE($W11,"@",EF$7),choice!$D:$E,2,0)))</f>
        <v/>
      </c>
      <c r="EG11" s="74" t="str">
        <f>IF($W11="","",IF(COUNTIF(choice!$D:$D,CONCATENATE($W11,"@",EG$7))=0,"",VLOOKUP(CONCATENATE($W11,"@",EG$7),choice!$D:$E,2,0)))</f>
        <v/>
      </c>
      <c r="EH11" s="74" t="str">
        <f>IF($W11="","",IF(COUNTIF(choice!$D:$D,CONCATENATE($W11,"@",EH$7))=0,"",VLOOKUP(CONCATENATE($W11,"@",EH$7),choice!$D:$E,2,0)))</f>
        <v/>
      </c>
      <c r="EI11" s="74" t="str">
        <f>IF($W11="","",IF(COUNTIF(choice!$D:$D,CONCATENATE($W11,"@",EI$7))=0,"",VLOOKUP(CONCATENATE($W11,"@",EI$7),choice!$D:$E,2,0)))</f>
        <v/>
      </c>
      <c r="EJ11" s="74" t="str">
        <f>IF($W11="","",IF(COUNTIF(choice!$D:$D,CONCATENATE($W11,"@",EJ$7))=0,"",VLOOKUP(CONCATENATE($W11,"@",EJ$7),choice!$D:$E,2,0)))</f>
        <v/>
      </c>
      <c r="EK11" s="74" t="str">
        <f>IF($W11="","",IF(COUNTIF(choice!$D:$D,CONCATENATE($W11,"@",EK$7))=0,"",VLOOKUP(CONCATENATE($W11,"@",EK$7),choice!$D:$E,2,0)))</f>
        <v/>
      </c>
      <c r="EL11" s="74" t="str">
        <f>IF($W11="","",IF(COUNTIF(choice!$D:$D,CONCATENATE($W11,"@",EL$7))=0,"",VLOOKUP(CONCATENATE($W11,"@",EL$7),choice!$D:$E,2,0)))</f>
        <v/>
      </c>
      <c r="EM11" s="74" t="str">
        <f>IF($W11="","",IF(COUNTIF(choice!$D:$D,CONCATENATE($W11,"@",EM$7))=0,"",VLOOKUP(CONCATENATE($W11,"@",EM$7),choice!$D:$E,2,0)))</f>
        <v/>
      </c>
      <c r="EN11" s="74" t="str">
        <f>IF($W11="","",IF(COUNTIF(choice!$D:$D,CONCATENATE($W11,"@",EN$7))=0,"",VLOOKUP(CONCATENATE($W11,"@",EN$7),choice!$D:$E,2,0)))</f>
        <v/>
      </c>
      <c r="EO11" s="74" t="str">
        <f>IF($W11="","",IF(COUNTIF(choice!$D:$D,CONCATENATE($W11,"@",EO$7))=0,"",VLOOKUP(CONCATENATE($W11,"@",EO$7),choice!$D:$E,2,0)))</f>
        <v/>
      </c>
      <c r="EP11" s="74" t="str">
        <f>IF($W11="","",IF(COUNTIF(choice!$D:$D,CONCATENATE($W11,"@",EP$7))=0,"",VLOOKUP(CONCATENATE($W11,"@",EP$7),choice!$D:$E,2,0)))</f>
        <v/>
      </c>
      <c r="EQ11" s="74" t="str">
        <f>IF($W11="","",IF(COUNTIF(choice!$D:$D,CONCATENATE($W11,"@",EQ$7))=0,"",VLOOKUP(CONCATENATE($W11,"@",EQ$7),choice!$D:$E,2,0)))</f>
        <v/>
      </c>
      <c r="ER11" s="74" t="str">
        <f>IF($W11="","",IF(COUNTIF(choice!$D:$D,CONCATENATE($W11,"@",ER$7))=0,"",VLOOKUP(CONCATENATE($W11,"@",ER$7),choice!$D:$E,2,0)))</f>
        <v/>
      </c>
      <c r="ES11" s="74" t="str">
        <f>IF($W11="","",IF(COUNTIF(choice!$D:$D,CONCATENATE($W11,"@",ES$7))=0,"",VLOOKUP(CONCATENATE($W11,"@",ES$7),choice!$D:$E,2,0)))</f>
        <v/>
      </c>
      <c r="ET11" s="74" t="str">
        <f>IF($W11="","",IF(COUNTIF(choice!$D:$D,CONCATENATE($W11,"@",ET$7))=0,"",VLOOKUP(CONCATENATE($W11,"@",ET$7),choice!$D:$E,2,0)))</f>
        <v/>
      </c>
      <c r="EU11" s="74" t="str">
        <f>IF($W11="","",IF(COUNTIF(choice!$D:$D,CONCATENATE($W11,"@",EU$7))=0,"",VLOOKUP(CONCATENATE($W11,"@",EU$7),choice!$D:$E,2,0)))</f>
        <v/>
      </c>
      <c r="EV11" s="74" t="str">
        <f>IF($W11="","",IF(COUNTIF(choice!$D:$D,CONCATENATE($W11,"@",EV$7))=0,"",VLOOKUP(CONCATENATE($W11,"@",EV$7),choice!$D:$E,2,0)))</f>
        <v/>
      </c>
      <c r="EW11" s="74" t="str">
        <f>IF($W11="","",IF(COUNTIF(choice!$D:$D,CONCATENATE($W11,"@",EW$7))=0,"",VLOOKUP(CONCATENATE($W11,"@",EW$7),choice!$D:$E,2,0)))</f>
        <v/>
      </c>
      <c r="EX11" s="74" t="str">
        <f>IF($W11="","",IF(COUNTIF(choice!$D:$D,CONCATENATE($W11,"@",EX$7))=0,"",VLOOKUP(CONCATENATE($W11,"@",EX$7),choice!$D:$E,2,0)))</f>
        <v/>
      </c>
      <c r="EY11" s="74" t="str">
        <f>IF($W11="","",IF(COUNTIF(choice!$D:$D,CONCATENATE($W11,"@",EY$7))=0,"",VLOOKUP(CONCATENATE($W11,"@",EY$7),choice!$D:$E,2,0)))</f>
        <v/>
      </c>
      <c r="EZ11" s="74" t="str">
        <f>IF($W11="","",IF(COUNTIF(choice!$D:$D,CONCATENATE($W11,"@",EZ$7))=0,"",VLOOKUP(CONCATENATE($W11,"@",EZ$7),choice!$D:$E,2,0)))</f>
        <v/>
      </c>
      <c r="FA11" s="74" t="str">
        <f>IF($W11="","",IF(COUNTIF(choice!$D:$D,CONCATENATE($W11,"@",FA$7))=0,"",VLOOKUP(CONCATENATE($W11,"@",FA$7),choice!$D:$E,2,0)))</f>
        <v/>
      </c>
      <c r="FB11" s="74" t="str">
        <f>IF($W11="","",IF(COUNTIF(choice!$D:$D,CONCATENATE($W11,"@",FB$7))=0,"",VLOOKUP(CONCATENATE($W11,"@",FB$7),choice!$D:$E,2,0)))</f>
        <v/>
      </c>
      <c r="FC11" s="74" t="str">
        <f>IF($W11="","",IF(COUNTIF(choice!$D:$D,CONCATENATE($W11,"@",FC$7))=0,"",VLOOKUP(CONCATENATE($W11,"@",FC$7),choice!$D:$E,2,0)))</f>
        <v/>
      </c>
      <c r="FD11" s="74" t="str">
        <f>IF($W11="","",IF(COUNTIF(choice!$D:$D,CONCATENATE($W11,"@",FD$7))=0,"",VLOOKUP(CONCATENATE($W11,"@",FD$7),choice!$D:$E,2,0)))</f>
        <v/>
      </c>
      <c r="FE11" s="74" t="str">
        <f>IF($W11="","",IF(COUNTIF(choice!$D:$D,CONCATENATE($W11,"@",FE$7))=0,"",VLOOKUP(CONCATENATE($W11,"@",FE$7),choice!$D:$E,2,0)))</f>
        <v/>
      </c>
      <c r="FF11" s="74" t="str">
        <f>IF($W11="","",IF(COUNTIF(choice!$D:$D,CONCATENATE($W11,"@",FF$7))=0,"",VLOOKUP(CONCATENATE($W11,"@",FF$7),choice!$D:$E,2,0)))</f>
        <v/>
      </c>
      <c r="FG11" s="74" t="str">
        <f>IF($W11="","",IF(COUNTIF(choice!$D:$D,CONCATENATE($W11,"@",FG$7))=0,"",VLOOKUP(CONCATENATE($W11,"@",FG$7),choice!$D:$E,2,0)))</f>
        <v/>
      </c>
      <c r="FH11" s="74" t="str">
        <f>IF($W11="","",IF(COUNTIF(choice!$D:$D,CONCATENATE($W11,"@",FH$7))=0,"",VLOOKUP(CONCATENATE($W11,"@",FH$7),choice!$D:$E,2,0)))</f>
        <v/>
      </c>
      <c r="FI11" s="74" t="str">
        <f>IF($W11="","",IF(COUNTIF(choice!$D:$D,CONCATENATE($W11,"@",FI$7))=0,"",VLOOKUP(CONCATENATE($W11,"@",FI$7),choice!$D:$E,2,0)))</f>
        <v/>
      </c>
      <c r="FJ11" s="74" t="str">
        <f>IF($W11="","",IF(COUNTIF(choice!$D:$D,CONCATENATE($W11,"@",FJ$7))=0,"",VLOOKUP(CONCATENATE($W11,"@",FJ$7),choice!$D:$E,2,0)))</f>
        <v/>
      </c>
      <c r="FK11" s="74" t="str">
        <f>IF($W11="","",IF(COUNTIF(choice!$D:$D,CONCATENATE($W11,"@",FK$7))=0,"",VLOOKUP(CONCATENATE($W11,"@",FK$7),choice!$D:$E,2,0)))</f>
        <v/>
      </c>
      <c r="FL11" s="74" t="str">
        <f>IF($W11="","",IF(COUNTIF(choice!$D:$D,CONCATENATE($W11,"@",FL$7))=0,"",VLOOKUP(CONCATENATE($W11,"@",FL$7),choice!$D:$E,2,0)))</f>
        <v/>
      </c>
      <c r="FM11" s="74" t="str">
        <f>IF($W11="","",IF(COUNTIF(choice!$D:$D,CONCATENATE($W11,"@",FM$7))=0,"",VLOOKUP(CONCATENATE($W11,"@",FM$7),choice!$D:$E,2,0)))</f>
        <v/>
      </c>
      <c r="FN11" s="74" t="str">
        <f>IF($W11="","",IF(COUNTIF(choice!$D:$D,CONCATENATE($W11,"@",FN$7))=0,"",VLOOKUP(CONCATENATE($W11,"@",FN$7),choice!$D:$E,2,0)))</f>
        <v/>
      </c>
      <c r="FO11" s="74" t="str">
        <f>IF($W11="","",IF(COUNTIF(choice!$D:$D,CONCATENATE($W11,"@",FO$7))=0,"",VLOOKUP(CONCATENATE($W11,"@",FO$7),choice!$D:$E,2,0)))</f>
        <v/>
      </c>
      <c r="FP11" s="74" t="str">
        <f>IF($W11="","",IF(COUNTIF(choice!$D:$D,CONCATENATE($W11,"@",FP$7))=0,"",VLOOKUP(CONCATENATE($W11,"@",FP$7),choice!$D:$E,2,0)))</f>
        <v/>
      </c>
      <c r="FQ11" s="74" t="str">
        <f>IF($W11="","",IF(COUNTIF(choice!$D:$D,CONCATENATE($W11,"@",FQ$7))=0,"",VLOOKUP(CONCATENATE($W11,"@",FQ$7),choice!$D:$E,2,0)))</f>
        <v/>
      </c>
      <c r="FR11" s="74" t="str">
        <f>IF($W11="","",IF(COUNTIF(choice!$D:$D,CONCATENATE($W11,"@",FR$7))=0,"",VLOOKUP(CONCATENATE($W11,"@",FR$7),choice!$D:$E,2,0)))</f>
        <v/>
      </c>
      <c r="FS11" s="74" t="str">
        <f>IF($W11="","",IF(COUNTIF(choice!$D:$D,CONCATENATE($W11,"@",FS$7))=0,"",VLOOKUP(CONCATENATE($W11,"@",FS$7),choice!$D:$E,2,0)))</f>
        <v/>
      </c>
      <c r="FT11" s="74" t="str">
        <f>IF($W11="","",IF(COUNTIF(choice!$D:$D,CONCATENATE($W11,"@",FT$7))=0,"",VLOOKUP(CONCATENATE($W11,"@",FT$7),choice!$D:$E,2,0)))</f>
        <v/>
      </c>
      <c r="FU11" s="74" t="str">
        <f>IF($W11="","",IF(COUNTIF(choice!$D:$D,CONCATENATE($W11,"@",FU$7))=0,"",VLOOKUP(CONCATENATE($W11,"@",FU$7),choice!$D:$E,2,0)))</f>
        <v/>
      </c>
      <c r="FV11" s="81" t="str">
        <f>IF($W11="","",IF(COUNTIF(choice!$D:$D,CONCATENATE($W11,"@",FV$7))=0,"",VLOOKUP(CONCATENATE($W11,"@",FV$7),choice!$D:$E,2,0)))</f>
        <v/>
      </c>
      <c r="FW11" s="80" t="str">
        <f>IF($X11="","",IF(COUNTIF(choice!$D:$D,CONCATENATE($X11,"@",FW$7))=0,"",VLOOKUP(CONCATENATE($X11,"@",FW$7),choice!$D:$E,2,0)))</f>
        <v/>
      </c>
      <c r="FX11" s="74" t="str">
        <f>IF($X11="","",IF(COUNTIF(choice!$D:$D,CONCATENATE($X11,"@",FX$7))=0,"",VLOOKUP(CONCATENATE($X11,"@",FX$7),choice!$D:$E,2,0)))</f>
        <v/>
      </c>
      <c r="FY11" s="74" t="str">
        <f>IF($X11="","",IF(COUNTIF(choice!$D:$D,CONCATENATE($X11,"@",FY$7))=0,"",VLOOKUP(CONCATENATE($X11,"@",FY$7),choice!$D:$E,2,0)))</f>
        <v/>
      </c>
      <c r="FZ11" s="74" t="str">
        <f>IF($X11="","",IF(COUNTIF(choice!$D:$D,CONCATENATE($X11,"@",FZ$7))=0,"",VLOOKUP(CONCATENATE($X11,"@",FZ$7),choice!$D:$E,2,0)))</f>
        <v/>
      </c>
      <c r="GA11" s="74" t="str">
        <f>IF($X11="","",IF(COUNTIF(choice!$D:$D,CONCATENATE($X11,"@",GA$7))=0,"",VLOOKUP(CONCATENATE($X11,"@",GA$7),choice!$D:$E,2,0)))</f>
        <v/>
      </c>
      <c r="GB11" s="74" t="str">
        <f>IF($X11="","",IF(COUNTIF(choice!$D:$D,CONCATENATE($X11,"@",GB$7))=0,"",VLOOKUP(CONCATENATE($X11,"@",GB$7),choice!$D:$E,2,0)))</f>
        <v/>
      </c>
      <c r="GC11" s="74" t="str">
        <f>IF($X11="","",IF(COUNTIF(choice!$D:$D,CONCATENATE($X11,"@",GC$7))=0,"",VLOOKUP(CONCATENATE($X11,"@",GC$7),choice!$D:$E,2,0)))</f>
        <v/>
      </c>
      <c r="GD11" s="74" t="str">
        <f>IF($X11="","",IF(COUNTIF(choice!$D:$D,CONCATENATE($X11,"@",GD$7))=0,"",VLOOKUP(CONCATENATE($X11,"@",GD$7),choice!$D:$E,2,0)))</f>
        <v/>
      </c>
      <c r="GE11" s="74" t="str">
        <f>IF($X11="","",IF(COUNTIF(choice!$D:$D,CONCATENATE($X11,"@",GE$7))=0,"",VLOOKUP(CONCATENATE($X11,"@",GE$7),choice!$D:$E,2,0)))</f>
        <v/>
      </c>
      <c r="GF11" s="74" t="str">
        <f>IF($X11="","",IF(COUNTIF(choice!$D:$D,CONCATENATE($X11,"@",GF$7))=0,"",VLOOKUP(CONCATENATE($X11,"@",GF$7),choice!$D:$E,2,0)))</f>
        <v/>
      </c>
      <c r="GG11" s="74" t="str">
        <f>IF($X11="","",IF(COUNTIF(choice!$D:$D,CONCATENATE($X11,"@",GG$7))=0,"",VLOOKUP(CONCATENATE($X11,"@",GG$7),choice!$D:$E,2,0)))</f>
        <v/>
      </c>
      <c r="GH11" s="74" t="str">
        <f>IF($X11="","",IF(COUNTIF(choice!$D:$D,CONCATENATE($X11,"@",GH$7))=0,"",VLOOKUP(CONCATENATE($X11,"@",GH$7),choice!$D:$E,2,0)))</f>
        <v/>
      </c>
      <c r="GI11" s="74" t="str">
        <f>IF($X11="","",IF(COUNTIF(choice!$D:$D,CONCATENATE($X11,"@",GI$7))=0,"",VLOOKUP(CONCATENATE($X11,"@",GI$7),choice!$D:$E,2,0)))</f>
        <v/>
      </c>
      <c r="GJ11" s="74" t="str">
        <f>IF($X11="","",IF(COUNTIF(choice!$D:$D,CONCATENATE($X11,"@",GJ$7))=0,"",VLOOKUP(CONCATENATE($X11,"@",GJ$7),choice!$D:$E,2,0)))</f>
        <v/>
      </c>
      <c r="GK11" s="74" t="str">
        <f>IF($X11="","",IF(COUNTIF(choice!$D:$D,CONCATENATE($X11,"@",GK$7))=0,"",VLOOKUP(CONCATENATE($X11,"@",GK$7),choice!$D:$E,2,0)))</f>
        <v/>
      </c>
      <c r="GL11" s="74" t="str">
        <f>IF($X11="","",IF(COUNTIF(choice!$D:$D,CONCATENATE($X11,"@",GL$7))=0,"",VLOOKUP(CONCATENATE($X11,"@",GL$7),choice!$D:$E,2,0)))</f>
        <v/>
      </c>
      <c r="GM11" s="74" t="str">
        <f>IF($X11="","",IF(COUNTIF(choice!$D:$D,CONCATENATE($X11,"@",GM$7))=0,"",VLOOKUP(CONCATENATE($X11,"@",GM$7),choice!$D:$E,2,0)))</f>
        <v/>
      </c>
      <c r="GN11" s="74" t="str">
        <f>IF($X11="","",IF(COUNTIF(choice!$D:$D,CONCATENATE($X11,"@",GN$7))=0,"",VLOOKUP(CONCATENATE($X11,"@",GN$7),choice!$D:$E,2,0)))</f>
        <v/>
      </c>
      <c r="GO11" s="74" t="str">
        <f>IF($X11="","",IF(COUNTIF(choice!$D:$D,CONCATENATE($X11,"@",GO$7))=0,"",VLOOKUP(CONCATENATE($X11,"@",GO$7),choice!$D:$E,2,0)))</f>
        <v/>
      </c>
      <c r="GP11" s="74" t="str">
        <f>IF($X11="","",IF(COUNTIF(choice!$D:$D,CONCATENATE($X11,"@",GP$7))=0,"",VLOOKUP(CONCATENATE($X11,"@",GP$7),choice!$D:$E,2,0)))</f>
        <v/>
      </c>
      <c r="GQ11" s="74" t="str">
        <f>IF($X11="","",IF(COUNTIF(choice!$D:$D,CONCATENATE($X11,"@",GQ$7))=0,"",VLOOKUP(CONCATENATE($X11,"@",GQ$7),choice!$D:$E,2,0)))</f>
        <v/>
      </c>
      <c r="GR11" s="74" t="str">
        <f>IF($X11="","",IF(COUNTIF(choice!$D:$D,CONCATENATE($X11,"@",GR$7))=0,"",VLOOKUP(CONCATENATE($X11,"@",GR$7),choice!$D:$E,2,0)))</f>
        <v/>
      </c>
      <c r="GS11" s="74" t="str">
        <f>IF($X11="","",IF(COUNTIF(choice!$D:$D,CONCATENATE($X11,"@",GS$7))=0,"",VLOOKUP(CONCATENATE($X11,"@",GS$7),choice!$D:$E,2,0)))</f>
        <v/>
      </c>
      <c r="GT11" s="74" t="str">
        <f>IF($X11="","",IF(COUNTIF(choice!$D:$D,CONCATENATE($X11,"@",GT$7))=0,"",VLOOKUP(CONCATENATE($X11,"@",GT$7),choice!$D:$E,2,0)))</f>
        <v/>
      </c>
      <c r="GU11" s="74" t="str">
        <f>IF($X11="","",IF(COUNTIF(choice!$D:$D,CONCATENATE($X11,"@",GU$7))=0,"",VLOOKUP(CONCATENATE($X11,"@",GU$7),choice!$D:$E,2,0)))</f>
        <v/>
      </c>
      <c r="GV11" s="74" t="str">
        <f>IF($X11="","",IF(COUNTIF(choice!$D:$D,CONCATENATE($X11,"@",GV$7))=0,"",VLOOKUP(CONCATENATE($X11,"@",GV$7),choice!$D:$E,2,0)))</f>
        <v/>
      </c>
      <c r="GW11" s="74" t="str">
        <f>IF($X11="","",IF(COUNTIF(choice!$D:$D,CONCATENATE($X11,"@",GW$7))=0,"",VLOOKUP(CONCATENATE($X11,"@",GW$7),choice!$D:$E,2,0)))</f>
        <v/>
      </c>
      <c r="GX11" s="74" t="str">
        <f>IF($X11="","",IF(COUNTIF(choice!$D:$D,CONCATENATE($X11,"@",GX$7))=0,"",VLOOKUP(CONCATENATE($X11,"@",GX$7),choice!$D:$E,2,0)))</f>
        <v/>
      </c>
      <c r="GY11" s="74" t="str">
        <f>IF($X11="","",IF(COUNTIF(choice!$D:$D,CONCATENATE($X11,"@",GY$7))=0,"",VLOOKUP(CONCATENATE($X11,"@",GY$7),choice!$D:$E,2,0)))</f>
        <v/>
      </c>
      <c r="GZ11" s="74" t="str">
        <f>IF($X11="","",IF(COUNTIF(choice!$D:$D,CONCATENATE($X11,"@",GZ$7))=0,"",VLOOKUP(CONCATENATE($X11,"@",GZ$7),choice!$D:$E,2,0)))</f>
        <v/>
      </c>
      <c r="HA11" s="74" t="str">
        <f>IF($X11="","",IF(COUNTIF(choice!$D:$D,CONCATENATE($X11,"@",HA$7))=0,"",VLOOKUP(CONCATENATE($X11,"@",HA$7),choice!$D:$E,2,0)))</f>
        <v/>
      </c>
      <c r="HB11" s="74" t="str">
        <f>IF($X11="","",IF(COUNTIF(choice!$D:$D,CONCATENATE($X11,"@",HB$7))=0,"",VLOOKUP(CONCATENATE($X11,"@",HB$7),choice!$D:$E,2,0)))</f>
        <v/>
      </c>
      <c r="HC11" s="74" t="str">
        <f>IF($X11="","",IF(COUNTIF(choice!$D:$D,CONCATENATE($X11,"@",HC$7))=0,"",VLOOKUP(CONCATENATE($X11,"@",HC$7),choice!$D:$E,2,0)))</f>
        <v/>
      </c>
      <c r="HD11" s="74" t="str">
        <f>IF($X11="","",IF(COUNTIF(choice!$D:$D,CONCATENATE($X11,"@",HD$7))=0,"",VLOOKUP(CONCATENATE($X11,"@",HD$7),choice!$D:$E,2,0)))</f>
        <v/>
      </c>
      <c r="HE11" s="74" t="str">
        <f>IF($X11="","",IF(COUNTIF(choice!$D:$D,CONCATENATE($X11,"@",HE$7))=0,"",VLOOKUP(CONCATENATE($X11,"@",HE$7),choice!$D:$E,2,0)))</f>
        <v/>
      </c>
      <c r="HF11" s="74" t="str">
        <f>IF($X11="","",IF(COUNTIF(choice!$D:$D,CONCATENATE($X11,"@",HF$7))=0,"",VLOOKUP(CONCATENATE($X11,"@",HF$7),choice!$D:$E,2,0)))</f>
        <v/>
      </c>
      <c r="HG11" s="74" t="str">
        <f>IF($X11="","",IF(COUNTIF(choice!$D:$D,CONCATENATE($X11,"@",HG$7))=0,"",VLOOKUP(CONCATENATE($X11,"@",HG$7),choice!$D:$E,2,0)))</f>
        <v/>
      </c>
      <c r="HH11" s="74" t="str">
        <f>IF($X11="","",IF(COUNTIF(choice!$D:$D,CONCATENATE($X11,"@",HH$7))=0,"",VLOOKUP(CONCATENATE($X11,"@",HH$7),choice!$D:$E,2,0)))</f>
        <v/>
      </c>
      <c r="HI11" s="74" t="str">
        <f>IF($X11="","",IF(COUNTIF(choice!$D:$D,CONCATENATE($X11,"@",HI$7))=0,"",VLOOKUP(CONCATENATE($X11,"@",HI$7),choice!$D:$E,2,0)))</f>
        <v/>
      </c>
      <c r="HJ11" s="74" t="str">
        <f>IF($X11="","",IF(COUNTIF(choice!$D:$D,CONCATENATE($X11,"@",HJ$7))=0,"",VLOOKUP(CONCATENATE($X11,"@",HJ$7),choice!$D:$E,2,0)))</f>
        <v/>
      </c>
      <c r="HK11" s="74" t="str">
        <f>IF($X11="","",IF(COUNTIF(choice!$D:$D,CONCATENATE($X11,"@",HK$7))=0,"",VLOOKUP(CONCATENATE($X11,"@",HK$7),choice!$D:$E,2,0)))</f>
        <v/>
      </c>
      <c r="HL11" s="74" t="str">
        <f>IF($X11="","",IF(COUNTIF(choice!$D:$D,CONCATENATE($X11,"@",HL$7))=0,"",VLOOKUP(CONCATENATE($X11,"@",HL$7),choice!$D:$E,2,0)))</f>
        <v/>
      </c>
      <c r="HM11" s="74" t="str">
        <f>IF($X11="","",IF(COUNTIF(choice!$D:$D,CONCATENATE($X11,"@",HM$7))=0,"",VLOOKUP(CONCATENATE($X11,"@",HM$7),choice!$D:$E,2,0)))</f>
        <v/>
      </c>
      <c r="HN11" s="74" t="str">
        <f>IF($X11="","",IF(COUNTIF(choice!$D:$D,CONCATENATE($X11,"@",HN$7))=0,"",VLOOKUP(CONCATENATE($X11,"@",HN$7),choice!$D:$E,2,0)))</f>
        <v/>
      </c>
      <c r="HO11" s="81" t="str">
        <f>IF($X11="","",IF(COUNTIF(choice!$D:$D,CONCATENATE($X11,"@",HO$7))=0,"",VLOOKUP(CONCATENATE($X11,"@",HO$7),choice!$D:$E,2,0)))</f>
        <v/>
      </c>
      <c r="HP11" s="20" t="s">
        <v>58</v>
      </c>
      <c r="HQ11" s="20" t="s">
        <v>59</v>
      </c>
      <c r="HV11" s="74">
        <f t="shared" si="12"/>
        <v>0</v>
      </c>
      <c r="HW11" s="74">
        <f t="shared" si="13"/>
        <v>0</v>
      </c>
      <c r="HX11" s="74">
        <f t="shared" si="14"/>
        <v>0</v>
      </c>
      <c r="HY11" s="74">
        <f t="shared" si="15"/>
        <v>0</v>
      </c>
      <c r="HZ11" s="74">
        <f t="shared" si="21"/>
        <v>0</v>
      </c>
      <c r="IA11" s="74">
        <f t="shared" si="21"/>
        <v>0</v>
      </c>
      <c r="IB11" s="74" t="str">
        <f t="shared" si="22"/>
        <v/>
      </c>
      <c r="IC11" s="74" t="str">
        <f t="shared" si="23"/>
        <v/>
      </c>
      <c r="ID11" s="74" t="str">
        <f t="shared" si="16"/>
        <v/>
      </c>
      <c r="IE11" s="74">
        <f t="shared" si="17"/>
        <v>30</v>
      </c>
      <c r="IF11" s="74">
        <f>COUNTIFS(ID$8:ID11,"BLUE")</f>
        <v>0</v>
      </c>
      <c r="IG11" s="74" t="str">
        <f t="shared" si="18"/>
        <v/>
      </c>
      <c r="IH11" s="74" t="str">
        <f>IF(COUNTIFS($AQ11,"*02*")=0,"",COUNTIFS(IJ$8:IJ11,"BLUE"))</f>
        <v/>
      </c>
      <c r="II11" s="74" t="str">
        <f>IF(COUNTIFS($AQ11,"*04*")=0,"",COUNTIFS(IK$8:IK11,"BLUE"))</f>
        <v/>
      </c>
      <c r="IJ11" s="74" t="str">
        <f t="shared" si="24"/>
        <v/>
      </c>
      <c r="IK11" s="74" t="str">
        <f t="shared" si="25"/>
        <v/>
      </c>
      <c r="IL11" s="74" t="str">
        <f t="shared" si="19"/>
        <v/>
      </c>
      <c r="IM11" s="74" t="str">
        <f t="shared" si="20"/>
        <v/>
      </c>
      <c r="IN11" s="74">
        <f>COUNTIFS(IJ$8:IJ11,"BLUE")</f>
        <v>0</v>
      </c>
      <c r="IO11" s="74">
        <f>COUNTIFS(IK$8:IK11,"BLUE")</f>
        <v>0</v>
      </c>
    </row>
    <row r="12" spans="1:249" s="20" customFormat="1" ht="24.9" customHeight="1">
      <c r="A12" s="33"/>
      <c r="B12" s="30">
        <v>31</v>
      </c>
      <c r="C12" s="150"/>
      <c r="D12" s="97"/>
      <c r="E12" s="88" t="e">
        <f>VLOOKUP(F12,'Radio Call Sign'!A:B,2)</f>
        <v>#N/A</v>
      </c>
      <c r="F12" s="88"/>
      <c r="G12" s="88" t="e">
        <f>VLOOKUP(H12,'Radio Call Sign'!A:B,2)</f>
        <v>#N/A</v>
      </c>
      <c r="H12" s="89"/>
      <c r="I12" s="89" t="str">
        <f t="shared" si="4"/>
        <v/>
      </c>
      <c r="J12" s="90" t="str">
        <f t="shared" si="9"/>
        <v/>
      </c>
      <c r="K12" s="86" t="str">
        <f t="shared" si="10"/>
        <v/>
      </c>
      <c r="L12" s="151"/>
      <c r="M12" s="190" t="str">
        <f t="shared" si="11"/>
        <v/>
      </c>
      <c r="N12" s="21"/>
      <c r="O12" s="21"/>
      <c r="P12" s="53"/>
      <c r="Q12" s="163" t="str">
        <f>IF(AA12="","",IF(COUNTIFS('overhead line area'!$D$3:$D$100,AA12)+COUNTIFS('overhead line area'!$D$3:$D$100,AB12)+COUNTIFS('overhead line area'!$D$3:$D$100,AC12)+COUNTIFS('overhead line area'!$D$3:$D$100,AD12)=0,"","*               "))</f>
        <v/>
      </c>
      <c r="R12" s="53"/>
      <c r="S12" s="24"/>
      <c r="U12" s="74"/>
      <c r="V12" s="74"/>
      <c r="W12" s="74"/>
      <c r="X12" s="74"/>
      <c r="Y12" s="74"/>
      <c r="AA12" s="74" t="str">
        <f t="shared" si="5"/>
        <v/>
      </c>
      <c r="AB12" s="74" t="str">
        <f t="shared" si="6"/>
        <v/>
      </c>
      <c r="AC12" s="74" t="str">
        <f t="shared" si="6"/>
        <v/>
      </c>
      <c r="AD12" s="74" t="str">
        <f t="shared" si="6"/>
        <v/>
      </c>
      <c r="AF12" s="74" t="str">
        <f>IF(AA12="","",IF(COUNTIF(Route!$AM:$AM,'Add-on Train Movement Log'!AA12)=0,"未有資料",VLOOKUP('Add-on Train Movement Log'!AA12,Route!$AM:$AP,3,0)))</f>
        <v/>
      </c>
      <c r="AG12" s="74" t="str">
        <f>IF(AB12="","",IF(COUNTIF(Route!$AM:$AM,'Add-on Train Movement Log'!AB12)=0,"未有資料",VLOOKUP('Add-on Train Movement Log'!AB12,Route!$AM:$AP,3,0)))</f>
        <v/>
      </c>
      <c r="AH12" s="74" t="str">
        <f>IF(AC12="","",IF(COUNTIF(Route!$AM:$AM,'Add-on Train Movement Log'!AC12)=0,"未有資料",VLOOKUP('Add-on Train Movement Log'!AC12,Route!$AM:$AP,3,0)))</f>
        <v/>
      </c>
      <c r="AI12" s="74" t="str">
        <f>IF(AD12="","",IF(COUNTIF(Route!$AM:$AM,'Add-on Train Movement Log'!AD12)=0,"未有資料",VLOOKUP('Add-on Train Movement Log'!AD12,Route!$AM:$AP,3,0)))</f>
        <v/>
      </c>
      <c r="AK12" s="74" t="str">
        <f>IF(AA12="","",IF(COUNTIF(Route!$AM:$AM,'Add-on Train Movement Log'!AA12)=0,"未有資料",VLOOKUP('Add-on Train Movement Log'!AA12,Route!$AM:$AP,4,0)))</f>
        <v/>
      </c>
      <c r="AL12" s="74" t="str">
        <f>IF(AB12="","",IF(COUNTIF(Route!$AM:$AM,'Add-on Train Movement Log'!AB12)=0,"未有資料",VLOOKUP('Add-on Train Movement Log'!AB12,Route!$AM:$AP,4,0)))</f>
        <v/>
      </c>
      <c r="AM12" s="74" t="str">
        <f>IF(AC12="","",IF(COUNTIF(Route!$AM:$AM,'Add-on Train Movement Log'!AC12)=0,"未有資料",VLOOKUP('Add-on Train Movement Log'!AC12,Route!$AM:$AP,4,0)))</f>
        <v/>
      </c>
      <c r="AN12" s="74" t="str">
        <f>IF(AD12="","",IF(COUNTIF(Route!$AM:$AM,'Add-on Train Movement Log'!AD12)=0,"未有資料",VLOOKUP('Add-on Train Movement Log'!AD12,Route!$AM:$AP,4,0)))</f>
        <v/>
      </c>
      <c r="AP12" s="74" t="str">
        <f t="shared" si="7"/>
        <v/>
      </c>
      <c r="AQ12" s="76" t="str">
        <f t="shared" si="8"/>
        <v/>
      </c>
      <c r="AR12" s="80" t="str">
        <f>IF($U12="","",IF(COUNTIF(choice!$D:$D,CONCATENATE($U12,"@",AR$7))=0,"",VLOOKUP(CONCATENATE($U12,"@",AR$7),choice!$D:$E,2,0)))</f>
        <v/>
      </c>
      <c r="AS12" s="74" t="str">
        <f>IF($U12="","",IF(COUNTIF(choice!$D:$D,CONCATENATE($U12,"@",AS$7))=0,"",VLOOKUP(CONCATENATE($U12,"@",AS$7),choice!$D:$E,2,0)))</f>
        <v/>
      </c>
      <c r="AT12" s="74" t="str">
        <f>IF($U12="","",IF(COUNTIF(choice!$D:$D,CONCATENATE($U12,"@",AT$7))=0,"",VLOOKUP(CONCATENATE($U12,"@",AT$7),choice!$D:$E,2,0)))</f>
        <v/>
      </c>
      <c r="AU12" s="74" t="str">
        <f>IF($U12="","",IF(COUNTIF(choice!$D:$D,CONCATENATE($U12,"@",AU$7))=0,"",VLOOKUP(CONCATENATE($U12,"@",AU$7),choice!$D:$E,2,0)))</f>
        <v/>
      </c>
      <c r="AV12" s="74" t="str">
        <f>IF($U12="","",IF(COUNTIF(choice!$D:$D,CONCATENATE($U12,"@",AV$7))=0,"",VLOOKUP(CONCATENATE($U12,"@",AV$7),choice!$D:$E,2,0)))</f>
        <v/>
      </c>
      <c r="AW12" s="74" t="str">
        <f>IF($U12="","",IF(COUNTIF(choice!$D:$D,CONCATENATE($U12,"@",AW$7))=0,"",VLOOKUP(CONCATENATE($U12,"@",AW$7),choice!$D:$E,2,0)))</f>
        <v/>
      </c>
      <c r="AX12" s="74" t="str">
        <f>IF($U12="","",IF(COUNTIF(choice!$D:$D,CONCATENATE($U12,"@",AX$7))=0,"",VLOOKUP(CONCATENATE($U12,"@",AX$7),choice!$D:$E,2,0)))</f>
        <v/>
      </c>
      <c r="AY12" s="74" t="str">
        <f>IF($U12="","",IF(COUNTIF(choice!$D:$D,CONCATENATE($U12,"@",AY$7))=0,"",VLOOKUP(CONCATENATE($U12,"@",AY$7),choice!$D:$E,2,0)))</f>
        <v/>
      </c>
      <c r="AZ12" s="74" t="str">
        <f>IF($U12="","",IF(COUNTIF(choice!$D:$D,CONCATENATE($U12,"@",AZ$7))=0,"",VLOOKUP(CONCATENATE($U12,"@",AZ$7),choice!$D:$E,2,0)))</f>
        <v/>
      </c>
      <c r="BA12" s="74" t="str">
        <f>IF($U12="","",IF(COUNTIF(choice!$D:$D,CONCATENATE($U12,"@",BA$7))=0,"",VLOOKUP(CONCATENATE($U12,"@",BA$7),choice!$D:$E,2,0)))</f>
        <v/>
      </c>
      <c r="BB12" s="74" t="str">
        <f>IF($U12="","",IF(COUNTIF(choice!$D:$D,CONCATENATE($U12,"@",BB$7))=0,"",VLOOKUP(CONCATENATE($U12,"@",BB$7),choice!$D:$E,2,0)))</f>
        <v/>
      </c>
      <c r="BC12" s="74" t="str">
        <f>IF($U12="","",IF(COUNTIF(choice!$D:$D,CONCATENATE($U12,"@",BC$7))=0,"",VLOOKUP(CONCATENATE($U12,"@",BC$7),choice!$D:$E,2,0)))</f>
        <v/>
      </c>
      <c r="BD12" s="74" t="str">
        <f>IF($U12="","",IF(COUNTIF(choice!$D:$D,CONCATENATE($U12,"@",BD$7))=0,"",VLOOKUP(CONCATENATE($U12,"@",BD$7),choice!$D:$E,2,0)))</f>
        <v/>
      </c>
      <c r="BE12" s="74" t="str">
        <f>IF($U12="","",IF(COUNTIF(choice!$D:$D,CONCATENATE($U12,"@",BE$7))=0,"",VLOOKUP(CONCATENATE($U12,"@",BE$7),choice!$D:$E,2,0)))</f>
        <v/>
      </c>
      <c r="BF12" s="74" t="str">
        <f>IF($U12="","",IF(COUNTIF(choice!$D:$D,CONCATENATE($U12,"@",BF$7))=0,"",VLOOKUP(CONCATENATE($U12,"@",BF$7),choice!$D:$E,2,0)))</f>
        <v/>
      </c>
      <c r="BG12" s="74" t="str">
        <f>IF($U12="","",IF(COUNTIF(choice!$D:$D,CONCATENATE($U12,"@",BG$7))=0,"",VLOOKUP(CONCATENATE($U12,"@",BG$7),choice!$D:$E,2,0)))</f>
        <v/>
      </c>
      <c r="BH12" s="74" t="str">
        <f>IF($U12="","",IF(COUNTIF(choice!$D:$D,CONCATENATE($U12,"@",BH$7))=0,"",VLOOKUP(CONCATENATE($U12,"@",BH$7),choice!$D:$E,2,0)))</f>
        <v/>
      </c>
      <c r="BI12" s="74" t="str">
        <f>IF($U12="","",IF(COUNTIF(choice!$D:$D,CONCATENATE($U12,"@",BI$7))=0,"",VLOOKUP(CONCATENATE($U12,"@",BI$7),choice!$D:$E,2,0)))</f>
        <v/>
      </c>
      <c r="BJ12" s="74" t="str">
        <f>IF($U12="","",IF(COUNTIF(choice!$D:$D,CONCATENATE($U12,"@",BJ$7))=0,"",VLOOKUP(CONCATENATE($U12,"@",BJ$7),choice!$D:$E,2,0)))</f>
        <v/>
      </c>
      <c r="BK12" s="74" t="str">
        <f>IF($U12="","",IF(COUNTIF(choice!$D:$D,CONCATENATE($U12,"@",BK$7))=0,"",VLOOKUP(CONCATENATE($U12,"@",BK$7),choice!$D:$E,2,0)))</f>
        <v/>
      </c>
      <c r="BL12" s="74" t="str">
        <f>IF($U12="","",IF(COUNTIF(choice!$D:$D,CONCATENATE($U12,"@",BL$7))=0,"",VLOOKUP(CONCATENATE($U12,"@",BL$7),choice!$D:$E,2,0)))</f>
        <v/>
      </c>
      <c r="BM12" s="74" t="str">
        <f>IF($U12="","",IF(COUNTIF(choice!$D:$D,CONCATENATE($U12,"@",BM$7))=0,"",VLOOKUP(CONCATENATE($U12,"@",BM$7),choice!$D:$E,2,0)))</f>
        <v/>
      </c>
      <c r="BN12" s="74" t="str">
        <f>IF($U12="","",IF(COUNTIF(choice!$D:$D,CONCATENATE($U12,"@",BN$7))=0,"",VLOOKUP(CONCATENATE($U12,"@",BN$7),choice!$D:$E,2,0)))</f>
        <v/>
      </c>
      <c r="BO12" s="74" t="str">
        <f>IF($U12="","",IF(COUNTIF(choice!$D:$D,CONCATENATE($U12,"@",BO$7))=0,"",VLOOKUP(CONCATENATE($U12,"@",BO$7),choice!$D:$E,2,0)))</f>
        <v/>
      </c>
      <c r="BP12" s="74" t="str">
        <f>IF($U12="","",IF(COUNTIF(choice!$D:$D,CONCATENATE($U12,"@",BP$7))=0,"",VLOOKUP(CONCATENATE($U12,"@",BP$7),choice!$D:$E,2,0)))</f>
        <v/>
      </c>
      <c r="BQ12" s="74" t="str">
        <f>IF($U12="","",IF(COUNTIF(choice!$D:$D,CONCATENATE($U12,"@",BQ$7))=0,"",VLOOKUP(CONCATENATE($U12,"@",BQ$7),choice!$D:$E,2,0)))</f>
        <v/>
      </c>
      <c r="BR12" s="74" t="str">
        <f>IF($U12="","",IF(COUNTIF(choice!$D:$D,CONCATENATE($U12,"@",BR$7))=0,"",VLOOKUP(CONCATENATE($U12,"@",BR$7),choice!$D:$E,2,0)))</f>
        <v/>
      </c>
      <c r="BS12" s="74" t="str">
        <f>IF($U12="","",IF(COUNTIF(choice!$D:$D,CONCATENATE($U12,"@",BS$7))=0,"",VLOOKUP(CONCATENATE($U12,"@",BS$7),choice!$D:$E,2,0)))</f>
        <v/>
      </c>
      <c r="BT12" s="74" t="str">
        <f>IF($U12="","",IF(COUNTIF(choice!$D:$D,CONCATENATE($U12,"@",BT$7))=0,"",VLOOKUP(CONCATENATE($U12,"@",BT$7),choice!$D:$E,2,0)))</f>
        <v/>
      </c>
      <c r="BU12" s="74" t="str">
        <f>IF($U12="","",IF(COUNTIF(choice!$D:$D,CONCATENATE($U12,"@",BU$7))=0,"",VLOOKUP(CONCATENATE($U12,"@",BU$7),choice!$D:$E,2,0)))</f>
        <v/>
      </c>
      <c r="BV12" s="74" t="str">
        <f>IF($U12="","",IF(COUNTIF(choice!$D:$D,CONCATENATE($U12,"@",BV$7))=0,"",VLOOKUP(CONCATENATE($U12,"@",BV$7),choice!$D:$E,2,0)))</f>
        <v/>
      </c>
      <c r="BW12" s="74" t="str">
        <f>IF($U12="","",IF(COUNTIF(choice!$D:$D,CONCATENATE($U12,"@",BW$7))=0,"",VLOOKUP(CONCATENATE($U12,"@",BW$7),choice!$D:$E,2,0)))</f>
        <v/>
      </c>
      <c r="BX12" s="74" t="str">
        <f>IF($U12="","",IF(COUNTIF(choice!$D:$D,CONCATENATE($U12,"@",BX$7))=0,"",VLOOKUP(CONCATENATE($U12,"@",BX$7),choice!$D:$E,2,0)))</f>
        <v/>
      </c>
      <c r="BY12" s="74" t="str">
        <f>IF($U12="","",IF(COUNTIF(choice!$D:$D,CONCATENATE($U12,"@",BY$7))=0,"",VLOOKUP(CONCATENATE($U12,"@",BY$7),choice!$D:$E,2,0)))</f>
        <v/>
      </c>
      <c r="BZ12" s="74" t="str">
        <f>IF($U12="","",IF(COUNTIF(choice!$D:$D,CONCATENATE($U12,"@",BZ$7))=0,"",VLOOKUP(CONCATENATE($U12,"@",BZ$7),choice!$D:$E,2,0)))</f>
        <v/>
      </c>
      <c r="CA12" s="74" t="str">
        <f>IF($U12="","",IF(COUNTIF(choice!$D:$D,CONCATENATE($U12,"@",CA$7))=0,"",VLOOKUP(CONCATENATE($U12,"@",CA$7),choice!$D:$E,2,0)))</f>
        <v/>
      </c>
      <c r="CB12" s="74" t="str">
        <f>IF($U12="","",IF(COUNTIF(choice!$D:$D,CONCATENATE($U12,"@",CB$7))=0,"",VLOOKUP(CONCATENATE($U12,"@",CB$7),choice!$D:$E,2,0)))</f>
        <v/>
      </c>
      <c r="CC12" s="74" t="str">
        <f>IF($U12="","",IF(COUNTIF(choice!$D:$D,CONCATENATE($U12,"@",CC$7))=0,"",VLOOKUP(CONCATENATE($U12,"@",CC$7),choice!$D:$E,2,0)))</f>
        <v/>
      </c>
      <c r="CD12" s="74" t="str">
        <f>IF($U12="","",IF(COUNTIF(choice!$D:$D,CONCATENATE($U12,"@",CD$7))=0,"",VLOOKUP(CONCATENATE($U12,"@",CD$7),choice!$D:$E,2,0)))</f>
        <v/>
      </c>
      <c r="CE12" s="74" t="str">
        <f>IF($U12="","",IF(COUNTIF(choice!$D:$D,CONCATENATE($U12,"@",CE$7))=0,"",VLOOKUP(CONCATENATE($U12,"@",CE$7),choice!$D:$E,2,0)))</f>
        <v/>
      </c>
      <c r="CF12" s="74" t="str">
        <f>IF($U12="","",IF(COUNTIF(choice!$D:$D,CONCATENATE($U12,"@",CF$7))=0,"",VLOOKUP(CONCATENATE($U12,"@",CF$7),choice!$D:$E,2,0)))</f>
        <v/>
      </c>
      <c r="CG12" s="74" t="str">
        <f>IF($U12="","",IF(COUNTIF(choice!$D:$D,CONCATENATE($U12,"@",CG$7))=0,"",VLOOKUP(CONCATENATE($U12,"@",CG$7),choice!$D:$E,2,0)))</f>
        <v/>
      </c>
      <c r="CH12" s="74" t="str">
        <f>IF($U12="","",IF(COUNTIF(choice!$D:$D,CONCATENATE($U12,"@",CH$7))=0,"",VLOOKUP(CONCATENATE($U12,"@",CH$7),choice!$D:$E,2,0)))</f>
        <v/>
      </c>
      <c r="CI12" s="74" t="str">
        <f>IF($U12="","",IF(COUNTIF(choice!$D:$D,CONCATENATE($U12,"@",CI$7))=0,"",VLOOKUP(CONCATENATE($U12,"@",CI$7),choice!$D:$E,2,0)))</f>
        <v/>
      </c>
      <c r="CJ12" s="81" t="str">
        <f>IF($U12="","",IF(COUNTIF(choice!$D:$D,CONCATENATE($U12,"@",CJ$7))=0,"",VLOOKUP(CONCATENATE($U12,"@",CJ$7),choice!$D:$E,2,0)))</f>
        <v/>
      </c>
      <c r="CK12" s="80" t="str">
        <f>IF($V12="","",IF(COUNTIF(choice!$D:$D,CONCATENATE($V12,"@",CK$7))=0,"",VLOOKUP(CONCATENATE($V12,"@",CK$7),choice!$D:$E,2,0)))</f>
        <v/>
      </c>
      <c r="CL12" s="74" t="str">
        <f>IF($V12="","",IF(COUNTIF(choice!$D:$D,CONCATENATE($V12,"@",CL$7))=0,"",VLOOKUP(CONCATENATE($V12,"@",CL$7),choice!$D:$E,2,0)))</f>
        <v/>
      </c>
      <c r="CM12" s="74" t="str">
        <f>IF($V12="","",IF(COUNTIF(choice!$D:$D,CONCATENATE($V12,"@",CM$7))=0,"",VLOOKUP(CONCATENATE($V12,"@",CM$7),choice!$D:$E,2,0)))</f>
        <v/>
      </c>
      <c r="CN12" s="74" t="str">
        <f>IF($V12="","",IF(COUNTIF(choice!$D:$D,CONCATENATE($V12,"@",CN$7))=0,"",VLOOKUP(CONCATENATE($V12,"@",CN$7),choice!$D:$E,2,0)))</f>
        <v/>
      </c>
      <c r="CO12" s="74" t="str">
        <f>IF($V12="","",IF(COUNTIF(choice!$D:$D,CONCATENATE($V12,"@",CO$7))=0,"",VLOOKUP(CONCATENATE($V12,"@",CO$7),choice!$D:$E,2,0)))</f>
        <v/>
      </c>
      <c r="CP12" s="74" t="str">
        <f>IF($V12="","",IF(COUNTIF(choice!$D:$D,CONCATENATE($V12,"@",CP$7))=0,"",VLOOKUP(CONCATENATE($V12,"@",CP$7),choice!$D:$E,2,0)))</f>
        <v/>
      </c>
      <c r="CQ12" s="74" t="str">
        <f>IF($V12="","",IF(COUNTIF(choice!$D:$D,CONCATENATE($V12,"@",CQ$7))=0,"",VLOOKUP(CONCATENATE($V12,"@",CQ$7),choice!$D:$E,2,0)))</f>
        <v/>
      </c>
      <c r="CR12" s="74" t="str">
        <f>IF($V12="","",IF(COUNTIF(choice!$D:$D,CONCATENATE($V12,"@",CR$7))=0,"",VLOOKUP(CONCATENATE($V12,"@",CR$7),choice!$D:$E,2,0)))</f>
        <v/>
      </c>
      <c r="CS12" s="74" t="str">
        <f>IF($V12="","",IF(COUNTIF(choice!$D:$D,CONCATENATE($V12,"@",CS$7))=0,"",VLOOKUP(CONCATENATE($V12,"@",CS$7),choice!$D:$E,2,0)))</f>
        <v/>
      </c>
      <c r="CT12" s="74" t="str">
        <f>IF($V12="","",IF(COUNTIF(choice!$D:$D,CONCATENATE($V12,"@",CT$7))=0,"",VLOOKUP(CONCATENATE($V12,"@",CT$7),choice!$D:$E,2,0)))</f>
        <v/>
      </c>
      <c r="CU12" s="74" t="str">
        <f>IF($V12="","",IF(COUNTIF(choice!$D:$D,CONCATENATE($V12,"@",CU$7))=0,"",VLOOKUP(CONCATENATE($V12,"@",CU$7),choice!$D:$E,2,0)))</f>
        <v/>
      </c>
      <c r="CV12" s="74" t="str">
        <f>IF($V12="","",IF(COUNTIF(choice!$D:$D,CONCATENATE($V12,"@",CV$7))=0,"",VLOOKUP(CONCATENATE($V12,"@",CV$7),choice!$D:$E,2,0)))</f>
        <v/>
      </c>
      <c r="CW12" s="74" t="str">
        <f>IF($V12="","",IF(COUNTIF(choice!$D:$D,CONCATENATE($V12,"@",CW$7))=0,"",VLOOKUP(CONCATENATE($V12,"@",CW$7),choice!$D:$E,2,0)))</f>
        <v/>
      </c>
      <c r="CX12" s="74" t="str">
        <f>IF($V12="","",IF(COUNTIF(choice!$D:$D,CONCATENATE($V12,"@",CX$7))=0,"",VLOOKUP(CONCATENATE($V12,"@",CX$7),choice!$D:$E,2,0)))</f>
        <v/>
      </c>
      <c r="CY12" s="74" t="str">
        <f>IF($V12="","",IF(COUNTIF(choice!$D:$D,CONCATENATE($V12,"@",CY$7))=0,"",VLOOKUP(CONCATENATE($V12,"@",CY$7),choice!$D:$E,2,0)))</f>
        <v/>
      </c>
      <c r="CZ12" s="74" t="str">
        <f>IF($V12="","",IF(COUNTIF(choice!$D:$D,CONCATENATE($V12,"@",CZ$7))=0,"",VLOOKUP(CONCATENATE($V12,"@",CZ$7),choice!$D:$E,2,0)))</f>
        <v/>
      </c>
      <c r="DA12" s="74" t="str">
        <f>IF($V12="","",IF(COUNTIF(choice!$D:$D,CONCATENATE($V12,"@",DA$7))=0,"",VLOOKUP(CONCATENATE($V12,"@",DA$7),choice!$D:$E,2,0)))</f>
        <v/>
      </c>
      <c r="DB12" s="74" t="str">
        <f>IF($V12="","",IF(COUNTIF(choice!$D:$D,CONCATENATE($V12,"@",DB$7))=0,"",VLOOKUP(CONCATENATE($V12,"@",DB$7),choice!$D:$E,2,0)))</f>
        <v/>
      </c>
      <c r="DC12" s="74" t="str">
        <f>IF($V12="","",IF(COUNTIF(choice!$D:$D,CONCATENATE($V12,"@",DC$7))=0,"",VLOOKUP(CONCATENATE($V12,"@",DC$7),choice!$D:$E,2,0)))</f>
        <v/>
      </c>
      <c r="DD12" s="74" t="str">
        <f>IF($V12="","",IF(COUNTIF(choice!$D:$D,CONCATENATE($V12,"@",DD$7))=0,"",VLOOKUP(CONCATENATE($V12,"@",DD$7),choice!$D:$E,2,0)))</f>
        <v/>
      </c>
      <c r="DE12" s="74" t="str">
        <f>IF($V12="","",IF(COUNTIF(choice!$D:$D,CONCATENATE($V12,"@",DE$7))=0,"",VLOOKUP(CONCATENATE($V12,"@",DE$7),choice!$D:$E,2,0)))</f>
        <v/>
      </c>
      <c r="DF12" s="74" t="str">
        <f>IF($V12="","",IF(COUNTIF(choice!$D:$D,CONCATENATE($V12,"@",DF$7))=0,"",VLOOKUP(CONCATENATE($V12,"@",DF$7),choice!$D:$E,2,0)))</f>
        <v/>
      </c>
      <c r="DG12" s="74" t="str">
        <f>IF($V12="","",IF(COUNTIF(choice!$D:$D,CONCATENATE($V12,"@",DG$7))=0,"",VLOOKUP(CONCATENATE($V12,"@",DG$7),choice!$D:$E,2,0)))</f>
        <v/>
      </c>
      <c r="DH12" s="74" t="str">
        <f>IF($V12="","",IF(COUNTIF(choice!$D:$D,CONCATENATE($V12,"@",DH$7))=0,"",VLOOKUP(CONCATENATE($V12,"@",DH$7),choice!$D:$E,2,0)))</f>
        <v/>
      </c>
      <c r="DI12" s="74" t="str">
        <f>IF($V12="","",IF(COUNTIF(choice!$D:$D,CONCATENATE($V12,"@",DI$7))=0,"",VLOOKUP(CONCATENATE($V12,"@",DI$7),choice!$D:$E,2,0)))</f>
        <v/>
      </c>
      <c r="DJ12" s="74" t="str">
        <f>IF($V12="","",IF(COUNTIF(choice!$D:$D,CONCATENATE($V12,"@",DJ$7))=0,"",VLOOKUP(CONCATENATE($V12,"@",DJ$7),choice!$D:$E,2,0)))</f>
        <v/>
      </c>
      <c r="DK12" s="74" t="str">
        <f>IF($V12="","",IF(COUNTIF(choice!$D:$D,CONCATENATE($V12,"@",DK$7))=0,"",VLOOKUP(CONCATENATE($V12,"@",DK$7),choice!$D:$E,2,0)))</f>
        <v/>
      </c>
      <c r="DL12" s="74" t="str">
        <f>IF($V12="","",IF(COUNTIF(choice!$D:$D,CONCATENATE($V12,"@",DL$7))=0,"",VLOOKUP(CONCATENATE($V12,"@",DL$7),choice!$D:$E,2,0)))</f>
        <v/>
      </c>
      <c r="DM12" s="74" t="str">
        <f>IF($V12="","",IF(COUNTIF(choice!$D:$D,CONCATENATE($V12,"@",DM$7))=0,"",VLOOKUP(CONCATENATE($V12,"@",DM$7),choice!$D:$E,2,0)))</f>
        <v/>
      </c>
      <c r="DN12" s="74" t="str">
        <f>IF($V12="","",IF(COUNTIF(choice!$D:$D,CONCATENATE($V12,"@",DN$7))=0,"",VLOOKUP(CONCATENATE($V12,"@",DN$7),choice!$D:$E,2,0)))</f>
        <v/>
      </c>
      <c r="DO12" s="74" t="str">
        <f>IF($V12="","",IF(COUNTIF(choice!$D:$D,CONCATENATE($V12,"@",DO$7))=0,"",VLOOKUP(CONCATENATE($V12,"@",DO$7),choice!$D:$E,2,0)))</f>
        <v/>
      </c>
      <c r="DP12" s="74" t="str">
        <f>IF($V12="","",IF(COUNTIF(choice!$D:$D,CONCATENATE($V12,"@",DP$7))=0,"",VLOOKUP(CONCATENATE($V12,"@",DP$7),choice!$D:$E,2,0)))</f>
        <v/>
      </c>
      <c r="DQ12" s="74" t="str">
        <f>IF($V12="","",IF(COUNTIF(choice!$D:$D,CONCATENATE($V12,"@",DQ$7))=0,"",VLOOKUP(CONCATENATE($V12,"@",DQ$7),choice!$D:$E,2,0)))</f>
        <v/>
      </c>
      <c r="DR12" s="74" t="str">
        <f>IF($V12="","",IF(COUNTIF(choice!$D:$D,CONCATENATE($V12,"@",DR$7))=0,"",VLOOKUP(CONCATENATE($V12,"@",DR$7),choice!$D:$E,2,0)))</f>
        <v/>
      </c>
      <c r="DS12" s="74" t="str">
        <f>IF($V12="","",IF(COUNTIF(choice!$D:$D,CONCATENATE($V12,"@",DS$7))=0,"",VLOOKUP(CONCATENATE($V12,"@",DS$7),choice!$D:$E,2,0)))</f>
        <v/>
      </c>
      <c r="DT12" s="74" t="str">
        <f>IF($V12="","",IF(COUNTIF(choice!$D:$D,CONCATENATE($V12,"@",DT$7))=0,"",VLOOKUP(CONCATENATE($V12,"@",DT$7),choice!$D:$E,2,0)))</f>
        <v/>
      </c>
      <c r="DU12" s="74" t="str">
        <f>IF($V12="","",IF(COUNTIF(choice!$D:$D,CONCATENATE($V12,"@",DU$7))=0,"",VLOOKUP(CONCATENATE($V12,"@",DU$7),choice!$D:$E,2,0)))</f>
        <v/>
      </c>
      <c r="DV12" s="74" t="str">
        <f>IF($V12="","",IF(COUNTIF(choice!$D:$D,CONCATENATE($V12,"@",DV$7))=0,"",VLOOKUP(CONCATENATE($V12,"@",DV$7),choice!$D:$E,2,0)))</f>
        <v/>
      </c>
      <c r="DW12" s="74" t="str">
        <f>IF($V12="","",IF(COUNTIF(choice!$D:$D,CONCATENATE($V12,"@",DW$7))=0,"",VLOOKUP(CONCATENATE($V12,"@",DW$7),choice!$D:$E,2,0)))</f>
        <v/>
      </c>
      <c r="DX12" s="74" t="str">
        <f>IF($V12="","",IF(COUNTIF(choice!$D:$D,CONCATENATE($V12,"@",DX$7))=0,"",VLOOKUP(CONCATENATE($V12,"@",DX$7),choice!$D:$E,2,0)))</f>
        <v/>
      </c>
      <c r="DY12" s="74" t="str">
        <f>IF($V12="","",IF(COUNTIF(choice!$D:$D,CONCATENATE($V12,"@",DY$7))=0,"",VLOOKUP(CONCATENATE($V12,"@",DY$7),choice!$D:$E,2,0)))</f>
        <v/>
      </c>
      <c r="DZ12" s="74" t="str">
        <f>IF($V12="","",IF(COUNTIF(choice!$D:$D,CONCATENATE($V12,"@",DZ$7))=0,"",VLOOKUP(CONCATENATE($V12,"@",DZ$7),choice!$D:$E,2,0)))</f>
        <v/>
      </c>
      <c r="EA12" s="74" t="str">
        <f>IF($V12="","",IF(COUNTIF(choice!$D:$D,CONCATENATE($V12,"@",EA$7))=0,"",VLOOKUP(CONCATENATE($V12,"@",EA$7),choice!$D:$E,2,0)))</f>
        <v/>
      </c>
      <c r="EB12" s="74" t="str">
        <f>IF($V12="","",IF(COUNTIF(choice!$D:$D,CONCATENATE($V12,"@",EB$7))=0,"",VLOOKUP(CONCATENATE($V12,"@",EB$7),choice!$D:$E,2,0)))</f>
        <v/>
      </c>
      <c r="EC12" s="81" t="str">
        <f>IF($V12="","",IF(COUNTIF(choice!$D:$D,CONCATENATE($V12,"@",EC$7))=0,"",VLOOKUP(CONCATENATE($V12,"@",EC$7),choice!$D:$E,2,0)))</f>
        <v/>
      </c>
      <c r="ED12" s="80" t="str">
        <f>IF($W12="","",IF(COUNTIF(choice!$D:$D,CONCATENATE($W12,"@",ED$7))=0,"",VLOOKUP(CONCATENATE($W12,"@",ED$7),choice!$D:$E,2,0)))</f>
        <v/>
      </c>
      <c r="EE12" s="74" t="str">
        <f>IF($W12="","",IF(COUNTIF(choice!$D:$D,CONCATENATE($W12,"@",EE$7))=0,"",VLOOKUP(CONCATENATE($W12,"@",EE$7),choice!$D:$E,2,0)))</f>
        <v/>
      </c>
      <c r="EF12" s="74" t="str">
        <f>IF($W12="","",IF(COUNTIF(choice!$D:$D,CONCATENATE($W12,"@",EF$7))=0,"",VLOOKUP(CONCATENATE($W12,"@",EF$7),choice!$D:$E,2,0)))</f>
        <v/>
      </c>
      <c r="EG12" s="74" t="str">
        <f>IF($W12="","",IF(COUNTIF(choice!$D:$D,CONCATENATE($W12,"@",EG$7))=0,"",VLOOKUP(CONCATENATE($W12,"@",EG$7),choice!$D:$E,2,0)))</f>
        <v/>
      </c>
      <c r="EH12" s="74" t="str">
        <f>IF($W12="","",IF(COUNTIF(choice!$D:$D,CONCATENATE($W12,"@",EH$7))=0,"",VLOOKUP(CONCATENATE($W12,"@",EH$7),choice!$D:$E,2,0)))</f>
        <v/>
      </c>
      <c r="EI12" s="74" t="str">
        <f>IF($W12="","",IF(COUNTIF(choice!$D:$D,CONCATENATE($W12,"@",EI$7))=0,"",VLOOKUP(CONCATENATE($W12,"@",EI$7),choice!$D:$E,2,0)))</f>
        <v/>
      </c>
      <c r="EJ12" s="74" t="str">
        <f>IF($W12="","",IF(COUNTIF(choice!$D:$D,CONCATENATE($W12,"@",EJ$7))=0,"",VLOOKUP(CONCATENATE($W12,"@",EJ$7),choice!$D:$E,2,0)))</f>
        <v/>
      </c>
      <c r="EK12" s="74" t="str">
        <f>IF($W12="","",IF(COUNTIF(choice!$D:$D,CONCATENATE($W12,"@",EK$7))=0,"",VLOOKUP(CONCATENATE($W12,"@",EK$7),choice!$D:$E,2,0)))</f>
        <v/>
      </c>
      <c r="EL12" s="74" t="str">
        <f>IF($W12="","",IF(COUNTIF(choice!$D:$D,CONCATENATE($W12,"@",EL$7))=0,"",VLOOKUP(CONCATENATE($W12,"@",EL$7),choice!$D:$E,2,0)))</f>
        <v/>
      </c>
      <c r="EM12" s="74" t="str">
        <f>IF($W12="","",IF(COUNTIF(choice!$D:$D,CONCATENATE($W12,"@",EM$7))=0,"",VLOOKUP(CONCATENATE($W12,"@",EM$7),choice!$D:$E,2,0)))</f>
        <v/>
      </c>
      <c r="EN12" s="74" t="str">
        <f>IF($W12="","",IF(COUNTIF(choice!$D:$D,CONCATENATE($W12,"@",EN$7))=0,"",VLOOKUP(CONCATENATE($W12,"@",EN$7),choice!$D:$E,2,0)))</f>
        <v/>
      </c>
      <c r="EO12" s="74" t="str">
        <f>IF($W12="","",IF(COUNTIF(choice!$D:$D,CONCATENATE($W12,"@",EO$7))=0,"",VLOOKUP(CONCATENATE($W12,"@",EO$7),choice!$D:$E,2,0)))</f>
        <v/>
      </c>
      <c r="EP12" s="74" t="str">
        <f>IF($W12="","",IF(COUNTIF(choice!$D:$D,CONCATENATE($W12,"@",EP$7))=0,"",VLOOKUP(CONCATENATE($W12,"@",EP$7),choice!$D:$E,2,0)))</f>
        <v/>
      </c>
      <c r="EQ12" s="74" t="str">
        <f>IF($W12="","",IF(COUNTIF(choice!$D:$D,CONCATENATE($W12,"@",EQ$7))=0,"",VLOOKUP(CONCATENATE($W12,"@",EQ$7),choice!$D:$E,2,0)))</f>
        <v/>
      </c>
      <c r="ER12" s="74" t="str">
        <f>IF($W12="","",IF(COUNTIF(choice!$D:$D,CONCATENATE($W12,"@",ER$7))=0,"",VLOOKUP(CONCATENATE($W12,"@",ER$7),choice!$D:$E,2,0)))</f>
        <v/>
      </c>
      <c r="ES12" s="74" t="str">
        <f>IF($W12="","",IF(COUNTIF(choice!$D:$D,CONCATENATE($W12,"@",ES$7))=0,"",VLOOKUP(CONCATENATE($W12,"@",ES$7),choice!$D:$E,2,0)))</f>
        <v/>
      </c>
      <c r="ET12" s="74" t="str">
        <f>IF($W12="","",IF(COUNTIF(choice!$D:$D,CONCATENATE($W12,"@",ET$7))=0,"",VLOOKUP(CONCATENATE($W12,"@",ET$7),choice!$D:$E,2,0)))</f>
        <v/>
      </c>
      <c r="EU12" s="74" t="str">
        <f>IF($W12="","",IF(COUNTIF(choice!$D:$D,CONCATENATE($W12,"@",EU$7))=0,"",VLOOKUP(CONCATENATE($W12,"@",EU$7),choice!$D:$E,2,0)))</f>
        <v/>
      </c>
      <c r="EV12" s="74" t="str">
        <f>IF($W12="","",IF(COUNTIF(choice!$D:$D,CONCATENATE($W12,"@",EV$7))=0,"",VLOOKUP(CONCATENATE($W12,"@",EV$7),choice!$D:$E,2,0)))</f>
        <v/>
      </c>
      <c r="EW12" s="74" t="str">
        <f>IF($W12="","",IF(COUNTIF(choice!$D:$D,CONCATENATE($W12,"@",EW$7))=0,"",VLOOKUP(CONCATENATE($W12,"@",EW$7),choice!$D:$E,2,0)))</f>
        <v/>
      </c>
      <c r="EX12" s="74" t="str">
        <f>IF($W12="","",IF(COUNTIF(choice!$D:$D,CONCATENATE($W12,"@",EX$7))=0,"",VLOOKUP(CONCATENATE($W12,"@",EX$7),choice!$D:$E,2,0)))</f>
        <v/>
      </c>
      <c r="EY12" s="74" t="str">
        <f>IF($W12="","",IF(COUNTIF(choice!$D:$D,CONCATENATE($W12,"@",EY$7))=0,"",VLOOKUP(CONCATENATE($W12,"@",EY$7),choice!$D:$E,2,0)))</f>
        <v/>
      </c>
      <c r="EZ12" s="74" t="str">
        <f>IF($W12="","",IF(COUNTIF(choice!$D:$D,CONCATENATE($W12,"@",EZ$7))=0,"",VLOOKUP(CONCATENATE($W12,"@",EZ$7),choice!$D:$E,2,0)))</f>
        <v/>
      </c>
      <c r="FA12" s="74" t="str">
        <f>IF($W12="","",IF(COUNTIF(choice!$D:$D,CONCATENATE($W12,"@",FA$7))=0,"",VLOOKUP(CONCATENATE($W12,"@",FA$7),choice!$D:$E,2,0)))</f>
        <v/>
      </c>
      <c r="FB12" s="74" t="str">
        <f>IF($W12="","",IF(COUNTIF(choice!$D:$D,CONCATENATE($W12,"@",FB$7))=0,"",VLOOKUP(CONCATENATE($W12,"@",FB$7),choice!$D:$E,2,0)))</f>
        <v/>
      </c>
      <c r="FC12" s="74" t="str">
        <f>IF($W12="","",IF(COUNTIF(choice!$D:$D,CONCATENATE($W12,"@",FC$7))=0,"",VLOOKUP(CONCATENATE($W12,"@",FC$7),choice!$D:$E,2,0)))</f>
        <v/>
      </c>
      <c r="FD12" s="74" t="str">
        <f>IF($W12="","",IF(COUNTIF(choice!$D:$D,CONCATENATE($W12,"@",FD$7))=0,"",VLOOKUP(CONCATENATE($W12,"@",FD$7),choice!$D:$E,2,0)))</f>
        <v/>
      </c>
      <c r="FE12" s="74" t="str">
        <f>IF($W12="","",IF(COUNTIF(choice!$D:$D,CONCATENATE($W12,"@",FE$7))=0,"",VLOOKUP(CONCATENATE($W12,"@",FE$7),choice!$D:$E,2,0)))</f>
        <v/>
      </c>
      <c r="FF12" s="74" t="str">
        <f>IF($W12="","",IF(COUNTIF(choice!$D:$D,CONCATENATE($W12,"@",FF$7))=0,"",VLOOKUP(CONCATENATE($W12,"@",FF$7),choice!$D:$E,2,0)))</f>
        <v/>
      </c>
      <c r="FG12" s="74" t="str">
        <f>IF($W12="","",IF(COUNTIF(choice!$D:$D,CONCATENATE($W12,"@",FG$7))=0,"",VLOOKUP(CONCATENATE($W12,"@",FG$7),choice!$D:$E,2,0)))</f>
        <v/>
      </c>
      <c r="FH12" s="74" t="str">
        <f>IF($W12="","",IF(COUNTIF(choice!$D:$D,CONCATENATE($W12,"@",FH$7))=0,"",VLOOKUP(CONCATENATE($W12,"@",FH$7),choice!$D:$E,2,0)))</f>
        <v/>
      </c>
      <c r="FI12" s="74" t="str">
        <f>IF($W12="","",IF(COUNTIF(choice!$D:$D,CONCATENATE($W12,"@",FI$7))=0,"",VLOOKUP(CONCATENATE($W12,"@",FI$7),choice!$D:$E,2,0)))</f>
        <v/>
      </c>
      <c r="FJ12" s="74" t="str">
        <f>IF($W12="","",IF(COUNTIF(choice!$D:$D,CONCATENATE($W12,"@",FJ$7))=0,"",VLOOKUP(CONCATENATE($W12,"@",FJ$7),choice!$D:$E,2,0)))</f>
        <v/>
      </c>
      <c r="FK12" s="74" t="str">
        <f>IF($W12="","",IF(COUNTIF(choice!$D:$D,CONCATENATE($W12,"@",FK$7))=0,"",VLOOKUP(CONCATENATE($W12,"@",FK$7),choice!$D:$E,2,0)))</f>
        <v/>
      </c>
      <c r="FL12" s="74" t="str">
        <f>IF($W12="","",IF(COUNTIF(choice!$D:$D,CONCATENATE($W12,"@",FL$7))=0,"",VLOOKUP(CONCATENATE($W12,"@",FL$7),choice!$D:$E,2,0)))</f>
        <v/>
      </c>
      <c r="FM12" s="74" t="str">
        <f>IF($W12="","",IF(COUNTIF(choice!$D:$D,CONCATENATE($W12,"@",FM$7))=0,"",VLOOKUP(CONCATENATE($W12,"@",FM$7),choice!$D:$E,2,0)))</f>
        <v/>
      </c>
      <c r="FN12" s="74" t="str">
        <f>IF($W12="","",IF(COUNTIF(choice!$D:$D,CONCATENATE($W12,"@",FN$7))=0,"",VLOOKUP(CONCATENATE($W12,"@",FN$7),choice!$D:$E,2,0)))</f>
        <v/>
      </c>
      <c r="FO12" s="74" t="str">
        <f>IF($W12="","",IF(COUNTIF(choice!$D:$D,CONCATENATE($W12,"@",FO$7))=0,"",VLOOKUP(CONCATENATE($W12,"@",FO$7),choice!$D:$E,2,0)))</f>
        <v/>
      </c>
      <c r="FP12" s="74" t="str">
        <f>IF($W12="","",IF(COUNTIF(choice!$D:$D,CONCATENATE($W12,"@",FP$7))=0,"",VLOOKUP(CONCATENATE($W12,"@",FP$7),choice!$D:$E,2,0)))</f>
        <v/>
      </c>
      <c r="FQ12" s="74" t="str">
        <f>IF($W12="","",IF(COUNTIF(choice!$D:$D,CONCATENATE($W12,"@",FQ$7))=0,"",VLOOKUP(CONCATENATE($W12,"@",FQ$7),choice!$D:$E,2,0)))</f>
        <v/>
      </c>
      <c r="FR12" s="74" t="str">
        <f>IF($W12="","",IF(COUNTIF(choice!$D:$D,CONCATENATE($W12,"@",FR$7))=0,"",VLOOKUP(CONCATENATE($W12,"@",FR$7),choice!$D:$E,2,0)))</f>
        <v/>
      </c>
      <c r="FS12" s="74" t="str">
        <f>IF($W12="","",IF(COUNTIF(choice!$D:$D,CONCATENATE($W12,"@",FS$7))=0,"",VLOOKUP(CONCATENATE($W12,"@",FS$7),choice!$D:$E,2,0)))</f>
        <v/>
      </c>
      <c r="FT12" s="74" t="str">
        <f>IF($W12="","",IF(COUNTIF(choice!$D:$D,CONCATENATE($W12,"@",FT$7))=0,"",VLOOKUP(CONCATENATE($W12,"@",FT$7),choice!$D:$E,2,0)))</f>
        <v/>
      </c>
      <c r="FU12" s="74" t="str">
        <f>IF($W12="","",IF(COUNTIF(choice!$D:$D,CONCATENATE($W12,"@",FU$7))=0,"",VLOOKUP(CONCATENATE($W12,"@",FU$7),choice!$D:$E,2,0)))</f>
        <v/>
      </c>
      <c r="FV12" s="81" t="str">
        <f>IF($W12="","",IF(COUNTIF(choice!$D:$D,CONCATENATE($W12,"@",FV$7))=0,"",VLOOKUP(CONCATENATE($W12,"@",FV$7),choice!$D:$E,2,0)))</f>
        <v/>
      </c>
      <c r="FW12" s="80" t="str">
        <f>IF($X12="","",IF(COUNTIF(choice!$D:$D,CONCATENATE($X12,"@",FW$7))=0,"",VLOOKUP(CONCATENATE($X12,"@",FW$7),choice!$D:$E,2,0)))</f>
        <v/>
      </c>
      <c r="FX12" s="74" t="str">
        <f>IF($X12="","",IF(COUNTIF(choice!$D:$D,CONCATENATE($X12,"@",FX$7))=0,"",VLOOKUP(CONCATENATE($X12,"@",FX$7),choice!$D:$E,2,0)))</f>
        <v/>
      </c>
      <c r="FY12" s="74" t="str">
        <f>IF($X12="","",IF(COUNTIF(choice!$D:$D,CONCATENATE($X12,"@",FY$7))=0,"",VLOOKUP(CONCATENATE($X12,"@",FY$7),choice!$D:$E,2,0)))</f>
        <v/>
      </c>
      <c r="FZ12" s="74" t="str">
        <f>IF($X12="","",IF(COUNTIF(choice!$D:$D,CONCATENATE($X12,"@",FZ$7))=0,"",VLOOKUP(CONCATENATE($X12,"@",FZ$7),choice!$D:$E,2,0)))</f>
        <v/>
      </c>
      <c r="GA12" s="74" t="str">
        <f>IF($X12="","",IF(COUNTIF(choice!$D:$D,CONCATENATE($X12,"@",GA$7))=0,"",VLOOKUP(CONCATENATE($X12,"@",GA$7),choice!$D:$E,2,0)))</f>
        <v/>
      </c>
      <c r="GB12" s="74" t="str">
        <f>IF($X12="","",IF(COUNTIF(choice!$D:$D,CONCATENATE($X12,"@",GB$7))=0,"",VLOOKUP(CONCATENATE($X12,"@",GB$7),choice!$D:$E,2,0)))</f>
        <v/>
      </c>
      <c r="GC12" s="74" t="str">
        <f>IF($X12="","",IF(COUNTIF(choice!$D:$D,CONCATENATE($X12,"@",GC$7))=0,"",VLOOKUP(CONCATENATE($X12,"@",GC$7),choice!$D:$E,2,0)))</f>
        <v/>
      </c>
      <c r="GD12" s="74" t="str">
        <f>IF($X12="","",IF(COUNTIF(choice!$D:$D,CONCATENATE($X12,"@",GD$7))=0,"",VLOOKUP(CONCATENATE($X12,"@",GD$7),choice!$D:$E,2,0)))</f>
        <v/>
      </c>
      <c r="GE12" s="74" t="str">
        <f>IF($X12="","",IF(COUNTIF(choice!$D:$D,CONCATENATE($X12,"@",GE$7))=0,"",VLOOKUP(CONCATENATE($X12,"@",GE$7),choice!$D:$E,2,0)))</f>
        <v/>
      </c>
      <c r="GF12" s="74" t="str">
        <f>IF($X12="","",IF(COUNTIF(choice!$D:$D,CONCATENATE($X12,"@",GF$7))=0,"",VLOOKUP(CONCATENATE($X12,"@",GF$7),choice!$D:$E,2,0)))</f>
        <v/>
      </c>
      <c r="GG12" s="74" t="str">
        <f>IF($X12="","",IF(COUNTIF(choice!$D:$D,CONCATENATE($X12,"@",GG$7))=0,"",VLOOKUP(CONCATENATE($X12,"@",GG$7),choice!$D:$E,2,0)))</f>
        <v/>
      </c>
      <c r="GH12" s="74" t="str">
        <f>IF($X12="","",IF(COUNTIF(choice!$D:$D,CONCATENATE($X12,"@",GH$7))=0,"",VLOOKUP(CONCATENATE($X12,"@",GH$7),choice!$D:$E,2,0)))</f>
        <v/>
      </c>
      <c r="GI12" s="74" t="str">
        <f>IF($X12="","",IF(COUNTIF(choice!$D:$D,CONCATENATE($X12,"@",GI$7))=0,"",VLOOKUP(CONCATENATE($X12,"@",GI$7),choice!$D:$E,2,0)))</f>
        <v/>
      </c>
      <c r="GJ12" s="74" t="str">
        <f>IF($X12="","",IF(COUNTIF(choice!$D:$D,CONCATENATE($X12,"@",GJ$7))=0,"",VLOOKUP(CONCATENATE($X12,"@",GJ$7),choice!$D:$E,2,0)))</f>
        <v/>
      </c>
      <c r="GK12" s="74" t="str">
        <f>IF($X12="","",IF(COUNTIF(choice!$D:$D,CONCATENATE($X12,"@",GK$7))=0,"",VLOOKUP(CONCATENATE($X12,"@",GK$7),choice!$D:$E,2,0)))</f>
        <v/>
      </c>
      <c r="GL12" s="74" t="str">
        <f>IF($X12="","",IF(COUNTIF(choice!$D:$D,CONCATENATE($X12,"@",GL$7))=0,"",VLOOKUP(CONCATENATE($X12,"@",GL$7),choice!$D:$E,2,0)))</f>
        <v/>
      </c>
      <c r="GM12" s="74" t="str">
        <f>IF($X12="","",IF(COUNTIF(choice!$D:$D,CONCATENATE($X12,"@",GM$7))=0,"",VLOOKUP(CONCATENATE($X12,"@",GM$7),choice!$D:$E,2,0)))</f>
        <v/>
      </c>
      <c r="GN12" s="74" t="str">
        <f>IF($X12="","",IF(COUNTIF(choice!$D:$D,CONCATENATE($X12,"@",GN$7))=0,"",VLOOKUP(CONCATENATE($X12,"@",GN$7),choice!$D:$E,2,0)))</f>
        <v/>
      </c>
      <c r="GO12" s="74" t="str">
        <f>IF($X12="","",IF(COUNTIF(choice!$D:$D,CONCATENATE($X12,"@",GO$7))=0,"",VLOOKUP(CONCATENATE($X12,"@",GO$7),choice!$D:$E,2,0)))</f>
        <v/>
      </c>
      <c r="GP12" s="74" t="str">
        <f>IF($X12="","",IF(COUNTIF(choice!$D:$D,CONCATENATE($X12,"@",GP$7))=0,"",VLOOKUP(CONCATENATE($X12,"@",GP$7),choice!$D:$E,2,0)))</f>
        <v/>
      </c>
      <c r="GQ12" s="74" t="str">
        <f>IF($X12="","",IF(COUNTIF(choice!$D:$D,CONCATENATE($X12,"@",GQ$7))=0,"",VLOOKUP(CONCATENATE($X12,"@",GQ$7),choice!$D:$E,2,0)))</f>
        <v/>
      </c>
      <c r="GR12" s="74" t="str">
        <f>IF($X12="","",IF(COUNTIF(choice!$D:$D,CONCATENATE($X12,"@",GR$7))=0,"",VLOOKUP(CONCATENATE($X12,"@",GR$7),choice!$D:$E,2,0)))</f>
        <v/>
      </c>
      <c r="GS12" s="74" t="str">
        <f>IF($X12="","",IF(COUNTIF(choice!$D:$D,CONCATENATE($X12,"@",GS$7))=0,"",VLOOKUP(CONCATENATE($X12,"@",GS$7),choice!$D:$E,2,0)))</f>
        <v/>
      </c>
      <c r="GT12" s="74" t="str">
        <f>IF($X12="","",IF(COUNTIF(choice!$D:$D,CONCATENATE($X12,"@",GT$7))=0,"",VLOOKUP(CONCATENATE($X12,"@",GT$7),choice!$D:$E,2,0)))</f>
        <v/>
      </c>
      <c r="GU12" s="74" t="str">
        <f>IF($X12="","",IF(COUNTIF(choice!$D:$D,CONCATENATE($X12,"@",GU$7))=0,"",VLOOKUP(CONCATENATE($X12,"@",GU$7),choice!$D:$E,2,0)))</f>
        <v/>
      </c>
      <c r="GV12" s="74" t="str">
        <f>IF($X12="","",IF(COUNTIF(choice!$D:$D,CONCATENATE($X12,"@",GV$7))=0,"",VLOOKUP(CONCATENATE($X12,"@",GV$7),choice!$D:$E,2,0)))</f>
        <v/>
      </c>
      <c r="GW12" s="74" t="str">
        <f>IF($X12="","",IF(COUNTIF(choice!$D:$D,CONCATENATE($X12,"@",GW$7))=0,"",VLOOKUP(CONCATENATE($X12,"@",GW$7),choice!$D:$E,2,0)))</f>
        <v/>
      </c>
      <c r="GX12" s="74" t="str">
        <f>IF($X12="","",IF(COUNTIF(choice!$D:$D,CONCATENATE($X12,"@",GX$7))=0,"",VLOOKUP(CONCATENATE($X12,"@",GX$7),choice!$D:$E,2,0)))</f>
        <v/>
      </c>
      <c r="GY12" s="74" t="str">
        <f>IF($X12="","",IF(COUNTIF(choice!$D:$D,CONCATENATE($X12,"@",GY$7))=0,"",VLOOKUP(CONCATENATE($X12,"@",GY$7),choice!$D:$E,2,0)))</f>
        <v/>
      </c>
      <c r="GZ12" s="74" t="str">
        <f>IF($X12="","",IF(COUNTIF(choice!$D:$D,CONCATENATE($X12,"@",GZ$7))=0,"",VLOOKUP(CONCATENATE($X12,"@",GZ$7),choice!$D:$E,2,0)))</f>
        <v/>
      </c>
      <c r="HA12" s="74" t="str">
        <f>IF($X12="","",IF(COUNTIF(choice!$D:$D,CONCATENATE($X12,"@",HA$7))=0,"",VLOOKUP(CONCATENATE($X12,"@",HA$7),choice!$D:$E,2,0)))</f>
        <v/>
      </c>
      <c r="HB12" s="74" t="str">
        <f>IF($X12="","",IF(COUNTIF(choice!$D:$D,CONCATENATE($X12,"@",HB$7))=0,"",VLOOKUP(CONCATENATE($X12,"@",HB$7),choice!$D:$E,2,0)))</f>
        <v/>
      </c>
      <c r="HC12" s="74" t="str">
        <f>IF($X12="","",IF(COUNTIF(choice!$D:$D,CONCATENATE($X12,"@",HC$7))=0,"",VLOOKUP(CONCATENATE($X12,"@",HC$7),choice!$D:$E,2,0)))</f>
        <v/>
      </c>
      <c r="HD12" s="74" t="str">
        <f>IF($X12="","",IF(COUNTIF(choice!$D:$D,CONCATENATE($X12,"@",HD$7))=0,"",VLOOKUP(CONCATENATE($X12,"@",HD$7),choice!$D:$E,2,0)))</f>
        <v/>
      </c>
      <c r="HE12" s="74" t="str">
        <f>IF($X12="","",IF(COUNTIF(choice!$D:$D,CONCATENATE($X12,"@",HE$7))=0,"",VLOOKUP(CONCATENATE($X12,"@",HE$7),choice!$D:$E,2,0)))</f>
        <v/>
      </c>
      <c r="HF12" s="74" t="str">
        <f>IF($X12="","",IF(COUNTIF(choice!$D:$D,CONCATENATE($X12,"@",HF$7))=0,"",VLOOKUP(CONCATENATE($X12,"@",HF$7),choice!$D:$E,2,0)))</f>
        <v/>
      </c>
      <c r="HG12" s="74" t="str">
        <f>IF($X12="","",IF(COUNTIF(choice!$D:$D,CONCATENATE($X12,"@",HG$7))=0,"",VLOOKUP(CONCATENATE($X12,"@",HG$7),choice!$D:$E,2,0)))</f>
        <v/>
      </c>
      <c r="HH12" s="74" t="str">
        <f>IF($X12="","",IF(COUNTIF(choice!$D:$D,CONCATENATE($X12,"@",HH$7))=0,"",VLOOKUP(CONCATENATE($X12,"@",HH$7),choice!$D:$E,2,0)))</f>
        <v/>
      </c>
      <c r="HI12" s="74" t="str">
        <f>IF($X12="","",IF(COUNTIF(choice!$D:$D,CONCATENATE($X12,"@",HI$7))=0,"",VLOOKUP(CONCATENATE($X12,"@",HI$7),choice!$D:$E,2,0)))</f>
        <v/>
      </c>
      <c r="HJ12" s="74" t="str">
        <f>IF($X12="","",IF(COUNTIF(choice!$D:$D,CONCATENATE($X12,"@",HJ$7))=0,"",VLOOKUP(CONCATENATE($X12,"@",HJ$7),choice!$D:$E,2,0)))</f>
        <v/>
      </c>
      <c r="HK12" s="74" t="str">
        <f>IF($X12="","",IF(COUNTIF(choice!$D:$D,CONCATENATE($X12,"@",HK$7))=0,"",VLOOKUP(CONCATENATE($X12,"@",HK$7),choice!$D:$E,2,0)))</f>
        <v/>
      </c>
      <c r="HL12" s="74" t="str">
        <f>IF($X12="","",IF(COUNTIF(choice!$D:$D,CONCATENATE($X12,"@",HL$7))=0,"",VLOOKUP(CONCATENATE($X12,"@",HL$7),choice!$D:$E,2,0)))</f>
        <v/>
      </c>
      <c r="HM12" s="74" t="str">
        <f>IF($X12="","",IF(COUNTIF(choice!$D:$D,CONCATENATE($X12,"@",HM$7))=0,"",VLOOKUP(CONCATENATE($X12,"@",HM$7),choice!$D:$E,2,0)))</f>
        <v/>
      </c>
      <c r="HN12" s="74" t="str">
        <f>IF($X12="","",IF(COUNTIF(choice!$D:$D,CONCATENATE($X12,"@",HN$7))=0,"",VLOOKUP(CONCATENATE($X12,"@",HN$7),choice!$D:$E,2,0)))</f>
        <v/>
      </c>
      <c r="HO12" s="81" t="str">
        <f>IF($X12="","",IF(COUNTIF(choice!$D:$D,CONCATENATE($X12,"@",HO$7))=0,"",VLOOKUP(CONCATENATE($X12,"@",HO$7),choice!$D:$E,2,0)))</f>
        <v/>
      </c>
      <c r="HP12" s="20" t="s">
        <v>60</v>
      </c>
      <c r="HQ12" s="20" t="s">
        <v>61</v>
      </c>
      <c r="HV12" s="74">
        <f t="shared" si="12"/>
        <v>0</v>
      </c>
      <c r="HW12" s="74">
        <f t="shared" si="13"/>
        <v>0</v>
      </c>
      <c r="HX12" s="74">
        <f t="shared" si="14"/>
        <v>0</v>
      </c>
      <c r="HY12" s="74">
        <f t="shared" si="15"/>
        <v>0</v>
      </c>
      <c r="HZ12" s="74">
        <f t="shared" si="21"/>
        <v>0</v>
      </c>
      <c r="IA12" s="74">
        <f t="shared" si="21"/>
        <v>0</v>
      </c>
      <c r="IB12" s="74" t="str">
        <f t="shared" si="22"/>
        <v/>
      </c>
      <c r="IC12" s="74" t="str">
        <f t="shared" si="23"/>
        <v/>
      </c>
      <c r="ID12" s="74" t="str">
        <f t="shared" si="16"/>
        <v/>
      </c>
      <c r="IE12" s="74">
        <f t="shared" si="17"/>
        <v>31</v>
      </c>
      <c r="IF12" s="74">
        <f>COUNTIFS(ID$8:ID12,"BLUE")</f>
        <v>0</v>
      </c>
      <c r="IG12" s="74" t="str">
        <f t="shared" si="18"/>
        <v/>
      </c>
      <c r="IH12" s="74" t="str">
        <f>IF(COUNTIFS($AQ12,"*02*")=0,"",COUNTIFS(IJ$8:IJ12,"BLUE"))</f>
        <v/>
      </c>
      <c r="II12" s="74" t="str">
        <f>IF(COUNTIFS($AQ12,"*04*")=0,"",COUNTIFS(IK$8:IK12,"BLUE"))</f>
        <v/>
      </c>
      <c r="IJ12" s="74" t="str">
        <f t="shared" si="24"/>
        <v/>
      </c>
      <c r="IK12" s="74" t="str">
        <f t="shared" si="25"/>
        <v/>
      </c>
      <c r="IL12" s="74" t="str">
        <f t="shared" si="19"/>
        <v/>
      </c>
      <c r="IM12" s="74" t="str">
        <f t="shared" si="20"/>
        <v/>
      </c>
      <c r="IN12" s="74">
        <f>COUNTIFS(IJ$8:IJ12,"BLUE")</f>
        <v>0</v>
      </c>
      <c r="IO12" s="74">
        <f>COUNTIFS(IK$8:IK12,"BLUE")</f>
        <v>0</v>
      </c>
    </row>
    <row r="13" spans="1:249" s="20" customFormat="1" ht="25.5" customHeight="1">
      <c r="A13" s="33"/>
      <c r="B13" s="30">
        <v>32</v>
      </c>
      <c r="C13" s="150"/>
      <c r="D13" s="97"/>
      <c r="E13" s="91" t="e">
        <f>VLOOKUP(F13,'Radio Call Sign'!A:B,2)</f>
        <v>#N/A</v>
      </c>
      <c r="F13" s="88"/>
      <c r="G13" s="91" t="e">
        <f>VLOOKUP(H13,'Radio Call Sign'!A:B,2)</f>
        <v>#N/A</v>
      </c>
      <c r="H13" s="88"/>
      <c r="I13" s="89" t="str">
        <f t="shared" si="4"/>
        <v/>
      </c>
      <c r="J13" s="90" t="str">
        <f t="shared" si="9"/>
        <v/>
      </c>
      <c r="K13" s="86" t="str">
        <f t="shared" si="10"/>
        <v/>
      </c>
      <c r="L13" s="151"/>
      <c r="M13" s="190" t="str">
        <f t="shared" si="11"/>
        <v/>
      </c>
      <c r="N13" s="21"/>
      <c r="O13" s="21"/>
      <c r="P13" s="53"/>
      <c r="Q13" s="163" t="str">
        <f>IF(AA13="","",IF(COUNTIFS('overhead line area'!$D$3:$D$100,AA13)+COUNTIFS('overhead line area'!$D$3:$D$100,AB13)+COUNTIFS('overhead line area'!$D$3:$D$100,AC13)+COUNTIFS('overhead line area'!$D$3:$D$100,AD13)=0,"","*               "))</f>
        <v/>
      </c>
      <c r="R13" s="53"/>
      <c r="S13" s="24"/>
      <c r="U13" s="74"/>
      <c r="V13" s="74"/>
      <c r="W13" s="74"/>
      <c r="X13" s="74"/>
      <c r="Y13" s="74"/>
      <c r="AA13" s="74" t="str">
        <f t="shared" si="5"/>
        <v/>
      </c>
      <c r="AB13" s="74" t="str">
        <f t="shared" si="6"/>
        <v/>
      </c>
      <c r="AC13" s="74" t="str">
        <f t="shared" si="6"/>
        <v/>
      </c>
      <c r="AD13" s="74" t="str">
        <f t="shared" si="6"/>
        <v/>
      </c>
      <c r="AF13" s="74" t="str">
        <f>IF(AA13="","",IF(COUNTIF(Route!$AM:$AM,'Add-on Train Movement Log'!AA13)=0,"未有資料",VLOOKUP('Add-on Train Movement Log'!AA13,Route!$AM:$AP,3,0)))</f>
        <v/>
      </c>
      <c r="AG13" s="74" t="str">
        <f>IF(AB13="","",IF(COUNTIF(Route!$AM:$AM,'Add-on Train Movement Log'!AB13)=0,"未有資料",VLOOKUP('Add-on Train Movement Log'!AB13,Route!$AM:$AP,3,0)))</f>
        <v/>
      </c>
      <c r="AH13" s="74" t="str">
        <f>IF(AC13="","",IF(COUNTIF(Route!$AM:$AM,'Add-on Train Movement Log'!AC13)=0,"未有資料",VLOOKUP('Add-on Train Movement Log'!AC13,Route!$AM:$AP,3,0)))</f>
        <v/>
      </c>
      <c r="AI13" s="74" t="str">
        <f>IF(AD13="","",IF(COUNTIF(Route!$AM:$AM,'Add-on Train Movement Log'!AD13)=0,"未有資料",VLOOKUP('Add-on Train Movement Log'!AD13,Route!$AM:$AP,3,0)))</f>
        <v/>
      </c>
      <c r="AK13" s="74" t="str">
        <f>IF(AA13="","",IF(COUNTIF(Route!$AM:$AM,'Add-on Train Movement Log'!AA13)=0,"未有資料",VLOOKUP('Add-on Train Movement Log'!AA13,Route!$AM:$AP,4,0)))</f>
        <v/>
      </c>
      <c r="AL13" s="74" t="str">
        <f>IF(AB13="","",IF(COUNTIF(Route!$AM:$AM,'Add-on Train Movement Log'!AB13)=0,"未有資料",VLOOKUP('Add-on Train Movement Log'!AB13,Route!$AM:$AP,4,0)))</f>
        <v/>
      </c>
      <c r="AM13" s="74" t="str">
        <f>IF(AC13="","",IF(COUNTIF(Route!$AM:$AM,'Add-on Train Movement Log'!AC13)=0,"未有資料",VLOOKUP('Add-on Train Movement Log'!AC13,Route!$AM:$AP,4,0)))</f>
        <v/>
      </c>
      <c r="AN13" s="74" t="str">
        <f>IF(AD13="","",IF(COUNTIF(Route!$AM:$AM,'Add-on Train Movement Log'!AD13)=0,"未有資料",VLOOKUP('Add-on Train Movement Log'!AD13,Route!$AM:$AP,4,0)))</f>
        <v/>
      </c>
      <c r="AP13" s="74" t="str">
        <f t="shared" si="7"/>
        <v/>
      </c>
      <c r="AQ13" s="76" t="str">
        <f t="shared" si="8"/>
        <v/>
      </c>
      <c r="AR13" s="80" t="str">
        <f>IF($U13="","",IF(COUNTIF(choice!$D:$D,CONCATENATE($U13,"@",AR$7))=0,"",VLOOKUP(CONCATENATE($U13,"@",AR$7),choice!$D:$E,2,0)))</f>
        <v/>
      </c>
      <c r="AS13" s="74" t="str">
        <f>IF($U13="","",IF(COUNTIF(choice!$D:$D,CONCATENATE($U13,"@",AS$7))=0,"",VLOOKUP(CONCATENATE($U13,"@",AS$7),choice!$D:$E,2,0)))</f>
        <v/>
      </c>
      <c r="AT13" s="74" t="str">
        <f>IF($U13="","",IF(COUNTIF(choice!$D:$D,CONCATENATE($U13,"@",AT$7))=0,"",VLOOKUP(CONCATENATE($U13,"@",AT$7),choice!$D:$E,2,0)))</f>
        <v/>
      </c>
      <c r="AU13" s="74" t="str">
        <f>IF($U13="","",IF(COUNTIF(choice!$D:$D,CONCATENATE($U13,"@",AU$7))=0,"",VLOOKUP(CONCATENATE($U13,"@",AU$7),choice!$D:$E,2,0)))</f>
        <v/>
      </c>
      <c r="AV13" s="74" t="str">
        <f>IF($U13="","",IF(COUNTIF(choice!$D:$D,CONCATENATE($U13,"@",AV$7))=0,"",VLOOKUP(CONCATENATE($U13,"@",AV$7),choice!$D:$E,2,0)))</f>
        <v/>
      </c>
      <c r="AW13" s="74" t="str">
        <f>IF($U13="","",IF(COUNTIF(choice!$D:$D,CONCATENATE($U13,"@",AW$7))=0,"",VLOOKUP(CONCATENATE($U13,"@",AW$7),choice!$D:$E,2,0)))</f>
        <v/>
      </c>
      <c r="AX13" s="74" t="str">
        <f>IF($U13="","",IF(COUNTIF(choice!$D:$D,CONCATENATE($U13,"@",AX$7))=0,"",VLOOKUP(CONCATENATE($U13,"@",AX$7),choice!$D:$E,2,0)))</f>
        <v/>
      </c>
      <c r="AY13" s="74" t="str">
        <f>IF($U13="","",IF(COUNTIF(choice!$D:$D,CONCATENATE($U13,"@",AY$7))=0,"",VLOOKUP(CONCATENATE($U13,"@",AY$7),choice!$D:$E,2,0)))</f>
        <v/>
      </c>
      <c r="AZ13" s="74" t="str">
        <f>IF($U13="","",IF(COUNTIF(choice!$D:$D,CONCATENATE($U13,"@",AZ$7))=0,"",VLOOKUP(CONCATENATE($U13,"@",AZ$7),choice!$D:$E,2,0)))</f>
        <v/>
      </c>
      <c r="BA13" s="74" t="str">
        <f>IF($U13="","",IF(COUNTIF(choice!$D:$D,CONCATENATE($U13,"@",BA$7))=0,"",VLOOKUP(CONCATENATE($U13,"@",BA$7),choice!$D:$E,2,0)))</f>
        <v/>
      </c>
      <c r="BB13" s="74" t="str">
        <f>IF($U13="","",IF(COUNTIF(choice!$D:$D,CONCATENATE($U13,"@",BB$7))=0,"",VLOOKUP(CONCATENATE($U13,"@",BB$7),choice!$D:$E,2,0)))</f>
        <v/>
      </c>
      <c r="BC13" s="74" t="str">
        <f>IF($U13="","",IF(COUNTIF(choice!$D:$D,CONCATENATE($U13,"@",BC$7))=0,"",VLOOKUP(CONCATENATE($U13,"@",BC$7),choice!$D:$E,2,0)))</f>
        <v/>
      </c>
      <c r="BD13" s="74" t="str">
        <f>IF($U13="","",IF(COUNTIF(choice!$D:$D,CONCATENATE($U13,"@",BD$7))=0,"",VLOOKUP(CONCATENATE($U13,"@",BD$7),choice!$D:$E,2,0)))</f>
        <v/>
      </c>
      <c r="BE13" s="74" t="str">
        <f>IF($U13="","",IF(COUNTIF(choice!$D:$D,CONCATENATE($U13,"@",BE$7))=0,"",VLOOKUP(CONCATENATE($U13,"@",BE$7),choice!$D:$E,2,0)))</f>
        <v/>
      </c>
      <c r="BF13" s="74" t="str">
        <f>IF($U13="","",IF(COUNTIF(choice!$D:$D,CONCATENATE($U13,"@",BF$7))=0,"",VLOOKUP(CONCATENATE($U13,"@",BF$7),choice!$D:$E,2,0)))</f>
        <v/>
      </c>
      <c r="BG13" s="74" t="str">
        <f>IF($U13="","",IF(COUNTIF(choice!$D:$D,CONCATENATE($U13,"@",BG$7))=0,"",VLOOKUP(CONCATENATE($U13,"@",BG$7),choice!$D:$E,2,0)))</f>
        <v/>
      </c>
      <c r="BH13" s="74" t="str">
        <f>IF($U13="","",IF(COUNTIF(choice!$D:$D,CONCATENATE($U13,"@",BH$7))=0,"",VLOOKUP(CONCATENATE($U13,"@",BH$7),choice!$D:$E,2,0)))</f>
        <v/>
      </c>
      <c r="BI13" s="74" t="str">
        <f>IF($U13="","",IF(COUNTIF(choice!$D:$D,CONCATENATE($U13,"@",BI$7))=0,"",VLOOKUP(CONCATENATE($U13,"@",BI$7),choice!$D:$E,2,0)))</f>
        <v/>
      </c>
      <c r="BJ13" s="74" t="str">
        <f>IF($U13="","",IF(COUNTIF(choice!$D:$D,CONCATENATE($U13,"@",BJ$7))=0,"",VLOOKUP(CONCATENATE($U13,"@",BJ$7),choice!$D:$E,2,0)))</f>
        <v/>
      </c>
      <c r="BK13" s="74" t="str">
        <f>IF($U13="","",IF(COUNTIF(choice!$D:$D,CONCATENATE($U13,"@",BK$7))=0,"",VLOOKUP(CONCATENATE($U13,"@",BK$7),choice!$D:$E,2,0)))</f>
        <v/>
      </c>
      <c r="BL13" s="74" t="str">
        <f>IF($U13="","",IF(COUNTIF(choice!$D:$D,CONCATENATE($U13,"@",BL$7))=0,"",VLOOKUP(CONCATENATE($U13,"@",BL$7),choice!$D:$E,2,0)))</f>
        <v/>
      </c>
      <c r="BM13" s="74" t="str">
        <f>IF($U13="","",IF(COUNTIF(choice!$D:$D,CONCATENATE($U13,"@",BM$7))=0,"",VLOOKUP(CONCATENATE($U13,"@",BM$7),choice!$D:$E,2,0)))</f>
        <v/>
      </c>
      <c r="BN13" s="74" t="str">
        <f>IF($U13="","",IF(COUNTIF(choice!$D:$D,CONCATENATE($U13,"@",BN$7))=0,"",VLOOKUP(CONCATENATE($U13,"@",BN$7),choice!$D:$E,2,0)))</f>
        <v/>
      </c>
      <c r="BO13" s="74" t="str">
        <f>IF($U13="","",IF(COUNTIF(choice!$D:$D,CONCATENATE($U13,"@",BO$7))=0,"",VLOOKUP(CONCATENATE($U13,"@",BO$7),choice!$D:$E,2,0)))</f>
        <v/>
      </c>
      <c r="BP13" s="74" t="str">
        <f>IF($U13="","",IF(COUNTIF(choice!$D:$D,CONCATENATE($U13,"@",BP$7))=0,"",VLOOKUP(CONCATENATE($U13,"@",BP$7),choice!$D:$E,2,0)))</f>
        <v/>
      </c>
      <c r="BQ13" s="74" t="str">
        <f>IF($U13="","",IF(COUNTIF(choice!$D:$D,CONCATENATE($U13,"@",BQ$7))=0,"",VLOOKUP(CONCATENATE($U13,"@",BQ$7),choice!$D:$E,2,0)))</f>
        <v/>
      </c>
      <c r="BR13" s="74" t="str">
        <f>IF($U13="","",IF(COUNTIF(choice!$D:$D,CONCATENATE($U13,"@",BR$7))=0,"",VLOOKUP(CONCATENATE($U13,"@",BR$7),choice!$D:$E,2,0)))</f>
        <v/>
      </c>
      <c r="BS13" s="74" t="str">
        <f>IF($U13="","",IF(COUNTIF(choice!$D:$D,CONCATENATE($U13,"@",BS$7))=0,"",VLOOKUP(CONCATENATE($U13,"@",BS$7),choice!$D:$E,2,0)))</f>
        <v/>
      </c>
      <c r="BT13" s="74" t="str">
        <f>IF($U13="","",IF(COUNTIF(choice!$D:$D,CONCATENATE($U13,"@",BT$7))=0,"",VLOOKUP(CONCATENATE($U13,"@",BT$7),choice!$D:$E,2,0)))</f>
        <v/>
      </c>
      <c r="BU13" s="74" t="str">
        <f>IF($U13="","",IF(COUNTIF(choice!$D:$D,CONCATENATE($U13,"@",BU$7))=0,"",VLOOKUP(CONCATENATE($U13,"@",BU$7),choice!$D:$E,2,0)))</f>
        <v/>
      </c>
      <c r="BV13" s="74" t="str">
        <f>IF($U13="","",IF(COUNTIF(choice!$D:$D,CONCATENATE($U13,"@",BV$7))=0,"",VLOOKUP(CONCATENATE($U13,"@",BV$7),choice!$D:$E,2,0)))</f>
        <v/>
      </c>
      <c r="BW13" s="74" t="str">
        <f>IF($U13="","",IF(COUNTIF(choice!$D:$D,CONCATENATE($U13,"@",BW$7))=0,"",VLOOKUP(CONCATENATE($U13,"@",BW$7),choice!$D:$E,2,0)))</f>
        <v/>
      </c>
      <c r="BX13" s="74" t="str">
        <f>IF($U13="","",IF(COUNTIF(choice!$D:$D,CONCATENATE($U13,"@",BX$7))=0,"",VLOOKUP(CONCATENATE($U13,"@",BX$7),choice!$D:$E,2,0)))</f>
        <v/>
      </c>
      <c r="BY13" s="74" t="str">
        <f>IF($U13="","",IF(COUNTIF(choice!$D:$D,CONCATENATE($U13,"@",BY$7))=0,"",VLOOKUP(CONCATENATE($U13,"@",BY$7),choice!$D:$E,2,0)))</f>
        <v/>
      </c>
      <c r="BZ13" s="74" t="str">
        <f>IF($U13="","",IF(COUNTIF(choice!$D:$D,CONCATENATE($U13,"@",BZ$7))=0,"",VLOOKUP(CONCATENATE($U13,"@",BZ$7),choice!$D:$E,2,0)))</f>
        <v/>
      </c>
      <c r="CA13" s="74" t="str">
        <f>IF($U13="","",IF(COUNTIF(choice!$D:$D,CONCATENATE($U13,"@",CA$7))=0,"",VLOOKUP(CONCATENATE($U13,"@",CA$7),choice!$D:$E,2,0)))</f>
        <v/>
      </c>
      <c r="CB13" s="74" t="str">
        <f>IF($U13="","",IF(COUNTIF(choice!$D:$D,CONCATENATE($U13,"@",CB$7))=0,"",VLOOKUP(CONCATENATE($U13,"@",CB$7),choice!$D:$E,2,0)))</f>
        <v/>
      </c>
      <c r="CC13" s="74" t="str">
        <f>IF($U13="","",IF(COUNTIF(choice!$D:$D,CONCATENATE($U13,"@",CC$7))=0,"",VLOOKUP(CONCATENATE($U13,"@",CC$7),choice!$D:$E,2,0)))</f>
        <v/>
      </c>
      <c r="CD13" s="74" t="str">
        <f>IF($U13="","",IF(COUNTIF(choice!$D:$D,CONCATENATE($U13,"@",CD$7))=0,"",VLOOKUP(CONCATENATE($U13,"@",CD$7),choice!$D:$E,2,0)))</f>
        <v/>
      </c>
      <c r="CE13" s="74" t="str">
        <f>IF($U13="","",IF(COUNTIF(choice!$D:$D,CONCATENATE($U13,"@",CE$7))=0,"",VLOOKUP(CONCATENATE($U13,"@",CE$7),choice!$D:$E,2,0)))</f>
        <v/>
      </c>
      <c r="CF13" s="74" t="str">
        <f>IF($U13="","",IF(COUNTIF(choice!$D:$D,CONCATENATE($U13,"@",CF$7))=0,"",VLOOKUP(CONCATENATE($U13,"@",CF$7),choice!$D:$E,2,0)))</f>
        <v/>
      </c>
      <c r="CG13" s="74" t="str">
        <f>IF($U13="","",IF(COUNTIF(choice!$D:$D,CONCATENATE($U13,"@",CG$7))=0,"",VLOOKUP(CONCATENATE($U13,"@",CG$7),choice!$D:$E,2,0)))</f>
        <v/>
      </c>
      <c r="CH13" s="74" t="str">
        <f>IF($U13="","",IF(COUNTIF(choice!$D:$D,CONCATENATE($U13,"@",CH$7))=0,"",VLOOKUP(CONCATENATE($U13,"@",CH$7),choice!$D:$E,2,0)))</f>
        <v/>
      </c>
      <c r="CI13" s="74" t="str">
        <f>IF($U13="","",IF(COUNTIF(choice!$D:$D,CONCATENATE($U13,"@",CI$7))=0,"",VLOOKUP(CONCATENATE($U13,"@",CI$7),choice!$D:$E,2,0)))</f>
        <v/>
      </c>
      <c r="CJ13" s="81" t="str">
        <f>IF($U13="","",IF(COUNTIF(choice!$D:$D,CONCATENATE($U13,"@",CJ$7))=0,"",VLOOKUP(CONCATENATE($U13,"@",CJ$7),choice!$D:$E,2,0)))</f>
        <v/>
      </c>
      <c r="CK13" s="80" t="str">
        <f>IF($V13="","",IF(COUNTIF(choice!$D:$D,CONCATENATE($V13,"@",CK$7))=0,"",VLOOKUP(CONCATENATE($V13,"@",CK$7),choice!$D:$E,2,0)))</f>
        <v/>
      </c>
      <c r="CL13" s="74" t="str">
        <f>IF($V13="","",IF(COUNTIF(choice!$D:$D,CONCATENATE($V13,"@",CL$7))=0,"",VLOOKUP(CONCATENATE($V13,"@",CL$7),choice!$D:$E,2,0)))</f>
        <v/>
      </c>
      <c r="CM13" s="74" t="str">
        <f>IF($V13="","",IF(COUNTIF(choice!$D:$D,CONCATENATE($V13,"@",CM$7))=0,"",VLOOKUP(CONCATENATE($V13,"@",CM$7),choice!$D:$E,2,0)))</f>
        <v/>
      </c>
      <c r="CN13" s="74" t="str">
        <f>IF($V13="","",IF(COUNTIF(choice!$D:$D,CONCATENATE($V13,"@",CN$7))=0,"",VLOOKUP(CONCATENATE($V13,"@",CN$7),choice!$D:$E,2,0)))</f>
        <v/>
      </c>
      <c r="CO13" s="74" t="str">
        <f>IF($V13="","",IF(COUNTIF(choice!$D:$D,CONCATENATE($V13,"@",CO$7))=0,"",VLOOKUP(CONCATENATE($V13,"@",CO$7),choice!$D:$E,2,0)))</f>
        <v/>
      </c>
      <c r="CP13" s="74" t="str">
        <f>IF($V13="","",IF(COUNTIF(choice!$D:$D,CONCATENATE($V13,"@",CP$7))=0,"",VLOOKUP(CONCATENATE($V13,"@",CP$7),choice!$D:$E,2,0)))</f>
        <v/>
      </c>
      <c r="CQ13" s="74" t="str">
        <f>IF($V13="","",IF(COUNTIF(choice!$D:$D,CONCATENATE($V13,"@",CQ$7))=0,"",VLOOKUP(CONCATENATE($V13,"@",CQ$7),choice!$D:$E,2,0)))</f>
        <v/>
      </c>
      <c r="CR13" s="74" t="str">
        <f>IF($V13="","",IF(COUNTIF(choice!$D:$D,CONCATENATE($V13,"@",CR$7))=0,"",VLOOKUP(CONCATENATE($V13,"@",CR$7),choice!$D:$E,2,0)))</f>
        <v/>
      </c>
      <c r="CS13" s="74" t="str">
        <f>IF($V13="","",IF(COUNTIF(choice!$D:$D,CONCATENATE($V13,"@",CS$7))=0,"",VLOOKUP(CONCATENATE($V13,"@",CS$7),choice!$D:$E,2,0)))</f>
        <v/>
      </c>
      <c r="CT13" s="74" t="str">
        <f>IF($V13="","",IF(COUNTIF(choice!$D:$D,CONCATENATE($V13,"@",CT$7))=0,"",VLOOKUP(CONCATENATE($V13,"@",CT$7),choice!$D:$E,2,0)))</f>
        <v/>
      </c>
      <c r="CU13" s="74" t="str">
        <f>IF($V13="","",IF(COUNTIF(choice!$D:$D,CONCATENATE($V13,"@",CU$7))=0,"",VLOOKUP(CONCATENATE($V13,"@",CU$7),choice!$D:$E,2,0)))</f>
        <v/>
      </c>
      <c r="CV13" s="74" t="str">
        <f>IF($V13="","",IF(COUNTIF(choice!$D:$D,CONCATENATE($V13,"@",CV$7))=0,"",VLOOKUP(CONCATENATE($V13,"@",CV$7),choice!$D:$E,2,0)))</f>
        <v/>
      </c>
      <c r="CW13" s="74" t="str">
        <f>IF($V13="","",IF(COUNTIF(choice!$D:$D,CONCATENATE($V13,"@",CW$7))=0,"",VLOOKUP(CONCATENATE($V13,"@",CW$7),choice!$D:$E,2,0)))</f>
        <v/>
      </c>
      <c r="CX13" s="74" t="str">
        <f>IF($V13="","",IF(COUNTIF(choice!$D:$D,CONCATENATE($V13,"@",CX$7))=0,"",VLOOKUP(CONCATENATE($V13,"@",CX$7),choice!$D:$E,2,0)))</f>
        <v/>
      </c>
      <c r="CY13" s="74" t="str">
        <f>IF($V13="","",IF(COUNTIF(choice!$D:$D,CONCATENATE($V13,"@",CY$7))=0,"",VLOOKUP(CONCATENATE($V13,"@",CY$7),choice!$D:$E,2,0)))</f>
        <v/>
      </c>
      <c r="CZ13" s="74" t="str">
        <f>IF($V13="","",IF(COUNTIF(choice!$D:$D,CONCATENATE($V13,"@",CZ$7))=0,"",VLOOKUP(CONCATENATE($V13,"@",CZ$7),choice!$D:$E,2,0)))</f>
        <v/>
      </c>
      <c r="DA13" s="74" t="str">
        <f>IF($V13="","",IF(COUNTIF(choice!$D:$D,CONCATENATE($V13,"@",DA$7))=0,"",VLOOKUP(CONCATENATE($V13,"@",DA$7),choice!$D:$E,2,0)))</f>
        <v/>
      </c>
      <c r="DB13" s="74" t="str">
        <f>IF($V13="","",IF(COUNTIF(choice!$D:$D,CONCATENATE($V13,"@",DB$7))=0,"",VLOOKUP(CONCATENATE($V13,"@",DB$7),choice!$D:$E,2,0)))</f>
        <v/>
      </c>
      <c r="DC13" s="74" t="str">
        <f>IF($V13="","",IF(COUNTIF(choice!$D:$D,CONCATENATE($V13,"@",DC$7))=0,"",VLOOKUP(CONCATENATE($V13,"@",DC$7),choice!$D:$E,2,0)))</f>
        <v/>
      </c>
      <c r="DD13" s="74" t="str">
        <f>IF($V13="","",IF(COUNTIF(choice!$D:$D,CONCATENATE($V13,"@",DD$7))=0,"",VLOOKUP(CONCATENATE($V13,"@",DD$7),choice!$D:$E,2,0)))</f>
        <v/>
      </c>
      <c r="DE13" s="74" t="str">
        <f>IF($V13="","",IF(COUNTIF(choice!$D:$D,CONCATENATE($V13,"@",DE$7))=0,"",VLOOKUP(CONCATENATE($V13,"@",DE$7),choice!$D:$E,2,0)))</f>
        <v/>
      </c>
      <c r="DF13" s="74" t="str">
        <f>IF($V13="","",IF(COUNTIF(choice!$D:$D,CONCATENATE($V13,"@",DF$7))=0,"",VLOOKUP(CONCATENATE($V13,"@",DF$7),choice!$D:$E,2,0)))</f>
        <v/>
      </c>
      <c r="DG13" s="74" t="str">
        <f>IF($V13="","",IF(COUNTIF(choice!$D:$D,CONCATENATE($V13,"@",DG$7))=0,"",VLOOKUP(CONCATENATE($V13,"@",DG$7),choice!$D:$E,2,0)))</f>
        <v/>
      </c>
      <c r="DH13" s="74" t="str">
        <f>IF($V13="","",IF(COUNTIF(choice!$D:$D,CONCATENATE($V13,"@",DH$7))=0,"",VLOOKUP(CONCATENATE($V13,"@",DH$7),choice!$D:$E,2,0)))</f>
        <v/>
      </c>
      <c r="DI13" s="74" t="str">
        <f>IF($V13="","",IF(COUNTIF(choice!$D:$D,CONCATENATE($V13,"@",DI$7))=0,"",VLOOKUP(CONCATENATE($V13,"@",DI$7),choice!$D:$E,2,0)))</f>
        <v/>
      </c>
      <c r="DJ13" s="74" t="str">
        <f>IF($V13="","",IF(COUNTIF(choice!$D:$D,CONCATENATE($V13,"@",DJ$7))=0,"",VLOOKUP(CONCATENATE($V13,"@",DJ$7),choice!$D:$E,2,0)))</f>
        <v/>
      </c>
      <c r="DK13" s="74" t="str">
        <f>IF($V13="","",IF(COUNTIF(choice!$D:$D,CONCATENATE($V13,"@",DK$7))=0,"",VLOOKUP(CONCATENATE($V13,"@",DK$7),choice!$D:$E,2,0)))</f>
        <v/>
      </c>
      <c r="DL13" s="74" t="str">
        <f>IF($V13="","",IF(COUNTIF(choice!$D:$D,CONCATENATE($V13,"@",DL$7))=0,"",VLOOKUP(CONCATENATE($V13,"@",DL$7),choice!$D:$E,2,0)))</f>
        <v/>
      </c>
      <c r="DM13" s="74" t="str">
        <f>IF($V13="","",IF(COUNTIF(choice!$D:$D,CONCATENATE($V13,"@",DM$7))=0,"",VLOOKUP(CONCATENATE($V13,"@",DM$7),choice!$D:$E,2,0)))</f>
        <v/>
      </c>
      <c r="DN13" s="74" t="str">
        <f>IF($V13="","",IF(COUNTIF(choice!$D:$D,CONCATENATE($V13,"@",DN$7))=0,"",VLOOKUP(CONCATENATE($V13,"@",DN$7),choice!$D:$E,2,0)))</f>
        <v/>
      </c>
      <c r="DO13" s="74" t="str">
        <f>IF($V13="","",IF(COUNTIF(choice!$D:$D,CONCATENATE($V13,"@",DO$7))=0,"",VLOOKUP(CONCATENATE($V13,"@",DO$7),choice!$D:$E,2,0)))</f>
        <v/>
      </c>
      <c r="DP13" s="74" t="str">
        <f>IF($V13="","",IF(COUNTIF(choice!$D:$D,CONCATENATE($V13,"@",DP$7))=0,"",VLOOKUP(CONCATENATE($V13,"@",DP$7),choice!$D:$E,2,0)))</f>
        <v/>
      </c>
      <c r="DQ13" s="74" t="str">
        <f>IF($V13="","",IF(COUNTIF(choice!$D:$D,CONCATENATE($V13,"@",DQ$7))=0,"",VLOOKUP(CONCATENATE($V13,"@",DQ$7),choice!$D:$E,2,0)))</f>
        <v/>
      </c>
      <c r="DR13" s="74" t="str">
        <f>IF($V13="","",IF(COUNTIF(choice!$D:$D,CONCATENATE($V13,"@",DR$7))=0,"",VLOOKUP(CONCATENATE($V13,"@",DR$7),choice!$D:$E,2,0)))</f>
        <v/>
      </c>
      <c r="DS13" s="74" t="str">
        <f>IF($V13="","",IF(COUNTIF(choice!$D:$D,CONCATENATE($V13,"@",DS$7))=0,"",VLOOKUP(CONCATENATE($V13,"@",DS$7),choice!$D:$E,2,0)))</f>
        <v/>
      </c>
      <c r="DT13" s="74" t="str">
        <f>IF($V13="","",IF(COUNTIF(choice!$D:$D,CONCATENATE($V13,"@",DT$7))=0,"",VLOOKUP(CONCATENATE($V13,"@",DT$7),choice!$D:$E,2,0)))</f>
        <v/>
      </c>
      <c r="DU13" s="74" t="str">
        <f>IF($V13="","",IF(COUNTIF(choice!$D:$D,CONCATENATE($V13,"@",DU$7))=0,"",VLOOKUP(CONCATENATE($V13,"@",DU$7),choice!$D:$E,2,0)))</f>
        <v/>
      </c>
      <c r="DV13" s="74" t="str">
        <f>IF($V13="","",IF(COUNTIF(choice!$D:$D,CONCATENATE($V13,"@",DV$7))=0,"",VLOOKUP(CONCATENATE($V13,"@",DV$7),choice!$D:$E,2,0)))</f>
        <v/>
      </c>
      <c r="DW13" s="74" t="str">
        <f>IF($V13="","",IF(COUNTIF(choice!$D:$D,CONCATENATE($V13,"@",DW$7))=0,"",VLOOKUP(CONCATENATE($V13,"@",DW$7),choice!$D:$E,2,0)))</f>
        <v/>
      </c>
      <c r="DX13" s="74" t="str">
        <f>IF($V13="","",IF(COUNTIF(choice!$D:$D,CONCATENATE($V13,"@",DX$7))=0,"",VLOOKUP(CONCATENATE($V13,"@",DX$7),choice!$D:$E,2,0)))</f>
        <v/>
      </c>
      <c r="DY13" s="74" t="str">
        <f>IF($V13="","",IF(COUNTIF(choice!$D:$D,CONCATENATE($V13,"@",DY$7))=0,"",VLOOKUP(CONCATENATE($V13,"@",DY$7),choice!$D:$E,2,0)))</f>
        <v/>
      </c>
      <c r="DZ13" s="74" t="str">
        <f>IF($V13="","",IF(COUNTIF(choice!$D:$D,CONCATENATE($V13,"@",DZ$7))=0,"",VLOOKUP(CONCATENATE($V13,"@",DZ$7),choice!$D:$E,2,0)))</f>
        <v/>
      </c>
      <c r="EA13" s="74" t="str">
        <f>IF($V13="","",IF(COUNTIF(choice!$D:$D,CONCATENATE($V13,"@",EA$7))=0,"",VLOOKUP(CONCATENATE($V13,"@",EA$7),choice!$D:$E,2,0)))</f>
        <v/>
      </c>
      <c r="EB13" s="74" t="str">
        <f>IF($V13="","",IF(COUNTIF(choice!$D:$D,CONCATENATE($V13,"@",EB$7))=0,"",VLOOKUP(CONCATENATE($V13,"@",EB$7),choice!$D:$E,2,0)))</f>
        <v/>
      </c>
      <c r="EC13" s="81" t="str">
        <f>IF($V13="","",IF(COUNTIF(choice!$D:$D,CONCATENATE($V13,"@",EC$7))=0,"",VLOOKUP(CONCATENATE($V13,"@",EC$7),choice!$D:$E,2,0)))</f>
        <v/>
      </c>
      <c r="ED13" s="80" t="str">
        <f>IF($W13="","",IF(COUNTIF(choice!$D:$D,CONCATENATE($W13,"@",ED$7))=0,"",VLOOKUP(CONCATENATE($W13,"@",ED$7),choice!$D:$E,2,0)))</f>
        <v/>
      </c>
      <c r="EE13" s="74" t="str">
        <f>IF($W13="","",IF(COUNTIF(choice!$D:$D,CONCATENATE($W13,"@",EE$7))=0,"",VLOOKUP(CONCATENATE($W13,"@",EE$7),choice!$D:$E,2,0)))</f>
        <v/>
      </c>
      <c r="EF13" s="74" t="str">
        <f>IF($W13="","",IF(COUNTIF(choice!$D:$D,CONCATENATE($W13,"@",EF$7))=0,"",VLOOKUP(CONCATENATE($W13,"@",EF$7),choice!$D:$E,2,0)))</f>
        <v/>
      </c>
      <c r="EG13" s="74" t="str">
        <f>IF($W13="","",IF(COUNTIF(choice!$D:$D,CONCATENATE($W13,"@",EG$7))=0,"",VLOOKUP(CONCATENATE($W13,"@",EG$7),choice!$D:$E,2,0)))</f>
        <v/>
      </c>
      <c r="EH13" s="74" t="str">
        <f>IF($W13="","",IF(COUNTIF(choice!$D:$D,CONCATENATE($W13,"@",EH$7))=0,"",VLOOKUP(CONCATENATE($W13,"@",EH$7),choice!$D:$E,2,0)))</f>
        <v/>
      </c>
      <c r="EI13" s="74" t="str">
        <f>IF($W13="","",IF(COUNTIF(choice!$D:$D,CONCATENATE($W13,"@",EI$7))=0,"",VLOOKUP(CONCATENATE($W13,"@",EI$7),choice!$D:$E,2,0)))</f>
        <v/>
      </c>
      <c r="EJ13" s="74" t="str">
        <f>IF($W13="","",IF(COUNTIF(choice!$D:$D,CONCATENATE($W13,"@",EJ$7))=0,"",VLOOKUP(CONCATENATE($W13,"@",EJ$7),choice!$D:$E,2,0)))</f>
        <v/>
      </c>
      <c r="EK13" s="74" t="str">
        <f>IF($W13="","",IF(COUNTIF(choice!$D:$D,CONCATENATE($W13,"@",EK$7))=0,"",VLOOKUP(CONCATENATE($W13,"@",EK$7),choice!$D:$E,2,0)))</f>
        <v/>
      </c>
      <c r="EL13" s="74" t="str">
        <f>IF($W13="","",IF(COUNTIF(choice!$D:$D,CONCATENATE($W13,"@",EL$7))=0,"",VLOOKUP(CONCATENATE($W13,"@",EL$7),choice!$D:$E,2,0)))</f>
        <v/>
      </c>
      <c r="EM13" s="74" t="str">
        <f>IF($W13="","",IF(COUNTIF(choice!$D:$D,CONCATENATE($W13,"@",EM$7))=0,"",VLOOKUP(CONCATENATE($W13,"@",EM$7),choice!$D:$E,2,0)))</f>
        <v/>
      </c>
      <c r="EN13" s="74" t="str">
        <f>IF($W13="","",IF(COUNTIF(choice!$D:$D,CONCATENATE($W13,"@",EN$7))=0,"",VLOOKUP(CONCATENATE($W13,"@",EN$7),choice!$D:$E,2,0)))</f>
        <v/>
      </c>
      <c r="EO13" s="74" t="str">
        <f>IF($W13="","",IF(COUNTIF(choice!$D:$D,CONCATENATE($W13,"@",EO$7))=0,"",VLOOKUP(CONCATENATE($W13,"@",EO$7),choice!$D:$E,2,0)))</f>
        <v/>
      </c>
      <c r="EP13" s="74" t="str">
        <f>IF($W13="","",IF(COUNTIF(choice!$D:$D,CONCATENATE($W13,"@",EP$7))=0,"",VLOOKUP(CONCATENATE($W13,"@",EP$7),choice!$D:$E,2,0)))</f>
        <v/>
      </c>
      <c r="EQ13" s="74" t="str">
        <f>IF($W13="","",IF(COUNTIF(choice!$D:$D,CONCATENATE($W13,"@",EQ$7))=0,"",VLOOKUP(CONCATENATE($W13,"@",EQ$7),choice!$D:$E,2,0)))</f>
        <v/>
      </c>
      <c r="ER13" s="74" t="str">
        <f>IF($W13="","",IF(COUNTIF(choice!$D:$D,CONCATENATE($W13,"@",ER$7))=0,"",VLOOKUP(CONCATENATE($W13,"@",ER$7),choice!$D:$E,2,0)))</f>
        <v/>
      </c>
      <c r="ES13" s="74" t="str">
        <f>IF($W13="","",IF(COUNTIF(choice!$D:$D,CONCATENATE($W13,"@",ES$7))=0,"",VLOOKUP(CONCATENATE($W13,"@",ES$7),choice!$D:$E,2,0)))</f>
        <v/>
      </c>
      <c r="ET13" s="74" t="str">
        <f>IF($W13="","",IF(COUNTIF(choice!$D:$D,CONCATENATE($W13,"@",ET$7))=0,"",VLOOKUP(CONCATENATE($W13,"@",ET$7),choice!$D:$E,2,0)))</f>
        <v/>
      </c>
      <c r="EU13" s="74" t="str">
        <f>IF($W13="","",IF(COUNTIF(choice!$D:$D,CONCATENATE($W13,"@",EU$7))=0,"",VLOOKUP(CONCATENATE($W13,"@",EU$7),choice!$D:$E,2,0)))</f>
        <v/>
      </c>
      <c r="EV13" s="74" t="str">
        <f>IF($W13="","",IF(COUNTIF(choice!$D:$D,CONCATENATE($W13,"@",EV$7))=0,"",VLOOKUP(CONCATENATE($W13,"@",EV$7),choice!$D:$E,2,0)))</f>
        <v/>
      </c>
      <c r="EW13" s="74" t="str">
        <f>IF($W13="","",IF(COUNTIF(choice!$D:$D,CONCATENATE($W13,"@",EW$7))=0,"",VLOOKUP(CONCATENATE($W13,"@",EW$7),choice!$D:$E,2,0)))</f>
        <v/>
      </c>
      <c r="EX13" s="74" t="str">
        <f>IF($W13="","",IF(COUNTIF(choice!$D:$D,CONCATENATE($W13,"@",EX$7))=0,"",VLOOKUP(CONCATENATE($W13,"@",EX$7),choice!$D:$E,2,0)))</f>
        <v/>
      </c>
      <c r="EY13" s="74" t="str">
        <f>IF($W13="","",IF(COUNTIF(choice!$D:$D,CONCATENATE($W13,"@",EY$7))=0,"",VLOOKUP(CONCATENATE($W13,"@",EY$7),choice!$D:$E,2,0)))</f>
        <v/>
      </c>
      <c r="EZ13" s="74" t="str">
        <f>IF($W13="","",IF(COUNTIF(choice!$D:$D,CONCATENATE($W13,"@",EZ$7))=0,"",VLOOKUP(CONCATENATE($W13,"@",EZ$7),choice!$D:$E,2,0)))</f>
        <v/>
      </c>
      <c r="FA13" s="74" t="str">
        <f>IF($W13="","",IF(COUNTIF(choice!$D:$D,CONCATENATE($W13,"@",FA$7))=0,"",VLOOKUP(CONCATENATE($W13,"@",FA$7),choice!$D:$E,2,0)))</f>
        <v/>
      </c>
      <c r="FB13" s="74" t="str">
        <f>IF($W13="","",IF(COUNTIF(choice!$D:$D,CONCATENATE($W13,"@",FB$7))=0,"",VLOOKUP(CONCATENATE($W13,"@",FB$7),choice!$D:$E,2,0)))</f>
        <v/>
      </c>
      <c r="FC13" s="74" t="str">
        <f>IF($W13="","",IF(COUNTIF(choice!$D:$D,CONCATENATE($W13,"@",FC$7))=0,"",VLOOKUP(CONCATENATE($W13,"@",FC$7),choice!$D:$E,2,0)))</f>
        <v/>
      </c>
      <c r="FD13" s="74" t="str">
        <f>IF($W13="","",IF(COUNTIF(choice!$D:$D,CONCATENATE($W13,"@",FD$7))=0,"",VLOOKUP(CONCATENATE($W13,"@",FD$7),choice!$D:$E,2,0)))</f>
        <v/>
      </c>
      <c r="FE13" s="74" t="str">
        <f>IF($W13="","",IF(COUNTIF(choice!$D:$D,CONCATENATE($W13,"@",FE$7))=0,"",VLOOKUP(CONCATENATE($W13,"@",FE$7),choice!$D:$E,2,0)))</f>
        <v/>
      </c>
      <c r="FF13" s="74" t="str">
        <f>IF($W13="","",IF(COUNTIF(choice!$D:$D,CONCATENATE($W13,"@",FF$7))=0,"",VLOOKUP(CONCATENATE($W13,"@",FF$7),choice!$D:$E,2,0)))</f>
        <v/>
      </c>
      <c r="FG13" s="74" t="str">
        <f>IF($W13="","",IF(COUNTIF(choice!$D:$D,CONCATENATE($W13,"@",FG$7))=0,"",VLOOKUP(CONCATENATE($W13,"@",FG$7),choice!$D:$E,2,0)))</f>
        <v/>
      </c>
      <c r="FH13" s="74" t="str">
        <f>IF($W13="","",IF(COUNTIF(choice!$D:$D,CONCATENATE($W13,"@",FH$7))=0,"",VLOOKUP(CONCATENATE($W13,"@",FH$7),choice!$D:$E,2,0)))</f>
        <v/>
      </c>
      <c r="FI13" s="74" t="str">
        <f>IF($W13="","",IF(COUNTIF(choice!$D:$D,CONCATENATE($W13,"@",FI$7))=0,"",VLOOKUP(CONCATENATE($W13,"@",FI$7),choice!$D:$E,2,0)))</f>
        <v/>
      </c>
      <c r="FJ13" s="74" t="str">
        <f>IF($W13="","",IF(COUNTIF(choice!$D:$D,CONCATENATE($W13,"@",FJ$7))=0,"",VLOOKUP(CONCATENATE($W13,"@",FJ$7),choice!$D:$E,2,0)))</f>
        <v/>
      </c>
      <c r="FK13" s="74" t="str">
        <f>IF($W13="","",IF(COUNTIF(choice!$D:$D,CONCATENATE($W13,"@",FK$7))=0,"",VLOOKUP(CONCATENATE($W13,"@",FK$7),choice!$D:$E,2,0)))</f>
        <v/>
      </c>
      <c r="FL13" s="74" t="str">
        <f>IF($W13="","",IF(COUNTIF(choice!$D:$D,CONCATENATE($W13,"@",FL$7))=0,"",VLOOKUP(CONCATENATE($W13,"@",FL$7),choice!$D:$E,2,0)))</f>
        <v/>
      </c>
      <c r="FM13" s="74" t="str">
        <f>IF($W13="","",IF(COUNTIF(choice!$D:$D,CONCATENATE($W13,"@",FM$7))=0,"",VLOOKUP(CONCATENATE($W13,"@",FM$7),choice!$D:$E,2,0)))</f>
        <v/>
      </c>
      <c r="FN13" s="74" t="str">
        <f>IF($W13="","",IF(COUNTIF(choice!$D:$D,CONCATENATE($W13,"@",FN$7))=0,"",VLOOKUP(CONCATENATE($W13,"@",FN$7),choice!$D:$E,2,0)))</f>
        <v/>
      </c>
      <c r="FO13" s="74" t="str">
        <f>IF($W13="","",IF(COUNTIF(choice!$D:$D,CONCATENATE($W13,"@",FO$7))=0,"",VLOOKUP(CONCATENATE($W13,"@",FO$7),choice!$D:$E,2,0)))</f>
        <v/>
      </c>
      <c r="FP13" s="74" t="str">
        <f>IF($W13="","",IF(COUNTIF(choice!$D:$D,CONCATENATE($W13,"@",FP$7))=0,"",VLOOKUP(CONCATENATE($W13,"@",FP$7),choice!$D:$E,2,0)))</f>
        <v/>
      </c>
      <c r="FQ13" s="74" t="str">
        <f>IF($W13="","",IF(COUNTIF(choice!$D:$D,CONCATENATE($W13,"@",FQ$7))=0,"",VLOOKUP(CONCATENATE($W13,"@",FQ$7),choice!$D:$E,2,0)))</f>
        <v/>
      </c>
      <c r="FR13" s="74" t="str">
        <f>IF($W13="","",IF(COUNTIF(choice!$D:$D,CONCATENATE($W13,"@",FR$7))=0,"",VLOOKUP(CONCATENATE($W13,"@",FR$7),choice!$D:$E,2,0)))</f>
        <v/>
      </c>
      <c r="FS13" s="74" t="str">
        <f>IF($W13="","",IF(COUNTIF(choice!$D:$D,CONCATENATE($W13,"@",FS$7))=0,"",VLOOKUP(CONCATENATE($W13,"@",FS$7),choice!$D:$E,2,0)))</f>
        <v/>
      </c>
      <c r="FT13" s="74" t="str">
        <f>IF($W13="","",IF(COUNTIF(choice!$D:$D,CONCATENATE($W13,"@",FT$7))=0,"",VLOOKUP(CONCATENATE($W13,"@",FT$7),choice!$D:$E,2,0)))</f>
        <v/>
      </c>
      <c r="FU13" s="74" t="str">
        <f>IF($W13="","",IF(COUNTIF(choice!$D:$D,CONCATENATE($W13,"@",FU$7))=0,"",VLOOKUP(CONCATENATE($W13,"@",FU$7),choice!$D:$E,2,0)))</f>
        <v/>
      </c>
      <c r="FV13" s="81" t="str">
        <f>IF($W13="","",IF(COUNTIF(choice!$D:$D,CONCATENATE($W13,"@",FV$7))=0,"",VLOOKUP(CONCATENATE($W13,"@",FV$7),choice!$D:$E,2,0)))</f>
        <v/>
      </c>
      <c r="FW13" s="80" t="str">
        <f>IF($X13="","",IF(COUNTIF(choice!$D:$D,CONCATENATE($X13,"@",FW$7))=0,"",VLOOKUP(CONCATENATE($X13,"@",FW$7),choice!$D:$E,2,0)))</f>
        <v/>
      </c>
      <c r="FX13" s="74" t="str">
        <f>IF($X13="","",IF(COUNTIF(choice!$D:$D,CONCATENATE($X13,"@",FX$7))=0,"",VLOOKUP(CONCATENATE($X13,"@",FX$7),choice!$D:$E,2,0)))</f>
        <v/>
      </c>
      <c r="FY13" s="74" t="str">
        <f>IF($X13="","",IF(COUNTIF(choice!$D:$D,CONCATENATE($X13,"@",FY$7))=0,"",VLOOKUP(CONCATENATE($X13,"@",FY$7),choice!$D:$E,2,0)))</f>
        <v/>
      </c>
      <c r="FZ13" s="74" t="str">
        <f>IF($X13="","",IF(COUNTIF(choice!$D:$D,CONCATENATE($X13,"@",FZ$7))=0,"",VLOOKUP(CONCATENATE($X13,"@",FZ$7),choice!$D:$E,2,0)))</f>
        <v/>
      </c>
      <c r="GA13" s="74" t="str">
        <f>IF($X13="","",IF(COUNTIF(choice!$D:$D,CONCATENATE($X13,"@",GA$7))=0,"",VLOOKUP(CONCATENATE($X13,"@",GA$7),choice!$D:$E,2,0)))</f>
        <v/>
      </c>
      <c r="GB13" s="74" t="str">
        <f>IF($X13="","",IF(COUNTIF(choice!$D:$D,CONCATENATE($X13,"@",GB$7))=0,"",VLOOKUP(CONCATENATE($X13,"@",GB$7),choice!$D:$E,2,0)))</f>
        <v/>
      </c>
      <c r="GC13" s="74" t="str">
        <f>IF($X13="","",IF(COUNTIF(choice!$D:$D,CONCATENATE($X13,"@",GC$7))=0,"",VLOOKUP(CONCATENATE($X13,"@",GC$7),choice!$D:$E,2,0)))</f>
        <v/>
      </c>
      <c r="GD13" s="74" t="str">
        <f>IF($X13="","",IF(COUNTIF(choice!$D:$D,CONCATENATE($X13,"@",GD$7))=0,"",VLOOKUP(CONCATENATE($X13,"@",GD$7),choice!$D:$E,2,0)))</f>
        <v/>
      </c>
      <c r="GE13" s="74" t="str">
        <f>IF($X13="","",IF(COUNTIF(choice!$D:$D,CONCATENATE($X13,"@",GE$7))=0,"",VLOOKUP(CONCATENATE($X13,"@",GE$7),choice!$D:$E,2,0)))</f>
        <v/>
      </c>
      <c r="GF13" s="74" t="str">
        <f>IF($X13="","",IF(COUNTIF(choice!$D:$D,CONCATENATE($X13,"@",GF$7))=0,"",VLOOKUP(CONCATENATE($X13,"@",GF$7),choice!$D:$E,2,0)))</f>
        <v/>
      </c>
      <c r="GG13" s="74" t="str">
        <f>IF($X13="","",IF(COUNTIF(choice!$D:$D,CONCATENATE($X13,"@",GG$7))=0,"",VLOOKUP(CONCATENATE($X13,"@",GG$7),choice!$D:$E,2,0)))</f>
        <v/>
      </c>
      <c r="GH13" s="74" t="str">
        <f>IF($X13="","",IF(COUNTIF(choice!$D:$D,CONCATENATE($X13,"@",GH$7))=0,"",VLOOKUP(CONCATENATE($X13,"@",GH$7),choice!$D:$E,2,0)))</f>
        <v/>
      </c>
      <c r="GI13" s="74" t="str">
        <f>IF($X13="","",IF(COUNTIF(choice!$D:$D,CONCATENATE($X13,"@",GI$7))=0,"",VLOOKUP(CONCATENATE($X13,"@",GI$7),choice!$D:$E,2,0)))</f>
        <v/>
      </c>
      <c r="GJ13" s="74" t="str">
        <f>IF($X13="","",IF(COUNTIF(choice!$D:$D,CONCATENATE($X13,"@",GJ$7))=0,"",VLOOKUP(CONCATENATE($X13,"@",GJ$7),choice!$D:$E,2,0)))</f>
        <v/>
      </c>
      <c r="GK13" s="74" t="str">
        <f>IF($X13="","",IF(COUNTIF(choice!$D:$D,CONCATENATE($X13,"@",GK$7))=0,"",VLOOKUP(CONCATENATE($X13,"@",GK$7),choice!$D:$E,2,0)))</f>
        <v/>
      </c>
      <c r="GL13" s="74" t="str">
        <f>IF($X13="","",IF(COUNTIF(choice!$D:$D,CONCATENATE($X13,"@",GL$7))=0,"",VLOOKUP(CONCATENATE($X13,"@",GL$7),choice!$D:$E,2,0)))</f>
        <v/>
      </c>
      <c r="GM13" s="74" t="str">
        <f>IF($X13="","",IF(COUNTIF(choice!$D:$D,CONCATENATE($X13,"@",GM$7))=0,"",VLOOKUP(CONCATENATE($X13,"@",GM$7),choice!$D:$E,2,0)))</f>
        <v/>
      </c>
      <c r="GN13" s="74" t="str">
        <f>IF($X13="","",IF(COUNTIF(choice!$D:$D,CONCATENATE($X13,"@",GN$7))=0,"",VLOOKUP(CONCATENATE($X13,"@",GN$7),choice!$D:$E,2,0)))</f>
        <v/>
      </c>
      <c r="GO13" s="74" t="str">
        <f>IF($X13="","",IF(COUNTIF(choice!$D:$D,CONCATENATE($X13,"@",GO$7))=0,"",VLOOKUP(CONCATENATE($X13,"@",GO$7),choice!$D:$E,2,0)))</f>
        <v/>
      </c>
      <c r="GP13" s="74" t="str">
        <f>IF($X13="","",IF(COUNTIF(choice!$D:$D,CONCATENATE($X13,"@",GP$7))=0,"",VLOOKUP(CONCATENATE($X13,"@",GP$7),choice!$D:$E,2,0)))</f>
        <v/>
      </c>
      <c r="GQ13" s="74" t="str">
        <f>IF($X13="","",IF(COUNTIF(choice!$D:$D,CONCATENATE($X13,"@",GQ$7))=0,"",VLOOKUP(CONCATENATE($X13,"@",GQ$7),choice!$D:$E,2,0)))</f>
        <v/>
      </c>
      <c r="GR13" s="74" t="str">
        <f>IF($X13="","",IF(COUNTIF(choice!$D:$D,CONCATENATE($X13,"@",GR$7))=0,"",VLOOKUP(CONCATENATE($X13,"@",GR$7),choice!$D:$E,2,0)))</f>
        <v/>
      </c>
      <c r="GS13" s="74" t="str">
        <f>IF($X13="","",IF(COUNTIF(choice!$D:$D,CONCATENATE($X13,"@",GS$7))=0,"",VLOOKUP(CONCATENATE($X13,"@",GS$7),choice!$D:$E,2,0)))</f>
        <v/>
      </c>
      <c r="GT13" s="74" t="str">
        <f>IF($X13="","",IF(COUNTIF(choice!$D:$D,CONCATENATE($X13,"@",GT$7))=0,"",VLOOKUP(CONCATENATE($X13,"@",GT$7),choice!$D:$E,2,0)))</f>
        <v/>
      </c>
      <c r="GU13" s="74" t="str">
        <f>IF($X13="","",IF(COUNTIF(choice!$D:$D,CONCATENATE($X13,"@",GU$7))=0,"",VLOOKUP(CONCATENATE($X13,"@",GU$7),choice!$D:$E,2,0)))</f>
        <v/>
      </c>
      <c r="GV13" s="74" t="str">
        <f>IF($X13="","",IF(COUNTIF(choice!$D:$D,CONCATENATE($X13,"@",GV$7))=0,"",VLOOKUP(CONCATENATE($X13,"@",GV$7),choice!$D:$E,2,0)))</f>
        <v/>
      </c>
      <c r="GW13" s="74" t="str">
        <f>IF($X13="","",IF(COUNTIF(choice!$D:$D,CONCATENATE($X13,"@",GW$7))=0,"",VLOOKUP(CONCATENATE($X13,"@",GW$7),choice!$D:$E,2,0)))</f>
        <v/>
      </c>
      <c r="GX13" s="74" t="str">
        <f>IF($X13="","",IF(COUNTIF(choice!$D:$D,CONCATENATE($X13,"@",GX$7))=0,"",VLOOKUP(CONCATENATE($X13,"@",GX$7),choice!$D:$E,2,0)))</f>
        <v/>
      </c>
      <c r="GY13" s="74" t="str">
        <f>IF($X13="","",IF(COUNTIF(choice!$D:$D,CONCATENATE($X13,"@",GY$7))=0,"",VLOOKUP(CONCATENATE($X13,"@",GY$7),choice!$D:$E,2,0)))</f>
        <v/>
      </c>
      <c r="GZ13" s="74" t="str">
        <f>IF($X13="","",IF(COUNTIF(choice!$D:$D,CONCATENATE($X13,"@",GZ$7))=0,"",VLOOKUP(CONCATENATE($X13,"@",GZ$7),choice!$D:$E,2,0)))</f>
        <v/>
      </c>
      <c r="HA13" s="74" t="str">
        <f>IF($X13="","",IF(COUNTIF(choice!$D:$D,CONCATENATE($X13,"@",HA$7))=0,"",VLOOKUP(CONCATENATE($X13,"@",HA$7),choice!$D:$E,2,0)))</f>
        <v/>
      </c>
      <c r="HB13" s="74" t="str">
        <f>IF($X13="","",IF(COUNTIF(choice!$D:$D,CONCATENATE($X13,"@",HB$7))=0,"",VLOOKUP(CONCATENATE($X13,"@",HB$7),choice!$D:$E,2,0)))</f>
        <v/>
      </c>
      <c r="HC13" s="74" t="str">
        <f>IF($X13="","",IF(COUNTIF(choice!$D:$D,CONCATENATE($X13,"@",HC$7))=0,"",VLOOKUP(CONCATENATE($X13,"@",HC$7),choice!$D:$E,2,0)))</f>
        <v/>
      </c>
      <c r="HD13" s="74" t="str">
        <f>IF($X13="","",IF(COUNTIF(choice!$D:$D,CONCATENATE($X13,"@",HD$7))=0,"",VLOOKUP(CONCATENATE($X13,"@",HD$7),choice!$D:$E,2,0)))</f>
        <v/>
      </c>
      <c r="HE13" s="74" t="str">
        <f>IF($X13="","",IF(COUNTIF(choice!$D:$D,CONCATENATE($X13,"@",HE$7))=0,"",VLOOKUP(CONCATENATE($X13,"@",HE$7),choice!$D:$E,2,0)))</f>
        <v/>
      </c>
      <c r="HF13" s="74" t="str">
        <f>IF($X13="","",IF(COUNTIF(choice!$D:$D,CONCATENATE($X13,"@",HF$7))=0,"",VLOOKUP(CONCATENATE($X13,"@",HF$7),choice!$D:$E,2,0)))</f>
        <v/>
      </c>
      <c r="HG13" s="74" t="str">
        <f>IF($X13="","",IF(COUNTIF(choice!$D:$D,CONCATENATE($X13,"@",HG$7))=0,"",VLOOKUP(CONCATENATE($X13,"@",HG$7),choice!$D:$E,2,0)))</f>
        <v/>
      </c>
      <c r="HH13" s="74" t="str">
        <f>IF($X13="","",IF(COUNTIF(choice!$D:$D,CONCATENATE($X13,"@",HH$7))=0,"",VLOOKUP(CONCATENATE($X13,"@",HH$7),choice!$D:$E,2,0)))</f>
        <v/>
      </c>
      <c r="HI13" s="74" t="str">
        <f>IF($X13="","",IF(COUNTIF(choice!$D:$D,CONCATENATE($X13,"@",HI$7))=0,"",VLOOKUP(CONCATENATE($X13,"@",HI$7),choice!$D:$E,2,0)))</f>
        <v/>
      </c>
      <c r="HJ13" s="74" t="str">
        <f>IF($X13="","",IF(COUNTIF(choice!$D:$D,CONCATENATE($X13,"@",HJ$7))=0,"",VLOOKUP(CONCATENATE($X13,"@",HJ$7),choice!$D:$E,2,0)))</f>
        <v/>
      </c>
      <c r="HK13" s="74" t="str">
        <f>IF($X13="","",IF(COUNTIF(choice!$D:$D,CONCATENATE($X13,"@",HK$7))=0,"",VLOOKUP(CONCATENATE($X13,"@",HK$7),choice!$D:$E,2,0)))</f>
        <v/>
      </c>
      <c r="HL13" s="74" t="str">
        <f>IF($X13="","",IF(COUNTIF(choice!$D:$D,CONCATENATE($X13,"@",HL$7))=0,"",VLOOKUP(CONCATENATE($X13,"@",HL$7),choice!$D:$E,2,0)))</f>
        <v/>
      </c>
      <c r="HM13" s="74" t="str">
        <f>IF($X13="","",IF(COUNTIF(choice!$D:$D,CONCATENATE($X13,"@",HM$7))=0,"",VLOOKUP(CONCATENATE($X13,"@",HM$7),choice!$D:$E,2,0)))</f>
        <v/>
      </c>
      <c r="HN13" s="74" t="str">
        <f>IF($X13="","",IF(COUNTIF(choice!$D:$D,CONCATENATE($X13,"@",HN$7))=0,"",VLOOKUP(CONCATENATE($X13,"@",HN$7),choice!$D:$E,2,0)))</f>
        <v/>
      </c>
      <c r="HO13" s="81" t="str">
        <f>IF($X13="","",IF(COUNTIF(choice!$D:$D,CONCATENATE($X13,"@",HO$7))=0,"",VLOOKUP(CONCATENATE($X13,"@",HO$7),choice!$D:$E,2,0)))</f>
        <v/>
      </c>
      <c r="HP13" s="20" t="s">
        <v>62</v>
      </c>
      <c r="HQ13" s="20" t="s">
        <v>63</v>
      </c>
      <c r="HV13" s="74">
        <f t="shared" si="12"/>
        <v>0</v>
      </c>
      <c r="HW13" s="74">
        <f t="shared" si="13"/>
        <v>0</v>
      </c>
      <c r="HX13" s="74">
        <f t="shared" si="14"/>
        <v>0</v>
      </c>
      <c r="HY13" s="74">
        <f t="shared" si="15"/>
        <v>0</v>
      </c>
      <c r="HZ13" s="74">
        <f t="shared" si="21"/>
        <v>0</v>
      </c>
      <c r="IA13" s="74">
        <f t="shared" si="21"/>
        <v>0</v>
      </c>
      <c r="IB13" s="74" t="str">
        <f t="shared" si="22"/>
        <v/>
      </c>
      <c r="IC13" s="74" t="str">
        <f t="shared" si="23"/>
        <v/>
      </c>
      <c r="ID13" s="74" t="str">
        <f t="shared" si="16"/>
        <v/>
      </c>
      <c r="IE13" s="74">
        <f t="shared" si="17"/>
        <v>32</v>
      </c>
      <c r="IF13" s="74">
        <f>COUNTIFS(ID$8:ID13,"BLUE")</f>
        <v>0</v>
      </c>
      <c r="IG13" s="74" t="str">
        <f t="shared" si="18"/>
        <v/>
      </c>
      <c r="IH13" s="74" t="str">
        <f>IF(COUNTIFS($AQ13,"*02*")=0,"",COUNTIFS(IJ$8:IJ13,"BLUE"))</f>
        <v/>
      </c>
      <c r="II13" s="74" t="str">
        <f>IF(COUNTIFS($AQ13,"*04*")=0,"",COUNTIFS(IK$8:IK13,"BLUE"))</f>
        <v/>
      </c>
      <c r="IJ13" s="74" t="str">
        <f t="shared" si="24"/>
        <v/>
      </c>
      <c r="IK13" s="74" t="str">
        <f t="shared" si="25"/>
        <v/>
      </c>
      <c r="IL13" s="74" t="str">
        <f t="shared" si="19"/>
        <v/>
      </c>
      <c r="IM13" s="74" t="str">
        <f t="shared" si="20"/>
        <v/>
      </c>
      <c r="IN13" s="74">
        <f>COUNTIFS(IJ$8:IJ13,"BLUE")</f>
        <v>0</v>
      </c>
      <c r="IO13" s="74">
        <f>COUNTIFS(IK$8:IK13,"BLUE")</f>
        <v>0</v>
      </c>
    </row>
    <row r="14" spans="1:249" s="20" customFormat="1" ht="24.9" customHeight="1">
      <c r="A14" s="33"/>
      <c r="B14" s="30">
        <v>33</v>
      </c>
      <c r="C14" s="150"/>
      <c r="D14" s="97"/>
      <c r="E14" s="88" t="e">
        <f>VLOOKUP(F14,'Radio Call Sign'!A:B,2)</f>
        <v>#N/A</v>
      </c>
      <c r="F14" s="88"/>
      <c r="G14" s="88" t="e">
        <f>VLOOKUP(H14,'Radio Call Sign'!A:B,2)</f>
        <v>#N/A</v>
      </c>
      <c r="H14" s="88"/>
      <c r="I14" s="89" t="str">
        <f t="shared" si="4"/>
        <v/>
      </c>
      <c r="J14" s="90" t="str">
        <f t="shared" si="9"/>
        <v/>
      </c>
      <c r="K14" s="86" t="str">
        <f t="shared" si="10"/>
        <v/>
      </c>
      <c r="L14" s="151"/>
      <c r="M14" s="190" t="str">
        <f t="shared" si="11"/>
        <v/>
      </c>
      <c r="N14" s="21"/>
      <c r="O14" s="21"/>
      <c r="P14" s="53"/>
      <c r="Q14" s="163" t="str">
        <f>IF(AA14="","",IF(COUNTIFS('overhead line area'!$D$3:$D$100,AA14)+COUNTIFS('overhead line area'!$D$3:$D$100,AB14)+COUNTIFS('overhead line area'!$D$3:$D$100,AC14)+COUNTIFS('overhead line area'!$D$3:$D$100,AD14)=0,"","*               "))</f>
        <v/>
      </c>
      <c r="R14" s="53"/>
      <c r="S14" s="24"/>
      <c r="U14" s="74"/>
      <c r="V14" s="74"/>
      <c r="W14" s="74"/>
      <c r="X14" s="74"/>
      <c r="Y14" s="74"/>
      <c r="AA14" s="74" t="str">
        <f t="shared" si="5"/>
        <v/>
      </c>
      <c r="AB14" s="74" t="str">
        <f t="shared" si="6"/>
        <v/>
      </c>
      <c r="AC14" s="74" t="str">
        <f t="shared" si="6"/>
        <v/>
      </c>
      <c r="AD14" s="74" t="str">
        <f t="shared" si="6"/>
        <v/>
      </c>
      <c r="AF14" s="74" t="str">
        <f>IF(AA14="","",IF(COUNTIF(Route!$AM:$AM,'Add-on Train Movement Log'!AA14)=0,"未有資料",VLOOKUP('Add-on Train Movement Log'!AA14,Route!$AM:$AP,3,0)))</f>
        <v/>
      </c>
      <c r="AG14" s="74" t="str">
        <f>IF(AB14="","",IF(COUNTIF(Route!$AM:$AM,'Add-on Train Movement Log'!AB14)=0,"未有資料",VLOOKUP('Add-on Train Movement Log'!AB14,Route!$AM:$AP,3,0)))</f>
        <v/>
      </c>
      <c r="AH14" s="74" t="str">
        <f>IF(AC14="","",IF(COUNTIF(Route!$AM:$AM,'Add-on Train Movement Log'!AC14)=0,"未有資料",VLOOKUP('Add-on Train Movement Log'!AC14,Route!$AM:$AP,3,0)))</f>
        <v/>
      </c>
      <c r="AI14" s="74" t="str">
        <f>IF(AD14="","",IF(COUNTIF(Route!$AM:$AM,'Add-on Train Movement Log'!AD14)=0,"未有資料",VLOOKUP('Add-on Train Movement Log'!AD14,Route!$AM:$AP,3,0)))</f>
        <v/>
      </c>
      <c r="AK14" s="74" t="str">
        <f>IF(AA14="","",IF(COUNTIF(Route!$AM:$AM,'Add-on Train Movement Log'!AA14)=0,"未有資料",VLOOKUP('Add-on Train Movement Log'!AA14,Route!$AM:$AP,4,0)))</f>
        <v/>
      </c>
      <c r="AL14" s="74" t="str">
        <f>IF(AB14="","",IF(COUNTIF(Route!$AM:$AM,'Add-on Train Movement Log'!AB14)=0,"未有資料",VLOOKUP('Add-on Train Movement Log'!AB14,Route!$AM:$AP,4,0)))</f>
        <v/>
      </c>
      <c r="AM14" s="74" t="str">
        <f>IF(AC14="","",IF(COUNTIF(Route!$AM:$AM,'Add-on Train Movement Log'!AC14)=0,"未有資料",VLOOKUP('Add-on Train Movement Log'!AC14,Route!$AM:$AP,4,0)))</f>
        <v/>
      </c>
      <c r="AN14" s="74" t="str">
        <f>IF(AD14="","",IF(COUNTIF(Route!$AM:$AM,'Add-on Train Movement Log'!AD14)=0,"未有資料",VLOOKUP('Add-on Train Movement Log'!AD14,Route!$AM:$AP,4,0)))</f>
        <v/>
      </c>
      <c r="AP14" s="74" t="str">
        <f t="shared" si="7"/>
        <v/>
      </c>
      <c r="AQ14" s="76" t="str">
        <f t="shared" si="8"/>
        <v/>
      </c>
      <c r="AR14" s="80" t="str">
        <f>IF($U14="","",IF(COUNTIF(choice!$D:$D,CONCATENATE($U14,"@",AR$7))=0,"",VLOOKUP(CONCATENATE($U14,"@",AR$7),choice!$D:$E,2,0)))</f>
        <v/>
      </c>
      <c r="AS14" s="74" t="str">
        <f>IF($U14="","",IF(COUNTIF(choice!$D:$D,CONCATENATE($U14,"@",AS$7))=0,"",VLOOKUP(CONCATENATE($U14,"@",AS$7),choice!$D:$E,2,0)))</f>
        <v/>
      </c>
      <c r="AT14" s="74" t="str">
        <f>IF($U14="","",IF(COUNTIF(choice!$D:$D,CONCATENATE($U14,"@",AT$7))=0,"",VLOOKUP(CONCATENATE($U14,"@",AT$7),choice!$D:$E,2,0)))</f>
        <v/>
      </c>
      <c r="AU14" s="74" t="str">
        <f>IF($U14="","",IF(COUNTIF(choice!$D:$D,CONCATENATE($U14,"@",AU$7))=0,"",VLOOKUP(CONCATENATE($U14,"@",AU$7),choice!$D:$E,2,0)))</f>
        <v/>
      </c>
      <c r="AV14" s="74" t="str">
        <f>IF($U14="","",IF(COUNTIF(choice!$D:$D,CONCATENATE($U14,"@",AV$7))=0,"",VLOOKUP(CONCATENATE($U14,"@",AV$7),choice!$D:$E,2,0)))</f>
        <v/>
      </c>
      <c r="AW14" s="74" t="str">
        <f>IF($U14="","",IF(COUNTIF(choice!$D:$D,CONCATENATE($U14,"@",AW$7))=0,"",VLOOKUP(CONCATENATE($U14,"@",AW$7),choice!$D:$E,2,0)))</f>
        <v/>
      </c>
      <c r="AX14" s="74" t="str">
        <f>IF($U14="","",IF(COUNTIF(choice!$D:$D,CONCATENATE($U14,"@",AX$7))=0,"",VLOOKUP(CONCATENATE($U14,"@",AX$7),choice!$D:$E,2,0)))</f>
        <v/>
      </c>
      <c r="AY14" s="74" t="str">
        <f>IF($U14="","",IF(COUNTIF(choice!$D:$D,CONCATENATE($U14,"@",AY$7))=0,"",VLOOKUP(CONCATENATE($U14,"@",AY$7),choice!$D:$E,2,0)))</f>
        <v/>
      </c>
      <c r="AZ14" s="74" t="str">
        <f>IF($U14="","",IF(COUNTIF(choice!$D:$D,CONCATENATE($U14,"@",AZ$7))=0,"",VLOOKUP(CONCATENATE($U14,"@",AZ$7),choice!$D:$E,2,0)))</f>
        <v/>
      </c>
      <c r="BA14" s="74" t="str">
        <f>IF($U14="","",IF(COUNTIF(choice!$D:$D,CONCATENATE($U14,"@",BA$7))=0,"",VLOOKUP(CONCATENATE($U14,"@",BA$7),choice!$D:$E,2,0)))</f>
        <v/>
      </c>
      <c r="BB14" s="74" t="str">
        <f>IF($U14="","",IF(COUNTIF(choice!$D:$D,CONCATENATE($U14,"@",BB$7))=0,"",VLOOKUP(CONCATENATE($U14,"@",BB$7),choice!$D:$E,2,0)))</f>
        <v/>
      </c>
      <c r="BC14" s="74" t="str">
        <f>IF($U14="","",IF(COUNTIF(choice!$D:$D,CONCATENATE($U14,"@",BC$7))=0,"",VLOOKUP(CONCATENATE($U14,"@",BC$7),choice!$D:$E,2,0)))</f>
        <v/>
      </c>
      <c r="BD14" s="74" t="str">
        <f>IF($U14="","",IF(COUNTIF(choice!$D:$D,CONCATENATE($U14,"@",BD$7))=0,"",VLOOKUP(CONCATENATE($U14,"@",BD$7),choice!$D:$E,2,0)))</f>
        <v/>
      </c>
      <c r="BE14" s="74" t="str">
        <f>IF($U14="","",IF(COUNTIF(choice!$D:$D,CONCATENATE($U14,"@",BE$7))=0,"",VLOOKUP(CONCATENATE($U14,"@",BE$7),choice!$D:$E,2,0)))</f>
        <v/>
      </c>
      <c r="BF14" s="74" t="str">
        <f>IF($U14="","",IF(COUNTIF(choice!$D:$D,CONCATENATE($U14,"@",BF$7))=0,"",VLOOKUP(CONCATENATE($U14,"@",BF$7),choice!$D:$E,2,0)))</f>
        <v/>
      </c>
      <c r="BG14" s="74" t="str">
        <f>IF($U14="","",IF(COUNTIF(choice!$D:$D,CONCATENATE($U14,"@",BG$7))=0,"",VLOOKUP(CONCATENATE($U14,"@",BG$7),choice!$D:$E,2,0)))</f>
        <v/>
      </c>
      <c r="BH14" s="74" t="str">
        <f>IF($U14="","",IF(COUNTIF(choice!$D:$D,CONCATENATE($U14,"@",BH$7))=0,"",VLOOKUP(CONCATENATE($U14,"@",BH$7),choice!$D:$E,2,0)))</f>
        <v/>
      </c>
      <c r="BI14" s="74" t="str">
        <f>IF($U14="","",IF(COUNTIF(choice!$D:$D,CONCATENATE($U14,"@",BI$7))=0,"",VLOOKUP(CONCATENATE($U14,"@",BI$7),choice!$D:$E,2,0)))</f>
        <v/>
      </c>
      <c r="BJ14" s="74" t="str">
        <f>IF($U14="","",IF(COUNTIF(choice!$D:$D,CONCATENATE($U14,"@",BJ$7))=0,"",VLOOKUP(CONCATENATE($U14,"@",BJ$7),choice!$D:$E,2,0)))</f>
        <v/>
      </c>
      <c r="BK14" s="74" t="str">
        <f>IF($U14="","",IF(COUNTIF(choice!$D:$D,CONCATENATE($U14,"@",BK$7))=0,"",VLOOKUP(CONCATENATE($U14,"@",BK$7),choice!$D:$E,2,0)))</f>
        <v/>
      </c>
      <c r="BL14" s="74" t="str">
        <f>IF($U14="","",IF(COUNTIF(choice!$D:$D,CONCATENATE($U14,"@",BL$7))=0,"",VLOOKUP(CONCATENATE($U14,"@",BL$7),choice!$D:$E,2,0)))</f>
        <v/>
      </c>
      <c r="BM14" s="74" t="str">
        <f>IF($U14="","",IF(COUNTIF(choice!$D:$D,CONCATENATE($U14,"@",BM$7))=0,"",VLOOKUP(CONCATENATE($U14,"@",BM$7),choice!$D:$E,2,0)))</f>
        <v/>
      </c>
      <c r="BN14" s="74" t="str">
        <f>IF($U14="","",IF(COUNTIF(choice!$D:$D,CONCATENATE($U14,"@",BN$7))=0,"",VLOOKUP(CONCATENATE($U14,"@",BN$7),choice!$D:$E,2,0)))</f>
        <v/>
      </c>
      <c r="BO14" s="74" t="str">
        <f>IF($U14="","",IF(COUNTIF(choice!$D:$D,CONCATENATE($U14,"@",BO$7))=0,"",VLOOKUP(CONCATENATE($U14,"@",BO$7),choice!$D:$E,2,0)))</f>
        <v/>
      </c>
      <c r="BP14" s="74" t="str">
        <f>IF($U14="","",IF(COUNTIF(choice!$D:$D,CONCATENATE($U14,"@",BP$7))=0,"",VLOOKUP(CONCATENATE($U14,"@",BP$7),choice!$D:$E,2,0)))</f>
        <v/>
      </c>
      <c r="BQ14" s="74" t="str">
        <f>IF($U14="","",IF(COUNTIF(choice!$D:$D,CONCATENATE($U14,"@",BQ$7))=0,"",VLOOKUP(CONCATENATE($U14,"@",BQ$7),choice!$D:$E,2,0)))</f>
        <v/>
      </c>
      <c r="BR14" s="74" t="str">
        <f>IF($U14="","",IF(COUNTIF(choice!$D:$D,CONCATENATE($U14,"@",BR$7))=0,"",VLOOKUP(CONCATENATE($U14,"@",BR$7),choice!$D:$E,2,0)))</f>
        <v/>
      </c>
      <c r="BS14" s="74" t="str">
        <f>IF($U14="","",IF(COUNTIF(choice!$D:$D,CONCATENATE($U14,"@",BS$7))=0,"",VLOOKUP(CONCATENATE($U14,"@",BS$7),choice!$D:$E,2,0)))</f>
        <v/>
      </c>
      <c r="BT14" s="74" t="str">
        <f>IF($U14="","",IF(COUNTIF(choice!$D:$D,CONCATENATE($U14,"@",BT$7))=0,"",VLOOKUP(CONCATENATE($U14,"@",BT$7),choice!$D:$E,2,0)))</f>
        <v/>
      </c>
      <c r="BU14" s="74" t="str">
        <f>IF($U14="","",IF(COUNTIF(choice!$D:$D,CONCATENATE($U14,"@",BU$7))=0,"",VLOOKUP(CONCATENATE($U14,"@",BU$7),choice!$D:$E,2,0)))</f>
        <v/>
      </c>
      <c r="BV14" s="74" t="str">
        <f>IF($U14="","",IF(COUNTIF(choice!$D:$D,CONCATENATE($U14,"@",BV$7))=0,"",VLOOKUP(CONCATENATE($U14,"@",BV$7),choice!$D:$E,2,0)))</f>
        <v/>
      </c>
      <c r="BW14" s="74" t="str">
        <f>IF($U14="","",IF(COUNTIF(choice!$D:$D,CONCATENATE($U14,"@",BW$7))=0,"",VLOOKUP(CONCATENATE($U14,"@",BW$7),choice!$D:$E,2,0)))</f>
        <v/>
      </c>
      <c r="BX14" s="74" t="str">
        <f>IF($U14="","",IF(COUNTIF(choice!$D:$D,CONCATENATE($U14,"@",BX$7))=0,"",VLOOKUP(CONCATENATE($U14,"@",BX$7),choice!$D:$E,2,0)))</f>
        <v/>
      </c>
      <c r="BY14" s="74" t="str">
        <f>IF($U14="","",IF(COUNTIF(choice!$D:$D,CONCATENATE($U14,"@",BY$7))=0,"",VLOOKUP(CONCATENATE($U14,"@",BY$7),choice!$D:$E,2,0)))</f>
        <v/>
      </c>
      <c r="BZ14" s="74" t="str">
        <f>IF($U14="","",IF(COUNTIF(choice!$D:$D,CONCATENATE($U14,"@",BZ$7))=0,"",VLOOKUP(CONCATENATE($U14,"@",BZ$7),choice!$D:$E,2,0)))</f>
        <v/>
      </c>
      <c r="CA14" s="74" t="str">
        <f>IF($U14="","",IF(COUNTIF(choice!$D:$D,CONCATENATE($U14,"@",CA$7))=0,"",VLOOKUP(CONCATENATE($U14,"@",CA$7),choice!$D:$E,2,0)))</f>
        <v/>
      </c>
      <c r="CB14" s="74" t="str">
        <f>IF($U14="","",IF(COUNTIF(choice!$D:$D,CONCATENATE($U14,"@",CB$7))=0,"",VLOOKUP(CONCATENATE($U14,"@",CB$7),choice!$D:$E,2,0)))</f>
        <v/>
      </c>
      <c r="CC14" s="74" t="str">
        <f>IF($U14="","",IF(COUNTIF(choice!$D:$D,CONCATENATE($U14,"@",CC$7))=0,"",VLOOKUP(CONCATENATE($U14,"@",CC$7),choice!$D:$E,2,0)))</f>
        <v/>
      </c>
      <c r="CD14" s="74" t="str">
        <f>IF($U14="","",IF(COUNTIF(choice!$D:$D,CONCATENATE($U14,"@",CD$7))=0,"",VLOOKUP(CONCATENATE($U14,"@",CD$7),choice!$D:$E,2,0)))</f>
        <v/>
      </c>
      <c r="CE14" s="74" t="str">
        <f>IF($U14="","",IF(COUNTIF(choice!$D:$D,CONCATENATE($U14,"@",CE$7))=0,"",VLOOKUP(CONCATENATE($U14,"@",CE$7),choice!$D:$E,2,0)))</f>
        <v/>
      </c>
      <c r="CF14" s="74" t="str">
        <f>IF($U14="","",IF(COUNTIF(choice!$D:$D,CONCATENATE($U14,"@",CF$7))=0,"",VLOOKUP(CONCATENATE($U14,"@",CF$7),choice!$D:$E,2,0)))</f>
        <v/>
      </c>
      <c r="CG14" s="74" t="str">
        <f>IF($U14="","",IF(COUNTIF(choice!$D:$D,CONCATENATE($U14,"@",CG$7))=0,"",VLOOKUP(CONCATENATE($U14,"@",CG$7),choice!$D:$E,2,0)))</f>
        <v/>
      </c>
      <c r="CH14" s="74" t="str">
        <f>IF($U14="","",IF(COUNTIF(choice!$D:$D,CONCATENATE($U14,"@",CH$7))=0,"",VLOOKUP(CONCATENATE($U14,"@",CH$7),choice!$D:$E,2,0)))</f>
        <v/>
      </c>
      <c r="CI14" s="74" t="str">
        <f>IF($U14="","",IF(COUNTIF(choice!$D:$D,CONCATENATE($U14,"@",CI$7))=0,"",VLOOKUP(CONCATENATE($U14,"@",CI$7),choice!$D:$E,2,0)))</f>
        <v/>
      </c>
      <c r="CJ14" s="81" t="str">
        <f>IF($U14="","",IF(COUNTIF(choice!$D:$D,CONCATENATE($U14,"@",CJ$7))=0,"",VLOOKUP(CONCATENATE($U14,"@",CJ$7),choice!$D:$E,2,0)))</f>
        <v/>
      </c>
      <c r="CK14" s="80" t="str">
        <f>IF($V14="","",IF(COUNTIF(choice!$D:$D,CONCATENATE($V14,"@",CK$7))=0,"",VLOOKUP(CONCATENATE($V14,"@",CK$7),choice!$D:$E,2,0)))</f>
        <v/>
      </c>
      <c r="CL14" s="74" t="str">
        <f>IF($V14="","",IF(COUNTIF(choice!$D:$D,CONCATENATE($V14,"@",CL$7))=0,"",VLOOKUP(CONCATENATE($V14,"@",CL$7),choice!$D:$E,2,0)))</f>
        <v/>
      </c>
      <c r="CM14" s="74" t="str">
        <f>IF($V14="","",IF(COUNTIF(choice!$D:$D,CONCATENATE($V14,"@",CM$7))=0,"",VLOOKUP(CONCATENATE($V14,"@",CM$7),choice!$D:$E,2,0)))</f>
        <v/>
      </c>
      <c r="CN14" s="74" t="str">
        <f>IF($V14="","",IF(COUNTIF(choice!$D:$D,CONCATENATE($V14,"@",CN$7))=0,"",VLOOKUP(CONCATENATE($V14,"@",CN$7),choice!$D:$E,2,0)))</f>
        <v/>
      </c>
      <c r="CO14" s="74" t="str">
        <f>IF($V14="","",IF(COUNTIF(choice!$D:$D,CONCATENATE($V14,"@",CO$7))=0,"",VLOOKUP(CONCATENATE($V14,"@",CO$7),choice!$D:$E,2,0)))</f>
        <v/>
      </c>
      <c r="CP14" s="74" t="str">
        <f>IF($V14="","",IF(COUNTIF(choice!$D:$D,CONCATENATE($V14,"@",CP$7))=0,"",VLOOKUP(CONCATENATE($V14,"@",CP$7),choice!$D:$E,2,0)))</f>
        <v/>
      </c>
      <c r="CQ14" s="74" t="str">
        <f>IF($V14="","",IF(COUNTIF(choice!$D:$D,CONCATENATE($V14,"@",CQ$7))=0,"",VLOOKUP(CONCATENATE($V14,"@",CQ$7),choice!$D:$E,2,0)))</f>
        <v/>
      </c>
      <c r="CR14" s="74" t="str">
        <f>IF($V14="","",IF(COUNTIF(choice!$D:$D,CONCATENATE($V14,"@",CR$7))=0,"",VLOOKUP(CONCATENATE($V14,"@",CR$7),choice!$D:$E,2,0)))</f>
        <v/>
      </c>
      <c r="CS14" s="74" t="str">
        <f>IF($V14="","",IF(COUNTIF(choice!$D:$D,CONCATENATE($V14,"@",CS$7))=0,"",VLOOKUP(CONCATENATE($V14,"@",CS$7),choice!$D:$E,2,0)))</f>
        <v/>
      </c>
      <c r="CT14" s="74" t="str">
        <f>IF($V14="","",IF(COUNTIF(choice!$D:$D,CONCATENATE($V14,"@",CT$7))=0,"",VLOOKUP(CONCATENATE($V14,"@",CT$7),choice!$D:$E,2,0)))</f>
        <v/>
      </c>
      <c r="CU14" s="74" t="str">
        <f>IF($V14="","",IF(COUNTIF(choice!$D:$D,CONCATENATE($V14,"@",CU$7))=0,"",VLOOKUP(CONCATENATE($V14,"@",CU$7),choice!$D:$E,2,0)))</f>
        <v/>
      </c>
      <c r="CV14" s="74" t="str">
        <f>IF($V14="","",IF(COUNTIF(choice!$D:$D,CONCATENATE($V14,"@",CV$7))=0,"",VLOOKUP(CONCATENATE($V14,"@",CV$7),choice!$D:$E,2,0)))</f>
        <v/>
      </c>
      <c r="CW14" s="74" t="str">
        <f>IF($V14="","",IF(COUNTIF(choice!$D:$D,CONCATENATE($V14,"@",CW$7))=0,"",VLOOKUP(CONCATENATE($V14,"@",CW$7),choice!$D:$E,2,0)))</f>
        <v/>
      </c>
      <c r="CX14" s="74" t="str">
        <f>IF($V14="","",IF(COUNTIF(choice!$D:$D,CONCATENATE($V14,"@",CX$7))=0,"",VLOOKUP(CONCATENATE($V14,"@",CX$7),choice!$D:$E,2,0)))</f>
        <v/>
      </c>
      <c r="CY14" s="74" t="str">
        <f>IF($V14="","",IF(COUNTIF(choice!$D:$D,CONCATENATE($V14,"@",CY$7))=0,"",VLOOKUP(CONCATENATE($V14,"@",CY$7),choice!$D:$E,2,0)))</f>
        <v/>
      </c>
      <c r="CZ14" s="74" t="str">
        <f>IF($V14="","",IF(COUNTIF(choice!$D:$D,CONCATENATE($V14,"@",CZ$7))=0,"",VLOOKUP(CONCATENATE($V14,"@",CZ$7),choice!$D:$E,2,0)))</f>
        <v/>
      </c>
      <c r="DA14" s="74" t="str">
        <f>IF($V14="","",IF(COUNTIF(choice!$D:$D,CONCATENATE($V14,"@",DA$7))=0,"",VLOOKUP(CONCATENATE($V14,"@",DA$7),choice!$D:$E,2,0)))</f>
        <v/>
      </c>
      <c r="DB14" s="74" t="str">
        <f>IF($V14="","",IF(COUNTIF(choice!$D:$D,CONCATENATE($V14,"@",DB$7))=0,"",VLOOKUP(CONCATENATE($V14,"@",DB$7),choice!$D:$E,2,0)))</f>
        <v/>
      </c>
      <c r="DC14" s="74" t="str">
        <f>IF($V14="","",IF(COUNTIF(choice!$D:$D,CONCATENATE($V14,"@",DC$7))=0,"",VLOOKUP(CONCATENATE($V14,"@",DC$7),choice!$D:$E,2,0)))</f>
        <v/>
      </c>
      <c r="DD14" s="74" t="str">
        <f>IF($V14="","",IF(COUNTIF(choice!$D:$D,CONCATENATE($V14,"@",DD$7))=0,"",VLOOKUP(CONCATENATE($V14,"@",DD$7),choice!$D:$E,2,0)))</f>
        <v/>
      </c>
      <c r="DE14" s="74" t="str">
        <f>IF($V14="","",IF(COUNTIF(choice!$D:$D,CONCATENATE($V14,"@",DE$7))=0,"",VLOOKUP(CONCATENATE($V14,"@",DE$7),choice!$D:$E,2,0)))</f>
        <v/>
      </c>
      <c r="DF14" s="74" t="str">
        <f>IF($V14="","",IF(COUNTIF(choice!$D:$D,CONCATENATE($V14,"@",DF$7))=0,"",VLOOKUP(CONCATENATE($V14,"@",DF$7),choice!$D:$E,2,0)))</f>
        <v/>
      </c>
      <c r="DG14" s="74" t="str">
        <f>IF($V14="","",IF(COUNTIF(choice!$D:$D,CONCATENATE($V14,"@",DG$7))=0,"",VLOOKUP(CONCATENATE($V14,"@",DG$7),choice!$D:$E,2,0)))</f>
        <v/>
      </c>
      <c r="DH14" s="74" t="str">
        <f>IF($V14="","",IF(COUNTIF(choice!$D:$D,CONCATENATE($V14,"@",DH$7))=0,"",VLOOKUP(CONCATENATE($V14,"@",DH$7),choice!$D:$E,2,0)))</f>
        <v/>
      </c>
      <c r="DI14" s="74" t="str">
        <f>IF($V14="","",IF(COUNTIF(choice!$D:$D,CONCATENATE($V14,"@",DI$7))=0,"",VLOOKUP(CONCATENATE($V14,"@",DI$7),choice!$D:$E,2,0)))</f>
        <v/>
      </c>
      <c r="DJ14" s="74" t="str">
        <f>IF($V14="","",IF(COUNTIF(choice!$D:$D,CONCATENATE($V14,"@",DJ$7))=0,"",VLOOKUP(CONCATENATE($V14,"@",DJ$7),choice!$D:$E,2,0)))</f>
        <v/>
      </c>
      <c r="DK14" s="74" t="str">
        <f>IF($V14="","",IF(COUNTIF(choice!$D:$D,CONCATENATE($V14,"@",DK$7))=0,"",VLOOKUP(CONCATENATE($V14,"@",DK$7),choice!$D:$E,2,0)))</f>
        <v/>
      </c>
      <c r="DL14" s="74" t="str">
        <f>IF($V14="","",IF(COUNTIF(choice!$D:$D,CONCATENATE($V14,"@",DL$7))=0,"",VLOOKUP(CONCATENATE($V14,"@",DL$7),choice!$D:$E,2,0)))</f>
        <v/>
      </c>
      <c r="DM14" s="74" t="str">
        <f>IF($V14="","",IF(COUNTIF(choice!$D:$D,CONCATENATE($V14,"@",DM$7))=0,"",VLOOKUP(CONCATENATE($V14,"@",DM$7),choice!$D:$E,2,0)))</f>
        <v/>
      </c>
      <c r="DN14" s="74" t="str">
        <f>IF($V14="","",IF(COUNTIF(choice!$D:$D,CONCATENATE($V14,"@",DN$7))=0,"",VLOOKUP(CONCATENATE($V14,"@",DN$7),choice!$D:$E,2,0)))</f>
        <v/>
      </c>
      <c r="DO14" s="74" t="str">
        <f>IF($V14="","",IF(COUNTIF(choice!$D:$D,CONCATENATE($V14,"@",DO$7))=0,"",VLOOKUP(CONCATENATE($V14,"@",DO$7),choice!$D:$E,2,0)))</f>
        <v/>
      </c>
      <c r="DP14" s="74" t="str">
        <f>IF($V14="","",IF(COUNTIF(choice!$D:$D,CONCATENATE($V14,"@",DP$7))=0,"",VLOOKUP(CONCATENATE($V14,"@",DP$7),choice!$D:$E,2,0)))</f>
        <v/>
      </c>
      <c r="DQ14" s="74" t="str">
        <f>IF($V14="","",IF(COUNTIF(choice!$D:$D,CONCATENATE($V14,"@",DQ$7))=0,"",VLOOKUP(CONCATENATE($V14,"@",DQ$7),choice!$D:$E,2,0)))</f>
        <v/>
      </c>
      <c r="DR14" s="74" t="str">
        <f>IF($V14="","",IF(COUNTIF(choice!$D:$D,CONCATENATE($V14,"@",DR$7))=0,"",VLOOKUP(CONCATENATE($V14,"@",DR$7),choice!$D:$E,2,0)))</f>
        <v/>
      </c>
      <c r="DS14" s="74" t="str">
        <f>IF($V14="","",IF(COUNTIF(choice!$D:$D,CONCATENATE($V14,"@",DS$7))=0,"",VLOOKUP(CONCATENATE($V14,"@",DS$7),choice!$D:$E,2,0)))</f>
        <v/>
      </c>
      <c r="DT14" s="74" t="str">
        <f>IF($V14="","",IF(COUNTIF(choice!$D:$D,CONCATENATE($V14,"@",DT$7))=0,"",VLOOKUP(CONCATENATE($V14,"@",DT$7),choice!$D:$E,2,0)))</f>
        <v/>
      </c>
      <c r="DU14" s="74" t="str">
        <f>IF($V14="","",IF(COUNTIF(choice!$D:$D,CONCATENATE($V14,"@",DU$7))=0,"",VLOOKUP(CONCATENATE($V14,"@",DU$7),choice!$D:$E,2,0)))</f>
        <v/>
      </c>
      <c r="DV14" s="74" t="str">
        <f>IF($V14="","",IF(COUNTIF(choice!$D:$D,CONCATENATE($V14,"@",DV$7))=0,"",VLOOKUP(CONCATENATE($V14,"@",DV$7),choice!$D:$E,2,0)))</f>
        <v/>
      </c>
      <c r="DW14" s="74" t="str">
        <f>IF($V14="","",IF(COUNTIF(choice!$D:$D,CONCATENATE($V14,"@",DW$7))=0,"",VLOOKUP(CONCATENATE($V14,"@",DW$7),choice!$D:$E,2,0)))</f>
        <v/>
      </c>
      <c r="DX14" s="74" t="str">
        <f>IF($V14="","",IF(COUNTIF(choice!$D:$D,CONCATENATE($V14,"@",DX$7))=0,"",VLOOKUP(CONCATENATE($V14,"@",DX$7),choice!$D:$E,2,0)))</f>
        <v/>
      </c>
      <c r="DY14" s="74" t="str">
        <f>IF($V14="","",IF(COUNTIF(choice!$D:$D,CONCATENATE($V14,"@",DY$7))=0,"",VLOOKUP(CONCATENATE($V14,"@",DY$7),choice!$D:$E,2,0)))</f>
        <v/>
      </c>
      <c r="DZ14" s="74" t="str">
        <f>IF($V14="","",IF(COUNTIF(choice!$D:$D,CONCATENATE($V14,"@",DZ$7))=0,"",VLOOKUP(CONCATENATE($V14,"@",DZ$7),choice!$D:$E,2,0)))</f>
        <v/>
      </c>
      <c r="EA14" s="74" t="str">
        <f>IF($V14="","",IF(COUNTIF(choice!$D:$D,CONCATENATE($V14,"@",EA$7))=0,"",VLOOKUP(CONCATENATE($V14,"@",EA$7),choice!$D:$E,2,0)))</f>
        <v/>
      </c>
      <c r="EB14" s="74" t="str">
        <f>IF($V14="","",IF(COUNTIF(choice!$D:$D,CONCATENATE($V14,"@",EB$7))=0,"",VLOOKUP(CONCATENATE($V14,"@",EB$7),choice!$D:$E,2,0)))</f>
        <v/>
      </c>
      <c r="EC14" s="81" t="str">
        <f>IF($V14="","",IF(COUNTIF(choice!$D:$D,CONCATENATE($V14,"@",EC$7))=0,"",VLOOKUP(CONCATENATE($V14,"@",EC$7),choice!$D:$E,2,0)))</f>
        <v/>
      </c>
      <c r="ED14" s="80" t="str">
        <f>IF($W14="","",IF(COUNTIF(choice!$D:$D,CONCATENATE($W14,"@",ED$7))=0,"",VLOOKUP(CONCATENATE($W14,"@",ED$7),choice!$D:$E,2,0)))</f>
        <v/>
      </c>
      <c r="EE14" s="74" t="str">
        <f>IF($W14="","",IF(COUNTIF(choice!$D:$D,CONCATENATE($W14,"@",EE$7))=0,"",VLOOKUP(CONCATENATE($W14,"@",EE$7),choice!$D:$E,2,0)))</f>
        <v/>
      </c>
      <c r="EF14" s="74" t="str">
        <f>IF($W14="","",IF(COUNTIF(choice!$D:$D,CONCATENATE($W14,"@",EF$7))=0,"",VLOOKUP(CONCATENATE($W14,"@",EF$7),choice!$D:$E,2,0)))</f>
        <v/>
      </c>
      <c r="EG14" s="74" t="str">
        <f>IF($W14="","",IF(COUNTIF(choice!$D:$D,CONCATENATE($W14,"@",EG$7))=0,"",VLOOKUP(CONCATENATE($W14,"@",EG$7),choice!$D:$E,2,0)))</f>
        <v/>
      </c>
      <c r="EH14" s="74" t="str">
        <f>IF($W14="","",IF(COUNTIF(choice!$D:$D,CONCATENATE($W14,"@",EH$7))=0,"",VLOOKUP(CONCATENATE($W14,"@",EH$7),choice!$D:$E,2,0)))</f>
        <v/>
      </c>
      <c r="EI14" s="74" t="str">
        <f>IF($W14="","",IF(COUNTIF(choice!$D:$D,CONCATENATE($W14,"@",EI$7))=0,"",VLOOKUP(CONCATENATE($W14,"@",EI$7),choice!$D:$E,2,0)))</f>
        <v/>
      </c>
      <c r="EJ14" s="74" t="str">
        <f>IF($W14="","",IF(COUNTIF(choice!$D:$D,CONCATENATE($W14,"@",EJ$7))=0,"",VLOOKUP(CONCATENATE($W14,"@",EJ$7),choice!$D:$E,2,0)))</f>
        <v/>
      </c>
      <c r="EK14" s="74" t="str">
        <f>IF($W14="","",IF(COUNTIF(choice!$D:$D,CONCATENATE($W14,"@",EK$7))=0,"",VLOOKUP(CONCATENATE($W14,"@",EK$7),choice!$D:$E,2,0)))</f>
        <v/>
      </c>
      <c r="EL14" s="74" t="str">
        <f>IF($W14="","",IF(COUNTIF(choice!$D:$D,CONCATENATE($W14,"@",EL$7))=0,"",VLOOKUP(CONCATENATE($W14,"@",EL$7),choice!$D:$E,2,0)))</f>
        <v/>
      </c>
      <c r="EM14" s="74" t="str">
        <f>IF($W14="","",IF(COUNTIF(choice!$D:$D,CONCATENATE($W14,"@",EM$7))=0,"",VLOOKUP(CONCATENATE($W14,"@",EM$7),choice!$D:$E,2,0)))</f>
        <v/>
      </c>
      <c r="EN14" s="74" t="str">
        <f>IF($W14="","",IF(COUNTIF(choice!$D:$D,CONCATENATE($W14,"@",EN$7))=0,"",VLOOKUP(CONCATENATE($W14,"@",EN$7),choice!$D:$E,2,0)))</f>
        <v/>
      </c>
      <c r="EO14" s="74" t="str">
        <f>IF($W14="","",IF(COUNTIF(choice!$D:$D,CONCATENATE($W14,"@",EO$7))=0,"",VLOOKUP(CONCATENATE($W14,"@",EO$7),choice!$D:$E,2,0)))</f>
        <v/>
      </c>
      <c r="EP14" s="74" t="str">
        <f>IF($W14="","",IF(COUNTIF(choice!$D:$D,CONCATENATE($W14,"@",EP$7))=0,"",VLOOKUP(CONCATENATE($W14,"@",EP$7),choice!$D:$E,2,0)))</f>
        <v/>
      </c>
      <c r="EQ14" s="74" t="str">
        <f>IF($W14="","",IF(COUNTIF(choice!$D:$D,CONCATENATE($W14,"@",EQ$7))=0,"",VLOOKUP(CONCATENATE($W14,"@",EQ$7),choice!$D:$E,2,0)))</f>
        <v/>
      </c>
      <c r="ER14" s="74" t="str">
        <f>IF($W14="","",IF(COUNTIF(choice!$D:$D,CONCATENATE($W14,"@",ER$7))=0,"",VLOOKUP(CONCATENATE($W14,"@",ER$7),choice!$D:$E,2,0)))</f>
        <v/>
      </c>
      <c r="ES14" s="74" t="str">
        <f>IF($W14="","",IF(COUNTIF(choice!$D:$D,CONCATENATE($W14,"@",ES$7))=0,"",VLOOKUP(CONCATENATE($W14,"@",ES$7),choice!$D:$E,2,0)))</f>
        <v/>
      </c>
      <c r="ET14" s="74" t="str">
        <f>IF($W14="","",IF(COUNTIF(choice!$D:$D,CONCATENATE($W14,"@",ET$7))=0,"",VLOOKUP(CONCATENATE($W14,"@",ET$7),choice!$D:$E,2,0)))</f>
        <v/>
      </c>
      <c r="EU14" s="74" t="str">
        <f>IF($W14="","",IF(COUNTIF(choice!$D:$D,CONCATENATE($W14,"@",EU$7))=0,"",VLOOKUP(CONCATENATE($W14,"@",EU$7),choice!$D:$E,2,0)))</f>
        <v/>
      </c>
      <c r="EV14" s="74" t="str">
        <f>IF($W14="","",IF(COUNTIF(choice!$D:$D,CONCATENATE($W14,"@",EV$7))=0,"",VLOOKUP(CONCATENATE($W14,"@",EV$7),choice!$D:$E,2,0)))</f>
        <v/>
      </c>
      <c r="EW14" s="74" t="str">
        <f>IF($W14="","",IF(COUNTIF(choice!$D:$D,CONCATENATE($W14,"@",EW$7))=0,"",VLOOKUP(CONCATENATE($W14,"@",EW$7),choice!$D:$E,2,0)))</f>
        <v/>
      </c>
      <c r="EX14" s="74" t="str">
        <f>IF($W14="","",IF(COUNTIF(choice!$D:$D,CONCATENATE($W14,"@",EX$7))=0,"",VLOOKUP(CONCATENATE($W14,"@",EX$7),choice!$D:$E,2,0)))</f>
        <v/>
      </c>
      <c r="EY14" s="74" t="str">
        <f>IF($W14="","",IF(COUNTIF(choice!$D:$D,CONCATENATE($W14,"@",EY$7))=0,"",VLOOKUP(CONCATENATE($W14,"@",EY$7),choice!$D:$E,2,0)))</f>
        <v/>
      </c>
      <c r="EZ14" s="74" t="str">
        <f>IF($W14="","",IF(COUNTIF(choice!$D:$D,CONCATENATE($W14,"@",EZ$7))=0,"",VLOOKUP(CONCATENATE($W14,"@",EZ$7),choice!$D:$E,2,0)))</f>
        <v/>
      </c>
      <c r="FA14" s="74" t="str">
        <f>IF($W14="","",IF(COUNTIF(choice!$D:$D,CONCATENATE($W14,"@",FA$7))=0,"",VLOOKUP(CONCATENATE($W14,"@",FA$7),choice!$D:$E,2,0)))</f>
        <v/>
      </c>
      <c r="FB14" s="74" t="str">
        <f>IF($W14="","",IF(COUNTIF(choice!$D:$D,CONCATENATE($W14,"@",FB$7))=0,"",VLOOKUP(CONCATENATE($W14,"@",FB$7),choice!$D:$E,2,0)))</f>
        <v/>
      </c>
      <c r="FC14" s="74" t="str">
        <f>IF($W14="","",IF(COUNTIF(choice!$D:$D,CONCATENATE($W14,"@",FC$7))=0,"",VLOOKUP(CONCATENATE($W14,"@",FC$7),choice!$D:$E,2,0)))</f>
        <v/>
      </c>
      <c r="FD14" s="74" t="str">
        <f>IF($W14="","",IF(COUNTIF(choice!$D:$D,CONCATENATE($W14,"@",FD$7))=0,"",VLOOKUP(CONCATENATE($W14,"@",FD$7),choice!$D:$E,2,0)))</f>
        <v/>
      </c>
      <c r="FE14" s="74" t="str">
        <f>IF($W14="","",IF(COUNTIF(choice!$D:$D,CONCATENATE($W14,"@",FE$7))=0,"",VLOOKUP(CONCATENATE($W14,"@",FE$7),choice!$D:$E,2,0)))</f>
        <v/>
      </c>
      <c r="FF14" s="74" t="str">
        <f>IF($W14="","",IF(COUNTIF(choice!$D:$D,CONCATENATE($W14,"@",FF$7))=0,"",VLOOKUP(CONCATENATE($W14,"@",FF$7),choice!$D:$E,2,0)))</f>
        <v/>
      </c>
      <c r="FG14" s="74" t="str">
        <f>IF($W14="","",IF(COUNTIF(choice!$D:$D,CONCATENATE($W14,"@",FG$7))=0,"",VLOOKUP(CONCATENATE($W14,"@",FG$7),choice!$D:$E,2,0)))</f>
        <v/>
      </c>
      <c r="FH14" s="74" t="str">
        <f>IF($W14="","",IF(COUNTIF(choice!$D:$D,CONCATENATE($W14,"@",FH$7))=0,"",VLOOKUP(CONCATENATE($W14,"@",FH$7),choice!$D:$E,2,0)))</f>
        <v/>
      </c>
      <c r="FI14" s="74" t="str">
        <f>IF($W14="","",IF(COUNTIF(choice!$D:$D,CONCATENATE($W14,"@",FI$7))=0,"",VLOOKUP(CONCATENATE($W14,"@",FI$7),choice!$D:$E,2,0)))</f>
        <v/>
      </c>
      <c r="FJ14" s="74" t="str">
        <f>IF($W14="","",IF(COUNTIF(choice!$D:$D,CONCATENATE($W14,"@",FJ$7))=0,"",VLOOKUP(CONCATENATE($W14,"@",FJ$7),choice!$D:$E,2,0)))</f>
        <v/>
      </c>
      <c r="FK14" s="74" t="str">
        <f>IF($W14="","",IF(COUNTIF(choice!$D:$D,CONCATENATE($W14,"@",FK$7))=0,"",VLOOKUP(CONCATENATE($W14,"@",FK$7),choice!$D:$E,2,0)))</f>
        <v/>
      </c>
      <c r="FL14" s="74" t="str">
        <f>IF($W14="","",IF(COUNTIF(choice!$D:$D,CONCATENATE($W14,"@",FL$7))=0,"",VLOOKUP(CONCATENATE($W14,"@",FL$7),choice!$D:$E,2,0)))</f>
        <v/>
      </c>
      <c r="FM14" s="74" t="str">
        <f>IF($W14="","",IF(COUNTIF(choice!$D:$D,CONCATENATE($W14,"@",FM$7))=0,"",VLOOKUP(CONCATENATE($W14,"@",FM$7),choice!$D:$E,2,0)))</f>
        <v/>
      </c>
      <c r="FN14" s="74" t="str">
        <f>IF($W14="","",IF(COUNTIF(choice!$D:$D,CONCATENATE($W14,"@",FN$7))=0,"",VLOOKUP(CONCATENATE($W14,"@",FN$7),choice!$D:$E,2,0)))</f>
        <v/>
      </c>
      <c r="FO14" s="74" t="str">
        <f>IF($W14="","",IF(COUNTIF(choice!$D:$D,CONCATENATE($W14,"@",FO$7))=0,"",VLOOKUP(CONCATENATE($W14,"@",FO$7),choice!$D:$E,2,0)))</f>
        <v/>
      </c>
      <c r="FP14" s="74" t="str">
        <f>IF($W14="","",IF(COUNTIF(choice!$D:$D,CONCATENATE($W14,"@",FP$7))=0,"",VLOOKUP(CONCATENATE($W14,"@",FP$7),choice!$D:$E,2,0)))</f>
        <v/>
      </c>
      <c r="FQ14" s="74" t="str">
        <f>IF($W14="","",IF(COUNTIF(choice!$D:$D,CONCATENATE($W14,"@",FQ$7))=0,"",VLOOKUP(CONCATENATE($W14,"@",FQ$7),choice!$D:$E,2,0)))</f>
        <v/>
      </c>
      <c r="FR14" s="74" t="str">
        <f>IF($W14="","",IF(COUNTIF(choice!$D:$D,CONCATENATE($W14,"@",FR$7))=0,"",VLOOKUP(CONCATENATE($W14,"@",FR$7),choice!$D:$E,2,0)))</f>
        <v/>
      </c>
      <c r="FS14" s="74" t="str">
        <f>IF($W14="","",IF(COUNTIF(choice!$D:$D,CONCATENATE($W14,"@",FS$7))=0,"",VLOOKUP(CONCATENATE($W14,"@",FS$7),choice!$D:$E,2,0)))</f>
        <v/>
      </c>
      <c r="FT14" s="74" t="str">
        <f>IF($W14="","",IF(COUNTIF(choice!$D:$D,CONCATENATE($W14,"@",FT$7))=0,"",VLOOKUP(CONCATENATE($W14,"@",FT$7),choice!$D:$E,2,0)))</f>
        <v/>
      </c>
      <c r="FU14" s="74" t="str">
        <f>IF($W14="","",IF(COUNTIF(choice!$D:$D,CONCATENATE($W14,"@",FU$7))=0,"",VLOOKUP(CONCATENATE($W14,"@",FU$7),choice!$D:$E,2,0)))</f>
        <v/>
      </c>
      <c r="FV14" s="81" t="str">
        <f>IF($W14="","",IF(COUNTIF(choice!$D:$D,CONCATENATE($W14,"@",FV$7))=0,"",VLOOKUP(CONCATENATE($W14,"@",FV$7),choice!$D:$E,2,0)))</f>
        <v/>
      </c>
      <c r="FW14" s="80" t="str">
        <f>IF($X14="","",IF(COUNTIF(choice!$D:$D,CONCATENATE($X14,"@",FW$7))=0,"",VLOOKUP(CONCATENATE($X14,"@",FW$7),choice!$D:$E,2,0)))</f>
        <v/>
      </c>
      <c r="FX14" s="74" t="str">
        <f>IF($X14="","",IF(COUNTIF(choice!$D:$D,CONCATENATE($X14,"@",FX$7))=0,"",VLOOKUP(CONCATENATE($X14,"@",FX$7),choice!$D:$E,2,0)))</f>
        <v/>
      </c>
      <c r="FY14" s="74" t="str">
        <f>IF($X14="","",IF(COUNTIF(choice!$D:$D,CONCATENATE($X14,"@",FY$7))=0,"",VLOOKUP(CONCATENATE($X14,"@",FY$7),choice!$D:$E,2,0)))</f>
        <v/>
      </c>
      <c r="FZ14" s="74" t="str">
        <f>IF($X14="","",IF(COUNTIF(choice!$D:$D,CONCATENATE($X14,"@",FZ$7))=0,"",VLOOKUP(CONCATENATE($X14,"@",FZ$7),choice!$D:$E,2,0)))</f>
        <v/>
      </c>
      <c r="GA14" s="74" t="str">
        <f>IF($X14="","",IF(COUNTIF(choice!$D:$D,CONCATENATE($X14,"@",GA$7))=0,"",VLOOKUP(CONCATENATE($X14,"@",GA$7),choice!$D:$E,2,0)))</f>
        <v/>
      </c>
      <c r="GB14" s="74" t="str">
        <f>IF($X14="","",IF(COUNTIF(choice!$D:$D,CONCATENATE($X14,"@",GB$7))=0,"",VLOOKUP(CONCATENATE($X14,"@",GB$7),choice!$D:$E,2,0)))</f>
        <v/>
      </c>
      <c r="GC14" s="74" t="str">
        <f>IF($X14="","",IF(COUNTIF(choice!$D:$D,CONCATENATE($X14,"@",GC$7))=0,"",VLOOKUP(CONCATENATE($X14,"@",GC$7),choice!$D:$E,2,0)))</f>
        <v/>
      </c>
      <c r="GD14" s="74" t="str">
        <f>IF($X14="","",IF(COUNTIF(choice!$D:$D,CONCATENATE($X14,"@",GD$7))=0,"",VLOOKUP(CONCATENATE($X14,"@",GD$7),choice!$D:$E,2,0)))</f>
        <v/>
      </c>
      <c r="GE14" s="74" t="str">
        <f>IF($X14="","",IF(COUNTIF(choice!$D:$D,CONCATENATE($X14,"@",GE$7))=0,"",VLOOKUP(CONCATENATE($X14,"@",GE$7),choice!$D:$E,2,0)))</f>
        <v/>
      </c>
      <c r="GF14" s="74" t="str">
        <f>IF($X14="","",IF(COUNTIF(choice!$D:$D,CONCATENATE($X14,"@",GF$7))=0,"",VLOOKUP(CONCATENATE($X14,"@",GF$7),choice!$D:$E,2,0)))</f>
        <v/>
      </c>
      <c r="GG14" s="74" t="str">
        <f>IF($X14="","",IF(COUNTIF(choice!$D:$D,CONCATENATE($X14,"@",GG$7))=0,"",VLOOKUP(CONCATENATE($X14,"@",GG$7),choice!$D:$E,2,0)))</f>
        <v/>
      </c>
      <c r="GH14" s="74" t="str">
        <f>IF($X14="","",IF(COUNTIF(choice!$D:$D,CONCATENATE($X14,"@",GH$7))=0,"",VLOOKUP(CONCATENATE($X14,"@",GH$7),choice!$D:$E,2,0)))</f>
        <v/>
      </c>
      <c r="GI14" s="74" t="str">
        <f>IF($X14="","",IF(COUNTIF(choice!$D:$D,CONCATENATE($X14,"@",GI$7))=0,"",VLOOKUP(CONCATENATE($X14,"@",GI$7),choice!$D:$E,2,0)))</f>
        <v/>
      </c>
      <c r="GJ14" s="74" t="str">
        <f>IF($X14="","",IF(COUNTIF(choice!$D:$D,CONCATENATE($X14,"@",GJ$7))=0,"",VLOOKUP(CONCATENATE($X14,"@",GJ$7),choice!$D:$E,2,0)))</f>
        <v/>
      </c>
      <c r="GK14" s="74" t="str">
        <f>IF($X14="","",IF(COUNTIF(choice!$D:$D,CONCATENATE($X14,"@",GK$7))=0,"",VLOOKUP(CONCATENATE($X14,"@",GK$7),choice!$D:$E,2,0)))</f>
        <v/>
      </c>
      <c r="GL14" s="74" t="str">
        <f>IF($X14="","",IF(COUNTIF(choice!$D:$D,CONCATENATE($X14,"@",GL$7))=0,"",VLOOKUP(CONCATENATE($X14,"@",GL$7),choice!$D:$E,2,0)))</f>
        <v/>
      </c>
      <c r="GM14" s="74" t="str">
        <f>IF($X14="","",IF(COUNTIF(choice!$D:$D,CONCATENATE($X14,"@",GM$7))=0,"",VLOOKUP(CONCATENATE($X14,"@",GM$7),choice!$D:$E,2,0)))</f>
        <v/>
      </c>
      <c r="GN14" s="74" t="str">
        <f>IF($X14="","",IF(COUNTIF(choice!$D:$D,CONCATENATE($X14,"@",GN$7))=0,"",VLOOKUP(CONCATENATE($X14,"@",GN$7),choice!$D:$E,2,0)))</f>
        <v/>
      </c>
      <c r="GO14" s="74" t="str">
        <f>IF($X14="","",IF(COUNTIF(choice!$D:$D,CONCATENATE($X14,"@",GO$7))=0,"",VLOOKUP(CONCATENATE($X14,"@",GO$7),choice!$D:$E,2,0)))</f>
        <v/>
      </c>
      <c r="GP14" s="74" t="str">
        <f>IF($X14="","",IF(COUNTIF(choice!$D:$D,CONCATENATE($X14,"@",GP$7))=0,"",VLOOKUP(CONCATENATE($X14,"@",GP$7),choice!$D:$E,2,0)))</f>
        <v/>
      </c>
      <c r="GQ14" s="74" t="str">
        <f>IF($X14="","",IF(COUNTIF(choice!$D:$D,CONCATENATE($X14,"@",GQ$7))=0,"",VLOOKUP(CONCATENATE($X14,"@",GQ$7),choice!$D:$E,2,0)))</f>
        <v/>
      </c>
      <c r="GR14" s="74" t="str">
        <f>IF($X14="","",IF(COUNTIF(choice!$D:$D,CONCATENATE($X14,"@",GR$7))=0,"",VLOOKUP(CONCATENATE($X14,"@",GR$7),choice!$D:$E,2,0)))</f>
        <v/>
      </c>
      <c r="GS14" s="74" t="str">
        <f>IF($X14="","",IF(COUNTIF(choice!$D:$D,CONCATENATE($X14,"@",GS$7))=0,"",VLOOKUP(CONCATENATE($X14,"@",GS$7),choice!$D:$E,2,0)))</f>
        <v/>
      </c>
      <c r="GT14" s="74" t="str">
        <f>IF($X14="","",IF(COUNTIF(choice!$D:$D,CONCATENATE($X14,"@",GT$7))=0,"",VLOOKUP(CONCATENATE($X14,"@",GT$7),choice!$D:$E,2,0)))</f>
        <v/>
      </c>
      <c r="GU14" s="74" t="str">
        <f>IF($X14="","",IF(COUNTIF(choice!$D:$D,CONCATENATE($X14,"@",GU$7))=0,"",VLOOKUP(CONCATENATE($X14,"@",GU$7),choice!$D:$E,2,0)))</f>
        <v/>
      </c>
      <c r="GV14" s="74" t="str">
        <f>IF($X14="","",IF(COUNTIF(choice!$D:$D,CONCATENATE($X14,"@",GV$7))=0,"",VLOOKUP(CONCATENATE($X14,"@",GV$7),choice!$D:$E,2,0)))</f>
        <v/>
      </c>
      <c r="GW14" s="74" t="str">
        <f>IF($X14="","",IF(COUNTIF(choice!$D:$D,CONCATENATE($X14,"@",GW$7))=0,"",VLOOKUP(CONCATENATE($X14,"@",GW$7),choice!$D:$E,2,0)))</f>
        <v/>
      </c>
      <c r="GX14" s="74" t="str">
        <f>IF($X14="","",IF(COUNTIF(choice!$D:$D,CONCATENATE($X14,"@",GX$7))=0,"",VLOOKUP(CONCATENATE($X14,"@",GX$7),choice!$D:$E,2,0)))</f>
        <v/>
      </c>
      <c r="GY14" s="74" t="str">
        <f>IF($X14="","",IF(COUNTIF(choice!$D:$D,CONCATENATE($X14,"@",GY$7))=0,"",VLOOKUP(CONCATENATE($X14,"@",GY$7),choice!$D:$E,2,0)))</f>
        <v/>
      </c>
      <c r="GZ14" s="74" t="str">
        <f>IF($X14="","",IF(COUNTIF(choice!$D:$D,CONCATENATE($X14,"@",GZ$7))=0,"",VLOOKUP(CONCATENATE($X14,"@",GZ$7),choice!$D:$E,2,0)))</f>
        <v/>
      </c>
      <c r="HA14" s="74" t="str">
        <f>IF($X14="","",IF(COUNTIF(choice!$D:$D,CONCATENATE($X14,"@",HA$7))=0,"",VLOOKUP(CONCATENATE($X14,"@",HA$7),choice!$D:$E,2,0)))</f>
        <v/>
      </c>
      <c r="HB14" s="74" t="str">
        <f>IF($X14="","",IF(COUNTIF(choice!$D:$D,CONCATENATE($X14,"@",HB$7))=0,"",VLOOKUP(CONCATENATE($X14,"@",HB$7),choice!$D:$E,2,0)))</f>
        <v/>
      </c>
      <c r="HC14" s="74" t="str">
        <f>IF($X14="","",IF(COUNTIF(choice!$D:$D,CONCATENATE($X14,"@",HC$7))=0,"",VLOOKUP(CONCATENATE($X14,"@",HC$7),choice!$D:$E,2,0)))</f>
        <v/>
      </c>
      <c r="HD14" s="74" t="str">
        <f>IF($X14="","",IF(COUNTIF(choice!$D:$D,CONCATENATE($X14,"@",HD$7))=0,"",VLOOKUP(CONCATENATE($X14,"@",HD$7),choice!$D:$E,2,0)))</f>
        <v/>
      </c>
      <c r="HE14" s="74" t="str">
        <f>IF($X14="","",IF(COUNTIF(choice!$D:$D,CONCATENATE($X14,"@",HE$7))=0,"",VLOOKUP(CONCATENATE($X14,"@",HE$7),choice!$D:$E,2,0)))</f>
        <v/>
      </c>
      <c r="HF14" s="74" t="str">
        <f>IF($X14="","",IF(COUNTIF(choice!$D:$D,CONCATENATE($X14,"@",HF$7))=0,"",VLOOKUP(CONCATENATE($X14,"@",HF$7),choice!$D:$E,2,0)))</f>
        <v/>
      </c>
      <c r="HG14" s="74" t="str">
        <f>IF($X14="","",IF(COUNTIF(choice!$D:$D,CONCATENATE($X14,"@",HG$7))=0,"",VLOOKUP(CONCATENATE($X14,"@",HG$7),choice!$D:$E,2,0)))</f>
        <v/>
      </c>
      <c r="HH14" s="74" t="str">
        <f>IF($X14="","",IF(COUNTIF(choice!$D:$D,CONCATENATE($X14,"@",HH$7))=0,"",VLOOKUP(CONCATENATE($X14,"@",HH$7),choice!$D:$E,2,0)))</f>
        <v/>
      </c>
      <c r="HI14" s="74" t="str">
        <f>IF($X14="","",IF(COUNTIF(choice!$D:$D,CONCATENATE($X14,"@",HI$7))=0,"",VLOOKUP(CONCATENATE($X14,"@",HI$7),choice!$D:$E,2,0)))</f>
        <v/>
      </c>
      <c r="HJ14" s="74" t="str">
        <f>IF($X14="","",IF(COUNTIF(choice!$D:$D,CONCATENATE($X14,"@",HJ$7))=0,"",VLOOKUP(CONCATENATE($X14,"@",HJ$7),choice!$D:$E,2,0)))</f>
        <v/>
      </c>
      <c r="HK14" s="74" t="str">
        <f>IF($X14="","",IF(COUNTIF(choice!$D:$D,CONCATENATE($X14,"@",HK$7))=0,"",VLOOKUP(CONCATENATE($X14,"@",HK$7),choice!$D:$E,2,0)))</f>
        <v/>
      </c>
      <c r="HL14" s="74" t="str">
        <f>IF($X14="","",IF(COUNTIF(choice!$D:$D,CONCATENATE($X14,"@",HL$7))=0,"",VLOOKUP(CONCATENATE($X14,"@",HL$7),choice!$D:$E,2,0)))</f>
        <v/>
      </c>
      <c r="HM14" s="74" t="str">
        <f>IF($X14="","",IF(COUNTIF(choice!$D:$D,CONCATENATE($X14,"@",HM$7))=0,"",VLOOKUP(CONCATENATE($X14,"@",HM$7),choice!$D:$E,2,0)))</f>
        <v/>
      </c>
      <c r="HN14" s="74" t="str">
        <f>IF($X14="","",IF(COUNTIF(choice!$D:$D,CONCATENATE($X14,"@",HN$7))=0,"",VLOOKUP(CONCATENATE($X14,"@",HN$7),choice!$D:$E,2,0)))</f>
        <v/>
      </c>
      <c r="HO14" s="81" t="str">
        <f>IF($X14="","",IF(COUNTIF(choice!$D:$D,CONCATENATE($X14,"@",HO$7))=0,"",VLOOKUP(CONCATENATE($X14,"@",HO$7),choice!$D:$E,2,0)))</f>
        <v/>
      </c>
      <c r="HP14" s="20" t="s">
        <v>64</v>
      </c>
      <c r="HQ14" s="20" t="s">
        <v>65</v>
      </c>
      <c r="HV14" s="74">
        <f t="shared" si="12"/>
        <v>0</v>
      </c>
      <c r="HW14" s="74">
        <f t="shared" si="13"/>
        <v>0</v>
      </c>
      <c r="HX14" s="74">
        <f t="shared" si="14"/>
        <v>0</v>
      </c>
      <c r="HY14" s="74">
        <f t="shared" si="15"/>
        <v>0</v>
      </c>
      <c r="HZ14" s="74">
        <f t="shared" si="21"/>
        <v>0</v>
      </c>
      <c r="IA14" s="74">
        <f t="shared" si="21"/>
        <v>0</v>
      </c>
      <c r="IB14" s="74" t="str">
        <f t="shared" si="22"/>
        <v/>
      </c>
      <c r="IC14" s="74" t="str">
        <f t="shared" si="23"/>
        <v/>
      </c>
      <c r="ID14" s="74" t="str">
        <f t="shared" si="16"/>
        <v/>
      </c>
      <c r="IE14" s="74">
        <f t="shared" si="17"/>
        <v>33</v>
      </c>
      <c r="IF14" s="74">
        <f>COUNTIFS(ID$8:ID14,"BLUE")</f>
        <v>0</v>
      </c>
      <c r="IG14" s="74" t="str">
        <f t="shared" si="18"/>
        <v/>
      </c>
      <c r="IH14" s="74" t="str">
        <f>IF(COUNTIFS($AQ14,"*02*")=0,"",COUNTIFS(IJ$8:IJ14,"BLUE"))</f>
        <v/>
      </c>
      <c r="II14" s="74" t="str">
        <f>IF(COUNTIFS($AQ14,"*04*")=0,"",COUNTIFS(IK$8:IK14,"BLUE"))</f>
        <v/>
      </c>
      <c r="IJ14" s="74" t="str">
        <f t="shared" si="24"/>
        <v/>
      </c>
      <c r="IK14" s="74" t="str">
        <f t="shared" si="25"/>
        <v/>
      </c>
      <c r="IL14" s="74" t="str">
        <f t="shared" si="19"/>
        <v/>
      </c>
      <c r="IM14" s="74" t="str">
        <f t="shared" si="20"/>
        <v/>
      </c>
      <c r="IN14" s="74">
        <f>COUNTIFS(IJ$8:IJ14,"BLUE")</f>
        <v>0</v>
      </c>
      <c r="IO14" s="74">
        <f>COUNTIFS(IK$8:IK14,"BLUE")</f>
        <v>0</v>
      </c>
    </row>
    <row r="15" spans="1:249" s="20" customFormat="1" ht="24.9" customHeight="1">
      <c r="A15" s="33"/>
      <c r="B15" s="30">
        <v>34</v>
      </c>
      <c r="C15" s="150"/>
      <c r="D15" s="87"/>
      <c r="E15" s="89" t="e">
        <f>VLOOKUP(F15,'Radio Call Sign'!A:B,2)</f>
        <v>#N/A</v>
      </c>
      <c r="F15" s="88"/>
      <c r="G15" s="89" t="e">
        <f>VLOOKUP(H15,'Radio Call Sign'!A:B,2)</f>
        <v>#N/A</v>
      </c>
      <c r="H15" s="88"/>
      <c r="I15" s="89" t="str">
        <f t="shared" si="4"/>
        <v/>
      </c>
      <c r="J15" s="90" t="str">
        <f t="shared" si="9"/>
        <v/>
      </c>
      <c r="K15" s="86" t="str">
        <f t="shared" si="10"/>
        <v/>
      </c>
      <c r="L15" s="151"/>
      <c r="M15" s="190" t="str">
        <f t="shared" si="11"/>
        <v/>
      </c>
      <c r="N15" s="21"/>
      <c r="O15" s="21"/>
      <c r="P15" s="53"/>
      <c r="Q15" s="163" t="str">
        <f>IF(AA15="","",IF(COUNTIFS('overhead line area'!$D$3:$D$100,AA15)+COUNTIFS('overhead line area'!$D$3:$D$100,AB15)+COUNTIFS('overhead line area'!$D$3:$D$100,AC15)+COUNTIFS('overhead line area'!$D$3:$D$100,AD15)=0,"","*               "))</f>
        <v/>
      </c>
      <c r="R15" s="53"/>
      <c r="S15" s="24"/>
      <c r="U15" s="74"/>
      <c r="V15" s="74"/>
      <c r="W15" s="74"/>
      <c r="X15" s="74"/>
      <c r="Y15" s="74"/>
      <c r="AA15" s="74" t="str">
        <f t="shared" si="5"/>
        <v/>
      </c>
      <c r="AB15" s="74" t="str">
        <f t="shared" si="6"/>
        <v/>
      </c>
      <c r="AC15" s="74" t="str">
        <f t="shared" si="6"/>
        <v/>
      </c>
      <c r="AD15" s="74" t="str">
        <f t="shared" si="6"/>
        <v/>
      </c>
      <c r="AF15" s="74" t="str">
        <f>IF(AA15="","",IF(COUNTIF(Route!$AM:$AM,'Add-on Train Movement Log'!AA15)=0,"未有資料",VLOOKUP('Add-on Train Movement Log'!AA15,Route!$AM:$AP,3,0)))</f>
        <v/>
      </c>
      <c r="AG15" s="74" t="str">
        <f>IF(AB15="","",IF(COUNTIF(Route!$AM:$AM,'Add-on Train Movement Log'!AB15)=0,"未有資料",VLOOKUP('Add-on Train Movement Log'!AB15,Route!$AM:$AP,3,0)))</f>
        <v/>
      </c>
      <c r="AH15" s="74" t="str">
        <f>IF(AC15="","",IF(COUNTIF(Route!$AM:$AM,'Add-on Train Movement Log'!AC15)=0,"未有資料",VLOOKUP('Add-on Train Movement Log'!AC15,Route!$AM:$AP,3,0)))</f>
        <v/>
      </c>
      <c r="AI15" s="74" t="str">
        <f>IF(AD15="","",IF(COUNTIF(Route!$AM:$AM,'Add-on Train Movement Log'!AD15)=0,"未有資料",VLOOKUP('Add-on Train Movement Log'!AD15,Route!$AM:$AP,3,0)))</f>
        <v/>
      </c>
      <c r="AK15" s="74" t="str">
        <f>IF(AA15="","",IF(COUNTIF(Route!$AM:$AM,'Add-on Train Movement Log'!AA15)=0,"未有資料",VLOOKUP('Add-on Train Movement Log'!AA15,Route!$AM:$AP,4,0)))</f>
        <v/>
      </c>
      <c r="AL15" s="74" t="str">
        <f>IF(AB15="","",IF(COUNTIF(Route!$AM:$AM,'Add-on Train Movement Log'!AB15)=0,"未有資料",VLOOKUP('Add-on Train Movement Log'!AB15,Route!$AM:$AP,4,0)))</f>
        <v/>
      </c>
      <c r="AM15" s="74" t="str">
        <f>IF(AC15="","",IF(COUNTIF(Route!$AM:$AM,'Add-on Train Movement Log'!AC15)=0,"未有資料",VLOOKUP('Add-on Train Movement Log'!AC15,Route!$AM:$AP,4,0)))</f>
        <v/>
      </c>
      <c r="AN15" s="74" t="str">
        <f>IF(AD15="","",IF(COUNTIF(Route!$AM:$AM,'Add-on Train Movement Log'!AD15)=0,"未有資料",VLOOKUP('Add-on Train Movement Log'!AD15,Route!$AM:$AP,4,0)))</f>
        <v/>
      </c>
      <c r="AP15" s="74" t="str">
        <f t="shared" si="7"/>
        <v/>
      </c>
      <c r="AQ15" s="76" t="str">
        <f t="shared" si="8"/>
        <v/>
      </c>
      <c r="AR15" s="80" t="str">
        <f>IF($U15="","",IF(COUNTIF(choice!$D:$D,CONCATENATE($U15,"@",AR$7))=0,"",VLOOKUP(CONCATENATE($U15,"@",AR$7),choice!$D:$E,2,0)))</f>
        <v/>
      </c>
      <c r="AS15" s="74" t="str">
        <f>IF($U15="","",IF(COUNTIF(choice!$D:$D,CONCATENATE($U15,"@",AS$7))=0,"",VLOOKUP(CONCATENATE($U15,"@",AS$7),choice!$D:$E,2,0)))</f>
        <v/>
      </c>
      <c r="AT15" s="74" t="str">
        <f>IF($U15="","",IF(COUNTIF(choice!$D:$D,CONCATENATE($U15,"@",AT$7))=0,"",VLOOKUP(CONCATENATE($U15,"@",AT$7),choice!$D:$E,2,0)))</f>
        <v/>
      </c>
      <c r="AU15" s="74" t="str">
        <f>IF($U15="","",IF(COUNTIF(choice!$D:$D,CONCATENATE($U15,"@",AU$7))=0,"",VLOOKUP(CONCATENATE($U15,"@",AU$7),choice!$D:$E,2,0)))</f>
        <v/>
      </c>
      <c r="AV15" s="74" t="str">
        <f>IF($U15="","",IF(COUNTIF(choice!$D:$D,CONCATENATE($U15,"@",AV$7))=0,"",VLOOKUP(CONCATENATE($U15,"@",AV$7),choice!$D:$E,2,0)))</f>
        <v/>
      </c>
      <c r="AW15" s="74" t="str">
        <f>IF($U15="","",IF(COUNTIF(choice!$D:$D,CONCATENATE($U15,"@",AW$7))=0,"",VLOOKUP(CONCATENATE($U15,"@",AW$7),choice!$D:$E,2,0)))</f>
        <v/>
      </c>
      <c r="AX15" s="74" t="str">
        <f>IF($U15="","",IF(COUNTIF(choice!$D:$D,CONCATENATE($U15,"@",AX$7))=0,"",VLOOKUP(CONCATENATE($U15,"@",AX$7),choice!$D:$E,2,0)))</f>
        <v/>
      </c>
      <c r="AY15" s="74" t="str">
        <f>IF($U15="","",IF(COUNTIF(choice!$D:$D,CONCATENATE($U15,"@",AY$7))=0,"",VLOOKUP(CONCATENATE($U15,"@",AY$7),choice!$D:$E,2,0)))</f>
        <v/>
      </c>
      <c r="AZ15" s="74" t="str">
        <f>IF($U15="","",IF(COUNTIF(choice!$D:$D,CONCATENATE($U15,"@",AZ$7))=0,"",VLOOKUP(CONCATENATE($U15,"@",AZ$7),choice!$D:$E,2,0)))</f>
        <v/>
      </c>
      <c r="BA15" s="74" t="str">
        <f>IF($U15="","",IF(COUNTIF(choice!$D:$D,CONCATENATE($U15,"@",BA$7))=0,"",VLOOKUP(CONCATENATE($U15,"@",BA$7),choice!$D:$E,2,0)))</f>
        <v/>
      </c>
      <c r="BB15" s="74" t="str">
        <f>IF($U15="","",IF(COUNTIF(choice!$D:$D,CONCATENATE($U15,"@",BB$7))=0,"",VLOOKUP(CONCATENATE($U15,"@",BB$7),choice!$D:$E,2,0)))</f>
        <v/>
      </c>
      <c r="BC15" s="74" t="str">
        <f>IF($U15="","",IF(COUNTIF(choice!$D:$D,CONCATENATE($U15,"@",BC$7))=0,"",VLOOKUP(CONCATENATE($U15,"@",BC$7),choice!$D:$E,2,0)))</f>
        <v/>
      </c>
      <c r="BD15" s="74" t="str">
        <f>IF($U15="","",IF(COUNTIF(choice!$D:$D,CONCATENATE($U15,"@",BD$7))=0,"",VLOOKUP(CONCATENATE($U15,"@",BD$7),choice!$D:$E,2,0)))</f>
        <v/>
      </c>
      <c r="BE15" s="74" t="str">
        <f>IF($U15="","",IF(COUNTIF(choice!$D:$D,CONCATENATE($U15,"@",BE$7))=0,"",VLOOKUP(CONCATENATE($U15,"@",BE$7),choice!$D:$E,2,0)))</f>
        <v/>
      </c>
      <c r="BF15" s="74" t="str">
        <f>IF($U15="","",IF(COUNTIF(choice!$D:$D,CONCATENATE($U15,"@",BF$7))=0,"",VLOOKUP(CONCATENATE($U15,"@",BF$7),choice!$D:$E,2,0)))</f>
        <v/>
      </c>
      <c r="BG15" s="74" t="str">
        <f>IF($U15="","",IF(COUNTIF(choice!$D:$D,CONCATENATE($U15,"@",BG$7))=0,"",VLOOKUP(CONCATENATE($U15,"@",BG$7),choice!$D:$E,2,0)))</f>
        <v/>
      </c>
      <c r="BH15" s="74" t="str">
        <f>IF($U15="","",IF(COUNTIF(choice!$D:$D,CONCATENATE($U15,"@",BH$7))=0,"",VLOOKUP(CONCATENATE($U15,"@",BH$7),choice!$D:$E,2,0)))</f>
        <v/>
      </c>
      <c r="BI15" s="74" t="str">
        <f>IF($U15="","",IF(COUNTIF(choice!$D:$D,CONCATENATE($U15,"@",BI$7))=0,"",VLOOKUP(CONCATENATE($U15,"@",BI$7),choice!$D:$E,2,0)))</f>
        <v/>
      </c>
      <c r="BJ15" s="74" t="str">
        <f>IF($U15="","",IF(COUNTIF(choice!$D:$D,CONCATENATE($U15,"@",BJ$7))=0,"",VLOOKUP(CONCATENATE($U15,"@",BJ$7),choice!$D:$E,2,0)))</f>
        <v/>
      </c>
      <c r="BK15" s="74" t="str">
        <f>IF($U15="","",IF(COUNTIF(choice!$D:$D,CONCATENATE($U15,"@",BK$7))=0,"",VLOOKUP(CONCATENATE($U15,"@",BK$7),choice!$D:$E,2,0)))</f>
        <v/>
      </c>
      <c r="BL15" s="74" t="str">
        <f>IF($U15="","",IF(COUNTIF(choice!$D:$D,CONCATENATE($U15,"@",BL$7))=0,"",VLOOKUP(CONCATENATE($U15,"@",BL$7),choice!$D:$E,2,0)))</f>
        <v/>
      </c>
      <c r="BM15" s="74" t="str">
        <f>IF($U15="","",IF(COUNTIF(choice!$D:$D,CONCATENATE($U15,"@",BM$7))=0,"",VLOOKUP(CONCATENATE($U15,"@",BM$7),choice!$D:$E,2,0)))</f>
        <v/>
      </c>
      <c r="BN15" s="74" t="str">
        <f>IF($U15="","",IF(COUNTIF(choice!$D:$D,CONCATENATE($U15,"@",BN$7))=0,"",VLOOKUP(CONCATENATE($U15,"@",BN$7),choice!$D:$E,2,0)))</f>
        <v/>
      </c>
      <c r="BO15" s="74" t="str">
        <f>IF($U15="","",IF(COUNTIF(choice!$D:$D,CONCATENATE($U15,"@",BO$7))=0,"",VLOOKUP(CONCATENATE($U15,"@",BO$7),choice!$D:$E,2,0)))</f>
        <v/>
      </c>
      <c r="BP15" s="74" t="str">
        <f>IF($U15="","",IF(COUNTIF(choice!$D:$D,CONCATENATE($U15,"@",BP$7))=0,"",VLOOKUP(CONCATENATE($U15,"@",BP$7),choice!$D:$E,2,0)))</f>
        <v/>
      </c>
      <c r="BQ15" s="74" t="str">
        <f>IF($U15="","",IF(COUNTIF(choice!$D:$D,CONCATENATE($U15,"@",BQ$7))=0,"",VLOOKUP(CONCATENATE($U15,"@",BQ$7),choice!$D:$E,2,0)))</f>
        <v/>
      </c>
      <c r="BR15" s="74" t="str">
        <f>IF($U15="","",IF(COUNTIF(choice!$D:$D,CONCATENATE($U15,"@",BR$7))=0,"",VLOOKUP(CONCATENATE($U15,"@",BR$7),choice!$D:$E,2,0)))</f>
        <v/>
      </c>
      <c r="BS15" s="74" t="str">
        <f>IF($U15="","",IF(COUNTIF(choice!$D:$D,CONCATENATE($U15,"@",BS$7))=0,"",VLOOKUP(CONCATENATE($U15,"@",BS$7),choice!$D:$E,2,0)))</f>
        <v/>
      </c>
      <c r="BT15" s="74" t="str">
        <f>IF($U15="","",IF(COUNTIF(choice!$D:$D,CONCATENATE($U15,"@",BT$7))=0,"",VLOOKUP(CONCATENATE($U15,"@",BT$7),choice!$D:$E,2,0)))</f>
        <v/>
      </c>
      <c r="BU15" s="74" t="str">
        <f>IF($U15="","",IF(COUNTIF(choice!$D:$D,CONCATENATE($U15,"@",BU$7))=0,"",VLOOKUP(CONCATENATE($U15,"@",BU$7),choice!$D:$E,2,0)))</f>
        <v/>
      </c>
      <c r="BV15" s="74" t="str">
        <f>IF($U15="","",IF(COUNTIF(choice!$D:$D,CONCATENATE($U15,"@",BV$7))=0,"",VLOOKUP(CONCATENATE($U15,"@",BV$7),choice!$D:$E,2,0)))</f>
        <v/>
      </c>
      <c r="BW15" s="74" t="str">
        <f>IF($U15="","",IF(COUNTIF(choice!$D:$D,CONCATENATE($U15,"@",BW$7))=0,"",VLOOKUP(CONCATENATE($U15,"@",BW$7),choice!$D:$E,2,0)))</f>
        <v/>
      </c>
      <c r="BX15" s="74" t="str">
        <f>IF($U15="","",IF(COUNTIF(choice!$D:$D,CONCATENATE($U15,"@",BX$7))=0,"",VLOOKUP(CONCATENATE($U15,"@",BX$7),choice!$D:$E,2,0)))</f>
        <v/>
      </c>
      <c r="BY15" s="74" t="str">
        <f>IF($U15="","",IF(COUNTIF(choice!$D:$D,CONCATENATE($U15,"@",BY$7))=0,"",VLOOKUP(CONCATENATE($U15,"@",BY$7),choice!$D:$E,2,0)))</f>
        <v/>
      </c>
      <c r="BZ15" s="74" t="str">
        <f>IF($U15="","",IF(COUNTIF(choice!$D:$D,CONCATENATE($U15,"@",BZ$7))=0,"",VLOOKUP(CONCATENATE($U15,"@",BZ$7),choice!$D:$E,2,0)))</f>
        <v/>
      </c>
      <c r="CA15" s="74" t="str">
        <f>IF($U15="","",IF(COUNTIF(choice!$D:$D,CONCATENATE($U15,"@",CA$7))=0,"",VLOOKUP(CONCATENATE($U15,"@",CA$7),choice!$D:$E,2,0)))</f>
        <v/>
      </c>
      <c r="CB15" s="74" t="str">
        <f>IF($U15="","",IF(COUNTIF(choice!$D:$D,CONCATENATE($U15,"@",CB$7))=0,"",VLOOKUP(CONCATENATE($U15,"@",CB$7),choice!$D:$E,2,0)))</f>
        <v/>
      </c>
      <c r="CC15" s="74" t="str">
        <f>IF($U15="","",IF(COUNTIF(choice!$D:$D,CONCATENATE($U15,"@",CC$7))=0,"",VLOOKUP(CONCATENATE($U15,"@",CC$7),choice!$D:$E,2,0)))</f>
        <v/>
      </c>
      <c r="CD15" s="74" t="str">
        <f>IF($U15="","",IF(COUNTIF(choice!$D:$D,CONCATENATE($U15,"@",CD$7))=0,"",VLOOKUP(CONCATENATE($U15,"@",CD$7),choice!$D:$E,2,0)))</f>
        <v/>
      </c>
      <c r="CE15" s="74" t="str">
        <f>IF($U15="","",IF(COUNTIF(choice!$D:$D,CONCATENATE($U15,"@",CE$7))=0,"",VLOOKUP(CONCATENATE($U15,"@",CE$7),choice!$D:$E,2,0)))</f>
        <v/>
      </c>
      <c r="CF15" s="74" t="str">
        <f>IF($U15="","",IF(COUNTIF(choice!$D:$D,CONCATENATE($U15,"@",CF$7))=0,"",VLOOKUP(CONCATENATE($U15,"@",CF$7),choice!$D:$E,2,0)))</f>
        <v/>
      </c>
      <c r="CG15" s="74" t="str">
        <f>IF($U15="","",IF(COUNTIF(choice!$D:$D,CONCATENATE($U15,"@",CG$7))=0,"",VLOOKUP(CONCATENATE($U15,"@",CG$7),choice!$D:$E,2,0)))</f>
        <v/>
      </c>
      <c r="CH15" s="74" t="str">
        <f>IF($U15="","",IF(COUNTIF(choice!$D:$D,CONCATENATE($U15,"@",CH$7))=0,"",VLOOKUP(CONCATENATE($U15,"@",CH$7),choice!$D:$E,2,0)))</f>
        <v/>
      </c>
      <c r="CI15" s="74" t="str">
        <f>IF($U15="","",IF(COUNTIF(choice!$D:$D,CONCATENATE($U15,"@",CI$7))=0,"",VLOOKUP(CONCATENATE($U15,"@",CI$7),choice!$D:$E,2,0)))</f>
        <v/>
      </c>
      <c r="CJ15" s="81" t="str">
        <f>IF($U15="","",IF(COUNTIF(choice!$D:$D,CONCATENATE($U15,"@",CJ$7))=0,"",VLOOKUP(CONCATENATE($U15,"@",CJ$7),choice!$D:$E,2,0)))</f>
        <v/>
      </c>
      <c r="CK15" s="80" t="str">
        <f>IF($V15="","",IF(COUNTIF(choice!$D:$D,CONCATENATE($V15,"@",CK$7))=0,"",VLOOKUP(CONCATENATE($V15,"@",CK$7),choice!$D:$E,2,0)))</f>
        <v/>
      </c>
      <c r="CL15" s="74" t="str">
        <f>IF($V15="","",IF(COUNTIF(choice!$D:$D,CONCATENATE($V15,"@",CL$7))=0,"",VLOOKUP(CONCATENATE($V15,"@",CL$7),choice!$D:$E,2,0)))</f>
        <v/>
      </c>
      <c r="CM15" s="74" t="str">
        <f>IF($V15="","",IF(COUNTIF(choice!$D:$D,CONCATENATE($V15,"@",CM$7))=0,"",VLOOKUP(CONCATENATE($V15,"@",CM$7),choice!$D:$E,2,0)))</f>
        <v/>
      </c>
      <c r="CN15" s="74" t="str">
        <f>IF($V15="","",IF(COUNTIF(choice!$D:$D,CONCATENATE($V15,"@",CN$7))=0,"",VLOOKUP(CONCATENATE($V15,"@",CN$7),choice!$D:$E,2,0)))</f>
        <v/>
      </c>
      <c r="CO15" s="74" t="str">
        <f>IF($V15="","",IF(COUNTIF(choice!$D:$D,CONCATENATE($V15,"@",CO$7))=0,"",VLOOKUP(CONCATENATE($V15,"@",CO$7),choice!$D:$E,2,0)))</f>
        <v/>
      </c>
      <c r="CP15" s="74" t="str">
        <f>IF($V15="","",IF(COUNTIF(choice!$D:$D,CONCATENATE($V15,"@",CP$7))=0,"",VLOOKUP(CONCATENATE($V15,"@",CP$7),choice!$D:$E,2,0)))</f>
        <v/>
      </c>
      <c r="CQ15" s="74" t="str">
        <f>IF($V15="","",IF(COUNTIF(choice!$D:$D,CONCATENATE($V15,"@",CQ$7))=0,"",VLOOKUP(CONCATENATE($V15,"@",CQ$7),choice!$D:$E,2,0)))</f>
        <v/>
      </c>
      <c r="CR15" s="74" t="str">
        <f>IF($V15="","",IF(COUNTIF(choice!$D:$D,CONCATENATE($V15,"@",CR$7))=0,"",VLOOKUP(CONCATENATE($V15,"@",CR$7),choice!$D:$E,2,0)))</f>
        <v/>
      </c>
      <c r="CS15" s="74" t="str">
        <f>IF($V15="","",IF(COUNTIF(choice!$D:$D,CONCATENATE($V15,"@",CS$7))=0,"",VLOOKUP(CONCATENATE($V15,"@",CS$7),choice!$D:$E,2,0)))</f>
        <v/>
      </c>
      <c r="CT15" s="74" t="str">
        <f>IF($V15="","",IF(COUNTIF(choice!$D:$D,CONCATENATE($V15,"@",CT$7))=0,"",VLOOKUP(CONCATENATE($V15,"@",CT$7),choice!$D:$E,2,0)))</f>
        <v/>
      </c>
      <c r="CU15" s="74" t="str">
        <f>IF($V15="","",IF(COUNTIF(choice!$D:$D,CONCATENATE($V15,"@",CU$7))=0,"",VLOOKUP(CONCATENATE($V15,"@",CU$7),choice!$D:$E,2,0)))</f>
        <v/>
      </c>
      <c r="CV15" s="74" t="str">
        <f>IF($V15="","",IF(COUNTIF(choice!$D:$D,CONCATENATE($V15,"@",CV$7))=0,"",VLOOKUP(CONCATENATE($V15,"@",CV$7),choice!$D:$E,2,0)))</f>
        <v/>
      </c>
      <c r="CW15" s="74" t="str">
        <f>IF($V15="","",IF(COUNTIF(choice!$D:$D,CONCATENATE($V15,"@",CW$7))=0,"",VLOOKUP(CONCATENATE($V15,"@",CW$7),choice!$D:$E,2,0)))</f>
        <v/>
      </c>
      <c r="CX15" s="74" t="str">
        <f>IF($V15="","",IF(COUNTIF(choice!$D:$D,CONCATENATE($V15,"@",CX$7))=0,"",VLOOKUP(CONCATENATE($V15,"@",CX$7),choice!$D:$E,2,0)))</f>
        <v/>
      </c>
      <c r="CY15" s="74" t="str">
        <f>IF($V15="","",IF(COUNTIF(choice!$D:$D,CONCATENATE($V15,"@",CY$7))=0,"",VLOOKUP(CONCATENATE($V15,"@",CY$7),choice!$D:$E,2,0)))</f>
        <v/>
      </c>
      <c r="CZ15" s="74" t="str">
        <f>IF($V15="","",IF(COUNTIF(choice!$D:$D,CONCATENATE($V15,"@",CZ$7))=0,"",VLOOKUP(CONCATENATE($V15,"@",CZ$7),choice!$D:$E,2,0)))</f>
        <v/>
      </c>
      <c r="DA15" s="74" t="str">
        <f>IF($V15="","",IF(COUNTIF(choice!$D:$D,CONCATENATE($V15,"@",DA$7))=0,"",VLOOKUP(CONCATENATE($V15,"@",DA$7),choice!$D:$E,2,0)))</f>
        <v/>
      </c>
      <c r="DB15" s="74" t="str">
        <f>IF($V15="","",IF(COUNTIF(choice!$D:$D,CONCATENATE($V15,"@",DB$7))=0,"",VLOOKUP(CONCATENATE($V15,"@",DB$7),choice!$D:$E,2,0)))</f>
        <v/>
      </c>
      <c r="DC15" s="74" t="str">
        <f>IF($V15="","",IF(COUNTIF(choice!$D:$D,CONCATENATE($V15,"@",DC$7))=0,"",VLOOKUP(CONCATENATE($V15,"@",DC$7),choice!$D:$E,2,0)))</f>
        <v/>
      </c>
      <c r="DD15" s="74" t="str">
        <f>IF($V15="","",IF(COUNTIF(choice!$D:$D,CONCATENATE($V15,"@",DD$7))=0,"",VLOOKUP(CONCATENATE($V15,"@",DD$7),choice!$D:$E,2,0)))</f>
        <v/>
      </c>
      <c r="DE15" s="74" t="str">
        <f>IF($V15="","",IF(COUNTIF(choice!$D:$D,CONCATENATE($V15,"@",DE$7))=0,"",VLOOKUP(CONCATENATE($V15,"@",DE$7),choice!$D:$E,2,0)))</f>
        <v/>
      </c>
      <c r="DF15" s="74" t="str">
        <f>IF($V15="","",IF(COUNTIF(choice!$D:$D,CONCATENATE($V15,"@",DF$7))=0,"",VLOOKUP(CONCATENATE($V15,"@",DF$7),choice!$D:$E,2,0)))</f>
        <v/>
      </c>
      <c r="DG15" s="74" t="str">
        <f>IF($V15="","",IF(COUNTIF(choice!$D:$D,CONCATENATE($V15,"@",DG$7))=0,"",VLOOKUP(CONCATENATE($V15,"@",DG$7),choice!$D:$E,2,0)))</f>
        <v/>
      </c>
      <c r="DH15" s="74" t="str">
        <f>IF($V15="","",IF(COUNTIF(choice!$D:$D,CONCATENATE($V15,"@",DH$7))=0,"",VLOOKUP(CONCATENATE($V15,"@",DH$7),choice!$D:$E,2,0)))</f>
        <v/>
      </c>
      <c r="DI15" s="74" t="str">
        <f>IF($V15="","",IF(COUNTIF(choice!$D:$D,CONCATENATE($V15,"@",DI$7))=0,"",VLOOKUP(CONCATENATE($V15,"@",DI$7),choice!$D:$E,2,0)))</f>
        <v/>
      </c>
      <c r="DJ15" s="74" t="str">
        <f>IF($V15="","",IF(COUNTIF(choice!$D:$D,CONCATENATE($V15,"@",DJ$7))=0,"",VLOOKUP(CONCATENATE($V15,"@",DJ$7),choice!$D:$E,2,0)))</f>
        <v/>
      </c>
      <c r="DK15" s="74" t="str">
        <f>IF($V15="","",IF(COUNTIF(choice!$D:$D,CONCATENATE($V15,"@",DK$7))=0,"",VLOOKUP(CONCATENATE($V15,"@",DK$7),choice!$D:$E,2,0)))</f>
        <v/>
      </c>
      <c r="DL15" s="74" t="str">
        <f>IF($V15="","",IF(COUNTIF(choice!$D:$D,CONCATENATE($V15,"@",DL$7))=0,"",VLOOKUP(CONCATENATE($V15,"@",DL$7),choice!$D:$E,2,0)))</f>
        <v/>
      </c>
      <c r="DM15" s="74" t="str">
        <f>IF($V15="","",IF(COUNTIF(choice!$D:$D,CONCATENATE($V15,"@",DM$7))=0,"",VLOOKUP(CONCATENATE($V15,"@",DM$7),choice!$D:$E,2,0)))</f>
        <v/>
      </c>
      <c r="DN15" s="74" t="str">
        <f>IF($V15="","",IF(COUNTIF(choice!$D:$D,CONCATENATE($V15,"@",DN$7))=0,"",VLOOKUP(CONCATENATE($V15,"@",DN$7),choice!$D:$E,2,0)))</f>
        <v/>
      </c>
      <c r="DO15" s="74" t="str">
        <f>IF($V15="","",IF(COUNTIF(choice!$D:$D,CONCATENATE($V15,"@",DO$7))=0,"",VLOOKUP(CONCATENATE($V15,"@",DO$7),choice!$D:$E,2,0)))</f>
        <v/>
      </c>
      <c r="DP15" s="74" t="str">
        <f>IF($V15="","",IF(COUNTIF(choice!$D:$D,CONCATENATE($V15,"@",DP$7))=0,"",VLOOKUP(CONCATENATE($V15,"@",DP$7),choice!$D:$E,2,0)))</f>
        <v/>
      </c>
      <c r="DQ15" s="74" t="str">
        <f>IF($V15="","",IF(COUNTIF(choice!$D:$D,CONCATENATE($V15,"@",DQ$7))=0,"",VLOOKUP(CONCATENATE($V15,"@",DQ$7),choice!$D:$E,2,0)))</f>
        <v/>
      </c>
      <c r="DR15" s="74" t="str">
        <f>IF($V15="","",IF(COUNTIF(choice!$D:$D,CONCATENATE($V15,"@",DR$7))=0,"",VLOOKUP(CONCATENATE($V15,"@",DR$7),choice!$D:$E,2,0)))</f>
        <v/>
      </c>
      <c r="DS15" s="74" t="str">
        <f>IF($V15="","",IF(COUNTIF(choice!$D:$D,CONCATENATE($V15,"@",DS$7))=0,"",VLOOKUP(CONCATENATE($V15,"@",DS$7),choice!$D:$E,2,0)))</f>
        <v/>
      </c>
      <c r="DT15" s="74" t="str">
        <f>IF($V15="","",IF(COUNTIF(choice!$D:$D,CONCATENATE($V15,"@",DT$7))=0,"",VLOOKUP(CONCATENATE($V15,"@",DT$7),choice!$D:$E,2,0)))</f>
        <v/>
      </c>
      <c r="DU15" s="74" t="str">
        <f>IF($V15="","",IF(COUNTIF(choice!$D:$D,CONCATENATE($V15,"@",DU$7))=0,"",VLOOKUP(CONCATENATE($V15,"@",DU$7),choice!$D:$E,2,0)))</f>
        <v/>
      </c>
      <c r="DV15" s="74" t="str">
        <f>IF($V15="","",IF(COUNTIF(choice!$D:$D,CONCATENATE($V15,"@",DV$7))=0,"",VLOOKUP(CONCATENATE($V15,"@",DV$7),choice!$D:$E,2,0)))</f>
        <v/>
      </c>
      <c r="DW15" s="74" t="str">
        <f>IF($V15="","",IF(COUNTIF(choice!$D:$D,CONCATENATE($V15,"@",DW$7))=0,"",VLOOKUP(CONCATENATE($V15,"@",DW$7),choice!$D:$E,2,0)))</f>
        <v/>
      </c>
      <c r="DX15" s="74" t="str">
        <f>IF($V15="","",IF(COUNTIF(choice!$D:$D,CONCATENATE($V15,"@",DX$7))=0,"",VLOOKUP(CONCATENATE($V15,"@",DX$7),choice!$D:$E,2,0)))</f>
        <v/>
      </c>
      <c r="DY15" s="74" t="str">
        <f>IF($V15="","",IF(COUNTIF(choice!$D:$D,CONCATENATE($V15,"@",DY$7))=0,"",VLOOKUP(CONCATENATE($V15,"@",DY$7),choice!$D:$E,2,0)))</f>
        <v/>
      </c>
      <c r="DZ15" s="74" t="str">
        <f>IF($V15="","",IF(COUNTIF(choice!$D:$D,CONCATENATE($V15,"@",DZ$7))=0,"",VLOOKUP(CONCATENATE($V15,"@",DZ$7),choice!$D:$E,2,0)))</f>
        <v/>
      </c>
      <c r="EA15" s="74" t="str">
        <f>IF($V15="","",IF(COUNTIF(choice!$D:$D,CONCATENATE($V15,"@",EA$7))=0,"",VLOOKUP(CONCATENATE($V15,"@",EA$7),choice!$D:$E,2,0)))</f>
        <v/>
      </c>
      <c r="EB15" s="74" t="str">
        <f>IF($V15="","",IF(COUNTIF(choice!$D:$D,CONCATENATE($V15,"@",EB$7))=0,"",VLOOKUP(CONCATENATE($V15,"@",EB$7),choice!$D:$E,2,0)))</f>
        <v/>
      </c>
      <c r="EC15" s="81" t="str">
        <f>IF($V15="","",IF(COUNTIF(choice!$D:$D,CONCATENATE($V15,"@",EC$7))=0,"",VLOOKUP(CONCATENATE($V15,"@",EC$7),choice!$D:$E,2,0)))</f>
        <v/>
      </c>
      <c r="ED15" s="80" t="str">
        <f>IF($W15="","",IF(COUNTIF(choice!$D:$D,CONCATENATE($W15,"@",ED$7))=0,"",VLOOKUP(CONCATENATE($W15,"@",ED$7),choice!$D:$E,2,0)))</f>
        <v/>
      </c>
      <c r="EE15" s="74" t="str">
        <f>IF($W15="","",IF(COUNTIF(choice!$D:$D,CONCATENATE($W15,"@",EE$7))=0,"",VLOOKUP(CONCATENATE($W15,"@",EE$7),choice!$D:$E,2,0)))</f>
        <v/>
      </c>
      <c r="EF15" s="74" t="str">
        <f>IF($W15="","",IF(COUNTIF(choice!$D:$D,CONCATENATE($W15,"@",EF$7))=0,"",VLOOKUP(CONCATENATE($W15,"@",EF$7),choice!$D:$E,2,0)))</f>
        <v/>
      </c>
      <c r="EG15" s="74" t="str">
        <f>IF($W15="","",IF(COUNTIF(choice!$D:$D,CONCATENATE($W15,"@",EG$7))=0,"",VLOOKUP(CONCATENATE($W15,"@",EG$7),choice!$D:$E,2,0)))</f>
        <v/>
      </c>
      <c r="EH15" s="74" t="str">
        <f>IF($W15="","",IF(COUNTIF(choice!$D:$D,CONCATENATE($W15,"@",EH$7))=0,"",VLOOKUP(CONCATENATE($W15,"@",EH$7),choice!$D:$E,2,0)))</f>
        <v/>
      </c>
      <c r="EI15" s="74" t="str">
        <f>IF($W15="","",IF(COUNTIF(choice!$D:$D,CONCATENATE($W15,"@",EI$7))=0,"",VLOOKUP(CONCATENATE($W15,"@",EI$7),choice!$D:$E,2,0)))</f>
        <v/>
      </c>
      <c r="EJ15" s="74" t="str">
        <f>IF($W15="","",IF(COUNTIF(choice!$D:$D,CONCATENATE($W15,"@",EJ$7))=0,"",VLOOKUP(CONCATENATE($W15,"@",EJ$7),choice!$D:$E,2,0)))</f>
        <v/>
      </c>
      <c r="EK15" s="74" t="str">
        <f>IF($W15="","",IF(COUNTIF(choice!$D:$D,CONCATENATE($W15,"@",EK$7))=0,"",VLOOKUP(CONCATENATE($W15,"@",EK$7),choice!$D:$E,2,0)))</f>
        <v/>
      </c>
      <c r="EL15" s="74" t="str">
        <f>IF($W15="","",IF(COUNTIF(choice!$D:$D,CONCATENATE($W15,"@",EL$7))=0,"",VLOOKUP(CONCATENATE($W15,"@",EL$7),choice!$D:$E,2,0)))</f>
        <v/>
      </c>
      <c r="EM15" s="74" t="str">
        <f>IF($W15="","",IF(COUNTIF(choice!$D:$D,CONCATENATE($W15,"@",EM$7))=0,"",VLOOKUP(CONCATENATE($W15,"@",EM$7),choice!$D:$E,2,0)))</f>
        <v/>
      </c>
      <c r="EN15" s="74" t="str">
        <f>IF($W15="","",IF(COUNTIF(choice!$D:$D,CONCATENATE($W15,"@",EN$7))=0,"",VLOOKUP(CONCATENATE($W15,"@",EN$7),choice!$D:$E,2,0)))</f>
        <v/>
      </c>
      <c r="EO15" s="74" t="str">
        <f>IF($W15="","",IF(COUNTIF(choice!$D:$D,CONCATENATE($W15,"@",EO$7))=0,"",VLOOKUP(CONCATENATE($W15,"@",EO$7),choice!$D:$E,2,0)))</f>
        <v/>
      </c>
      <c r="EP15" s="74" t="str">
        <f>IF($W15="","",IF(COUNTIF(choice!$D:$D,CONCATENATE($W15,"@",EP$7))=0,"",VLOOKUP(CONCATENATE($W15,"@",EP$7),choice!$D:$E,2,0)))</f>
        <v/>
      </c>
      <c r="EQ15" s="74" t="str">
        <f>IF($W15="","",IF(COUNTIF(choice!$D:$D,CONCATENATE($W15,"@",EQ$7))=0,"",VLOOKUP(CONCATENATE($W15,"@",EQ$7),choice!$D:$E,2,0)))</f>
        <v/>
      </c>
      <c r="ER15" s="74" t="str">
        <f>IF($W15="","",IF(COUNTIF(choice!$D:$D,CONCATENATE($W15,"@",ER$7))=0,"",VLOOKUP(CONCATENATE($W15,"@",ER$7),choice!$D:$E,2,0)))</f>
        <v/>
      </c>
      <c r="ES15" s="74" t="str">
        <f>IF($W15="","",IF(COUNTIF(choice!$D:$D,CONCATENATE($W15,"@",ES$7))=0,"",VLOOKUP(CONCATENATE($W15,"@",ES$7),choice!$D:$E,2,0)))</f>
        <v/>
      </c>
      <c r="ET15" s="74" t="str">
        <f>IF($W15="","",IF(COUNTIF(choice!$D:$D,CONCATENATE($W15,"@",ET$7))=0,"",VLOOKUP(CONCATENATE($W15,"@",ET$7),choice!$D:$E,2,0)))</f>
        <v/>
      </c>
      <c r="EU15" s="74" t="str">
        <f>IF($W15="","",IF(COUNTIF(choice!$D:$D,CONCATENATE($W15,"@",EU$7))=0,"",VLOOKUP(CONCATENATE($W15,"@",EU$7),choice!$D:$E,2,0)))</f>
        <v/>
      </c>
      <c r="EV15" s="74" t="str">
        <f>IF($W15="","",IF(COUNTIF(choice!$D:$D,CONCATENATE($W15,"@",EV$7))=0,"",VLOOKUP(CONCATENATE($W15,"@",EV$7),choice!$D:$E,2,0)))</f>
        <v/>
      </c>
      <c r="EW15" s="74" t="str">
        <f>IF($W15="","",IF(COUNTIF(choice!$D:$D,CONCATENATE($W15,"@",EW$7))=0,"",VLOOKUP(CONCATENATE($W15,"@",EW$7),choice!$D:$E,2,0)))</f>
        <v/>
      </c>
      <c r="EX15" s="74" t="str">
        <f>IF($W15="","",IF(COUNTIF(choice!$D:$D,CONCATENATE($W15,"@",EX$7))=0,"",VLOOKUP(CONCATENATE($W15,"@",EX$7),choice!$D:$E,2,0)))</f>
        <v/>
      </c>
      <c r="EY15" s="74" t="str">
        <f>IF($W15="","",IF(COUNTIF(choice!$D:$D,CONCATENATE($W15,"@",EY$7))=0,"",VLOOKUP(CONCATENATE($W15,"@",EY$7),choice!$D:$E,2,0)))</f>
        <v/>
      </c>
      <c r="EZ15" s="74" t="str">
        <f>IF($W15="","",IF(COUNTIF(choice!$D:$D,CONCATENATE($W15,"@",EZ$7))=0,"",VLOOKUP(CONCATENATE($W15,"@",EZ$7),choice!$D:$E,2,0)))</f>
        <v/>
      </c>
      <c r="FA15" s="74" t="str">
        <f>IF($W15="","",IF(COUNTIF(choice!$D:$D,CONCATENATE($W15,"@",FA$7))=0,"",VLOOKUP(CONCATENATE($W15,"@",FA$7),choice!$D:$E,2,0)))</f>
        <v/>
      </c>
      <c r="FB15" s="74" t="str">
        <f>IF($W15="","",IF(COUNTIF(choice!$D:$D,CONCATENATE($W15,"@",FB$7))=0,"",VLOOKUP(CONCATENATE($W15,"@",FB$7),choice!$D:$E,2,0)))</f>
        <v/>
      </c>
      <c r="FC15" s="74" t="str">
        <f>IF($W15="","",IF(COUNTIF(choice!$D:$D,CONCATENATE($W15,"@",FC$7))=0,"",VLOOKUP(CONCATENATE($W15,"@",FC$7),choice!$D:$E,2,0)))</f>
        <v/>
      </c>
      <c r="FD15" s="74" t="str">
        <f>IF($W15="","",IF(COUNTIF(choice!$D:$D,CONCATENATE($W15,"@",FD$7))=0,"",VLOOKUP(CONCATENATE($W15,"@",FD$7),choice!$D:$E,2,0)))</f>
        <v/>
      </c>
      <c r="FE15" s="74" t="str">
        <f>IF($W15="","",IF(COUNTIF(choice!$D:$D,CONCATENATE($W15,"@",FE$7))=0,"",VLOOKUP(CONCATENATE($W15,"@",FE$7),choice!$D:$E,2,0)))</f>
        <v/>
      </c>
      <c r="FF15" s="74" t="str">
        <f>IF($W15="","",IF(COUNTIF(choice!$D:$D,CONCATENATE($W15,"@",FF$7))=0,"",VLOOKUP(CONCATENATE($W15,"@",FF$7),choice!$D:$E,2,0)))</f>
        <v/>
      </c>
      <c r="FG15" s="74" t="str">
        <f>IF($W15="","",IF(COUNTIF(choice!$D:$D,CONCATENATE($W15,"@",FG$7))=0,"",VLOOKUP(CONCATENATE($W15,"@",FG$7),choice!$D:$E,2,0)))</f>
        <v/>
      </c>
      <c r="FH15" s="74" t="str">
        <f>IF($W15="","",IF(COUNTIF(choice!$D:$D,CONCATENATE($W15,"@",FH$7))=0,"",VLOOKUP(CONCATENATE($W15,"@",FH$7),choice!$D:$E,2,0)))</f>
        <v/>
      </c>
      <c r="FI15" s="74" t="str">
        <f>IF($W15="","",IF(COUNTIF(choice!$D:$D,CONCATENATE($W15,"@",FI$7))=0,"",VLOOKUP(CONCATENATE($W15,"@",FI$7),choice!$D:$E,2,0)))</f>
        <v/>
      </c>
      <c r="FJ15" s="74" t="str">
        <f>IF($W15="","",IF(COUNTIF(choice!$D:$D,CONCATENATE($W15,"@",FJ$7))=0,"",VLOOKUP(CONCATENATE($W15,"@",FJ$7),choice!$D:$E,2,0)))</f>
        <v/>
      </c>
      <c r="FK15" s="74" t="str">
        <f>IF($W15="","",IF(COUNTIF(choice!$D:$D,CONCATENATE($W15,"@",FK$7))=0,"",VLOOKUP(CONCATENATE($W15,"@",FK$7),choice!$D:$E,2,0)))</f>
        <v/>
      </c>
      <c r="FL15" s="74" t="str">
        <f>IF($W15="","",IF(COUNTIF(choice!$D:$D,CONCATENATE($W15,"@",FL$7))=0,"",VLOOKUP(CONCATENATE($W15,"@",FL$7),choice!$D:$E,2,0)))</f>
        <v/>
      </c>
      <c r="FM15" s="74" t="str">
        <f>IF($W15="","",IF(COUNTIF(choice!$D:$D,CONCATENATE($W15,"@",FM$7))=0,"",VLOOKUP(CONCATENATE($W15,"@",FM$7),choice!$D:$E,2,0)))</f>
        <v/>
      </c>
      <c r="FN15" s="74" t="str">
        <f>IF($W15="","",IF(COUNTIF(choice!$D:$D,CONCATENATE($W15,"@",FN$7))=0,"",VLOOKUP(CONCATENATE($W15,"@",FN$7),choice!$D:$E,2,0)))</f>
        <v/>
      </c>
      <c r="FO15" s="74" t="str">
        <f>IF($W15="","",IF(COUNTIF(choice!$D:$D,CONCATENATE($W15,"@",FO$7))=0,"",VLOOKUP(CONCATENATE($W15,"@",FO$7),choice!$D:$E,2,0)))</f>
        <v/>
      </c>
      <c r="FP15" s="74" t="str">
        <f>IF($W15="","",IF(COUNTIF(choice!$D:$D,CONCATENATE($W15,"@",FP$7))=0,"",VLOOKUP(CONCATENATE($W15,"@",FP$7),choice!$D:$E,2,0)))</f>
        <v/>
      </c>
      <c r="FQ15" s="74" t="str">
        <f>IF($W15="","",IF(COUNTIF(choice!$D:$D,CONCATENATE($W15,"@",FQ$7))=0,"",VLOOKUP(CONCATENATE($W15,"@",FQ$7),choice!$D:$E,2,0)))</f>
        <v/>
      </c>
      <c r="FR15" s="74" t="str">
        <f>IF($W15="","",IF(COUNTIF(choice!$D:$D,CONCATENATE($W15,"@",FR$7))=0,"",VLOOKUP(CONCATENATE($W15,"@",FR$7),choice!$D:$E,2,0)))</f>
        <v/>
      </c>
      <c r="FS15" s="74" t="str">
        <f>IF($W15="","",IF(COUNTIF(choice!$D:$D,CONCATENATE($W15,"@",FS$7))=0,"",VLOOKUP(CONCATENATE($W15,"@",FS$7),choice!$D:$E,2,0)))</f>
        <v/>
      </c>
      <c r="FT15" s="74" t="str">
        <f>IF($W15="","",IF(COUNTIF(choice!$D:$D,CONCATENATE($W15,"@",FT$7))=0,"",VLOOKUP(CONCATENATE($W15,"@",FT$7),choice!$D:$E,2,0)))</f>
        <v/>
      </c>
      <c r="FU15" s="74" t="str">
        <f>IF($W15="","",IF(COUNTIF(choice!$D:$D,CONCATENATE($W15,"@",FU$7))=0,"",VLOOKUP(CONCATENATE($W15,"@",FU$7),choice!$D:$E,2,0)))</f>
        <v/>
      </c>
      <c r="FV15" s="81" t="str">
        <f>IF($W15="","",IF(COUNTIF(choice!$D:$D,CONCATENATE($W15,"@",FV$7))=0,"",VLOOKUP(CONCATENATE($W15,"@",FV$7),choice!$D:$E,2,0)))</f>
        <v/>
      </c>
      <c r="FW15" s="80" t="str">
        <f>IF($X15="","",IF(COUNTIF(choice!$D:$D,CONCATENATE($X15,"@",FW$7))=0,"",VLOOKUP(CONCATENATE($X15,"@",FW$7),choice!$D:$E,2,0)))</f>
        <v/>
      </c>
      <c r="FX15" s="74" t="str">
        <f>IF($X15="","",IF(COUNTIF(choice!$D:$D,CONCATENATE($X15,"@",FX$7))=0,"",VLOOKUP(CONCATENATE($X15,"@",FX$7),choice!$D:$E,2,0)))</f>
        <v/>
      </c>
      <c r="FY15" s="74" t="str">
        <f>IF($X15="","",IF(COUNTIF(choice!$D:$D,CONCATENATE($X15,"@",FY$7))=0,"",VLOOKUP(CONCATENATE($X15,"@",FY$7),choice!$D:$E,2,0)))</f>
        <v/>
      </c>
      <c r="FZ15" s="74" t="str">
        <f>IF($X15="","",IF(COUNTIF(choice!$D:$D,CONCATENATE($X15,"@",FZ$7))=0,"",VLOOKUP(CONCATENATE($X15,"@",FZ$7),choice!$D:$E,2,0)))</f>
        <v/>
      </c>
      <c r="GA15" s="74" t="str">
        <f>IF($X15="","",IF(COUNTIF(choice!$D:$D,CONCATENATE($X15,"@",GA$7))=0,"",VLOOKUP(CONCATENATE($X15,"@",GA$7),choice!$D:$E,2,0)))</f>
        <v/>
      </c>
      <c r="GB15" s="74" t="str">
        <f>IF($X15="","",IF(COUNTIF(choice!$D:$D,CONCATENATE($X15,"@",GB$7))=0,"",VLOOKUP(CONCATENATE($X15,"@",GB$7),choice!$D:$E,2,0)))</f>
        <v/>
      </c>
      <c r="GC15" s="74" t="str">
        <f>IF($X15="","",IF(COUNTIF(choice!$D:$D,CONCATENATE($X15,"@",GC$7))=0,"",VLOOKUP(CONCATENATE($X15,"@",GC$7),choice!$D:$E,2,0)))</f>
        <v/>
      </c>
      <c r="GD15" s="74" t="str">
        <f>IF($X15="","",IF(COUNTIF(choice!$D:$D,CONCATENATE($X15,"@",GD$7))=0,"",VLOOKUP(CONCATENATE($X15,"@",GD$7),choice!$D:$E,2,0)))</f>
        <v/>
      </c>
      <c r="GE15" s="74" t="str">
        <f>IF($X15="","",IF(COUNTIF(choice!$D:$D,CONCATENATE($X15,"@",GE$7))=0,"",VLOOKUP(CONCATENATE($X15,"@",GE$7),choice!$D:$E,2,0)))</f>
        <v/>
      </c>
      <c r="GF15" s="74" t="str">
        <f>IF($X15="","",IF(COUNTIF(choice!$D:$D,CONCATENATE($X15,"@",GF$7))=0,"",VLOOKUP(CONCATENATE($X15,"@",GF$7),choice!$D:$E,2,0)))</f>
        <v/>
      </c>
      <c r="GG15" s="74" t="str">
        <f>IF($X15="","",IF(COUNTIF(choice!$D:$D,CONCATENATE($X15,"@",GG$7))=0,"",VLOOKUP(CONCATENATE($X15,"@",GG$7),choice!$D:$E,2,0)))</f>
        <v/>
      </c>
      <c r="GH15" s="74" t="str">
        <f>IF($X15="","",IF(COUNTIF(choice!$D:$D,CONCATENATE($X15,"@",GH$7))=0,"",VLOOKUP(CONCATENATE($X15,"@",GH$7),choice!$D:$E,2,0)))</f>
        <v/>
      </c>
      <c r="GI15" s="74" t="str">
        <f>IF($X15="","",IF(COUNTIF(choice!$D:$D,CONCATENATE($X15,"@",GI$7))=0,"",VLOOKUP(CONCATENATE($X15,"@",GI$7),choice!$D:$E,2,0)))</f>
        <v/>
      </c>
      <c r="GJ15" s="74" t="str">
        <f>IF($X15="","",IF(COUNTIF(choice!$D:$D,CONCATENATE($X15,"@",GJ$7))=0,"",VLOOKUP(CONCATENATE($X15,"@",GJ$7),choice!$D:$E,2,0)))</f>
        <v/>
      </c>
      <c r="GK15" s="74" t="str">
        <f>IF($X15="","",IF(COUNTIF(choice!$D:$D,CONCATENATE($X15,"@",GK$7))=0,"",VLOOKUP(CONCATENATE($X15,"@",GK$7),choice!$D:$E,2,0)))</f>
        <v/>
      </c>
      <c r="GL15" s="74" t="str">
        <f>IF($X15="","",IF(COUNTIF(choice!$D:$D,CONCATENATE($X15,"@",GL$7))=0,"",VLOOKUP(CONCATENATE($X15,"@",GL$7),choice!$D:$E,2,0)))</f>
        <v/>
      </c>
      <c r="GM15" s="74" t="str">
        <f>IF($X15="","",IF(COUNTIF(choice!$D:$D,CONCATENATE($X15,"@",GM$7))=0,"",VLOOKUP(CONCATENATE($X15,"@",GM$7),choice!$D:$E,2,0)))</f>
        <v/>
      </c>
      <c r="GN15" s="74" t="str">
        <f>IF($X15="","",IF(COUNTIF(choice!$D:$D,CONCATENATE($X15,"@",GN$7))=0,"",VLOOKUP(CONCATENATE($X15,"@",GN$7),choice!$D:$E,2,0)))</f>
        <v/>
      </c>
      <c r="GO15" s="74" t="str">
        <f>IF($X15="","",IF(COUNTIF(choice!$D:$D,CONCATENATE($X15,"@",GO$7))=0,"",VLOOKUP(CONCATENATE($X15,"@",GO$7),choice!$D:$E,2,0)))</f>
        <v/>
      </c>
      <c r="GP15" s="74" t="str">
        <f>IF($X15="","",IF(COUNTIF(choice!$D:$D,CONCATENATE($X15,"@",GP$7))=0,"",VLOOKUP(CONCATENATE($X15,"@",GP$7),choice!$D:$E,2,0)))</f>
        <v/>
      </c>
      <c r="GQ15" s="74" t="str">
        <f>IF($X15="","",IF(COUNTIF(choice!$D:$D,CONCATENATE($X15,"@",GQ$7))=0,"",VLOOKUP(CONCATENATE($X15,"@",GQ$7),choice!$D:$E,2,0)))</f>
        <v/>
      </c>
      <c r="GR15" s="74" t="str">
        <f>IF($X15="","",IF(COUNTIF(choice!$D:$D,CONCATENATE($X15,"@",GR$7))=0,"",VLOOKUP(CONCATENATE($X15,"@",GR$7),choice!$D:$E,2,0)))</f>
        <v/>
      </c>
      <c r="GS15" s="74" t="str">
        <f>IF($X15="","",IF(COUNTIF(choice!$D:$D,CONCATENATE($X15,"@",GS$7))=0,"",VLOOKUP(CONCATENATE($X15,"@",GS$7),choice!$D:$E,2,0)))</f>
        <v/>
      </c>
      <c r="GT15" s="74" t="str">
        <f>IF($X15="","",IF(COUNTIF(choice!$D:$D,CONCATENATE($X15,"@",GT$7))=0,"",VLOOKUP(CONCATENATE($X15,"@",GT$7),choice!$D:$E,2,0)))</f>
        <v/>
      </c>
      <c r="GU15" s="74" t="str">
        <f>IF($X15="","",IF(COUNTIF(choice!$D:$D,CONCATENATE($X15,"@",GU$7))=0,"",VLOOKUP(CONCATENATE($X15,"@",GU$7),choice!$D:$E,2,0)))</f>
        <v/>
      </c>
      <c r="GV15" s="74" t="str">
        <f>IF($X15="","",IF(COUNTIF(choice!$D:$D,CONCATENATE($X15,"@",GV$7))=0,"",VLOOKUP(CONCATENATE($X15,"@",GV$7),choice!$D:$E,2,0)))</f>
        <v/>
      </c>
      <c r="GW15" s="74" t="str">
        <f>IF($X15="","",IF(COUNTIF(choice!$D:$D,CONCATENATE($X15,"@",GW$7))=0,"",VLOOKUP(CONCATENATE($X15,"@",GW$7),choice!$D:$E,2,0)))</f>
        <v/>
      </c>
      <c r="GX15" s="74" t="str">
        <f>IF($X15="","",IF(COUNTIF(choice!$D:$D,CONCATENATE($X15,"@",GX$7))=0,"",VLOOKUP(CONCATENATE($X15,"@",GX$7),choice!$D:$E,2,0)))</f>
        <v/>
      </c>
      <c r="GY15" s="74" t="str">
        <f>IF($X15="","",IF(COUNTIF(choice!$D:$D,CONCATENATE($X15,"@",GY$7))=0,"",VLOOKUP(CONCATENATE($X15,"@",GY$7),choice!$D:$E,2,0)))</f>
        <v/>
      </c>
      <c r="GZ15" s="74" t="str">
        <f>IF($X15="","",IF(COUNTIF(choice!$D:$D,CONCATENATE($X15,"@",GZ$7))=0,"",VLOOKUP(CONCATENATE($X15,"@",GZ$7),choice!$D:$E,2,0)))</f>
        <v/>
      </c>
      <c r="HA15" s="74" t="str">
        <f>IF($X15="","",IF(COUNTIF(choice!$D:$D,CONCATENATE($X15,"@",HA$7))=0,"",VLOOKUP(CONCATENATE($X15,"@",HA$7),choice!$D:$E,2,0)))</f>
        <v/>
      </c>
      <c r="HB15" s="74" t="str">
        <f>IF($X15="","",IF(COUNTIF(choice!$D:$D,CONCATENATE($X15,"@",HB$7))=0,"",VLOOKUP(CONCATENATE($X15,"@",HB$7),choice!$D:$E,2,0)))</f>
        <v/>
      </c>
      <c r="HC15" s="74" t="str">
        <f>IF($X15="","",IF(COUNTIF(choice!$D:$D,CONCATENATE($X15,"@",HC$7))=0,"",VLOOKUP(CONCATENATE($X15,"@",HC$7),choice!$D:$E,2,0)))</f>
        <v/>
      </c>
      <c r="HD15" s="74" t="str">
        <f>IF($X15="","",IF(COUNTIF(choice!$D:$D,CONCATENATE($X15,"@",HD$7))=0,"",VLOOKUP(CONCATENATE($X15,"@",HD$7),choice!$D:$E,2,0)))</f>
        <v/>
      </c>
      <c r="HE15" s="74" t="str">
        <f>IF($X15="","",IF(COUNTIF(choice!$D:$D,CONCATENATE($X15,"@",HE$7))=0,"",VLOOKUP(CONCATENATE($X15,"@",HE$7),choice!$D:$E,2,0)))</f>
        <v/>
      </c>
      <c r="HF15" s="74" t="str">
        <f>IF($X15="","",IF(COUNTIF(choice!$D:$D,CONCATENATE($X15,"@",HF$7))=0,"",VLOOKUP(CONCATENATE($X15,"@",HF$7),choice!$D:$E,2,0)))</f>
        <v/>
      </c>
      <c r="HG15" s="74" t="str">
        <f>IF($X15="","",IF(COUNTIF(choice!$D:$D,CONCATENATE($X15,"@",HG$7))=0,"",VLOOKUP(CONCATENATE($X15,"@",HG$7),choice!$D:$E,2,0)))</f>
        <v/>
      </c>
      <c r="HH15" s="74" t="str">
        <f>IF($X15="","",IF(COUNTIF(choice!$D:$D,CONCATENATE($X15,"@",HH$7))=0,"",VLOOKUP(CONCATENATE($X15,"@",HH$7),choice!$D:$E,2,0)))</f>
        <v/>
      </c>
      <c r="HI15" s="74" t="str">
        <f>IF($X15="","",IF(COUNTIF(choice!$D:$D,CONCATENATE($X15,"@",HI$7))=0,"",VLOOKUP(CONCATENATE($X15,"@",HI$7),choice!$D:$E,2,0)))</f>
        <v/>
      </c>
      <c r="HJ15" s="74" t="str">
        <f>IF($X15="","",IF(COUNTIF(choice!$D:$D,CONCATENATE($X15,"@",HJ$7))=0,"",VLOOKUP(CONCATENATE($X15,"@",HJ$7),choice!$D:$E,2,0)))</f>
        <v/>
      </c>
      <c r="HK15" s="74" t="str">
        <f>IF($X15="","",IF(COUNTIF(choice!$D:$D,CONCATENATE($X15,"@",HK$7))=0,"",VLOOKUP(CONCATENATE($X15,"@",HK$7),choice!$D:$E,2,0)))</f>
        <v/>
      </c>
      <c r="HL15" s="74" t="str">
        <f>IF($X15="","",IF(COUNTIF(choice!$D:$D,CONCATENATE($X15,"@",HL$7))=0,"",VLOOKUP(CONCATENATE($X15,"@",HL$7),choice!$D:$E,2,0)))</f>
        <v/>
      </c>
      <c r="HM15" s="74" t="str">
        <f>IF($X15="","",IF(COUNTIF(choice!$D:$D,CONCATENATE($X15,"@",HM$7))=0,"",VLOOKUP(CONCATENATE($X15,"@",HM$7),choice!$D:$E,2,0)))</f>
        <v/>
      </c>
      <c r="HN15" s="74" t="str">
        <f>IF($X15="","",IF(COUNTIF(choice!$D:$D,CONCATENATE($X15,"@",HN$7))=0,"",VLOOKUP(CONCATENATE($X15,"@",HN$7),choice!$D:$E,2,0)))</f>
        <v/>
      </c>
      <c r="HO15" s="81" t="str">
        <f>IF($X15="","",IF(COUNTIF(choice!$D:$D,CONCATENATE($X15,"@",HO$7))=0,"",VLOOKUP(CONCATENATE($X15,"@",HO$7),choice!$D:$E,2,0)))</f>
        <v/>
      </c>
      <c r="HP15" s="20" t="s">
        <v>66</v>
      </c>
      <c r="HQ15" s="20" t="s">
        <v>67</v>
      </c>
      <c r="HV15" s="74">
        <f t="shared" si="12"/>
        <v>0</v>
      </c>
      <c r="HW15" s="74">
        <f t="shared" si="13"/>
        <v>0</v>
      </c>
      <c r="HX15" s="74">
        <f t="shared" si="14"/>
        <v>0</v>
      </c>
      <c r="HY15" s="74">
        <f t="shared" si="15"/>
        <v>0</v>
      </c>
      <c r="HZ15" s="74">
        <f t="shared" si="21"/>
        <v>0</v>
      </c>
      <c r="IA15" s="74">
        <f t="shared" si="21"/>
        <v>0</v>
      </c>
      <c r="IB15" s="74" t="str">
        <f t="shared" si="22"/>
        <v/>
      </c>
      <c r="IC15" s="74" t="str">
        <f t="shared" si="23"/>
        <v/>
      </c>
      <c r="ID15" s="74" t="str">
        <f t="shared" si="16"/>
        <v/>
      </c>
      <c r="IE15" s="74">
        <f t="shared" si="17"/>
        <v>34</v>
      </c>
      <c r="IF15" s="74">
        <f>COUNTIFS(ID$8:ID15,"BLUE")</f>
        <v>0</v>
      </c>
      <c r="IG15" s="74" t="str">
        <f t="shared" si="18"/>
        <v/>
      </c>
      <c r="IH15" s="74" t="str">
        <f>IF(COUNTIFS($AQ15,"*02*")=0,"",COUNTIFS(IJ$8:IJ15,"BLUE"))</f>
        <v/>
      </c>
      <c r="II15" s="74" t="str">
        <f>IF(COUNTIFS($AQ15,"*04*")=0,"",COUNTIFS(IK$8:IK15,"BLUE"))</f>
        <v/>
      </c>
      <c r="IJ15" s="74" t="str">
        <f t="shared" si="24"/>
        <v/>
      </c>
      <c r="IK15" s="74" t="str">
        <f t="shared" si="25"/>
        <v/>
      </c>
      <c r="IL15" s="74" t="str">
        <f t="shared" si="19"/>
        <v/>
      </c>
      <c r="IM15" s="74" t="str">
        <f t="shared" si="20"/>
        <v/>
      </c>
      <c r="IN15" s="74">
        <f>COUNTIFS(IJ$8:IJ15,"BLUE")</f>
        <v>0</v>
      </c>
      <c r="IO15" s="74">
        <f>COUNTIFS(IK$8:IK15,"BLUE")</f>
        <v>0</v>
      </c>
    </row>
    <row r="16" spans="1:249" s="20" customFormat="1" ht="24.9" customHeight="1">
      <c r="A16" s="33"/>
      <c r="B16" s="30">
        <v>35</v>
      </c>
      <c r="C16" s="96"/>
      <c r="D16" s="97"/>
      <c r="E16" s="98" t="e">
        <f>VLOOKUP(F16,'Radio Call Sign'!A:B,2)</f>
        <v>#N/A</v>
      </c>
      <c r="F16" s="99"/>
      <c r="G16" s="99" t="e">
        <f>VLOOKUP(H16,'Radio Call Sign'!A:B,2)</f>
        <v>#N/A</v>
      </c>
      <c r="H16" s="99"/>
      <c r="I16" s="98" t="str">
        <f t="shared" si="4"/>
        <v/>
      </c>
      <c r="J16" s="100" t="str">
        <f t="shared" si="9"/>
        <v/>
      </c>
      <c r="K16" s="101" t="str">
        <f t="shared" si="10"/>
        <v/>
      </c>
      <c r="L16" s="102"/>
      <c r="M16" s="191" t="str">
        <f t="shared" si="11"/>
        <v/>
      </c>
      <c r="N16" s="103"/>
      <c r="O16" s="103"/>
      <c r="P16" s="104"/>
      <c r="Q16" s="165" t="str">
        <f>IF(AA16="","",IF(COUNTIFS('overhead line area'!$D$3:$D$100,AA16)+COUNTIFS('overhead line area'!$D$3:$D$100,AB16)+COUNTIFS('overhead line area'!$D$3:$D$100,AC16)+COUNTIFS('overhead line area'!$D$3:$D$100,AD16)=0,"","*               "))</f>
        <v/>
      </c>
      <c r="R16" s="104"/>
      <c r="S16" s="105"/>
      <c r="U16" s="74"/>
      <c r="V16" s="74"/>
      <c r="W16" s="74"/>
      <c r="X16" s="74"/>
      <c r="Y16" s="74"/>
      <c r="AA16" s="74" t="str">
        <f t="shared" si="5"/>
        <v/>
      </c>
      <c r="AB16" s="74" t="str">
        <f t="shared" si="6"/>
        <v/>
      </c>
      <c r="AC16" s="74" t="str">
        <f t="shared" si="6"/>
        <v/>
      </c>
      <c r="AD16" s="74" t="str">
        <f t="shared" si="6"/>
        <v/>
      </c>
      <c r="AF16" s="74" t="str">
        <f>IF(AA16="","",IF(COUNTIF(Route!$AM:$AM,'Add-on Train Movement Log'!AA16)=0,"未有資料",VLOOKUP('Add-on Train Movement Log'!AA16,Route!$AM:$AP,3,0)))</f>
        <v/>
      </c>
      <c r="AG16" s="74" t="str">
        <f>IF(AB16="","",IF(COUNTIF(Route!$AM:$AM,'Add-on Train Movement Log'!AB16)=0,"未有資料",VLOOKUP('Add-on Train Movement Log'!AB16,Route!$AM:$AP,3,0)))</f>
        <v/>
      </c>
      <c r="AH16" s="74" t="str">
        <f>IF(AC16="","",IF(COUNTIF(Route!$AM:$AM,'Add-on Train Movement Log'!AC16)=0,"未有資料",VLOOKUP('Add-on Train Movement Log'!AC16,Route!$AM:$AP,3,0)))</f>
        <v/>
      </c>
      <c r="AI16" s="74" t="str">
        <f>IF(AD16="","",IF(COUNTIF(Route!$AM:$AM,'Add-on Train Movement Log'!AD16)=0,"未有資料",VLOOKUP('Add-on Train Movement Log'!AD16,Route!$AM:$AP,3,0)))</f>
        <v/>
      </c>
      <c r="AK16" s="74" t="str">
        <f>IF(AA16="","",IF(COUNTIF(Route!$AM:$AM,'Add-on Train Movement Log'!AA16)=0,"未有資料",VLOOKUP('Add-on Train Movement Log'!AA16,Route!$AM:$AP,4,0)))</f>
        <v/>
      </c>
      <c r="AL16" s="74" t="str">
        <f>IF(AB16="","",IF(COUNTIF(Route!$AM:$AM,'Add-on Train Movement Log'!AB16)=0,"未有資料",VLOOKUP('Add-on Train Movement Log'!AB16,Route!$AM:$AP,4,0)))</f>
        <v/>
      </c>
      <c r="AM16" s="74" t="str">
        <f>IF(AC16="","",IF(COUNTIF(Route!$AM:$AM,'Add-on Train Movement Log'!AC16)=0,"未有資料",VLOOKUP('Add-on Train Movement Log'!AC16,Route!$AM:$AP,4,0)))</f>
        <v/>
      </c>
      <c r="AN16" s="74" t="str">
        <f>IF(AD16="","",IF(COUNTIF(Route!$AM:$AM,'Add-on Train Movement Log'!AD16)=0,"未有資料",VLOOKUP('Add-on Train Movement Log'!AD16,Route!$AM:$AP,4,0)))</f>
        <v/>
      </c>
      <c r="AP16" s="74" t="str">
        <f t="shared" si="7"/>
        <v/>
      </c>
      <c r="AQ16" s="76" t="str">
        <f t="shared" si="8"/>
        <v/>
      </c>
      <c r="AR16" s="80" t="str">
        <f>IF($U16="","",IF(COUNTIF(choice!$D:$D,CONCATENATE($U16,"@",AR$7))=0,"",VLOOKUP(CONCATENATE($U16,"@",AR$7),choice!$D:$E,2,0)))</f>
        <v/>
      </c>
      <c r="AS16" s="74" t="str">
        <f>IF($U16="","",IF(COUNTIF(choice!$D:$D,CONCATENATE($U16,"@",AS$7))=0,"",VLOOKUP(CONCATENATE($U16,"@",AS$7),choice!$D:$E,2,0)))</f>
        <v/>
      </c>
      <c r="AT16" s="74" t="str">
        <f>IF($U16="","",IF(COUNTIF(choice!$D:$D,CONCATENATE($U16,"@",AT$7))=0,"",VLOOKUP(CONCATENATE($U16,"@",AT$7),choice!$D:$E,2,0)))</f>
        <v/>
      </c>
      <c r="AU16" s="74" t="str">
        <f>IF($U16="","",IF(COUNTIF(choice!$D:$D,CONCATENATE($U16,"@",AU$7))=0,"",VLOOKUP(CONCATENATE($U16,"@",AU$7),choice!$D:$E,2,0)))</f>
        <v/>
      </c>
      <c r="AV16" s="74" t="str">
        <f>IF($U16="","",IF(COUNTIF(choice!$D:$D,CONCATENATE($U16,"@",AV$7))=0,"",VLOOKUP(CONCATENATE($U16,"@",AV$7),choice!$D:$E,2,0)))</f>
        <v/>
      </c>
      <c r="AW16" s="74" t="str">
        <f>IF($U16="","",IF(COUNTIF(choice!$D:$D,CONCATENATE($U16,"@",AW$7))=0,"",VLOOKUP(CONCATENATE($U16,"@",AW$7),choice!$D:$E,2,0)))</f>
        <v/>
      </c>
      <c r="AX16" s="74" t="str">
        <f>IF($U16="","",IF(COUNTIF(choice!$D:$D,CONCATENATE($U16,"@",AX$7))=0,"",VLOOKUP(CONCATENATE($U16,"@",AX$7),choice!$D:$E,2,0)))</f>
        <v/>
      </c>
      <c r="AY16" s="74" t="str">
        <f>IF($U16="","",IF(COUNTIF(choice!$D:$D,CONCATENATE($U16,"@",AY$7))=0,"",VLOOKUP(CONCATENATE($U16,"@",AY$7),choice!$D:$E,2,0)))</f>
        <v/>
      </c>
      <c r="AZ16" s="74" t="str">
        <f>IF($U16="","",IF(COUNTIF(choice!$D:$D,CONCATENATE($U16,"@",AZ$7))=0,"",VLOOKUP(CONCATENATE($U16,"@",AZ$7),choice!$D:$E,2,0)))</f>
        <v/>
      </c>
      <c r="BA16" s="74" t="str">
        <f>IF($U16="","",IF(COUNTIF(choice!$D:$D,CONCATENATE($U16,"@",BA$7))=0,"",VLOOKUP(CONCATENATE($U16,"@",BA$7),choice!$D:$E,2,0)))</f>
        <v/>
      </c>
      <c r="BB16" s="74" t="str">
        <f>IF($U16="","",IF(COUNTIF(choice!$D:$D,CONCATENATE($U16,"@",BB$7))=0,"",VLOOKUP(CONCATENATE($U16,"@",BB$7),choice!$D:$E,2,0)))</f>
        <v/>
      </c>
      <c r="BC16" s="74" t="str">
        <f>IF($U16="","",IF(COUNTIF(choice!$D:$D,CONCATENATE($U16,"@",BC$7))=0,"",VLOOKUP(CONCATENATE($U16,"@",BC$7),choice!$D:$E,2,0)))</f>
        <v/>
      </c>
      <c r="BD16" s="74" t="str">
        <f>IF($U16="","",IF(COUNTIF(choice!$D:$D,CONCATENATE($U16,"@",BD$7))=0,"",VLOOKUP(CONCATENATE($U16,"@",BD$7),choice!$D:$E,2,0)))</f>
        <v/>
      </c>
      <c r="BE16" s="74" t="str">
        <f>IF($U16="","",IF(COUNTIF(choice!$D:$D,CONCATENATE($U16,"@",BE$7))=0,"",VLOOKUP(CONCATENATE($U16,"@",BE$7),choice!$D:$E,2,0)))</f>
        <v/>
      </c>
      <c r="BF16" s="74" t="str">
        <f>IF($U16="","",IF(COUNTIF(choice!$D:$D,CONCATENATE($U16,"@",BF$7))=0,"",VLOOKUP(CONCATENATE($U16,"@",BF$7),choice!$D:$E,2,0)))</f>
        <v/>
      </c>
      <c r="BG16" s="74" t="str">
        <f>IF($U16="","",IF(COUNTIF(choice!$D:$D,CONCATENATE($U16,"@",BG$7))=0,"",VLOOKUP(CONCATENATE($U16,"@",BG$7),choice!$D:$E,2,0)))</f>
        <v/>
      </c>
      <c r="BH16" s="74" t="str">
        <f>IF($U16="","",IF(COUNTIF(choice!$D:$D,CONCATENATE($U16,"@",BH$7))=0,"",VLOOKUP(CONCATENATE($U16,"@",BH$7),choice!$D:$E,2,0)))</f>
        <v/>
      </c>
      <c r="BI16" s="74" t="str">
        <f>IF($U16="","",IF(COUNTIF(choice!$D:$D,CONCATENATE($U16,"@",BI$7))=0,"",VLOOKUP(CONCATENATE($U16,"@",BI$7),choice!$D:$E,2,0)))</f>
        <v/>
      </c>
      <c r="BJ16" s="74" t="str">
        <f>IF($U16="","",IF(COUNTIF(choice!$D:$D,CONCATENATE($U16,"@",BJ$7))=0,"",VLOOKUP(CONCATENATE($U16,"@",BJ$7),choice!$D:$E,2,0)))</f>
        <v/>
      </c>
      <c r="BK16" s="74" t="str">
        <f>IF($U16="","",IF(COUNTIF(choice!$D:$D,CONCATENATE($U16,"@",BK$7))=0,"",VLOOKUP(CONCATENATE($U16,"@",BK$7),choice!$D:$E,2,0)))</f>
        <v/>
      </c>
      <c r="BL16" s="74" t="str">
        <f>IF($U16="","",IF(COUNTIF(choice!$D:$D,CONCATENATE($U16,"@",BL$7))=0,"",VLOOKUP(CONCATENATE($U16,"@",BL$7),choice!$D:$E,2,0)))</f>
        <v/>
      </c>
      <c r="BM16" s="74" t="str">
        <f>IF($U16="","",IF(COUNTIF(choice!$D:$D,CONCATENATE($U16,"@",BM$7))=0,"",VLOOKUP(CONCATENATE($U16,"@",BM$7),choice!$D:$E,2,0)))</f>
        <v/>
      </c>
      <c r="BN16" s="74" t="str">
        <f>IF($U16="","",IF(COUNTIF(choice!$D:$D,CONCATENATE($U16,"@",BN$7))=0,"",VLOOKUP(CONCATENATE($U16,"@",BN$7),choice!$D:$E,2,0)))</f>
        <v/>
      </c>
      <c r="BO16" s="74" t="str">
        <f>IF($U16="","",IF(COUNTIF(choice!$D:$D,CONCATENATE($U16,"@",BO$7))=0,"",VLOOKUP(CONCATENATE($U16,"@",BO$7),choice!$D:$E,2,0)))</f>
        <v/>
      </c>
      <c r="BP16" s="74" t="str">
        <f>IF($U16="","",IF(COUNTIF(choice!$D:$D,CONCATENATE($U16,"@",BP$7))=0,"",VLOOKUP(CONCATENATE($U16,"@",BP$7),choice!$D:$E,2,0)))</f>
        <v/>
      </c>
      <c r="BQ16" s="74" t="str">
        <f>IF($U16="","",IF(COUNTIF(choice!$D:$D,CONCATENATE($U16,"@",BQ$7))=0,"",VLOOKUP(CONCATENATE($U16,"@",BQ$7),choice!$D:$E,2,0)))</f>
        <v/>
      </c>
      <c r="BR16" s="74" t="str">
        <f>IF($U16="","",IF(COUNTIF(choice!$D:$D,CONCATENATE($U16,"@",BR$7))=0,"",VLOOKUP(CONCATENATE($U16,"@",BR$7),choice!$D:$E,2,0)))</f>
        <v/>
      </c>
      <c r="BS16" s="74" t="str">
        <f>IF($U16="","",IF(COUNTIF(choice!$D:$D,CONCATENATE($U16,"@",BS$7))=0,"",VLOOKUP(CONCATENATE($U16,"@",BS$7),choice!$D:$E,2,0)))</f>
        <v/>
      </c>
      <c r="BT16" s="74" t="str">
        <f>IF($U16="","",IF(COUNTIF(choice!$D:$D,CONCATENATE($U16,"@",BT$7))=0,"",VLOOKUP(CONCATENATE($U16,"@",BT$7),choice!$D:$E,2,0)))</f>
        <v/>
      </c>
      <c r="BU16" s="74" t="str">
        <f>IF($U16="","",IF(COUNTIF(choice!$D:$D,CONCATENATE($U16,"@",BU$7))=0,"",VLOOKUP(CONCATENATE($U16,"@",BU$7),choice!$D:$E,2,0)))</f>
        <v/>
      </c>
      <c r="BV16" s="74" t="str">
        <f>IF($U16="","",IF(COUNTIF(choice!$D:$D,CONCATENATE($U16,"@",BV$7))=0,"",VLOOKUP(CONCATENATE($U16,"@",BV$7),choice!$D:$E,2,0)))</f>
        <v/>
      </c>
      <c r="BW16" s="74" t="str">
        <f>IF($U16="","",IF(COUNTIF(choice!$D:$D,CONCATENATE($U16,"@",BW$7))=0,"",VLOOKUP(CONCATENATE($U16,"@",BW$7),choice!$D:$E,2,0)))</f>
        <v/>
      </c>
      <c r="BX16" s="74" t="str">
        <f>IF($U16="","",IF(COUNTIF(choice!$D:$D,CONCATENATE($U16,"@",BX$7))=0,"",VLOOKUP(CONCATENATE($U16,"@",BX$7),choice!$D:$E,2,0)))</f>
        <v/>
      </c>
      <c r="BY16" s="74" t="str">
        <f>IF($U16="","",IF(COUNTIF(choice!$D:$D,CONCATENATE($U16,"@",BY$7))=0,"",VLOOKUP(CONCATENATE($U16,"@",BY$7),choice!$D:$E,2,0)))</f>
        <v/>
      </c>
      <c r="BZ16" s="74" t="str">
        <f>IF($U16="","",IF(COUNTIF(choice!$D:$D,CONCATENATE($U16,"@",BZ$7))=0,"",VLOOKUP(CONCATENATE($U16,"@",BZ$7),choice!$D:$E,2,0)))</f>
        <v/>
      </c>
      <c r="CA16" s="74" t="str">
        <f>IF($U16="","",IF(COUNTIF(choice!$D:$D,CONCATENATE($U16,"@",CA$7))=0,"",VLOOKUP(CONCATENATE($U16,"@",CA$7),choice!$D:$E,2,0)))</f>
        <v/>
      </c>
      <c r="CB16" s="74" t="str">
        <f>IF($U16="","",IF(COUNTIF(choice!$D:$D,CONCATENATE($U16,"@",CB$7))=0,"",VLOOKUP(CONCATENATE($U16,"@",CB$7),choice!$D:$E,2,0)))</f>
        <v/>
      </c>
      <c r="CC16" s="74" t="str">
        <f>IF($U16="","",IF(COUNTIF(choice!$D:$D,CONCATENATE($U16,"@",CC$7))=0,"",VLOOKUP(CONCATENATE($U16,"@",CC$7),choice!$D:$E,2,0)))</f>
        <v/>
      </c>
      <c r="CD16" s="74" t="str">
        <f>IF($U16="","",IF(COUNTIF(choice!$D:$D,CONCATENATE($U16,"@",CD$7))=0,"",VLOOKUP(CONCATENATE($U16,"@",CD$7),choice!$D:$E,2,0)))</f>
        <v/>
      </c>
      <c r="CE16" s="74" t="str">
        <f>IF($U16="","",IF(COUNTIF(choice!$D:$D,CONCATENATE($U16,"@",CE$7))=0,"",VLOOKUP(CONCATENATE($U16,"@",CE$7),choice!$D:$E,2,0)))</f>
        <v/>
      </c>
      <c r="CF16" s="74" t="str">
        <f>IF($U16="","",IF(COUNTIF(choice!$D:$D,CONCATENATE($U16,"@",CF$7))=0,"",VLOOKUP(CONCATENATE($U16,"@",CF$7),choice!$D:$E,2,0)))</f>
        <v/>
      </c>
      <c r="CG16" s="74" t="str">
        <f>IF($U16="","",IF(COUNTIF(choice!$D:$D,CONCATENATE($U16,"@",CG$7))=0,"",VLOOKUP(CONCATENATE($U16,"@",CG$7),choice!$D:$E,2,0)))</f>
        <v/>
      </c>
      <c r="CH16" s="74" t="str">
        <f>IF($U16="","",IF(COUNTIF(choice!$D:$D,CONCATENATE($U16,"@",CH$7))=0,"",VLOOKUP(CONCATENATE($U16,"@",CH$7),choice!$D:$E,2,0)))</f>
        <v/>
      </c>
      <c r="CI16" s="74" t="str">
        <f>IF($U16="","",IF(COUNTIF(choice!$D:$D,CONCATENATE($U16,"@",CI$7))=0,"",VLOOKUP(CONCATENATE($U16,"@",CI$7),choice!$D:$E,2,0)))</f>
        <v/>
      </c>
      <c r="CJ16" s="81" t="str">
        <f>IF($U16="","",IF(COUNTIF(choice!$D:$D,CONCATENATE($U16,"@",CJ$7))=0,"",VLOOKUP(CONCATENATE($U16,"@",CJ$7),choice!$D:$E,2,0)))</f>
        <v/>
      </c>
      <c r="CK16" s="80" t="str">
        <f>IF($V16="","",IF(COUNTIF(choice!$D:$D,CONCATENATE($V16,"@",CK$7))=0,"",VLOOKUP(CONCATENATE($V16,"@",CK$7),choice!$D:$E,2,0)))</f>
        <v/>
      </c>
      <c r="CL16" s="74" t="str">
        <f>IF($V16="","",IF(COUNTIF(choice!$D:$D,CONCATENATE($V16,"@",CL$7))=0,"",VLOOKUP(CONCATENATE($V16,"@",CL$7),choice!$D:$E,2,0)))</f>
        <v/>
      </c>
      <c r="CM16" s="74" t="str">
        <f>IF($V16="","",IF(COUNTIF(choice!$D:$D,CONCATENATE($V16,"@",CM$7))=0,"",VLOOKUP(CONCATENATE($V16,"@",CM$7),choice!$D:$E,2,0)))</f>
        <v/>
      </c>
      <c r="CN16" s="74" t="str">
        <f>IF($V16="","",IF(COUNTIF(choice!$D:$D,CONCATENATE($V16,"@",CN$7))=0,"",VLOOKUP(CONCATENATE($V16,"@",CN$7),choice!$D:$E,2,0)))</f>
        <v/>
      </c>
      <c r="CO16" s="74" t="str">
        <f>IF($V16="","",IF(COUNTIF(choice!$D:$D,CONCATENATE($V16,"@",CO$7))=0,"",VLOOKUP(CONCATENATE($V16,"@",CO$7),choice!$D:$E,2,0)))</f>
        <v/>
      </c>
      <c r="CP16" s="74" t="str">
        <f>IF($V16="","",IF(COUNTIF(choice!$D:$D,CONCATENATE($V16,"@",CP$7))=0,"",VLOOKUP(CONCATENATE($V16,"@",CP$7),choice!$D:$E,2,0)))</f>
        <v/>
      </c>
      <c r="CQ16" s="74" t="str">
        <f>IF($V16="","",IF(COUNTIF(choice!$D:$D,CONCATENATE($V16,"@",CQ$7))=0,"",VLOOKUP(CONCATENATE($V16,"@",CQ$7),choice!$D:$E,2,0)))</f>
        <v/>
      </c>
      <c r="CR16" s="74" t="str">
        <f>IF($V16="","",IF(COUNTIF(choice!$D:$D,CONCATENATE($V16,"@",CR$7))=0,"",VLOOKUP(CONCATENATE($V16,"@",CR$7),choice!$D:$E,2,0)))</f>
        <v/>
      </c>
      <c r="CS16" s="74" t="str">
        <f>IF($V16="","",IF(COUNTIF(choice!$D:$D,CONCATENATE($V16,"@",CS$7))=0,"",VLOOKUP(CONCATENATE($V16,"@",CS$7),choice!$D:$E,2,0)))</f>
        <v/>
      </c>
      <c r="CT16" s="74" t="str">
        <f>IF($V16="","",IF(COUNTIF(choice!$D:$D,CONCATENATE($V16,"@",CT$7))=0,"",VLOOKUP(CONCATENATE($V16,"@",CT$7),choice!$D:$E,2,0)))</f>
        <v/>
      </c>
      <c r="CU16" s="74" t="str">
        <f>IF($V16="","",IF(COUNTIF(choice!$D:$D,CONCATENATE($V16,"@",CU$7))=0,"",VLOOKUP(CONCATENATE($V16,"@",CU$7),choice!$D:$E,2,0)))</f>
        <v/>
      </c>
      <c r="CV16" s="74" t="str">
        <f>IF($V16="","",IF(COUNTIF(choice!$D:$D,CONCATENATE($V16,"@",CV$7))=0,"",VLOOKUP(CONCATENATE($V16,"@",CV$7),choice!$D:$E,2,0)))</f>
        <v/>
      </c>
      <c r="CW16" s="74" t="str">
        <f>IF($V16="","",IF(COUNTIF(choice!$D:$D,CONCATENATE($V16,"@",CW$7))=0,"",VLOOKUP(CONCATENATE($V16,"@",CW$7),choice!$D:$E,2,0)))</f>
        <v/>
      </c>
      <c r="CX16" s="74" t="str">
        <f>IF($V16="","",IF(COUNTIF(choice!$D:$D,CONCATENATE($V16,"@",CX$7))=0,"",VLOOKUP(CONCATENATE($V16,"@",CX$7),choice!$D:$E,2,0)))</f>
        <v/>
      </c>
      <c r="CY16" s="74" t="str">
        <f>IF($V16="","",IF(COUNTIF(choice!$D:$D,CONCATENATE($V16,"@",CY$7))=0,"",VLOOKUP(CONCATENATE($V16,"@",CY$7),choice!$D:$E,2,0)))</f>
        <v/>
      </c>
      <c r="CZ16" s="74" t="str">
        <f>IF($V16="","",IF(COUNTIF(choice!$D:$D,CONCATENATE($V16,"@",CZ$7))=0,"",VLOOKUP(CONCATENATE($V16,"@",CZ$7),choice!$D:$E,2,0)))</f>
        <v/>
      </c>
      <c r="DA16" s="74" t="str">
        <f>IF($V16="","",IF(COUNTIF(choice!$D:$D,CONCATENATE($V16,"@",DA$7))=0,"",VLOOKUP(CONCATENATE($V16,"@",DA$7),choice!$D:$E,2,0)))</f>
        <v/>
      </c>
      <c r="DB16" s="74" t="str">
        <f>IF($V16="","",IF(COUNTIF(choice!$D:$D,CONCATENATE($V16,"@",DB$7))=0,"",VLOOKUP(CONCATENATE($V16,"@",DB$7),choice!$D:$E,2,0)))</f>
        <v/>
      </c>
      <c r="DC16" s="74" t="str">
        <f>IF($V16="","",IF(COUNTIF(choice!$D:$D,CONCATENATE($V16,"@",DC$7))=0,"",VLOOKUP(CONCATENATE($V16,"@",DC$7),choice!$D:$E,2,0)))</f>
        <v/>
      </c>
      <c r="DD16" s="74" t="str">
        <f>IF($V16="","",IF(COUNTIF(choice!$D:$D,CONCATENATE($V16,"@",DD$7))=0,"",VLOOKUP(CONCATENATE($V16,"@",DD$7),choice!$D:$E,2,0)))</f>
        <v/>
      </c>
      <c r="DE16" s="74" t="str">
        <f>IF($V16="","",IF(COUNTIF(choice!$D:$D,CONCATENATE($V16,"@",DE$7))=0,"",VLOOKUP(CONCATENATE($V16,"@",DE$7),choice!$D:$E,2,0)))</f>
        <v/>
      </c>
      <c r="DF16" s="74" t="str">
        <f>IF($V16="","",IF(COUNTIF(choice!$D:$D,CONCATENATE($V16,"@",DF$7))=0,"",VLOOKUP(CONCATENATE($V16,"@",DF$7),choice!$D:$E,2,0)))</f>
        <v/>
      </c>
      <c r="DG16" s="74" t="str">
        <f>IF($V16="","",IF(COUNTIF(choice!$D:$D,CONCATENATE($V16,"@",DG$7))=0,"",VLOOKUP(CONCATENATE($V16,"@",DG$7),choice!$D:$E,2,0)))</f>
        <v/>
      </c>
      <c r="DH16" s="74" t="str">
        <f>IF($V16="","",IF(COUNTIF(choice!$D:$D,CONCATENATE($V16,"@",DH$7))=0,"",VLOOKUP(CONCATENATE($V16,"@",DH$7),choice!$D:$E,2,0)))</f>
        <v/>
      </c>
      <c r="DI16" s="74" t="str">
        <f>IF($V16="","",IF(COUNTIF(choice!$D:$D,CONCATENATE($V16,"@",DI$7))=0,"",VLOOKUP(CONCATENATE($V16,"@",DI$7),choice!$D:$E,2,0)))</f>
        <v/>
      </c>
      <c r="DJ16" s="74" t="str">
        <f>IF($V16="","",IF(COUNTIF(choice!$D:$D,CONCATENATE($V16,"@",DJ$7))=0,"",VLOOKUP(CONCATENATE($V16,"@",DJ$7),choice!$D:$E,2,0)))</f>
        <v/>
      </c>
      <c r="DK16" s="74" t="str">
        <f>IF($V16="","",IF(COUNTIF(choice!$D:$D,CONCATENATE($V16,"@",DK$7))=0,"",VLOOKUP(CONCATENATE($V16,"@",DK$7),choice!$D:$E,2,0)))</f>
        <v/>
      </c>
      <c r="DL16" s="74" t="str">
        <f>IF($V16="","",IF(COUNTIF(choice!$D:$D,CONCATENATE($V16,"@",DL$7))=0,"",VLOOKUP(CONCATENATE($V16,"@",DL$7),choice!$D:$E,2,0)))</f>
        <v/>
      </c>
      <c r="DM16" s="74" t="str">
        <f>IF($V16="","",IF(COUNTIF(choice!$D:$D,CONCATENATE($V16,"@",DM$7))=0,"",VLOOKUP(CONCATENATE($V16,"@",DM$7),choice!$D:$E,2,0)))</f>
        <v/>
      </c>
      <c r="DN16" s="74" t="str">
        <f>IF($V16="","",IF(COUNTIF(choice!$D:$D,CONCATENATE($V16,"@",DN$7))=0,"",VLOOKUP(CONCATENATE($V16,"@",DN$7),choice!$D:$E,2,0)))</f>
        <v/>
      </c>
      <c r="DO16" s="74" t="str">
        <f>IF($V16="","",IF(COUNTIF(choice!$D:$D,CONCATENATE($V16,"@",DO$7))=0,"",VLOOKUP(CONCATENATE($V16,"@",DO$7),choice!$D:$E,2,0)))</f>
        <v/>
      </c>
      <c r="DP16" s="74" t="str">
        <f>IF($V16="","",IF(COUNTIF(choice!$D:$D,CONCATENATE($V16,"@",DP$7))=0,"",VLOOKUP(CONCATENATE($V16,"@",DP$7),choice!$D:$E,2,0)))</f>
        <v/>
      </c>
      <c r="DQ16" s="74" t="str">
        <f>IF($V16="","",IF(COUNTIF(choice!$D:$D,CONCATENATE($V16,"@",DQ$7))=0,"",VLOOKUP(CONCATENATE($V16,"@",DQ$7),choice!$D:$E,2,0)))</f>
        <v/>
      </c>
      <c r="DR16" s="74" t="str">
        <f>IF($V16="","",IF(COUNTIF(choice!$D:$D,CONCATENATE($V16,"@",DR$7))=0,"",VLOOKUP(CONCATENATE($V16,"@",DR$7),choice!$D:$E,2,0)))</f>
        <v/>
      </c>
      <c r="DS16" s="74" t="str">
        <f>IF($V16="","",IF(COUNTIF(choice!$D:$D,CONCATENATE($V16,"@",DS$7))=0,"",VLOOKUP(CONCATENATE($V16,"@",DS$7),choice!$D:$E,2,0)))</f>
        <v/>
      </c>
      <c r="DT16" s="74" t="str">
        <f>IF($V16="","",IF(COUNTIF(choice!$D:$D,CONCATENATE($V16,"@",DT$7))=0,"",VLOOKUP(CONCATENATE($V16,"@",DT$7),choice!$D:$E,2,0)))</f>
        <v/>
      </c>
      <c r="DU16" s="74" t="str">
        <f>IF($V16="","",IF(COUNTIF(choice!$D:$D,CONCATENATE($V16,"@",DU$7))=0,"",VLOOKUP(CONCATENATE($V16,"@",DU$7),choice!$D:$E,2,0)))</f>
        <v/>
      </c>
      <c r="DV16" s="74" t="str">
        <f>IF($V16="","",IF(COUNTIF(choice!$D:$D,CONCATENATE($V16,"@",DV$7))=0,"",VLOOKUP(CONCATENATE($V16,"@",DV$7),choice!$D:$E,2,0)))</f>
        <v/>
      </c>
      <c r="DW16" s="74" t="str">
        <f>IF($V16="","",IF(COUNTIF(choice!$D:$D,CONCATENATE($V16,"@",DW$7))=0,"",VLOOKUP(CONCATENATE($V16,"@",DW$7),choice!$D:$E,2,0)))</f>
        <v/>
      </c>
      <c r="DX16" s="74" t="str">
        <f>IF($V16="","",IF(COUNTIF(choice!$D:$D,CONCATENATE($V16,"@",DX$7))=0,"",VLOOKUP(CONCATENATE($V16,"@",DX$7),choice!$D:$E,2,0)))</f>
        <v/>
      </c>
      <c r="DY16" s="74" t="str">
        <f>IF($V16="","",IF(COUNTIF(choice!$D:$D,CONCATENATE($V16,"@",DY$7))=0,"",VLOOKUP(CONCATENATE($V16,"@",DY$7),choice!$D:$E,2,0)))</f>
        <v/>
      </c>
      <c r="DZ16" s="74" t="str">
        <f>IF($V16="","",IF(COUNTIF(choice!$D:$D,CONCATENATE($V16,"@",DZ$7))=0,"",VLOOKUP(CONCATENATE($V16,"@",DZ$7),choice!$D:$E,2,0)))</f>
        <v/>
      </c>
      <c r="EA16" s="74" t="str">
        <f>IF($V16="","",IF(COUNTIF(choice!$D:$D,CONCATENATE($V16,"@",EA$7))=0,"",VLOOKUP(CONCATENATE($V16,"@",EA$7),choice!$D:$E,2,0)))</f>
        <v/>
      </c>
      <c r="EB16" s="74" t="str">
        <f>IF($V16="","",IF(COUNTIF(choice!$D:$D,CONCATENATE($V16,"@",EB$7))=0,"",VLOOKUP(CONCATENATE($V16,"@",EB$7),choice!$D:$E,2,0)))</f>
        <v/>
      </c>
      <c r="EC16" s="81" t="str">
        <f>IF($V16="","",IF(COUNTIF(choice!$D:$D,CONCATENATE($V16,"@",EC$7))=0,"",VLOOKUP(CONCATENATE($V16,"@",EC$7),choice!$D:$E,2,0)))</f>
        <v/>
      </c>
      <c r="ED16" s="80" t="str">
        <f>IF($W16="","",IF(COUNTIF(choice!$D:$D,CONCATENATE($W16,"@",ED$7))=0,"",VLOOKUP(CONCATENATE($W16,"@",ED$7),choice!$D:$E,2,0)))</f>
        <v/>
      </c>
      <c r="EE16" s="74" t="str">
        <f>IF($W16="","",IF(COUNTIF(choice!$D:$D,CONCATENATE($W16,"@",EE$7))=0,"",VLOOKUP(CONCATENATE($W16,"@",EE$7),choice!$D:$E,2,0)))</f>
        <v/>
      </c>
      <c r="EF16" s="74" t="str">
        <f>IF($W16="","",IF(COUNTIF(choice!$D:$D,CONCATENATE($W16,"@",EF$7))=0,"",VLOOKUP(CONCATENATE($W16,"@",EF$7),choice!$D:$E,2,0)))</f>
        <v/>
      </c>
      <c r="EG16" s="74" t="str">
        <f>IF($W16="","",IF(COUNTIF(choice!$D:$D,CONCATENATE($W16,"@",EG$7))=0,"",VLOOKUP(CONCATENATE($W16,"@",EG$7),choice!$D:$E,2,0)))</f>
        <v/>
      </c>
      <c r="EH16" s="74" t="str">
        <f>IF($W16="","",IF(COUNTIF(choice!$D:$D,CONCATENATE($W16,"@",EH$7))=0,"",VLOOKUP(CONCATENATE($W16,"@",EH$7),choice!$D:$E,2,0)))</f>
        <v/>
      </c>
      <c r="EI16" s="74" t="str">
        <f>IF($W16="","",IF(COUNTIF(choice!$D:$D,CONCATENATE($W16,"@",EI$7))=0,"",VLOOKUP(CONCATENATE($W16,"@",EI$7),choice!$D:$E,2,0)))</f>
        <v/>
      </c>
      <c r="EJ16" s="74" t="str">
        <f>IF($W16="","",IF(COUNTIF(choice!$D:$D,CONCATENATE($W16,"@",EJ$7))=0,"",VLOOKUP(CONCATENATE($W16,"@",EJ$7),choice!$D:$E,2,0)))</f>
        <v/>
      </c>
      <c r="EK16" s="74" t="str">
        <f>IF($W16="","",IF(COUNTIF(choice!$D:$D,CONCATENATE($W16,"@",EK$7))=0,"",VLOOKUP(CONCATENATE($W16,"@",EK$7),choice!$D:$E,2,0)))</f>
        <v/>
      </c>
      <c r="EL16" s="74" t="str">
        <f>IF($W16="","",IF(COUNTIF(choice!$D:$D,CONCATENATE($W16,"@",EL$7))=0,"",VLOOKUP(CONCATENATE($W16,"@",EL$7),choice!$D:$E,2,0)))</f>
        <v/>
      </c>
      <c r="EM16" s="74" t="str">
        <f>IF($W16="","",IF(COUNTIF(choice!$D:$D,CONCATENATE($W16,"@",EM$7))=0,"",VLOOKUP(CONCATENATE($W16,"@",EM$7),choice!$D:$E,2,0)))</f>
        <v/>
      </c>
      <c r="EN16" s="74" t="str">
        <f>IF($W16="","",IF(COUNTIF(choice!$D:$D,CONCATENATE($W16,"@",EN$7))=0,"",VLOOKUP(CONCATENATE($W16,"@",EN$7),choice!$D:$E,2,0)))</f>
        <v/>
      </c>
      <c r="EO16" s="74" t="str">
        <f>IF($W16="","",IF(COUNTIF(choice!$D:$D,CONCATENATE($W16,"@",EO$7))=0,"",VLOOKUP(CONCATENATE($W16,"@",EO$7),choice!$D:$E,2,0)))</f>
        <v/>
      </c>
      <c r="EP16" s="74" t="str">
        <f>IF($W16="","",IF(COUNTIF(choice!$D:$D,CONCATENATE($W16,"@",EP$7))=0,"",VLOOKUP(CONCATENATE($W16,"@",EP$7),choice!$D:$E,2,0)))</f>
        <v/>
      </c>
      <c r="EQ16" s="74" t="str">
        <f>IF($W16="","",IF(COUNTIF(choice!$D:$D,CONCATENATE($W16,"@",EQ$7))=0,"",VLOOKUP(CONCATENATE($W16,"@",EQ$7),choice!$D:$E,2,0)))</f>
        <v/>
      </c>
      <c r="ER16" s="74" t="str">
        <f>IF($W16="","",IF(COUNTIF(choice!$D:$D,CONCATENATE($W16,"@",ER$7))=0,"",VLOOKUP(CONCATENATE($W16,"@",ER$7),choice!$D:$E,2,0)))</f>
        <v/>
      </c>
      <c r="ES16" s="74" t="str">
        <f>IF($W16="","",IF(COUNTIF(choice!$D:$D,CONCATENATE($W16,"@",ES$7))=0,"",VLOOKUP(CONCATENATE($W16,"@",ES$7),choice!$D:$E,2,0)))</f>
        <v/>
      </c>
      <c r="ET16" s="74" t="str">
        <f>IF($W16="","",IF(COUNTIF(choice!$D:$D,CONCATENATE($W16,"@",ET$7))=0,"",VLOOKUP(CONCATENATE($W16,"@",ET$7),choice!$D:$E,2,0)))</f>
        <v/>
      </c>
      <c r="EU16" s="74" t="str">
        <f>IF($W16="","",IF(COUNTIF(choice!$D:$D,CONCATENATE($W16,"@",EU$7))=0,"",VLOOKUP(CONCATENATE($W16,"@",EU$7),choice!$D:$E,2,0)))</f>
        <v/>
      </c>
      <c r="EV16" s="74" t="str">
        <f>IF($W16="","",IF(COUNTIF(choice!$D:$D,CONCATENATE($W16,"@",EV$7))=0,"",VLOOKUP(CONCATENATE($W16,"@",EV$7),choice!$D:$E,2,0)))</f>
        <v/>
      </c>
      <c r="EW16" s="74" t="str">
        <f>IF($W16="","",IF(COUNTIF(choice!$D:$D,CONCATENATE($W16,"@",EW$7))=0,"",VLOOKUP(CONCATENATE($W16,"@",EW$7),choice!$D:$E,2,0)))</f>
        <v/>
      </c>
      <c r="EX16" s="74" t="str">
        <f>IF($W16="","",IF(COUNTIF(choice!$D:$D,CONCATENATE($W16,"@",EX$7))=0,"",VLOOKUP(CONCATENATE($W16,"@",EX$7),choice!$D:$E,2,0)))</f>
        <v/>
      </c>
      <c r="EY16" s="74" t="str">
        <f>IF($W16="","",IF(COUNTIF(choice!$D:$D,CONCATENATE($W16,"@",EY$7))=0,"",VLOOKUP(CONCATENATE($W16,"@",EY$7),choice!$D:$E,2,0)))</f>
        <v/>
      </c>
      <c r="EZ16" s="74" t="str">
        <f>IF($W16="","",IF(COUNTIF(choice!$D:$D,CONCATENATE($W16,"@",EZ$7))=0,"",VLOOKUP(CONCATENATE($W16,"@",EZ$7),choice!$D:$E,2,0)))</f>
        <v/>
      </c>
      <c r="FA16" s="74" t="str">
        <f>IF($W16="","",IF(COUNTIF(choice!$D:$D,CONCATENATE($W16,"@",FA$7))=0,"",VLOOKUP(CONCATENATE($W16,"@",FA$7),choice!$D:$E,2,0)))</f>
        <v/>
      </c>
      <c r="FB16" s="74" t="str">
        <f>IF($W16="","",IF(COUNTIF(choice!$D:$D,CONCATENATE($W16,"@",FB$7))=0,"",VLOOKUP(CONCATENATE($W16,"@",FB$7),choice!$D:$E,2,0)))</f>
        <v/>
      </c>
      <c r="FC16" s="74" t="str">
        <f>IF($W16="","",IF(COUNTIF(choice!$D:$D,CONCATENATE($W16,"@",FC$7))=0,"",VLOOKUP(CONCATENATE($W16,"@",FC$7),choice!$D:$E,2,0)))</f>
        <v/>
      </c>
      <c r="FD16" s="74" t="str">
        <f>IF($W16="","",IF(COUNTIF(choice!$D:$D,CONCATENATE($W16,"@",FD$7))=0,"",VLOOKUP(CONCATENATE($W16,"@",FD$7),choice!$D:$E,2,0)))</f>
        <v/>
      </c>
      <c r="FE16" s="74" t="str">
        <f>IF($W16="","",IF(COUNTIF(choice!$D:$D,CONCATENATE($W16,"@",FE$7))=0,"",VLOOKUP(CONCATENATE($W16,"@",FE$7),choice!$D:$E,2,0)))</f>
        <v/>
      </c>
      <c r="FF16" s="74" t="str">
        <f>IF($W16="","",IF(COUNTIF(choice!$D:$D,CONCATENATE($W16,"@",FF$7))=0,"",VLOOKUP(CONCATENATE($W16,"@",FF$7),choice!$D:$E,2,0)))</f>
        <v/>
      </c>
      <c r="FG16" s="74" t="str">
        <f>IF($W16="","",IF(COUNTIF(choice!$D:$D,CONCATENATE($W16,"@",FG$7))=0,"",VLOOKUP(CONCATENATE($W16,"@",FG$7),choice!$D:$E,2,0)))</f>
        <v/>
      </c>
      <c r="FH16" s="74" t="str">
        <f>IF($W16="","",IF(COUNTIF(choice!$D:$D,CONCATENATE($W16,"@",FH$7))=0,"",VLOOKUP(CONCATENATE($W16,"@",FH$7),choice!$D:$E,2,0)))</f>
        <v/>
      </c>
      <c r="FI16" s="74" t="str">
        <f>IF($W16="","",IF(COUNTIF(choice!$D:$D,CONCATENATE($W16,"@",FI$7))=0,"",VLOOKUP(CONCATENATE($W16,"@",FI$7),choice!$D:$E,2,0)))</f>
        <v/>
      </c>
      <c r="FJ16" s="74" t="str">
        <f>IF($W16="","",IF(COUNTIF(choice!$D:$D,CONCATENATE($W16,"@",FJ$7))=0,"",VLOOKUP(CONCATENATE($W16,"@",FJ$7),choice!$D:$E,2,0)))</f>
        <v/>
      </c>
      <c r="FK16" s="74" t="str">
        <f>IF($W16="","",IF(COUNTIF(choice!$D:$D,CONCATENATE($W16,"@",FK$7))=0,"",VLOOKUP(CONCATENATE($W16,"@",FK$7),choice!$D:$E,2,0)))</f>
        <v/>
      </c>
      <c r="FL16" s="74" t="str">
        <f>IF($W16="","",IF(COUNTIF(choice!$D:$D,CONCATENATE($W16,"@",FL$7))=0,"",VLOOKUP(CONCATENATE($W16,"@",FL$7),choice!$D:$E,2,0)))</f>
        <v/>
      </c>
      <c r="FM16" s="74" t="str">
        <f>IF($W16="","",IF(COUNTIF(choice!$D:$D,CONCATENATE($W16,"@",FM$7))=0,"",VLOOKUP(CONCATENATE($W16,"@",FM$7),choice!$D:$E,2,0)))</f>
        <v/>
      </c>
      <c r="FN16" s="74" t="str">
        <f>IF($W16="","",IF(COUNTIF(choice!$D:$D,CONCATENATE($W16,"@",FN$7))=0,"",VLOOKUP(CONCATENATE($W16,"@",FN$7),choice!$D:$E,2,0)))</f>
        <v/>
      </c>
      <c r="FO16" s="74" t="str">
        <f>IF($W16="","",IF(COUNTIF(choice!$D:$D,CONCATENATE($W16,"@",FO$7))=0,"",VLOOKUP(CONCATENATE($W16,"@",FO$7),choice!$D:$E,2,0)))</f>
        <v/>
      </c>
      <c r="FP16" s="74" t="str">
        <f>IF($W16="","",IF(COUNTIF(choice!$D:$D,CONCATENATE($W16,"@",FP$7))=0,"",VLOOKUP(CONCATENATE($W16,"@",FP$7),choice!$D:$E,2,0)))</f>
        <v/>
      </c>
      <c r="FQ16" s="74" t="str">
        <f>IF($W16="","",IF(COUNTIF(choice!$D:$D,CONCATENATE($W16,"@",FQ$7))=0,"",VLOOKUP(CONCATENATE($W16,"@",FQ$7),choice!$D:$E,2,0)))</f>
        <v/>
      </c>
      <c r="FR16" s="74" t="str">
        <f>IF($W16="","",IF(COUNTIF(choice!$D:$D,CONCATENATE($W16,"@",FR$7))=0,"",VLOOKUP(CONCATENATE($W16,"@",FR$7),choice!$D:$E,2,0)))</f>
        <v/>
      </c>
      <c r="FS16" s="74" t="str">
        <f>IF($W16="","",IF(COUNTIF(choice!$D:$D,CONCATENATE($W16,"@",FS$7))=0,"",VLOOKUP(CONCATENATE($W16,"@",FS$7),choice!$D:$E,2,0)))</f>
        <v/>
      </c>
      <c r="FT16" s="74" t="str">
        <f>IF($W16="","",IF(COUNTIF(choice!$D:$D,CONCATENATE($W16,"@",FT$7))=0,"",VLOOKUP(CONCATENATE($W16,"@",FT$7),choice!$D:$E,2,0)))</f>
        <v/>
      </c>
      <c r="FU16" s="74" t="str">
        <f>IF($W16="","",IF(COUNTIF(choice!$D:$D,CONCATENATE($W16,"@",FU$7))=0,"",VLOOKUP(CONCATENATE($W16,"@",FU$7),choice!$D:$E,2,0)))</f>
        <v/>
      </c>
      <c r="FV16" s="81" t="str">
        <f>IF($W16="","",IF(COUNTIF(choice!$D:$D,CONCATENATE($W16,"@",FV$7))=0,"",VLOOKUP(CONCATENATE($W16,"@",FV$7),choice!$D:$E,2,0)))</f>
        <v/>
      </c>
      <c r="FW16" s="80" t="str">
        <f>IF($X16="","",IF(COUNTIF(choice!$D:$D,CONCATENATE($X16,"@",FW$7))=0,"",VLOOKUP(CONCATENATE($X16,"@",FW$7),choice!$D:$E,2,0)))</f>
        <v/>
      </c>
      <c r="FX16" s="74" t="str">
        <f>IF($X16="","",IF(COUNTIF(choice!$D:$D,CONCATENATE($X16,"@",FX$7))=0,"",VLOOKUP(CONCATENATE($X16,"@",FX$7),choice!$D:$E,2,0)))</f>
        <v/>
      </c>
      <c r="FY16" s="74" t="str">
        <f>IF($X16="","",IF(COUNTIF(choice!$D:$D,CONCATENATE($X16,"@",FY$7))=0,"",VLOOKUP(CONCATENATE($X16,"@",FY$7),choice!$D:$E,2,0)))</f>
        <v/>
      </c>
      <c r="FZ16" s="74" t="str">
        <f>IF($X16="","",IF(COUNTIF(choice!$D:$D,CONCATENATE($X16,"@",FZ$7))=0,"",VLOOKUP(CONCATENATE($X16,"@",FZ$7),choice!$D:$E,2,0)))</f>
        <v/>
      </c>
      <c r="GA16" s="74" t="str">
        <f>IF($X16="","",IF(COUNTIF(choice!$D:$D,CONCATENATE($X16,"@",GA$7))=0,"",VLOOKUP(CONCATENATE($X16,"@",GA$7),choice!$D:$E,2,0)))</f>
        <v/>
      </c>
      <c r="GB16" s="74" t="str">
        <f>IF($X16="","",IF(COUNTIF(choice!$D:$D,CONCATENATE($X16,"@",GB$7))=0,"",VLOOKUP(CONCATENATE($X16,"@",GB$7),choice!$D:$E,2,0)))</f>
        <v/>
      </c>
      <c r="GC16" s="74" t="str">
        <f>IF($X16="","",IF(COUNTIF(choice!$D:$D,CONCATENATE($X16,"@",GC$7))=0,"",VLOOKUP(CONCATENATE($X16,"@",GC$7),choice!$D:$E,2,0)))</f>
        <v/>
      </c>
      <c r="GD16" s="74" t="str">
        <f>IF($X16="","",IF(COUNTIF(choice!$D:$D,CONCATENATE($X16,"@",GD$7))=0,"",VLOOKUP(CONCATENATE($X16,"@",GD$7),choice!$D:$E,2,0)))</f>
        <v/>
      </c>
      <c r="GE16" s="74" t="str">
        <f>IF($X16="","",IF(COUNTIF(choice!$D:$D,CONCATENATE($X16,"@",GE$7))=0,"",VLOOKUP(CONCATENATE($X16,"@",GE$7),choice!$D:$E,2,0)))</f>
        <v/>
      </c>
      <c r="GF16" s="74" t="str">
        <f>IF($X16="","",IF(COUNTIF(choice!$D:$D,CONCATENATE($X16,"@",GF$7))=0,"",VLOOKUP(CONCATENATE($X16,"@",GF$7),choice!$D:$E,2,0)))</f>
        <v/>
      </c>
      <c r="GG16" s="74" t="str">
        <f>IF($X16="","",IF(COUNTIF(choice!$D:$D,CONCATENATE($X16,"@",GG$7))=0,"",VLOOKUP(CONCATENATE($X16,"@",GG$7),choice!$D:$E,2,0)))</f>
        <v/>
      </c>
      <c r="GH16" s="74" t="str">
        <f>IF($X16="","",IF(COUNTIF(choice!$D:$D,CONCATENATE($X16,"@",GH$7))=0,"",VLOOKUP(CONCATENATE($X16,"@",GH$7),choice!$D:$E,2,0)))</f>
        <v/>
      </c>
      <c r="GI16" s="74" t="str">
        <f>IF($X16="","",IF(COUNTIF(choice!$D:$D,CONCATENATE($X16,"@",GI$7))=0,"",VLOOKUP(CONCATENATE($X16,"@",GI$7),choice!$D:$E,2,0)))</f>
        <v/>
      </c>
      <c r="GJ16" s="74" t="str">
        <f>IF($X16="","",IF(COUNTIF(choice!$D:$D,CONCATENATE($X16,"@",GJ$7))=0,"",VLOOKUP(CONCATENATE($X16,"@",GJ$7),choice!$D:$E,2,0)))</f>
        <v/>
      </c>
      <c r="GK16" s="74" t="str">
        <f>IF($X16="","",IF(COUNTIF(choice!$D:$D,CONCATENATE($X16,"@",GK$7))=0,"",VLOOKUP(CONCATENATE($X16,"@",GK$7),choice!$D:$E,2,0)))</f>
        <v/>
      </c>
      <c r="GL16" s="74" t="str">
        <f>IF($X16="","",IF(COUNTIF(choice!$D:$D,CONCATENATE($X16,"@",GL$7))=0,"",VLOOKUP(CONCATENATE($X16,"@",GL$7),choice!$D:$E,2,0)))</f>
        <v/>
      </c>
      <c r="GM16" s="74" t="str">
        <f>IF($X16="","",IF(COUNTIF(choice!$D:$D,CONCATENATE($X16,"@",GM$7))=0,"",VLOOKUP(CONCATENATE($X16,"@",GM$7),choice!$D:$E,2,0)))</f>
        <v/>
      </c>
      <c r="GN16" s="74" t="str">
        <f>IF($X16="","",IF(COUNTIF(choice!$D:$D,CONCATENATE($X16,"@",GN$7))=0,"",VLOOKUP(CONCATENATE($X16,"@",GN$7),choice!$D:$E,2,0)))</f>
        <v/>
      </c>
      <c r="GO16" s="74" t="str">
        <f>IF($X16="","",IF(COUNTIF(choice!$D:$D,CONCATENATE($X16,"@",GO$7))=0,"",VLOOKUP(CONCATENATE($X16,"@",GO$7),choice!$D:$E,2,0)))</f>
        <v/>
      </c>
      <c r="GP16" s="74" t="str">
        <f>IF($X16="","",IF(COUNTIF(choice!$D:$D,CONCATENATE($X16,"@",GP$7))=0,"",VLOOKUP(CONCATENATE($X16,"@",GP$7),choice!$D:$E,2,0)))</f>
        <v/>
      </c>
      <c r="GQ16" s="74" t="str">
        <f>IF($X16="","",IF(COUNTIF(choice!$D:$D,CONCATENATE($X16,"@",GQ$7))=0,"",VLOOKUP(CONCATENATE($X16,"@",GQ$7),choice!$D:$E,2,0)))</f>
        <v/>
      </c>
      <c r="GR16" s="74" t="str">
        <f>IF($X16="","",IF(COUNTIF(choice!$D:$D,CONCATENATE($X16,"@",GR$7))=0,"",VLOOKUP(CONCATENATE($X16,"@",GR$7),choice!$D:$E,2,0)))</f>
        <v/>
      </c>
      <c r="GS16" s="74" t="str">
        <f>IF($X16="","",IF(COUNTIF(choice!$D:$D,CONCATENATE($X16,"@",GS$7))=0,"",VLOOKUP(CONCATENATE($X16,"@",GS$7),choice!$D:$E,2,0)))</f>
        <v/>
      </c>
      <c r="GT16" s="74" t="str">
        <f>IF($X16="","",IF(COUNTIF(choice!$D:$D,CONCATENATE($X16,"@",GT$7))=0,"",VLOOKUP(CONCATENATE($X16,"@",GT$7),choice!$D:$E,2,0)))</f>
        <v/>
      </c>
      <c r="GU16" s="74" t="str">
        <f>IF($X16="","",IF(COUNTIF(choice!$D:$D,CONCATENATE($X16,"@",GU$7))=0,"",VLOOKUP(CONCATENATE($X16,"@",GU$7),choice!$D:$E,2,0)))</f>
        <v/>
      </c>
      <c r="GV16" s="74" t="str">
        <f>IF($X16="","",IF(COUNTIF(choice!$D:$D,CONCATENATE($X16,"@",GV$7))=0,"",VLOOKUP(CONCATENATE($X16,"@",GV$7),choice!$D:$E,2,0)))</f>
        <v/>
      </c>
      <c r="GW16" s="74" t="str">
        <f>IF($X16="","",IF(COUNTIF(choice!$D:$D,CONCATENATE($X16,"@",GW$7))=0,"",VLOOKUP(CONCATENATE($X16,"@",GW$7),choice!$D:$E,2,0)))</f>
        <v/>
      </c>
      <c r="GX16" s="74" t="str">
        <f>IF($X16="","",IF(COUNTIF(choice!$D:$D,CONCATENATE($X16,"@",GX$7))=0,"",VLOOKUP(CONCATENATE($X16,"@",GX$7),choice!$D:$E,2,0)))</f>
        <v/>
      </c>
      <c r="GY16" s="74" t="str">
        <f>IF($X16="","",IF(COUNTIF(choice!$D:$D,CONCATENATE($X16,"@",GY$7))=0,"",VLOOKUP(CONCATENATE($X16,"@",GY$7),choice!$D:$E,2,0)))</f>
        <v/>
      </c>
      <c r="GZ16" s="74" t="str">
        <f>IF($X16="","",IF(COUNTIF(choice!$D:$D,CONCATENATE($X16,"@",GZ$7))=0,"",VLOOKUP(CONCATENATE($X16,"@",GZ$7),choice!$D:$E,2,0)))</f>
        <v/>
      </c>
      <c r="HA16" s="74" t="str">
        <f>IF($X16="","",IF(COUNTIF(choice!$D:$D,CONCATENATE($X16,"@",HA$7))=0,"",VLOOKUP(CONCATENATE($X16,"@",HA$7),choice!$D:$E,2,0)))</f>
        <v/>
      </c>
      <c r="HB16" s="74" t="str">
        <f>IF($X16="","",IF(COUNTIF(choice!$D:$D,CONCATENATE($X16,"@",HB$7))=0,"",VLOOKUP(CONCATENATE($X16,"@",HB$7),choice!$D:$E,2,0)))</f>
        <v/>
      </c>
      <c r="HC16" s="74" t="str">
        <f>IF($X16="","",IF(COUNTIF(choice!$D:$D,CONCATENATE($X16,"@",HC$7))=0,"",VLOOKUP(CONCATENATE($X16,"@",HC$7),choice!$D:$E,2,0)))</f>
        <v/>
      </c>
      <c r="HD16" s="74" t="str">
        <f>IF($X16="","",IF(COUNTIF(choice!$D:$D,CONCATENATE($X16,"@",HD$7))=0,"",VLOOKUP(CONCATENATE($X16,"@",HD$7),choice!$D:$E,2,0)))</f>
        <v/>
      </c>
      <c r="HE16" s="74" t="str">
        <f>IF($X16="","",IF(COUNTIF(choice!$D:$D,CONCATENATE($X16,"@",HE$7))=0,"",VLOOKUP(CONCATENATE($X16,"@",HE$7),choice!$D:$E,2,0)))</f>
        <v/>
      </c>
      <c r="HF16" s="74" t="str">
        <f>IF($X16="","",IF(COUNTIF(choice!$D:$D,CONCATENATE($X16,"@",HF$7))=0,"",VLOOKUP(CONCATENATE($X16,"@",HF$7),choice!$D:$E,2,0)))</f>
        <v/>
      </c>
      <c r="HG16" s="74" t="str">
        <f>IF($X16="","",IF(COUNTIF(choice!$D:$D,CONCATENATE($X16,"@",HG$7))=0,"",VLOOKUP(CONCATENATE($X16,"@",HG$7),choice!$D:$E,2,0)))</f>
        <v/>
      </c>
      <c r="HH16" s="74" t="str">
        <f>IF($X16="","",IF(COUNTIF(choice!$D:$D,CONCATENATE($X16,"@",HH$7))=0,"",VLOOKUP(CONCATENATE($X16,"@",HH$7),choice!$D:$E,2,0)))</f>
        <v/>
      </c>
      <c r="HI16" s="74" t="str">
        <f>IF($X16="","",IF(COUNTIF(choice!$D:$D,CONCATENATE($X16,"@",HI$7))=0,"",VLOOKUP(CONCATENATE($X16,"@",HI$7),choice!$D:$E,2,0)))</f>
        <v/>
      </c>
      <c r="HJ16" s="74" t="str">
        <f>IF($X16="","",IF(COUNTIF(choice!$D:$D,CONCATENATE($X16,"@",HJ$7))=0,"",VLOOKUP(CONCATENATE($X16,"@",HJ$7),choice!$D:$E,2,0)))</f>
        <v/>
      </c>
      <c r="HK16" s="74" t="str">
        <f>IF($X16="","",IF(COUNTIF(choice!$D:$D,CONCATENATE($X16,"@",HK$7))=0,"",VLOOKUP(CONCATENATE($X16,"@",HK$7),choice!$D:$E,2,0)))</f>
        <v/>
      </c>
      <c r="HL16" s="74" t="str">
        <f>IF($X16="","",IF(COUNTIF(choice!$D:$D,CONCATENATE($X16,"@",HL$7))=0,"",VLOOKUP(CONCATENATE($X16,"@",HL$7),choice!$D:$E,2,0)))</f>
        <v/>
      </c>
      <c r="HM16" s="74" t="str">
        <f>IF($X16="","",IF(COUNTIF(choice!$D:$D,CONCATENATE($X16,"@",HM$7))=0,"",VLOOKUP(CONCATENATE($X16,"@",HM$7),choice!$D:$E,2,0)))</f>
        <v/>
      </c>
      <c r="HN16" s="74" t="str">
        <f>IF($X16="","",IF(COUNTIF(choice!$D:$D,CONCATENATE($X16,"@",HN$7))=0,"",VLOOKUP(CONCATENATE($X16,"@",HN$7),choice!$D:$E,2,0)))</f>
        <v/>
      </c>
      <c r="HO16" s="81" t="str">
        <f>IF($X16="","",IF(COUNTIF(choice!$D:$D,CONCATENATE($X16,"@",HO$7))=0,"",VLOOKUP(CONCATENATE($X16,"@",HO$7),choice!$D:$E,2,0)))</f>
        <v/>
      </c>
      <c r="HP16" s="20" t="s">
        <v>68</v>
      </c>
      <c r="HQ16" s="20" t="s">
        <v>69</v>
      </c>
      <c r="HV16" s="74">
        <f t="shared" si="12"/>
        <v>0</v>
      </c>
      <c r="HW16" s="74">
        <f t="shared" si="13"/>
        <v>0</v>
      </c>
      <c r="HX16" s="74">
        <f t="shared" si="14"/>
        <v>0</v>
      </c>
      <c r="HY16" s="74">
        <f t="shared" si="15"/>
        <v>0</v>
      </c>
      <c r="HZ16" s="74">
        <f t="shared" si="21"/>
        <v>0</v>
      </c>
      <c r="IA16" s="74">
        <f t="shared" si="21"/>
        <v>0</v>
      </c>
      <c r="IB16" s="74" t="str">
        <f t="shared" si="22"/>
        <v/>
      </c>
      <c r="IC16" s="74" t="str">
        <f t="shared" si="23"/>
        <v/>
      </c>
      <c r="ID16" s="74" t="str">
        <f t="shared" si="16"/>
        <v/>
      </c>
      <c r="IE16" s="74">
        <f t="shared" si="17"/>
        <v>35</v>
      </c>
      <c r="IF16" s="74">
        <f>COUNTIFS(ID$8:ID16,"BLUE")</f>
        <v>0</v>
      </c>
      <c r="IG16" s="74" t="str">
        <f t="shared" si="18"/>
        <v/>
      </c>
      <c r="IH16" s="74" t="str">
        <f>IF(COUNTIFS($AQ16,"*02*")=0,"",COUNTIFS(IJ$8:IJ16,"BLUE"))</f>
        <v/>
      </c>
      <c r="II16" s="74" t="str">
        <f>IF(COUNTIFS($AQ16,"*04*")=0,"",COUNTIFS(IK$8:IK16,"BLUE"))</f>
        <v/>
      </c>
      <c r="IJ16" s="74" t="str">
        <f t="shared" si="24"/>
        <v/>
      </c>
      <c r="IK16" s="74" t="str">
        <f t="shared" si="25"/>
        <v/>
      </c>
      <c r="IL16" s="74" t="str">
        <f t="shared" si="19"/>
        <v/>
      </c>
      <c r="IM16" s="74" t="str">
        <f t="shared" si="20"/>
        <v/>
      </c>
      <c r="IN16" s="74">
        <f>COUNTIFS(IJ$8:IJ16,"BLUE")</f>
        <v>0</v>
      </c>
      <c r="IO16" s="74">
        <f>COUNTIFS(IK$8:IK16,"BLUE")</f>
        <v>0</v>
      </c>
    </row>
    <row r="17" spans="1:249" s="20" customFormat="1" ht="20.25" customHeight="1">
      <c r="A17" s="33"/>
      <c r="B17" s="30">
        <v>36</v>
      </c>
      <c r="C17" s="150"/>
      <c r="D17" s="160"/>
      <c r="E17" s="88" t="e">
        <f>VLOOKUP(F17,'Radio Call Sign'!A:B,2)</f>
        <v>#N/A</v>
      </c>
      <c r="F17" s="88"/>
      <c r="G17" s="88" t="e">
        <f>VLOOKUP(H17,'Radio Call Sign'!A:B,2)</f>
        <v>#N/A</v>
      </c>
      <c r="H17" s="88"/>
      <c r="I17" s="89" t="str">
        <f t="shared" si="4"/>
        <v/>
      </c>
      <c r="J17" s="90" t="str">
        <f t="shared" si="9"/>
        <v/>
      </c>
      <c r="K17" s="86" t="str">
        <f t="shared" si="10"/>
        <v/>
      </c>
      <c r="L17" s="42"/>
      <c r="M17" s="190" t="str">
        <f t="shared" si="11"/>
        <v/>
      </c>
      <c r="N17" s="21"/>
      <c r="O17" s="21"/>
      <c r="P17" s="53"/>
      <c r="Q17" s="163" t="str">
        <f>IF(AA17="","",IF(COUNTIFS('overhead line area'!$D$3:$D$100,AA17)+COUNTIFS('overhead line area'!$D$3:$D$100,AB17)+COUNTIFS('overhead line area'!$D$3:$D$100,AC17)+COUNTIFS('overhead line area'!$D$3:$D$100,AD17)=0,"","*               "))</f>
        <v/>
      </c>
      <c r="R17" s="53"/>
      <c r="S17" s="24"/>
      <c r="U17" s="74"/>
      <c r="V17" s="74"/>
      <c r="W17" s="74"/>
      <c r="X17" s="74"/>
      <c r="Y17" s="74"/>
      <c r="AA17" s="74" t="str">
        <f t="shared" si="5"/>
        <v/>
      </c>
      <c r="AB17" s="74" t="str">
        <f t="shared" si="6"/>
        <v/>
      </c>
      <c r="AC17" s="74" t="str">
        <f t="shared" si="6"/>
        <v/>
      </c>
      <c r="AD17" s="74" t="str">
        <f t="shared" si="6"/>
        <v/>
      </c>
      <c r="AF17" s="74" t="str">
        <f>IF(AA17="","",IF(COUNTIF(Route!$AM:$AM,'Add-on Train Movement Log'!AA17)=0,"未有資料",VLOOKUP('Add-on Train Movement Log'!AA17,Route!$AM:$AP,3,0)))</f>
        <v/>
      </c>
      <c r="AG17" s="74" t="str">
        <f>IF(AB17="","",IF(COUNTIF(Route!$AM:$AM,'Add-on Train Movement Log'!AB17)=0,"未有資料",VLOOKUP('Add-on Train Movement Log'!AB17,Route!$AM:$AP,3,0)))</f>
        <v/>
      </c>
      <c r="AH17" s="74" t="str">
        <f>IF(AC17="","",IF(COUNTIF(Route!$AM:$AM,'Add-on Train Movement Log'!AC17)=0,"未有資料",VLOOKUP('Add-on Train Movement Log'!AC17,Route!$AM:$AP,3,0)))</f>
        <v/>
      </c>
      <c r="AI17" s="74" t="str">
        <f>IF(AD17="","",IF(COUNTIF(Route!$AM:$AM,'Add-on Train Movement Log'!AD17)=0,"未有資料",VLOOKUP('Add-on Train Movement Log'!AD17,Route!$AM:$AP,3,0)))</f>
        <v/>
      </c>
      <c r="AK17" s="74" t="str">
        <f>IF(AA17="","",IF(COUNTIF(Route!$AM:$AM,'Add-on Train Movement Log'!AA17)=0,"未有資料",VLOOKUP('Add-on Train Movement Log'!AA17,Route!$AM:$AP,4,0)))</f>
        <v/>
      </c>
      <c r="AL17" s="74" t="str">
        <f>IF(AB17="","",IF(COUNTIF(Route!$AM:$AM,'Add-on Train Movement Log'!AB17)=0,"未有資料",VLOOKUP('Add-on Train Movement Log'!AB17,Route!$AM:$AP,4,0)))</f>
        <v/>
      </c>
      <c r="AM17" s="74" t="str">
        <f>IF(AC17="","",IF(COUNTIF(Route!$AM:$AM,'Add-on Train Movement Log'!AC17)=0,"未有資料",VLOOKUP('Add-on Train Movement Log'!AC17,Route!$AM:$AP,4,0)))</f>
        <v/>
      </c>
      <c r="AN17" s="74" t="str">
        <f>IF(AD17="","",IF(COUNTIF(Route!$AM:$AM,'Add-on Train Movement Log'!AD17)=0,"未有資料",VLOOKUP('Add-on Train Movement Log'!AD17,Route!$AM:$AP,4,0)))</f>
        <v/>
      </c>
      <c r="AP17" s="74" t="str">
        <f t="shared" si="7"/>
        <v/>
      </c>
      <c r="AQ17" s="76" t="str">
        <f t="shared" si="8"/>
        <v/>
      </c>
      <c r="AR17" s="80" t="str">
        <f>IF($U17="","",IF(COUNTIF(choice!$D:$D,CONCATENATE($U17,"@",AR$7))=0,"",VLOOKUP(CONCATENATE($U17,"@",AR$7),choice!$D:$E,2,0)))</f>
        <v/>
      </c>
      <c r="AS17" s="74" t="str">
        <f>IF($U17="","",IF(COUNTIF(choice!$D:$D,CONCATENATE($U17,"@",AS$7))=0,"",VLOOKUP(CONCATENATE($U17,"@",AS$7),choice!$D:$E,2,0)))</f>
        <v/>
      </c>
      <c r="AT17" s="74" t="str">
        <f>IF($U17="","",IF(COUNTIF(choice!$D:$D,CONCATENATE($U17,"@",AT$7))=0,"",VLOOKUP(CONCATENATE($U17,"@",AT$7),choice!$D:$E,2,0)))</f>
        <v/>
      </c>
      <c r="AU17" s="74" t="str">
        <f>IF($U17="","",IF(COUNTIF(choice!$D:$D,CONCATENATE($U17,"@",AU$7))=0,"",VLOOKUP(CONCATENATE($U17,"@",AU$7),choice!$D:$E,2,0)))</f>
        <v/>
      </c>
      <c r="AV17" s="74" t="str">
        <f>IF($U17="","",IF(COUNTIF(choice!$D:$D,CONCATENATE($U17,"@",AV$7))=0,"",VLOOKUP(CONCATENATE($U17,"@",AV$7),choice!$D:$E,2,0)))</f>
        <v/>
      </c>
      <c r="AW17" s="74" t="str">
        <f>IF($U17="","",IF(COUNTIF(choice!$D:$D,CONCATENATE($U17,"@",AW$7))=0,"",VLOOKUP(CONCATENATE($U17,"@",AW$7),choice!$D:$E,2,0)))</f>
        <v/>
      </c>
      <c r="AX17" s="74" t="str">
        <f>IF($U17="","",IF(COUNTIF(choice!$D:$D,CONCATENATE($U17,"@",AX$7))=0,"",VLOOKUP(CONCATENATE($U17,"@",AX$7),choice!$D:$E,2,0)))</f>
        <v/>
      </c>
      <c r="AY17" s="74" t="str">
        <f>IF($U17="","",IF(COUNTIF(choice!$D:$D,CONCATENATE($U17,"@",AY$7))=0,"",VLOOKUP(CONCATENATE($U17,"@",AY$7),choice!$D:$E,2,0)))</f>
        <v/>
      </c>
      <c r="AZ17" s="74" t="str">
        <f>IF($U17="","",IF(COUNTIF(choice!$D:$D,CONCATENATE($U17,"@",AZ$7))=0,"",VLOOKUP(CONCATENATE($U17,"@",AZ$7),choice!$D:$E,2,0)))</f>
        <v/>
      </c>
      <c r="BA17" s="74" t="str">
        <f>IF($U17="","",IF(COUNTIF(choice!$D:$D,CONCATENATE($U17,"@",BA$7))=0,"",VLOOKUP(CONCATENATE($U17,"@",BA$7),choice!$D:$E,2,0)))</f>
        <v/>
      </c>
      <c r="BB17" s="74" t="str">
        <f>IF($U17="","",IF(COUNTIF(choice!$D:$D,CONCATENATE($U17,"@",BB$7))=0,"",VLOOKUP(CONCATENATE($U17,"@",BB$7),choice!$D:$E,2,0)))</f>
        <v/>
      </c>
      <c r="BC17" s="74" t="str">
        <f>IF($U17="","",IF(COUNTIF(choice!$D:$D,CONCATENATE($U17,"@",BC$7))=0,"",VLOOKUP(CONCATENATE($U17,"@",BC$7),choice!$D:$E,2,0)))</f>
        <v/>
      </c>
      <c r="BD17" s="74" t="str">
        <f>IF($U17="","",IF(COUNTIF(choice!$D:$D,CONCATENATE($U17,"@",BD$7))=0,"",VLOOKUP(CONCATENATE($U17,"@",BD$7),choice!$D:$E,2,0)))</f>
        <v/>
      </c>
      <c r="BE17" s="74" t="str">
        <f>IF($U17="","",IF(COUNTIF(choice!$D:$D,CONCATENATE($U17,"@",BE$7))=0,"",VLOOKUP(CONCATENATE($U17,"@",BE$7),choice!$D:$E,2,0)))</f>
        <v/>
      </c>
      <c r="BF17" s="74" t="str">
        <f>IF($U17="","",IF(COUNTIF(choice!$D:$D,CONCATENATE($U17,"@",BF$7))=0,"",VLOOKUP(CONCATENATE($U17,"@",BF$7),choice!$D:$E,2,0)))</f>
        <v/>
      </c>
      <c r="BG17" s="74" t="str">
        <f>IF($U17="","",IF(COUNTIF(choice!$D:$D,CONCATENATE($U17,"@",BG$7))=0,"",VLOOKUP(CONCATENATE($U17,"@",BG$7),choice!$D:$E,2,0)))</f>
        <v/>
      </c>
      <c r="BH17" s="74" t="str">
        <f>IF($U17="","",IF(COUNTIF(choice!$D:$D,CONCATENATE($U17,"@",BH$7))=0,"",VLOOKUP(CONCATENATE($U17,"@",BH$7),choice!$D:$E,2,0)))</f>
        <v/>
      </c>
      <c r="BI17" s="74" t="str">
        <f>IF($U17="","",IF(COUNTIF(choice!$D:$D,CONCATENATE($U17,"@",BI$7))=0,"",VLOOKUP(CONCATENATE($U17,"@",BI$7),choice!$D:$E,2,0)))</f>
        <v/>
      </c>
      <c r="BJ17" s="74" t="str">
        <f>IF($U17="","",IF(COUNTIF(choice!$D:$D,CONCATENATE($U17,"@",BJ$7))=0,"",VLOOKUP(CONCATENATE($U17,"@",BJ$7),choice!$D:$E,2,0)))</f>
        <v/>
      </c>
      <c r="BK17" s="74" t="str">
        <f>IF($U17="","",IF(COUNTIF(choice!$D:$D,CONCATENATE($U17,"@",BK$7))=0,"",VLOOKUP(CONCATENATE($U17,"@",BK$7),choice!$D:$E,2,0)))</f>
        <v/>
      </c>
      <c r="BL17" s="74" t="str">
        <f>IF($U17="","",IF(COUNTIF(choice!$D:$D,CONCATENATE($U17,"@",BL$7))=0,"",VLOOKUP(CONCATENATE($U17,"@",BL$7),choice!$D:$E,2,0)))</f>
        <v/>
      </c>
      <c r="BM17" s="74" t="str">
        <f>IF($U17="","",IF(COUNTIF(choice!$D:$D,CONCATENATE($U17,"@",BM$7))=0,"",VLOOKUP(CONCATENATE($U17,"@",BM$7),choice!$D:$E,2,0)))</f>
        <v/>
      </c>
      <c r="BN17" s="74" t="str">
        <f>IF($U17="","",IF(COUNTIF(choice!$D:$D,CONCATENATE($U17,"@",BN$7))=0,"",VLOOKUP(CONCATENATE($U17,"@",BN$7),choice!$D:$E,2,0)))</f>
        <v/>
      </c>
      <c r="BO17" s="74" t="str">
        <f>IF($U17="","",IF(COUNTIF(choice!$D:$D,CONCATENATE($U17,"@",BO$7))=0,"",VLOOKUP(CONCATENATE($U17,"@",BO$7),choice!$D:$E,2,0)))</f>
        <v/>
      </c>
      <c r="BP17" s="74" t="str">
        <f>IF($U17="","",IF(COUNTIF(choice!$D:$D,CONCATENATE($U17,"@",BP$7))=0,"",VLOOKUP(CONCATENATE($U17,"@",BP$7),choice!$D:$E,2,0)))</f>
        <v/>
      </c>
      <c r="BQ17" s="74" t="str">
        <f>IF($U17="","",IF(COUNTIF(choice!$D:$D,CONCATENATE($U17,"@",BQ$7))=0,"",VLOOKUP(CONCATENATE($U17,"@",BQ$7),choice!$D:$E,2,0)))</f>
        <v/>
      </c>
      <c r="BR17" s="74" t="str">
        <f>IF($U17="","",IF(COUNTIF(choice!$D:$D,CONCATENATE($U17,"@",BR$7))=0,"",VLOOKUP(CONCATENATE($U17,"@",BR$7),choice!$D:$E,2,0)))</f>
        <v/>
      </c>
      <c r="BS17" s="74" t="str">
        <f>IF($U17="","",IF(COUNTIF(choice!$D:$D,CONCATENATE($U17,"@",BS$7))=0,"",VLOOKUP(CONCATENATE($U17,"@",BS$7),choice!$D:$E,2,0)))</f>
        <v/>
      </c>
      <c r="BT17" s="74" t="str">
        <f>IF($U17="","",IF(COUNTIF(choice!$D:$D,CONCATENATE($U17,"@",BT$7))=0,"",VLOOKUP(CONCATENATE($U17,"@",BT$7),choice!$D:$E,2,0)))</f>
        <v/>
      </c>
      <c r="BU17" s="74" t="str">
        <f>IF($U17="","",IF(COUNTIF(choice!$D:$D,CONCATENATE($U17,"@",BU$7))=0,"",VLOOKUP(CONCATENATE($U17,"@",BU$7),choice!$D:$E,2,0)))</f>
        <v/>
      </c>
      <c r="BV17" s="74" t="str">
        <f>IF($U17="","",IF(COUNTIF(choice!$D:$D,CONCATENATE($U17,"@",BV$7))=0,"",VLOOKUP(CONCATENATE($U17,"@",BV$7),choice!$D:$E,2,0)))</f>
        <v/>
      </c>
      <c r="BW17" s="74" t="str">
        <f>IF($U17="","",IF(COUNTIF(choice!$D:$D,CONCATENATE($U17,"@",BW$7))=0,"",VLOOKUP(CONCATENATE($U17,"@",BW$7),choice!$D:$E,2,0)))</f>
        <v/>
      </c>
      <c r="BX17" s="74" t="str">
        <f>IF($U17="","",IF(COUNTIF(choice!$D:$D,CONCATENATE($U17,"@",BX$7))=0,"",VLOOKUP(CONCATENATE($U17,"@",BX$7),choice!$D:$E,2,0)))</f>
        <v/>
      </c>
      <c r="BY17" s="74" t="str">
        <f>IF($U17="","",IF(COUNTIF(choice!$D:$D,CONCATENATE($U17,"@",BY$7))=0,"",VLOOKUP(CONCATENATE($U17,"@",BY$7),choice!$D:$E,2,0)))</f>
        <v/>
      </c>
      <c r="BZ17" s="74" t="str">
        <f>IF($U17="","",IF(COUNTIF(choice!$D:$D,CONCATENATE($U17,"@",BZ$7))=0,"",VLOOKUP(CONCATENATE($U17,"@",BZ$7),choice!$D:$E,2,0)))</f>
        <v/>
      </c>
      <c r="CA17" s="74" t="str">
        <f>IF($U17="","",IF(COUNTIF(choice!$D:$D,CONCATENATE($U17,"@",CA$7))=0,"",VLOOKUP(CONCATENATE($U17,"@",CA$7),choice!$D:$E,2,0)))</f>
        <v/>
      </c>
      <c r="CB17" s="74" t="str">
        <f>IF($U17="","",IF(COUNTIF(choice!$D:$D,CONCATENATE($U17,"@",CB$7))=0,"",VLOOKUP(CONCATENATE($U17,"@",CB$7),choice!$D:$E,2,0)))</f>
        <v/>
      </c>
      <c r="CC17" s="74" t="str">
        <f>IF($U17="","",IF(COUNTIF(choice!$D:$D,CONCATENATE($U17,"@",CC$7))=0,"",VLOOKUP(CONCATENATE($U17,"@",CC$7),choice!$D:$E,2,0)))</f>
        <v/>
      </c>
      <c r="CD17" s="74" t="str">
        <f>IF($U17="","",IF(COUNTIF(choice!$D:$D,CONCATENATE($U17,"@",CD$7))=0,"",VLOOKUP(CONCATENATE($U17,"@",CD$7),choice!$D:$E,2,0)))</f>
        <v/>
      </c>
      <c r="CE17" s="74" t="str">
        <f>IF($U17="","",IF(COUNTIF(choice!$D:$D,CONCATENATE($U17,"@",CE$7))=0,"",VLOOKUP(CONCATENATE($U17,"@",CE$7),choice!$D:$E,2,0)))</f>
        <v/>
      </c>
      <c r="CF17" s="74" t="str">
        <f>IF($U17="","",IF(COUNTIF(choice!$D:$D,CONCATENATE($U17,"@",CF$7))=0,"",VLOOKUP(CONCATENATE($U17,"@",CF$7),choice!$D:$E,2,0)))</f>
        <v/>
      </c>
      <c r="CG17" s="74" t="str">
        <f>IF($U17="","",IF(COUNTIF(choice!$D:$D,CONCATENATE($U17,"@",CG$7))=0,"",VLOOKUP(CONCATENATE($U17,"@",CG$7),choice!$D:$E,2,0)))</f>
        <v/>
      </c>
      <c r="CH17" s="74" t="str">
        <f>IF($U17="","",IF(COUNTIF(choice!$D:$D,CONCATENATE($U17,"@",CH$7))=0,"",VLOOKUP(CONCATENATE($U17,"@",CH$7),choice!$D:$E,2,0)))</f>
        <v/>
      </c>
      <c r="CI17" s="74" t="str">
        <f>IF($U17="","",IF(COUNTIF(choice!$D:$D,CONCATENATE($U17,"@",CI$7))=0,"",VLOOKUP(CONCATENATE($U17,"@",CI$7),choice!$D:$E,2,0)))</f>
        <v/>
      </c>
      <c r="CJ17" s="81" t="str">
        <f>IF($U17="","",IF(COUNTIF(choice!$D:$D,CONCATENATE($U17,"@",CJ$7))=0,"",VLOOKUP(CONCATENATE($U17,"@",CJ$7),choice!$D:$E,2,0)))</f>
        <v/>
      </c>
      <c r="CK17" s="80" t="str">
        <f>IF($V17="","",IF(COUNTIF(choice!$D:$D,CONCATENATE($V17,"@",CK$7))=0,"",VLOOKUP(CONCATENATE($V17,"@",CK$7),choice!$D:$E,2,0)))</f>
        <v/>
      </c>
      <c r="CL17" s="74" t="str">
        <f>IF($V17="","",IF(COUNTIF(choice!$D:$D,CONCATENATE($V17,"@",CL$7))=0,"",VLOOKUP(CONCATENATE($V17,"@",CL$7),choice!$D:$E,2,0)))</f>
        <v/>
      </c>
      <c r="CM17" s="74" t="str">
        <f>IF($V17="","",IF(COUNTIF(choice!$D:$D,CONCATENATE($V17,"@",CM$7))=0,"",VLOOKUP(CONCATENATE($V17,"@",CM$7),choice!$D:$E,2,0)))</f>
        <v/>
      </c>
      <c r="CN17" s="74" t="str">
        <f>IF($V17="","",IF(COUNTIF(choice!$D:$D,CONCATENATE($V17,"@",CN$7))=0,"",VLOOKUP(CONCATENATE($V17,"@",CN$7),choice!$D:$E,2,0)))</f>
        <v/>
      </c>
      <c r="CO17" s="74" t="str">
        <f>IF($V17="","",IF(COUNTIF(choice!$D:$D,CONCATENATE($V17,"@",CO$7))=0,"",VLOOKUP(CONCATENATE($V17,"@",CO$7),choice!$D:$E,2,0)))</f>
        <v/>
      </c>
      <c r="CP17" s="74" t="str">
        <f>IF($V17="","",IF(COUNTIF(choice!$D:$D,CONCATENATE($V17,"@",CP$7))=0,"",VLOOKUP(CONCATENATE($V17,"@",CP$7),choice!$D:$E,2,0)))</f>
        <v/>
      </c>
      <c r="CQ17" s="74" t="str">
        <f>IF($V17="","",IF(COUNTIF(choice!$D:$D,CONCATENATE($V17,"@",CQ$7))=0,"",VLOOKUP(CONCATENATE($V17,"@",CQ$7),choice!$D:$E,2,0)))</f>
        <v/>
      </c>
      <c r="CR17" s="74" t="str">
        <f>IF($V17="","",IF(COUNTIF(choice!$D:$D,CONCATENATE($V17,"@",CR$7))=0,"",VLOOKUP(CONCATENATE($V17,"@",CR$7),choice!$D:$E,2,0)))</f>
        <v/>
      </c>
      <c r="CS17" s="74" t="str">
        <f>IF($V17="","",IF(COUNTIF(choice!$D:$D,CONCATENATE($V17,"@",CS$7))=0,"",VLOOKUP(CONCATENATE($V17,"@",CS$7),choice!$D:$E,2,0)))</f>
        <v/>
      </c>
      <c r="CT17" s="74" t="str">
        <f>IF($V17="","",IF(COUNTIF(choice!$D:$D,CONCATENATE($V17,"@",CT$7))=0,"",VLOOKUP(CONCATENATE($V17,"@",CT$7),choice!$D:$E,2,0)))</f>
        <v/>
      </c>
      <c r="CU17" s="74" t="str">
        <f>IF($V17="","",IF(COUNTIF(choice!$D:$D,CONCATENATE($V17,"@",CU$7))=0,"",VLOOKUP(CONCATENATE($V17,"@",CU$7),choice!$D:$E,2,0)))</f>
        <v/>
      </c>
      <c r="CV17" s="74" t="str">
        <f>IF($V17="","",IF(COUNTIF(choice!$D:$D,CONCATENATE($V17,"@",CV$7))=0,"",VLOOKUP(CONCATENATE($V17,"@",CV$7),choice!$D:$E,2,0)))</f>
        <v/>
      </c>
      <c r="CW17" s="74" t="str">
        <f>IF($V17="","",IF(COUNTIF(choice!$D:$D,CONCATENATE($V17,"@",CW$7))=0,"",VLOOKUP(CONCATENATE($V17,"@",CW$7),choice!$D:$E,2,0)))</f>
        <v/>
      </c>
      <c r="CX17" s="74" t="str">
        <f>IF($V17="","",IF(COUNTIF(choice!$D:$D,CONCATENATE($V17,"@",CX$7))=0,"",VLOOKUP(CONCATENATE($V17,"@",CX$7),choice!$D:$E,2,0)))</f>
        <v/>
      </c>
      <c r="CY17" s="74" t="str">
        <f>IF($V17="","",IF(COUNTIF(choice!$D:$D,CONCATENATE($V17,"@",CY$7))=0,"",VLOOKUP(CONCATENATE($V17,"@",CY$7),choice!$D:$E,2,0)))</f>
        <v/>
      </c>
      <c r="CZ17" s="74" t="str">
        <f>IF($V17="","",IF(COUNTIF(choice!$D:$D,CONCATENATE($V17,"@",CZ$7))=0,"",VLOOKUP(CONCATENATE($V17,"@",CZ$7),choice!$D:$E,2,0)))</f>
        <v/>
      </c>
      <c r="DA17" s="74" t="str">
        <f>IF($V17="","",IF(COUNTIF(choice!$D:$D,CONCATENATE($V17,"@",DA$7))=0,"",VLOOKUP(CONCATENATE($V17,"@",DA$7),choice!$D:$E,2,0)))</f>
        <v/>
      </c>
      <c r="DB17" s="74" t="str">
        <f>IF($V17="","",IF(COUNTIF(choice!$D:$D,CONCATENATE($V17,"@",DB$7))=0,"",VLOOKUP(CONCATENATE($V17,"@",DB$7),choice!$D:$E,2,0)))</f>
        <v/>
      </c>
      <c r="DC17" s="74" t="str">
        <f>IF($V17="","",IF(COUNTIF(choice!$D:$D,CONCATENATE($V17,"@",DC$7))=0,"",VLOOKUP(CONCATENATE($V17,"@",DC$7),choice!$D:$E,2,0)))</f>
        <v/>
      </c>
      <c r="DD17" s="74" t="str">
        <f>IF($V17="","",IF(COUNTIF(choice!$D:$D,CONCATENATE($V17,"@",DD$7))=0,"",VLOOKUP(CONCATENATE($V17,"@",DD$7),choice!$D:$E,2,0)))</f>
        <v/>
      </c>
      <c r="DE17" s="74" t="str">
        <f>IF($V17="","",IF(COUNTIF(choice!$D:$D,CONCATENATE($V17,"@",DE$7))=0,"",VLOOKUP(CONCATENATE($V17,"@",DE$7),choice!$D:$E,2,0)))</f>
        <v/>
      </c>
      <c r="DF17" s="74" t="str">
        <f>IF($V17="","",IF(COUNTIF(choice!$D:$D,CONCATENATE($V17,"@",DF$7))=0,"",VLOOKUP(CONCATENATE($V17,"@",DF$7),choice!$D:$E,2,0)))</f>
        <v/>
      </c>
      <c r="DG17" s="74" t="str">
        <f>IF($V17="","",IF(COUNTIF(choice!$D:$D,CONCATENATE($V17,"@",DG$7))=0,"",VLOOKUP(CONCATENATE($V17,"@",DG$7),choice!$D:$E,2,0)))</f>
        <v/>
      </c>
      <c r="DH17" s="74" t="str">
        <f>IF($V17="","",IF(COUNTIF(choice!$D:$D,CONCATENATE($V17,"@",DH$7))=0,"",VLOOKUP(CONCATENATE($V17,"@",DH$7),choice!$D:$E,2,0)))</f>
        <v/>
      </c>
      <c r="DI17" s="74" t="str">
        <f>IF($V17="","",IF(COUNTIF(choice!$D:$D,CONCATENATE($V17,"@",DI$7))=0,"",VLOOKUP(CONCATENATE($V17,"@",DI$7),choice!$D:$E,2,0)))</f>
        <v/>
      </c>
      <c r="DJ17" s="74" t="str">
        <f>IF($V17="","",IF(COUNTIF(choice!$D:$D,CONCATENATE($V17,"@",DJ$7))=0,"",VLOOKUP(CONCATENATE($V17,"@",DJ$7),choice!$D:$E,2,0)))</f>
        <v/>
      </c>
      <c r="DK17" s="74" t="str">
        <f>IF($V17="","",IF(COUNTIF(choice!$D:$D,CONCATENATE($V17,"@",DK$7))=0,"",VLOOKUP(CONCATENATE($V17,"@",DK$7),choice!$D:$E,2,0)))</f>
        <v/>
      </c>
      <c r="DL17" s="74" t="str">
        <f>IF($V17="","",IF(COUNTIF(choice!$D:$D,CONCATENATE($V17,"@",DL$7))=0,"",VLOOKUP(CONCATENATE($V17,"@",DL$7),choice!$D:$E,2,0)))</f>
        <v/>
      </c>
      <c r="DM17" s="74" t="str">
        <f>IF($V17="","",IF(COUNTIF(choice!$D:$D,CONCATENATE($V17,"@",DM$7))=0,"",VLOOKUP(CONCATENATE($V17,"@",DM$7),choice!$D:$E,2,0)))</f>
        <v/>
      </c>
      <c r="DN17" s="74" t="str">
        <f>IF($V17="","",IF(COUNTIF(choice!$D:$D,CONCATENATE($V17,"@",DN$7))=0,"",VLOOKUP(CONCATENATE($V17,"@",DN$7),choice!$D:$E,2,0)))</f>
        <v/>
      </c>
      <c r="DO17" s="74" t="str">
        <f>IF($V17="","",IF(COUNTIF(choice!$D:$D,CONCATENATE($V17,"@",DO$7))=0,"",VLOOKUP(CONCATENATE($V17,"@",DO$7),choice!$D:$E,2,0)))</f>
        <v/>
      </c>
      <c r="DP17" s="74" t="str">
        <f>IF($V17="","",IF(COUNTIF(choice!$D:$D,CONCATENATE($V17,"@",DP$7))=0,"",VLOOKUP(CONCATENATE($V17,"@",DP$7),choice!$D:$E,2,0)))</f>
        <v/>
      </c>
      <c r="DQ17" s="74" t="str">
        <f>IF($V17="","",IF(COUNTIF(choice!$D:$D,CONCATENATE($V17,"@",DQ$7))=0,"",VLOOKUP(CONCATENATE($V17,"@",DQ$7),choice!$D:$E,2,0)))</f>
        <v/>
      </c>
      <c r="DR17" s="74" t="str">
        <f>IF($V17="","",IF(COUNTIF(choice!$D:$D,CONCATENATE($V17,"@",DR$7))=0,"",VLOOKUP(CONCATENATE($V17,"@",DR$7),choice!$D:$E,2,0)))</f>
        <v/>
      </c>
      <c r="DS17" s="74" t="str">
        <f>IF($V17="","",IF(COUNTIF(choice!$D:$D,CONCATENATE($V17,"@",DS$7))=0,"",VLOOKUP(CONCATENATE($V17,"@",DS$7),choice!$D:$E,2,0)))</f>
        <v/>
      </c>
      <c r="DT17" s="74" t="str">
        <f>IF($V17="","",IF(COUNTIF(choice!$D:$D,CONCATENATE($V17,"@",DT$7))=0,"",VLOOKUP(CONCATENATE($V17,"@",DT$7),choice!$D:$E,2,0)))</f>
        <v/>
      </c>
      <c r="DU17" s="74" t="str">
        <f>IF($V17="","",IF(COUNTIF(choice!$D:$D,CONCATENATE($V17,"@",DU$7))=0,"",VLOOKUP(CONCATENATE($V17,"@",DU$7),choice!$D:$E,2,0)))</f>
        <v/>
      </c>
      <c r="DV17" s="74" t="str">
        <f>IF($V17="","",IF(COUNTIF(choice!$D:$D,CONCATENATE($V17,"@",DV$7))=0,"",VLOOKUP(CONCATENATE($V17,"@",DV$7),choice!$D:$E,2,0)))</f>
        <v/>
      </c>
      <c r="DW17" s="74" t="str">
        <f>IF($V17="","",IF(COUNTIF(choice!$D:$D,CONCATENATE($V17,"@",DW$7))=0,"",VLOOKUP(CONCATENATE($V17,"@",DW$7),choice!$D:$E,2,0)))</f>
        <v/>
      </c>
      <c r="DX17" s="74" t="str">
        <f>IF($V17="","",IF(COUNTIF(choice!$D:$D,CONCATENATE($V17,"@",DX$7))=0,"",VLOOKUP(CONCATENATE($V17,"@",DX$7),choice!$D:$E,2,0)))</f>
        <v/>
      </c>
      <c r="DY17" s="74" t="str">
        <f>IF($V17="","",IF(COUNTIF(choice!$D:$D,CONCATENATE($V17,"@",DY$7))=0,"",VLOOKUP(CONCATENATE($V17,"@",DY$7),choice!$D:$E,2,0)))</f>
        <v/>
      </c>
      <c r="DZ17" s="74" t="str">
        <f>IF($V17="","",IF(COUNTIF(choice!$D:$D,CONCATENATE($V17,"@",DZ$7))=0,"",VLOOKUP(CONCATENATE($V17,"@",DZ$7),choice!$D:$E,2,0)))</f>
        <v/>
      </c>
      <c r="EA17" s="74" t="str">
        <f>IF($V17="","",IF(COUNTIF(choice!$D:$D,CONCATENATE($V17,"@",EA$7))=0,"",VLOOKUP(CONCATENATE($V17,"@",EA$7),choice!$D:$E,2,0)))</f>
        <v/>
      </c>
      <c r="EB17" s="74" t="str">
        <f>IF($V17="","",IF(COUNTIF(choice!$D:$D,CONCATENATE($V17,"@",EB$7))=0,"",VLOOKUP(CONCATENATE($V17,"@",EB$7),choice!$D:$E,2,0)))</f>
        <v/>
      </c>
      <c r="EC17" s="81" t="str">
        <f>IF($V17="","",IF(COUNTIF(choice!$D:$D,CONCATENATE($V17,"@",EC$7))=0,"",VLOOKUP(CONCATENATE($V17,"@",EC$7),choice!$D:$E,2,0)))</f>
        <v/>
      </c>
      <c r="ED17" s="80" t="str">
        <f>IF($W17="","",IF(COUNTIF(choice!$D:$D,CONCATENATE($W17,"@",ED$7))=0,"",VLOOKUP(CONCATENATE($W17,"@",ED$7),choice!$D:$E,2,0)))</f>
        <v/>
      </c>
      <c r="EE17" s="74" t="str">
        <f>IF($W17="","",IF(COUNTIF(choice!$D:$D,CONCATENATE($W17,"@",EE$7))=0,"",VLOOKUP(CONCATENATE($W17,"@",EE$7),choice!$D:$E,2,0)))</f>
        <v/>
      </c>
      <c r="EF17" s="74" t="str">
        <f>IF($W17="","",IF(COUNTIF(choice!$D:$D,CONCATENATE($W17,"@",EF$7))=0,"",VLOOKUP(CONCATENATE($W17,"@",EF$7),choice!$D:$E,2,0)))</f>
        <v/>
      </c>
      <c r="EG17" s="74" t="str">
        <f>IF($W17="","",IF(COUNTIF(choice!$D:$D,CONCATENATE($W17,"@",EG$7))=0,"",VLOOKUP(CONCATENATE($W17,"@",EG$7),choice!$D:$E,2,0)))</f>
        <v/>
      </c>
      <c r="EH17" s="74" t="str">
        <f>IF($W17="","",IF(COUNTIF(choice!$D:$D,CONCATENATE($W17,"@",EH$7))=0,"",VLOOKUP(CONCATENATE($W17,"@",EH$7),choice!$D:$E,2,0)))</f>
        <v/>
      </c>
      <c r="EI17" s="74" t="str">
        <f>IF($W17="","",IF(COUNTIF(choice!$D:$D,CONCATENATE($W17,"@",EI$7))=0,"",VLOOKUP(CONCATENATE($W17,"@",EI$7),choice!$D:$E,2,0)))</f>
        <v/>
      </c>
      <c r="EJ17" s="74" t="str">
        <f>IF($W17="","",IF(COUNTIF(choice!$D:$D,CONCATENATE($W17,"@",EJ$7))=0,"",VLOOKUP(CONCATENATE($W17,"@",EJ$7),choice!$D:$E,2,0)))</f>
        <v/>
      </c>
      <c r="EK17" s="74" t="str">
        <f>IF($W17="","",IF(COUNTIF(choice!$D:$D,CONCATENATE($W17,"@",EK$7))=0,"",VLOOKUP(CONCATENATE($W17,"@",EK$7),choice!$D:$E,2,0)))</f>
        <v/>
      </c>
      <c r="EL17" s="74" t="str">
        <f>IF($W17="","",IF(COUNTIF(choice!$D:$D,CONCATENATE($W17,"@",EL$7))=0,"",VLOOKUP(CONCATENATE($W17,"@",EL$7),choice!$D:$E,2,0)))</f>
        <v/>
      </c>
      <c r="EM17" s="74" t="str">
        <f>IF($W17="","",IF(COUNTIF(choice!$D:$D,CONCATENATE($W17,"@",EM$7))=0,"",VLOOKUP(CONCATENATE($W17,"@",EM$7),choice!$D:$E,2,0)))</f>
        <v/>
      </c>
      <c r="EN17" s="74" t="str">
        <f>IF($W17="","",IF(COUNTIF(choice!$D:$D,CONCATENATE($W17,"@",EN$7))=0,"",VLOOKUP(CONCATENATE($W17,"@",EN$7),choice!$D:$E,2,0)))</f>
        <v/>
      </c>
      <c r="EO17" s="74" t="str">
        <f>IF($W17="","",IF(COUNTIF(choice!$D:$D,CONCATENATE($W17,"@",EO$7))=0,"",VLOOKUP(CONCATENATE($W17,"@",EO$7),choice!$D:$E,2,0)))</f>
        <v/>
      </c>
      <c r="EP17" s="74" t="str">
        <f>IF($W17="","",IF(COUNTIF(choice!$D:$D,CONCATENATE($W17,"@",EP$7))=0,"",VLOOKUP(CONCATENATE($W17,"@",EP$7),choice!$D:$E,2,0)))</f>
        <v/>
      </c>
      <c r="EQ17" s="74" t="str">
        <f>IF($W17="","",IF(COUNTIF(choice!$D:$D,CONCATENATE($W17,"@",EQ$7))=0,"",VLOOKUP(CONCATENATE($W17,"@",EQ$7),choice!$D:$E,2,0)))</f>
        <v/>
      </c>
      <c r="ER17" s="74" t="str">
        <f>IF($W17="","",IF(COUNTIF(choice!$D:$D,CONCATENATE($W17,"@",ER$7))=0,"",VLOOKUP(CONCATENATE($W17,"@",ER$7),choice!$D:$E,2,0)))</f>
        <v/>
      </c>
      <c r="ES17" s="74" t="str">
        <f>IF($W17="","",IF(COUNTIF(choice!$D:$D,CONCATENATE($W17,"@",ES$7))=0,"",VLOOKUP(CONCATENATE($W17,"@",ES$7),choice!$D:$E,2,0)))</f>
        <v/>
      </c>
      <c r="ET17" s="74" t="str">
        <f>IF($W17="","",IF(COUNTIF(choice!$D:$D,CONCATENATE($W17,"@",ET$7))=0,"",VLOOKUP(CONCATENATE($W17,"@",ET$7),choice!$D:$E,2,0)))</f>
        <v/>
      </c>
      <c r="EU17" s="74" t="str">
        <f>IF($W17="","",IF(COUNTIF(choice!$D:$D,CONCATENATE($W17,"@",EU$7))=0,"",VLOOKUP(CONCATENATE($W17,"@",EU$7),choice!$D:$E,2,0)))</f>
        <v/>
      </c>
      <c r="EV17" s="74" t="str">
        <f>IF($W17="","",IF(COUNTIF(choice!$D:$D,CONCATENATE($W17,"@",EV$7))=0,"",VLOOKUP(CONCATENATE($W17,"@",EV$7),choice!$D:$E,2,0)))</f>
        <v/>
      </c>
      <c r="EW17" s="74" t="str">
        <f>IF($W17="","",IF(COUNTIF(choice!$D:$D,CONCATENATE($W17,"@",EW$7))=0,"",VLOOKUP(CONCATENATE($W17,"@",EW$7),choice!$D:$E,2,0)))</f>
        <v/>
      </c>
      <c r="EX17" s="74" t="str">
        <f>IF($W17="","",IF(COUNTIF(choice!$D:$D,CONCATENATE($W17,"@",EX$7))=0,"",VLOOKUP(CONCATENATE($W17,"@",EX$7),choice!$D:$E,2,0)))</f>
        <v/>
      </c>
      <c r="EY17" s="74" t="str">
        <f>IF($W17="","",IF(COUNTIF(choice!$D:$D,CONCATENATE($W17,"@",EY$7))=0,"",VLOOKUP(CONCATENATE($W17,"@",EY$7),choice!$D:$E,2,0)))</f>
        <v/>
      </c>
      <c r="EZ17" s="74" t="str">
        <f>IF($W17="","",IF(COUNTIF(choice!$D:$D,CONCATENATE($W17,"@",EZ$7))=0,"",VLOOKUP(CONCATENATE($W17,"@",EZ$7),choice!$D:$E,2,0)))</f>
        <v/>
      </c>
      <c r="FA17" s="74" t="str">
        <f>IF($W17="","",IF(COUNTIF(choice!$D:$D,CONCATENATE($W17,"@",FA$7))=0,"",VLOOKUP(CONCATENATE($W17,"@",FA$7),choice!$D:$E,2,0)))</f>
        <v/>
      </c>
      <c r="FB17" s="74" t="str">
        <f>IF($W17="","",IF(COUNTIF(choice!$D:$D,CONCATENATE($W17,"@",FB$7))=0,"",VLOOKUP(CONCATENATE($W17,"@",FB$7),choice!$D:$E,2,0)))</f>
        <v/>
      </c>
      <c r="FC17" s="74" t="str">
        <f>IF($W17="","",IF(COUNTIF(choice!$D:$D,CONCATENATE($W17,"@",FC$7))=0,"",VLOOKUP(CONCATENATE($W17,"@",FC$7),choice!$D:$E,2,0)))</f>
        <v/>
      </c>
      <c r="FD17" s="74" t="str">
        <f>IF($W17="","",IF(COUNTIF(choice!$D:$D,CONCATENATE($W17,"@",FD$7))=0,"",VLOOKUP(CONCATENATE($W17,"@",FD$7),choice!$D:$E,2,0)))</f>
        <v/>
      </c>
      <c r="FE17" s="74" t="str">
        <f>IF($W17="","",IF(COUNTIF(choice!$D:$D,CONCATENATE($W17,"@",FE$7))=0,"",VLOOKUP(CONCATENATE($W17,"@",FE$7),choice!$D:$E,2,0)))</f>
        <v/>
      </c>
      <c r="FF17" s="74" t="str">
        <f>IF($W17="","",IF(COUNTIF(choice!$D:$D,CONCATENATE($W17,"@",FF$7))=0,"",VLOOKUP(CONCATENATE($W17,"@",FF$7),choice!$D:$E,2,0)))</f>
        <v/>
      </c>
      <c r="FG17" s="74" t="str">
        <f>IF($W17="","",IF(COUNTIF(choice!$D:$D,CONCATENATE($W17,"@",FG$7))=0,"",VLOOKUP(CONCATENATE($W17,"@",FG$7),choice!$D:$E,2,0)))</f>
        <v/>
      </c>
      <c r="FH17" s="74" t="str">
        <f>IF($W17="","",IF(COUNTIF(choice!$D:$D,CONCATENATE($W17,"@",FH$7))=0,"",VLOOKUP(CONCATENATE($W17,"@",FH$7),choice!$D:$E,2,0)))</f>
        <v/>
      </c>
      <c r="FI17" s="74" t="str">
        <f>IF($W17="","",IF(COUNTIF(choice!$D:$D,CONCATENATE($W17,"@",FI$7))=0,"",VLOOKUP(CONCATENATE($W17,"@",FI$7),choice!$D:$E,2,0)))</f>
        <v/>
      </c>
      <c r="FJ17" s="74" t="str">
        <f>IF($W17="","",IF(COUNTIF(choice!$D:$D,CONCATENATE($W17,"@",FJ$7))=0,"",VLOOKUP(CONCATENATE($W17,"@",FJ$7),choice!$D:$E,2,0)))</f>
        <v/>
      </c>
      <c r="FK17" s="74" t="str">
        <f>IF($W17="","",IF(COUNTIF(choice!$D:$D,CONCATENATE($W17,"@",FK$7))=0,"",VLOOKUP(CONCATENATE($W17,"@",FK$7),choice!$D:$E,2,0)))</f>
        <v/>
      </c>
      <c r="FL17" s="74" t="str">
        <f>IF($W17="","",IF(COUNTIF(choice!$D:$D,CONCATENATE($W17,"@",FL$7))=0,"",VLOOKUP(CONCATENATE($W17,"@",FL$7),choice!$D:$E,2,0)))</f>
        <v/>
      </c>
      <c r="FM17" s="74" t="str">
        <f>IF($W17="","",IF(COUNTIF(choice!$D:$D,CONCATENATE($W17,"@",FM$7))=0,"",VLOOKUP(CONCATENATE($W17,"@",FM$7),choice!$D:$E,2,0)))</f>
        <v/>
      </c>
      <c r="FN17" s="74" t="str">
        <f>IF($W17="","",IF(COUNTIF(choice!$D:$D,CONCATENATE($W17,"@",FN$7))=0,"",VLOOKUP(CONCATENATE($W17,"@",FN$7),choice!$D:$E,2,0)))</f>
        <v/>
      </c>
      <c r="FO17" s="74" t="str">
        <f>IF($W17="","",IF(COUNTIF(choice!$D:$D,CONCATENATE($W17,"@",FO$7))=0,"",VLOOKUP(CONCATENATE($W17,"@",FO$7),choice!$D:$E,2,0)))</f>
        <v/>
      </c>
      <c r="FP17" s="74" t="str">
        <f>IF($W17="","",IF(COUNTIF(choice!$D:$D,CONCATENATE($W17,"@",FP$7))=0,"",VLOOKUP(CONCATENATE($W17,"@",FP$7),choice!$D:$E,2,0)))</f>
        <v/>
      </c>
      <c r="FQ17" s="74" t="str">
        <f>IF($W17="","",IF(COUNTIF(choice!$D:$D,CONCATENATE($W17,"@",FQ$7))=0,"",VLOOKUP(CONCATENATE($W17,"@",FQ$7),choice!$D:$E,2,0)))</f>
        <v/>
      </c>
      <c r="FR17" s="74" t="str">
        <f>IF($W17="","",IF(COUNTIF(choice!$D:$D,CONCATENATE($W17,"@",FR$7))=0,"",VLOOKUP(CONCATENATE($W17,"@",FR$7),choice!$D:$E,2,0)))</f>
        <v/>
      </c>
      <c r="FS17" s="74" t="str">
        <f>IF($W17="","",IF(COUNTIF(choice!$D:$D,CONCATENATE($W17,"@",FS$7))=0,"",VLOOKUP(CONCATENATE($W17,"@",FS$7),choice!$D:$E,2,0)))</f>
        <v/>
      </c>
      <c r="FT17" s="74" t="str">
        <f>IF($W17="","",IF(COUNTIF(choice!$D:$D,CONCATENATE($W17,"@",FT$7))=0,"",VLOOKUP(CONCATENATE($W17,"@",FT$7),choice!$D:$E,2,0)))</f>
        <v/>
      </c>
      <c r="FU17" s="74" t="str">
        <f>IF($W17="","",IF(COUNTIF(choice!$D:$D,CONCATENATE($W17,"@",FU$7))=0,"",VLOOKUP(CONCATENATE($W17,"@",FU$7),choice!$D:$E,2,0)))</f>
        <v/>
      </c>
      <c r="FV17" s="81" t="str">
        <f>IF($W17="","",IF(COUNTIF(choice!$D:$D,CONCATENATE($W17,"@",FV$7))=0,"",VLOOKUP(CONCATENATE($W17,"@",FV$7),choice!$D:$E,2,0)))</f>
        <v/>
      </c>
      <c r="FW17" s="80" t="str">
        <f>IF($X17="","",IF(COUNTIF(choice!$D:$D,CONCATENATE($X17,"@",FW$7))=0,"",VLOOKUP(CONCATENATE($X17,"@",FW$7),choice!$D:$E,2,0)))</f>
        <v/>
      </c>
      <c r="FX17" s="74" t="str">
        <f>IF($X17="","",IF(COUNTIF(choice!$D:$D,CONCATENATE($X17,"@",FX$7))=0,"",VLOOKUP(CONCATENATE($X17,"@",FX$7),choice!$D:$E,2,0)))</f>
        <v/>
      </c>
      <c r="FY17" s="74" t="str">
        <f>IF($X17="","",IF(COUNTIF(choice!$D:$D,CONCATENATE($X17,"@",FY$7))=0,"",VLOOKUP(CONCATENATE($X17,"@",FY$7),choice!$D:$E,2,0)))</f>
        <v/>
      </c>
      <c r="FZ17" s="74" t="str">
        <f>IF($X17="","",IF(COUNTIF(choice!$D:$D,CONCATENATE($X17,"@",FZ$7))=0,"",VLOOKUP(CONCATENATE($X17,"@",FZ$7),choice!$D:$E,2,0)))</f>
        <v/>
      </c>
      <c r="GA17" s="74" t="str">
        <f>IF($X17="","",IF(COUNTIF(choice!$D:$D,CONCATENATE($X17,"@",GA$7))=0,"",VLOOKUP(CONCATENATE($X17,"@",GA$7),choice!$D:$E,2,0)))</f>
        <v/>
      </c>
      <c r="GB17" s="74" t="str">
        <f>IF($X17="","",IF(COUNTIF(choice!$D:$D,CONCATENATE($X17,"@",GB$7))=0,"",VLOOKUP(CONCATENATE($X17,"@",GB$7),choice!$D:$E,2,0)))</f>
        <v/>
      </c>
      <c r="GC17" s="74" t="str">
        <f>IF($X17="","",IF(COUNTIF(choice!$D:$D,CONCATENATE($X17,"@",GC$7))=0,"",VLOOKUP(CONCATENATE($X17,"@",GC$7),choice!$D:$E,2,0)))</f>
        <v/>
      </c>
      <c r="GD17" s="74" t="str">
        <f>IF($X17="","",IF(COUNTIF(choice!$D:$D,CONCATENATE($X17,"@",GD$7))=0,"",VLOOKUP(CONCATENATE($X17,"@",GD$7),choice!$D:$E,2,0)))</f>
        <v/>
      </c>
      <c r="GE17" s="74" t="str">
        <f>IF($X17="","",IF(COUNTIF(choice!$D:$D,CONCATENATE($X17,"@",GE$7))=0,"",VLOOKUP(CONCATENATE($X17,"@",GE$7),choice!$D:$E,2,0)))</f>
        <v/>
      </c>
      <c r="GF17" s="74" t="str">
        <f>IF($X17="","",IF(COUNTIF(choice!$D:$D,CONCATENATE($X17,"@",GF$7))=0,"",VLOOKUP(CONCATENATE($X17,"@",GF$7),choice!$D:$E,2,0)))</f>
        <v/>
      </c>
      <c r="GG17" s="74" t="str">
        <f>IF($X17="","",IF(COUNTIF(choice!$D:$D,CONCATENATE($X17,"@",GG$7))=0,"",VLOOKUP(CONCATENATE($X17,"@",GG$7),choice!$D:$E,2,0)))</f>
        <v/>
      </c>
      <c r="GH17" s="74" t="str">
        <f>IF($X17="","",IF(COUNTIF(choice!$D:$D,CONCATENATE($X17,"@",GH$7))=0,"",VLOOKUP(CONCATENATE($X17,"@",GH$7),choice!$D:$E,2,0)))</f>
        <v/>
      </c>
      <c r="GI17" s="74" t="str">
        <f>IF($X17="","",IF(COUNTIF(choice!$D:$D,CONCATENATE($X17,"@",GI$7))=0,"",VLOOKUP(CONCATENATE($X17,"@",GI$7),choice!$D:$E,2,0)))</f>
        <v/>
      </c>
      <c r="GJ17" s="74" t="str">
        <f>IF($X17="","",IF(COUNTIF(choice!$D:$D,CONCATENATE($X17,"@",GJ$7))=0,"",VLOOKUP(CONCATENATE($X17,"@",GJ$7),choice!$D:$E,2,0)))</f>
        <v/>
      </c>
      <c r="GK17" s="74" t="str">
        <f>IF($X17="","",IF(COUNTIF(choice!$D:$D,CONCATENATE($X17,"@",GK$7))=0,"",VLOOKUP(CONCATENATE($X17,"@",GK$7),choice!$D:$E,2,0)))</f>
        <v/>
      </c>
      <c r="GL17" s="74" t="str">
        <f>IF($X17="","",IF(COUNTIF(choice!$D:$D,CONCATENATE($X17,"@",GL$7))=0,"",VLOOKUP(CONCATENATE($X17,"@",GL$7),choice!$D:$E,2,0)))</f>
        <v/>
      </c>
      <c r="GM17" s="74" t="str">
        <f>IF($X17="","",IF(COUNTIF(choice!$D:$D,CONCATENATE($X17,"@",GM$7))=0,"",VLOOKUP(CONCATENATE($X17,"@",GM$7),choice!$D:$E,2,0)))</f>
        <v/>
      </c>
      <c r="GN17" s="74" t="str">
        <f>IF($X17="","",IF(COUNTIF(choice!$D:$D,CONCATENATE($X17,"@",GN$7))=0,"",VLOOKUP(CONCATENATE($X17,"@",GN$7),choice!$D:$E,2,0)))</f>
        <v/>
      </c>
      <c r="GO17" s="74" t="str">
        <f>IF($X17="","",IF(COUNTIF(choice!$D:$D,CONCATENATE($X17,"@",GO$7))=0,"",VLOOKUP(CONCATENATE($X17,"@",GO$7),choice!$D:$E,2,0)))</f>
        <v/>
      </c>
      <c r="GP17" s="74" t="str">
        <f>IF($X17="","",IF(COUNTIF(choice!$D:$D,CONCATENATE($X17,"@",GP$7))=0,"",VLOOKUP(CONCATENATE($X17,"@",GP$7),choice!$D:$E,2,0)))</f>
        <v/>
      </c>
      <c r="GQ17" s="74" t="str">
        <f>IF($X17="","",IF(COUNTIF(choice!$D:$D,CONCATENATE($X17,"@",GQ$7))=0,"",VLOOKUP(CONCATENATE($X17,"@",GQ$7),choice!$D:$E,2,0)))</f>
        <v/>
      </c>
      <c r="GR17" s="74" t="str">
        <f>IF($X17="","",IF(COUNTIF(choice!$D:$D,CONCATENATE($X17,"@",GR$7))=0,"",VLOOKUP(CONCATENATE($X17,"@",GR$7),choice!$D:$E,2,0)))</f>
        <v/>
      </c>
      <c r="GS17" s="74" t="str">
        <f>IF($X17="","",IF(COUNTIF(choice!$D:$D,CONCATENATE($X17,"@",GS$7))=0,"",VLOOKUP(CONCATENATE($X17,"@",GS$7),choice!$D:$E,2,0)))</f>
        <v/>
      </c>
      <c r="GT17" s="74" t="str">
        <f>IF($X17="","",IF(COUNTIF(choice!$D:$D,CONCATENATE($X17,"@",GT$7))=0,"",VLOOKUP(CONCATENATE($X17,"@",GT$7),choice!$D:$E,2,0)))</f>
        <v/>
      </c>
      <c r="GU17" s="74" t="str">
        <f>IF($X17="","",IF(COUNTIF(choice!$D:$D,CONCATENATE($X17,"@",GU$7))=0,"",VLOOKUP(CONCATENATE($X17,"@",GU$7),choice!$D:$E,2,0)))</f>
        <v/>
      </c>
      <c r="GV17" s="74" t="str">
        <f>IF($X17="","",IF(COUNTIF(choice!$D:$D,CONCATENATE($X17,"@",GV$7))=0,"",VLOOKUP(CONCATENATE($X17,"@",GV$7),choice!$D:$E,2,0)))</f>
        <v/>
      </c>
      <c r="GW17" s="74" t="str">
        <f>IF($X17="","",IF(COUNTIF(choice!$D:$D,CONCATENATE($X17,"@",GW$7))=0,"",VLOOKUP(CONCATENATE($X17,"@",GW$7),choice!$D:$E,2,0)))</f>
        <v/>
      </c>
      <c r="GX17" s="74" t="str">
        <f>IF($X17="","",IF(COUNTIF(choice!$D:$D,CONCATENATE($X17,"@",GX$7))=0,"",VLOOKUP(CONCATENATE($X17,"@",GX$7),choice!$D:$E,2,0)))</f>
        <v/>
      </c>
      <c r="GY17" s="74" t="str">
        <f>IF($X17="","",IF(COUNTIF(choice!$D:$D,CONCATENATE($X17,"@",GY$7))=0,"",VLOOKUP(CONCATENATE($X17,"@",GY$7),choice!$D:$E,2,0)))</f>
        <v/>
      </c>
      <c r="GZ17" s="74" t="str">
        <f>IF($X17="","",IF(COUNTIF(choice!$D:$D,CONCATENATE($X17,"@",GZ$7))=0,"",VLOOKUP(CONCATENATE($X17,"@",GZ$7),choice!$D:$E,2,0)))</f>
        <v/>
      </c>
      <c r="HA17" s="74" t="str">
        <f>IF($X17="","",IF(COUNTIF(choice!$D:$D,CONCATENATE($X17,"@",HA$7))=0,"",VLOOKUP(CONCATENATE($X17,"@",HA$7),choice!$D:$E,2,0)))</f>
        <v/>
      </c>
      <c r="HB17" s="74" t="str">
        <f>IF($X17="","",IF(COUNTIF(choice!$D:$D,CONCATENATE($X17,"@",HB$7))=0,"",VLOOKUP(CONCATENATE($X17,"@",HB$7),choice!$D:$E,2,0)))</f>
        <v/>
      </c>
      <c r="HC17" s="74" t="str">
        <f>IF($X17="","",IF(COUNTIF(choice!$D:$D,CONCATENATE($X17,"@",HC$7))=0,"",VLOOKUP(CONCATENATE($X17,"@",HC$7),choice!$D:$E,2,0)))</f>
        <v/>
      </c>
      <c r="HD17" s="74" t="str">
        <f>IF($X17="","",IF(COUNTIF(choice!$D:$D,CONCATENATE($X17,"@",HD$7))=0,"",VLOOKUP(CONCATENATE($X17,"@",HD$7),choice!$D:$E,2,0)))</f>
        <v/>
      </c>
      <c r="HE17" s="74" t="str">
        <f>IF($X17="","",IF(COUNTIF(choice!$D:$D,CONCATENATE($X17,"@",HE$7))=0,"",VLOOKUP(CONCATENATE($X17,"@",HE$7),choice!$D:$E,2,0)))</f>
        <v/>
      </c>
      <c r="HF17" s="74" t="str">
        <f>IF($X17="","",IF(COUNTIF(choice!$D:$D,CONCATENATE($X17,"@",HF$7))=0,"",VLOOKUP(CONCATENATE($X17,"@",HF$7),choice!$D:$E,2,0)))</f>
        <v/>
      </c>
      <c r="HG17" s="74" t="str">
        <f>IF($X17="","",IF(COUNTIF(choice!$D:$D,CONCATENATE($X17,"@",HG$7))=0,"",VLOOKUP(CONCATENATE($X17,"@",HG$7),choice!$D:$E,2,0)))</f>
        <v/>
      </c>
      <c r="HH17" s="74" t="str">
        <f>IF($X17="","",IF(COUNTIF(choice!$D:$D,CONCATENATE($X17,"@",HH$7))=0,"",VLOOKUP(CONCATENATE($X17,"@",HH$7),choice!$D:$E,2,0)))</f>
        <v/>
      </c>
      <c r="HI17" s="74" t="str">
        <f>IF($X17="","",IF(COUNTIF(choice!$D:$D,CONCATENATE($X17,"@",HI$7))=0,"",VLOOKUP(CONCATENATE($X17,"@",HI$7),choice!$D:$E,2,0)))</f>
        <v/>
      </c>
      <c r="HJ17" s="74" t="str">
        <f>IF($X17="","",IF(COUNTIF(choice!$D:$D,CONCATENATE($X17,"@",HJ$7))=0,"",VLOOKUP(CONCATENATE($X17,"@",HJ$7),choice!$D:$E,2,0)))</f>
        <v/>
      </c>
      <c r="HK17" s="74" t="str">
        <f>IF($X17="","",IF(COUNTIF(choice!$D:$D,CONCATENATE($X17,"@",HK$7))=0,"",VLOOKUP(CONCATENATE($X17,"@",HK$7),choice!$D:$E,2,0)))</f>
        <v/>
      </c>
      <c r="HL17" s="74" t="str">
        <f>IF($X17="","",IF(COUNTIF(choice!$D:$D,CONCATENATE($X17,"@",HL$7))=0,"",VLOOKUP(CONCATENATE($X17,"@",HL$7),choice!$D:$E,2,0)))</f>
        <v/>
      </c>
      <c r="HM17" s="74" t="str">
        <f>IF($X17="","",IF(COUNTIF(choice!$D:$D,CONCATENATE($X17,"@",HM$7))=0,"",VLOOKUP(CONCATENATE($X17,"@",HM$7),choice!$D:$E,2,0)))</f>
        <v/>
      </c>
      <c r="HN17" s="74" t="str">
        <f>IF($X17="","",IF(COUNTIF(choice!$D:$D,CONCATENATE($X17,"@",HN$7))=0,"",VLOOKUP(CONCATENATE($X17,"@",HN$7),choice!$D:$E,2,0)))</f>
        <v/>
      </c>
      <c r="HO17" s="81" t="str">
        <f>IF($X17="","",IF(COUNTIF(choice!$D:$D,CONCATENATE($X17,"@",HO$7))=0,"",VLOOKUP(CONCATENATE($X17,"@",HO$7),choice!$D:$E,2,0)))</f>
        <v/>
      </c>
      <c r="HP17" s="20" t="s">
        <v>70</v>
      </c>
      <c r="HQ17" s="20" t="s">
        <v>70</v>
      </c>
      <c r="HV17" s="74">
        <f t="shared" si="12"/>
        <v>0</v>
      </c>
      <c r="HW17" s="74">
        <f t="shared" si="13"/>
        <v>0</v>
      </c>
      <c r="HX17" s="74">
        <f t="shared" si="14"/>
        <v>0</v>
      </c>
      <c r="HY17" s="74">
        <f t="shared" si="15"/>
        <v>0</v>
      </c>
      <c r="HZ17" s="74">
        <f t="shared" si="21"/>
        <v>0</v>
      </c>
      <c r="IA17" s="74">
        <f t="shared" si="21"/>
        <v>0</v>
      </c>
      <c r="IB17" s="74" t="str">
        <f t="shared" si="22"/>
        <v/>
      </c>
      <c r="IC17" s="74" t="str">
        <f t="shared" si="23"/>
        <v/>
      </c>
      <c r="ID17" s="74" t="str">
        <f t="shared" si="16"/>
        <v/>
      </c>
      <c r="IE17" s="74">
        <f t="shared" si="17"/>
        <v>36</v>
      </c>
      <c r="IF17" s="74">
        <f>COUNTIFS(ID$8:ID17,"BLUE")</f>
        <v>0</v>
      </c>
      <c r="IG17" s="74" t="str">
        <f t="shared" si="18"/>
        <v/>
      </c>
      <c r="IH17" s="74" t="str">
        <f>IF(COUNTIFS($AQ17,"*02*")=0,"",COUNTIFS(IJ$8:IJ17,"BLUE"))</f>
        <v/>
      </c>
      <c r="II17" s="74" t="str">
        <f>IF(COUNTIFS($AQ17,"*04*")=0,"",COUNTIFS(IK$8:IK17,"BLUE"))</f>
        <v/>
      </c>
      <c r="IJ17" s="74" t="str">
        <f t="shared" si="24"/>
        <v/>
      </c>
      <c r="IK17" s="74" t="str">
        <f t="shared" si="25"/>
        <v/>
      </c>
      <c r="IL17" s="74" t="str">
        <f t="shared" si="19"/>
        <v/>
      </c>
      <c r="IM17" s="74" t="str">
        <f t="shared" si="20"/>
        <v/>
      </c>
      <c r="IN17" s="74">
        <f>COUNTIFS(IJ$8:IJ17,"BLUE")</f>
        <v>0</v>
      </c>
      <c r="IO17" s="74">
        <f>COUNTIFS(IK$8:IK17,"BLUE")</f>
        <v>0</v>
      </c>
    </row>
    <row r="18" spans="1:249" s="20" customFormat="1" ht="24.9" customHeight="1">
      <c r="A18" s="33"/>
      <c r="B18" s="30">
        <v>37</v>
      </c>
      <c r="C18" s="150"/>
      <c r="D18" s="160"/>
      <c r="E18" s="88" t="e">
        <f>VLOOKUP(F18,'Radio Call Sign'!A:B,2)</f>
        <v>#N/A</v>
      </c>
      <c r="F18" s="88"/>
      <c r="G18" s="88" t="e">
        <f>VLOOKUP(H18,'Radio Call Sign'!A:B,2)</f>
        <v>#N/A</v>
      </c>
      <c r="H18" s="88"/>
      <c r="I18" s="89" t="str">
        <f t="shared" si="4"/>
        <v/>
      </c>
      <c r="J18" s="90" t="str">
        <f t="shared" si="9"/>
        <v/>
      </c>
      <c r="K18" s="86" t="str">
        <f t="shared" si="10"/>
        <v/>
      </c>
      <c r="L18" s="151"/>
      <c r="M18" s="190" t="str">
        <f t="shared" si="11"/>
        <v/>
      </c>
      <c r="N18" s="21"/>
      <c r="O18" s="21"/>
      <c r="P18" s="53"/>
      <c r="Q18" s="163" t="str">
        <f>IF(AA18="","",IF(COUNTIFS('overhead line area'!$D$3:$D$100,AA18)+COUNTIFS('overhead line area'!$D$3:$D$100,AB18)+COUNTIFS('overhead line area'!$D$3:$D$100,AC18)+COUNTIFS('overhead line area'!$D$3:$D$100,AD18)=0,"","*               "))</f>
        <v/>
      </c>
      <c r="R18" s="53"/>
      <c r="S18" s="24"/>
      <c r="U18" s="74"/>
      <c r="V18" s="74"/>
      <c r="W18" s="74"/>
      <c r="X18" s="74"/>
      <c r="Y18" s="74"/>
      <c r="AA18" s="74" t="str">
        <f t="shared" si="5"/>
        <v/>
      </c>
      <c r="AB18" s="74" t="str">
        <f t="shared" si="6"/>
        <v/>
      </c>
      <c r="AC18" s="74" t="str">
        <f t="shared" si="6"/>
        <v/>
      </c>
      <c r="AD18" s="74" t="str">
        <f t="shared" si="6"/>
        <v/>
      </c>
      <c r="AF18" s="74" t="str">
        <f>IF(AA18="","",IF(COUNTIF(Route!$AM:$AM,'Add-on Train Movement Log'!AA18)=0,"未有資料",VLOOKUP('Add-on Train Movement Log'!AA18,Route!$AM:$AP,3,0)))</f>
        <v/>
      </c>
      <c r="AG18" s="74" t="str">
        <f>IF(AB18="","",IF(COUNTIF(Route!$AM:$AM,'Add-on Train Movement Log'!AB18)=0,"未有資料",VLOOKUP('Add-on Train Movement Log'!AB18,Route!$AM:$AP,3,0)))</f>
        <v/>
      </c>
      <c r="AH18" s="74" t="str">
        <f>IF(AC18="","",IF(COUNTIF(Route!$AM:$AM,'Add-on Train Movement Log'!AC18)=0,"未有資料",VLOOKUP('Add-on Train Movement Log'!AC18,Route!$AM:$AP,3,0)))</f>
        <v/>
      </c>
      <c r="AI18" s="74" t="str">
        <f>IF(AD18="","",IF(COUNTIF(Route!$AM:$AM,'Add-on Train Movement Log'!AD18)=0,"未有資料",VLOOKUP('Add-on Train Movement Log'!AD18,Route!$AM:$AP,3,0)))</f>
        <v/>
      </c>
      <c r="AK18" s="74" t="str">
        <f>IF(AA18="","",IF(COUNTIF(Route!$AM:$AM,'Add-on Train Movement Log'!AA18)=0,"未有資料",VLOOKUP('Add-on Train Movement Log'!AA18,Route!$AM:$AP,4,0)))</f>
        <v/>
      </c>
      <c r="AL18" s="74" t="str">
        <f>IF(AB18="","",IF(COUNTIF(Route!$AM:$AM,'Add-on Train Movement Log'!AB18)=0,"未有資料",VLOOKUP('Add-on Train Movement Log'!AB18,Route!$AM:$AP,4,0)))</f>
        <v/>
      </c>
      <c r="AM18" s="74" t="str">
        <f>IF(AC18="","",IF(COUNTIF(Route!$AM:$AM,'Add-on Train Movement Log'!AC18)=0,"未有資料",VLOOKUP('Add-on Train Movement Log'!AC18,Route!$AM:$AP,4,0)))</f>
        <v/>
      </c>
      <c r="AN18" s="74" t="str">
        <f>IF(AD18="","",IF(COUNTIF(Route!$AM:$AM,'Add-on Train Movement Log'!AD18)=0,"未有資料",VLOOKUP('Add-on Train Movement Log'!AD18,Route!$AM:$AP,4,0)))</f>
        <v/>
      </c>
      <c r="AP18" s="74" t="str">
        <f t="shared" si="7"/>
        <v/>
      </c>
      <c r="AQ18" s="76" t="str">
        <f t="shared" si="8"/>
        <v/>
      </c>
      <c r="AR18" s="80" t="str">
        <f>IF($U18="","",IF(COUNTIF(choice!$D:$D,CONCATENATE($U18,"@",AR$7))=0,"",VLOOKUP(CONCATENATE($U18,"@",AR$7),choice!$D:$E,2,0)))</f>
        <v/>
      </c>
      <c r="AS18" s="74" t="str">
        <f>IF($U18="","",IF(COUNTIF(choice!$D:$D,CONCATENATE($U18,"@",AS$7))=0,"",VLOOKUP(CONCATENATE($U18,"@",AS$7),choice!$D:$E,2,0)))</f>
        <v/>
      </c>
      <c r="AT18" s="74" t="str">
        <f>IF($U18="","",IF(COUNTIF(choice!$D:$D,CONCATENATE($U18,"@",AT$7))=0,"",VLOOKUP(CONCATENATE($U18,"@",AT$7),choice!$D:$E,2,0)))</f>
        <v/>
      </c>
      <c r="AU18" s="74" t="str">
        <f>IF($U18="","",IF(COUNTIF(choice!$D:$D,CONCATENATE($U18,"@",AU$7))=0,"",VLOOKUP(CONCATENATE($U18,"@",AU$7),choice!$D:$E,2,0)))</f>
        <v/>
      </c>
      <c r="AV18" s="74" t="str">
        <f>IF($U18="","",IF(COUNTIF(choice!$D:$D,CONCATENATE($U18,"@",AV$7))=0,"",VLOOKUP(CONCATENATE($U18,"@",AV$7),choice!$D:$E,2,0)))</f>
        <v/>
      </c>
      <c r="AW18" s="74" t="str">
        <f>IF($U18="","",IF(COUNTIF(choice!$D:$D,CONCATENATE($U18,"@",AW$7))=0,"",VLOOKUP(CONCATENATE($U18,"@",AW$7),choice!$D:$E,2,0)))</f>
        <v/>
      </c>
      <c r="AX18" s="74" t="str">
        <f>IF($U18="","",IF(COUNTIF(choice!$D:$D,CONCATENATE($U18,"@",AX$7))=0,"",VLOOKUP(CONCATENATE($U18,"@",AX$7),choice!$D:$E,2,0)))</f>
        <v/>
      </c>
      <c r="AY18" s="74" t="str">
        <f>IF($U18="","",IF(COUNTIF(choice!$D:$D,CONCATENATE($U18,"@",AY$7))=0,"",VLOOKUP(CONCATENATE($U18,"@",AY$7),choice!$D:$E,2,0)))</f>
        <v/>
      </c>
      <c r="AZ18" s="74" t="str">
        <f>IF($U18="","",IF(COUNTIF(choice!$D:$D,CONCATENATE($U18,"@",AZ$7))=0,"",VLOOKUP(CONCATENATE($U18,"@",AZ$7),choice!$D:$E,2,0)))</f>
        <v/>
      </c>
      <c r="BA18" s="74" t="str">
        <f>IF($U18="","",IF(COUNTIF(choice!$D:$D,CONCATENATE($U18,"@",BA$7))=0,"",VLOOKUP(CONCATENATE($U18,"@",BA$7),choice!$D:$E,2,0)))</f>
        <v/>
      </c>
      <c r="BB18" s="74" t="str">
        <f>IF($U18="","",IF(COUNTIF(choice!$D:$D,CONCATENATE($U18,"@",BB$7))=0,"",VLOOKUP(CONCATENATE($U18,"@",BB$7),choice!$D:$E,2,0)))</f>
        <v/>
      </c>
      <c r="BC18" s="74" t="str">
        <f>IF($U18="","",IF(COUNTIF(choice!$D:$D,CONCATENATE($U18,"@",BC$7))=0,"",VLOOKUP(CONCATENATE($U18,"@",BC$7),choice!$D:$E,2,0)))</f>
        <v/>
      </c>
      <c r="BD18" s="74" t="str">
        <f>IF($U18="","",IF(COUNTIF(choice!$D:$D,CONCATENATE($U18,"@",BD$7))=0,"",VLOOKUP(CONCATENATE($U18,"@",BD$7),choice!$D:$E,2,0)))</f>
        <v/>
      </c>
      <c r="BE18" s="74" t="str">
        <f>IF($U18="","",IF(COUNTIF(choice!$D:$D,CONCATENATE($U18,"@",BE$7))=0,"",VLOOKUP(CONCATENATE($U18,"@",BE$7),choice!$D:$E,2,0)))</f>
        <v/>
      </c>
      <c r="BF18" s="74" t="str">
        <f>IF($U18="","",IF(COUNTIF(choice!$D:$D,CONCATENATE($U18,"@",BF$7))=0,"",VLOOKUP(CONCATENATE($U18,"@",BF$7),choice!$D:$E,2,0)))</f>
        <v/>
      </c>
      <c r="BG18" s="74" t="str">
        <f>IF($U18="","",IF(COUNTIF(choice!$D:$D,CONCATENATE($U18,"@",BG$7))=0,"",VLOOKUP(CONCATENATE($U18,"@",BG$7),choice!$D:$E,2,0)))</f>
        <v/>
      </c>
      <c r="BH18" s="74" t="str">
        <f>IF($U18="","",IF(COUNTIF(choice!$D:$D,CONCATENATE($U18,"@",BH$7))=0,"",VLOOKUP(CONCATENATE($U18,"@",BH$7),choice!$D:$E,2,0)))</f>
        <v/>
      </c>
      <c r="BI18" s="74" t="str">
        <f>IF($U18="","",IF(COUNTIF(choice!$D:$D,CONCATENATE($U18,"@",BI$7))=0,"",VLOOKUP(CONCATENATE($U18,"@",BI$7),choice!$D:$E,2,0)))</f>
        <v/>
      </c>
      <c r="BJ18" s="74" t="str">
        <f>IF($U18="","",IF(COUNTIF(choice!$D:$D,CONCATENATE($U18,"@",BJ$7))=0,"",VLOOKUP(CONCATENATE($U18,"@",BJ$7),choice!$D:$E,2,0)))</f>
        <v/>
      </c>
      <c r="BK18" s="74" t="str">
        <f>IF($U18="","",IF(COUNTIF(choice!$D:$D,CONCATENATE($U18,"@",BK$7))=0,"",VLOOKUP(CONCATENATE($U18,"@",BK$7),choice!$D:$E,2,0)))</f>
        <v/>
      </c>
      <c r="BL18" s="74" t="str">
        <f>IF($U18="","",IF(COUNTIF(choice!$D:$D,CONCATENATE($U18,"@",BL$7))=0,"",VLOOKUP(CONCATENATE($U18,"@",BL$7),choice!$D:$E,2,0)))</f>
        <v/>
      </c>
      <c r="BM18" s="74" t="str">
        <f>IF($U18="","",IF(COUNTIF(choice!$D:$D,CONCATENATE($U18,"@",BM$7))=0,"",VLOOKUP(CONCATENATE($U18,"@",BM$7),choice!$D:$E,2,0)))</f>
        <v/>
      </c>
      <c r="BN18" s="74" t="str">
        <f>IF($U18="","",IF(COUNTIF(choice!$D:$D,CONCATENATE($U18,"@",BN$7))=0,"",VLOOKUP(CONCATENATE($U18,"@",BN$7),choice!$D:$E,2,0)))</f>
        <v/>
      </c>
      <c r="BO18" s="74" t="str">
        <f>IF($U18="","",IF(COUNTIF(choice!$D:$D,CONCATENATE($U18,"@",BO$7))=0,"",VLOOKUP(CONCATENATE($U18,"@",BO$7),choice!$D:$E,2,0)))</f>
        <v/>
      </c>
      <c r="BP18" s="74" t="str">
        <f>IF($U18="","",IF(COUNTIF(choice!$D:$D,CONCATENATE($U18,"@",BP$7))=0,"",VLOOKUP(CONCATENATE($U18,"@",BP$7),choice!$D:$E,2,0)))</f>
        <v/>
      </c>
      <c r="BQ18" s="74" t="str">
        <f>IF($U18="","",IF(COUNTIF(choice!$D:$D,CONCATENATE($U18,"@",BQ$7))=0,"",VLOOKUP(CONCATENATE($U18,"@",BQ$7),choice!$D:$E,2,0)))</f>
        <v/>
      </c>
      <c r="BR18" s="74" t="str">
        <f>IF($U18="","",IF(COUNTIF(choice!$D:$D,CONCATENATE($U18,"@",BR$7))=0,"",VLOOKUP(CONCATENATE($U18,"@",BR$7),choice!$D:$E,2,0)))</f>
        <v/>
      </c>
      <c r="BS18" s="74" t="str">
        <f>IF($U18="","",IF(COUNTIF(choice!$D:$D,CONCATENATE($U18,"@",BS$7))=0,"",VLOOKUP(CONCATENATE($U18,"@",BS$7),choice!$D:$E,2,0)))</f>
        <v/>
      </c>
      <c r="BT18" s="74" t="str">
        <f>IF($U18="","",IF(COUNTIF(choice!$D:$D,CONCATENATE($U18,"@",BT$7))=0,"",VLOOKUP(CONCATENATE($U18,"@",BT$7),choice!$D:$E,2,0)))</f>
        <v/>
      </c>
      <c r="BU18" s="74" t="str">
        <f>IF($U18="","",IF(COUNTIF(choice!$D:$D,CONCATENATE($U18,"@",BU$7))=0,"",VLOOKUP(CONCATENATE($U18,"@",BU$7),choice!$D:$E,2,0)))</f>
        <v/>
      </c>
      <c r="BV18" s="74" t="str">
        <f>IF($U18="","",IF(COUNTIF(choice!$D:$D,CONCATENATE($U18,"@",BV$7))=0,"",VLOOKUP(CONCATENATE($U18,"@",BV$7),choice!$D:$E,2,0)))</f>
        <v/>
      </c>
      <c r="BW18" s="74" t="str">
        <f>IF($U18="","",IF(COUNTIF(choice!$D:$D,CONCATENATE($U18,"@",BW$7))=0,"",VLOOKUP(CONCATENATE($U18,"@",BW$7),choice!$D:$E,2,0)))</f>
        <v/>
      </c>
      <c r="BX18" s="74" t="str">
        <f>IF($U18="","",IF(COUNTIF(choice!$D:$D,CONCATENATE($U18,"@",BX$7))=0,"",VLOOKUP(CONCATENATE($U18,"@",BX$7),choice!$D:$E,2,0)))</f>
        <v/>
      </c>
      <c r="BY18" s="74" t="str">
        <f>IF($U18="","",IF(COUNTIF(choice!$D:$D,CONCATENATE($U18,"@",BY$7))=0,"",VLOOKUP(CONCATENATE($U18,"@",BY$7),choice!$D:$E,2,0)))</f>
        <v/>
      </c>
      <c r="BZ18" s="74" t="str">
        <f>IF($U18="","",IF(COUNTIF(choice!$D:$D,CONCATENATE($U18,"@",BZ$7))=0,"",VLOOKUP(CONCATENATE($U18,"@",BZ$7),choice!$D:$E,2,0)))</f>
        <v/>
      </c>
      <c r="CA18" s="74" t="str">
        <f>IF($U18="","",IF(COUNTIF(choice!$D:$D,CONCATENATE($U18,"@",CA$7))=0,"",VLOOKUP(CONCATENATE($U18,"@",CA$7),choice!$D:$E,2,0)))</f>
        <v/>
      </c>
      <c r="CB18" s="74" t="str">
        <f>IF($U18="","",IF(COUNTIF(choice!$D:$D,CONCATENATE($U18,"@",CB$7))=0,"",VLOOKUP(CONCATENATE($U18,"@",CB$7),choice!$D:$E,2,0)))</f>
        <v/>
      </c>
      <c r="CC18" s="74" t="str">
        <f>IF($U18="","",IF(COUNTIF(choice!$D:$D,CONCATENATE($U18,"@",CC$7))=0,"",VLOOKUP(CONCATENATE($U18,"@",CC$7),choice!$D:$E,2,0)))</f>
        <v/>
      </c>
      <c r="CD18" s="74" t="str">
        <f>IF($U18="","",IF(COUNTIF(choice!$D:$D,CONCATENATE($U18,"@",CD$7))=0,"",VLOOKUP(CONCATENATE($U18,"@",CD$7),choice!$D:$E,2,0)))</f>
        <v/>
      </c>
      <c r="CE18" s="74" t="str">
        <f>IF($U18="","",IF(COUNTIF(choice!$D:$D,CONCATENATE($U18,"@",CE$7))=0,"",VLOOKUP(CONCATENATE($U18,"@",CE$7),choice!$D:$E,2,0)))</f>
        <v/>
      </c>
      <c r="CF18" s="74" t="str">
        <f>IF($U18="","",IF(COUNTIF(choice!$D:$D,CONCATENATE($U18,"@",CF$7))=0,"",VLOOKUP(CONCATENATE($U18,"@",CF$7),choice!$D:$E,2,0)))</f>
        <v/>
      </c>
      <c r="CG18" s="74" t="str">
        <f>IF($U18="","",IF(COUNTIF(choice!$D:$D,CONCATENATE($U18,"@",CG$7))=0,"",VLOOKUP(CONCATENATE($U18,"@",CG$7),choice!$D:$E,2,0)))</f>
        <v/>
      </c>
      <c r="CH18" s="74" t="str">
        <f>IF($U18="","",IF(COUNTIF(choice!$D:$D,CONCATENATE($U18,"@",CH$7))=0,"",VLOOKUP(CONCATENATE($U18,"@",CH$7),choice!$D:$E,2,0)))</f>
        <v/>
      </c>
      <c r="CI18" s="74" t="str">
        <f>IF($U18="","",IF(COUNTIF(choice!$D:$D,CONCATENATE($U18,"@",CI$7))=0,"",VLOOKUP(CONCATENATE($U18,"@",CI$7),choice!$D:$E,2,0)))</f>
        <v/>
      </c>
      <c r="CJ18" s="81" t="str">
        <f>IF($U18="","",IF(COUNTIF(choice!$D:$D,CONCATENATE($U18,"@",CJ$7))=0,"",VLOOKUP(CONCATENATE($U18,"@",CJ$7),choice!$D:$E,2,0)))</f>
        <v/>
      </c>
      <c r="CK18" s="80" t="str">
        <f>IF($V18="","",IF(COUNTIF(choice!$D:$D,CONCATENATE($V18,"@",CK$7))=0,"",VLOOKUP(CONCATENATE($V18,"@",CK$7),choice!$D:$E,2,0)))</f>
        <v/>
      </c>
      <c r="CL18" s="74" t="str">
        <f>IF($V18="","",IF(COUNTIF(choice!$D:$D,CONCATENATE($V18,"@",CL$7))=0,"",VLOOKUP(CONCATENATE($V18,"@",CL$7),choice!$D:$E,2,0)))</f>
        <v/>
      </c>
      <c r="CM18" s="74" t="str">
        <f>IF($V18="","",IF(COUNTIF(choice!$D:$D,CONCATENATE($V18,"@",CM$7))=0,"",VLOOKUP(CONCATENATE($V18,"@",CM$7),choice!$D:$E,2,0)))</f>
        <v/>
      </c>
      <c r="CN18" s="74" t="str">
        <f>IF($V18="","",IF(COUNTIF(choice!$D:$D,CONCATENATE($V18,"@",CN$7))=0,"",VLOOKUP(CONCATENATE($V18,"@",CN$7),choice!$D:$E,2,0)))</f>
        <v/>
      </c>
      <c r="CO18" s="74" t="str">
        <f>IF($V18="","",IF(COUNTIF(choice!$D:$D,CONCATENATE($V18,"@",CO$7))=0,"",VLOOKUP(CONCATENATE($V18,"@",CO$7),choice!$D:$E,2,0)))</f>
        <v/>
      </c>
      <c r="CP18" s="74" t="str">
        <f>IF($V18="","",IF(COUNTIF(choice!$D:$D,CONCATENATE($V18,"@",CP$7))=0,"",VLOOKUP(CONCATENATE($V18,"@",CP$7),choice!$D:$E,2,0)))</f>
        <v/>
      </c>
      <c r="CQ18" s="74" t="str">
        <f>IF($V18="","",IF(COUNTIF(choice!$D:$D,CONCATENATE($V18,"@",CQ$7))=0,"",VLOOKUP(CONCATENATE($V18,"@",CQ$7),choice!$D:$E,2,0)))</f>
        <v/>
      </c>
      <c r="CR18" s="74" t="str">
        <f>IF($V18="","",IF(COUNTIF(choice!$D:$D,CONCATENATE($V18,"@",CR$7))=0,"",VLOOKUP(CONCATENATE($V18,"@",CR$7),choice!$D:$E,2,0)))</f>
        <v/>
      </c>
      <c r="CS18" s="74" t="str">
        <f>IF($V18="","",IF(COUNTIF(choice!$D:$D,CONCATENATE($V18,"@",CS$7))=0,"",VLOOKUP(CONCATENATE($V18,"@",CS$7),choice!$D:$E,2,0)))</f>
        <v/>
      </c>
      <c r="CT18" s="74" t="str">
        <f>IF($V18="","",IF(COUNTIF(choice!$D:$D,CONCATENATE($V18,"@",CT$7))=0,"",VLOOKUP(CONCATENATE($V18,"@",CT$7),choice!$D:$E,2,0)))</f>
        <v/>
      </c>
      <c r="CU18" s="74" t="str">
        <f>IF($V18="","",IF(COUNTIF(choice!$D:$D,CONCATENATE($V18,"@",CU$7))=0,"",VLOOKUP(CONCATENATE($V18,"@",CU$7),choice!$D:$E,2,0)))</f>
        <v/>
      </c>
      <c r="CV18" s="74" t="str">
        <f>IF($V18="","",IF(COUNTIF(choice!$D:$D,CONCATENATE($V18,"@",CV$7))=0,"",VLOOKUP(CONCATENATE($V18,"@",CV$7),choice!$D:$E,2,0)))</f>
        <v/>
      </c>
      <c r="CW18" s="74" t="str">
        <f>IF($V18="","",IF(COUNTIF(choice!$D:$D,CONCATENATE($V18,"@",CW$7))=0,"",VLOOKUP(CONCATENATE($V18,"@",CW$7),choice!$D:$E,2,0)))</f>
        <v/>
      </c>
      <c r="CX18" s="74" t="str">
        <f>IF($V18="","",IF(COUNTIF(choice!$D:$D,CONCATENATE($V18,"@",CX$7))=0,"",VLOOKUP(CONCATENATE($V18,"@",CX$7),choice!$D:$E,2,0)))</f>
        <v/>
      </c>
      <c r="CY18" s="74" t="str">
        <f>IF($V18="","",IF(COUNTIF(choice!$D:$D,CONCATENATE($V18,"@",CY$7))=0,"",VLOOKUP(CONCATENATE($V18,"@",CY$7),choice!$D:$E,2,0)))</f>
        <v/>
      </c>
      <c r="CZ18" s="74" t="str">
        <f>IF($V18="","",IF(COUNTIF(choice!$D:$D,CONCATENATE($V18,"@",CZ$7))=0,"",VLOOKUP(CONCATENATE($V18,"@",CZ$7),choice!$D:$E,2,0)))</f>
        <v/>
      </c>
      <c r="DA18" s="74" t="str">
        <f>IF($V18="","",IF(COUNTIF(choice!$D:$D,CONCATENATE($V18,"@",DA$7))=0,"",VLOOKUP(CONCATENATE($V18,"@",DA$7),choice!$D:$E,2,0)))</f>
        <v/>
      </c>
      <c r="DB18" s="74" t="str">
        <f>IF($V18="","",IF(COUNTIF(choice!$D:$D,CONCATENATE($V18,"@",DB$7))=0,"",VLOOKUP(CONCATENATE($V18,"@",DB$7),choice!$D:$E,2,0)))</f>
        <v/>
      </c>
      <c r="DC18" s="74" t="str">
        <f>IF($V18="","",IF(COUNTIF(choice!$D:$D,CONCATENATE($V18,"@",DC$7))=0,"",VLOOKUP(CONCATENATE($V18,"@",DC$7),choice!$D:$E,2,0)))</f>
        <v/>
      </c>
      <c r="DD18" s="74" t="str">
        <f>IF($V18="","",IF(COUNTIF(choice!$D:$D,CONCATENATE($V18,"@",DD$7))=0,"",VLOOKUP(CONCATENATE($V18,"@",DD$7),choice!$D:$E,2,0)))</f>
        <v/>
      </c>
      <c r="DE18" s="74" t="str">
        <f>IF($V18="","",IF(COUNTIF(choice!$D:$D,CONCATENATE($V18,"@",DE$7))=0,"",VLOOKUP(CONCATENATE($V18,"@",DE$7),choice!$D:$E,2,0)))</f>
        <v/>
      </c>
      <c r="DF18" s="74" t="str">
        <f>IF($V18="","",IF(COUNTIF(choice!$D:$D,CONCATENATE($V18,"@",DF$7))=0,"",VLOOKUP(CONCATENATE($V18,"@",DF$7),choice!$D:$E,2,0)))</f>
        <v/>
      </c>
      <c r="DG18" s="74" t="str">
        <f>IF($V18="","",IF(COUNTIF(choice!$D:$D,CONCATENATE($V18,"@",DG$7))=0,"",VLOOKUP(CONCATENATE($V18,"@",DG$7),choice!$D:$E,2,0)))</f>
        <v/>
      </c>
      <c r="DH18" s="74" t="str">
        <f>IF($V18="","",IF(COUNTIF(choice!$D:$D,CONCATENATE($V18,"@",DH$7))=0,"",VLOOKUP(CONCATENATE($V18,"@",DH$7),choice!$D:$E,2,0)))</f>
        <v/>
      </c>
      <c r="DI18" s="74" t="str">
        <f>IF($V18="","",IF(COUNTIF(choice!$D:$D,CONCATENATE($V18,"@",DI$7))=0,"",VLOOKUP(CONCATENATE($V18,"@",DI$7),choice!$D:$E,2,0)))</f>
        <v/>
      </c>
      <c r="DJ18" s="74" t="str">
        <f>IF($V18="","",IF(COUNTIF(choice!$D:$D,CONCATENATE($V18,"@",DJ$7))=0,"",VLOOKUP(CONCATENATE($V18,"@",DJ$7),choice!$D:$E,2,0)))</f>
        <v/>
      </c>
      <c r="DK18" s="74" t="str">
        <f>IF($V18="","",IF(COUNTIF(choice!$D:$D,CONCATENATE($V18,"@",DK$7))=0,"",VLOOKUP(CONCATENATE($V18,"@",DK$7),choice!$D:$E,2,0)))</f>
        <v/>
      </c>
      <c r="DL18" s="74" t="str">
        <f>IF($V18="","",IF(COUNTIF(choice!$D:$D,CONCATENATE($V18,"@",DL$7))=0,"",VLOOKUP(CONCATENATE($V18,"@",DL$7),choice!$D:$E,2,0)))</f>
        <v/>
      </c>
      <c r="DM18" s="74" t="str">
        <f>IF($V18="","",IF(COUNTIF(choice!$D:$D,CONCATENATE($V18,"@",DM$7))=0,"",VLOOKUP(CONCATENATE($V18,"@",DM$7),choice!$D:$E,2,0)))</f>
        <v/>
      </c>
      <c r="DN18" s="74" t="str">
        <f>IF($V18="","",IF(COUNTIF(choice!$D:$D,CONCATENATE($V18,"@",DN$7))=0,"",VLOOKUP(CONCATENATE($V18,"@",DN$7),choice!$D:$E,2,0)))</f>
        <v/>
      </c>
      <c r="DO18" s="74" t="str">
        <f>IF($V18="","",IF(COUNTIF(choice!$D:$D,CONCATENATE($V18,"@",DO$7))=0,"",VLOOKUP(CONCATENATE($V18,"@",DO$7),choice!$D:$E,2,0)))</f>
        <v/>
      </c>
      <c r="DP18" s="74" t="str">
        <f>IF($V18="","",IF(COUNTIF(choice!$D:$D,CONCATENATE($V18,"@",DP$7))=0,"",VLOOKUP(CONCATENATE($V18,"@",DP$7),choice!$D:$E,2,0)))</f>
        <v/>
      </c>
      <c r="DQ18" s="74" t="str">
        <f>IF($V18="","",IF(COUNTIF(choice!$D:$D,CONCATENATE($V18,"@",DQ$7))=0,"",VLOOKUP(CONCATENATE($V18,"@",DQ$7),choice!$D:$E,2,0)))</f>
        <v/>
      </c>
      <c r="DR18" s="74" t="str">
        <f>IF($V18="","",IF(COUNTIF(choice!$D:$D,CONCATENATE($V18,"@",DR$7))=0,"",VLOOKUP(CONCATENATE($V18,"@",DR$7),choice!$D:$E,2,0)))</f>
        <v/>
      </c>
      <c r="DS18" s="74" t="str">
        <f>IF($V18="","",IF(COUNTIF(choice!$D:$D,CONCATENATE($V18,"@",DS$7))=0,"",VLOOKUP(CONCATENATE($V18,"@",DS$7),choice!$D:$E,2,0)))</f>
        <v/>
      </c>
      <c r="DT18" s="74" t="str">
        <f>IF($V18="","",IF(COUNTIF(choice!$D:$D,CONCATENATE($V18,"@",DT$7))=0,"",VLOOKUP(CONCATENATE($V18,"@",DT$7),choice!$D:$E,2,0)))</f>
        <v/>
      </c>
      <c r="DU18" s="74" t="str">
        <f>IF($V18="","",IF(COUNTIF(choice!$D:$D,CONCATENATE($V18,"@",DU$7))=0,"",VLOOKUP(CONCATENATE($V18,"@",DU$7),choice!$D:$E,2,0)))</f>
        <v/>
      </c>
      <c r="DV18" s="74" t="str">
        <f>IF($V18="","",IF(COUNTIF(choice!$D:$D,CONCATENATE($V18,"@",DV$7))=0,"",VLOOKUP(CONCATENATE($V18,"@",DV$7),choice!$D:$E,2,0)))</f>
        <v/>
      </c>
      <c r="DW18" s="74" t="str">
        <f>IF($V18="","",IF(COUNTIF(choice!$D:$D,CONCATENATE($V18,"@",DW$7))=0,"",VLOOKUP(CONCATENATE($V18,"@",DW$7),choice!$D:$E,2,0)))</f>
        <v/>
      </c>
      <c r="DX18" s="74" t="str">
        <f>IF($V18="","",IF(COUNTIF(choice!$D:$D,CONCATENATE($V18,"@",DX$7))=0,"",VLOOKUP(CONCATENATE($V18,"@",DX$7),choice!$D:$E,2,0)))</f>
        <v/>
      </c>
      <c r="DY18" s="74" t="str">
        <f>IF($V18="","",IF(COUNTIF(choice!$D:$D,CONCATENATE($V18,"@",DY$7))=0,"",VLOOKUP(CONCATENATE($V18,"@",DY$7),choice!$D:$E,2,0)))</f>
        <v/>
      </c>
      <c r="DZ18" s="74" t="str">
        <f>IF($V18="","",IF(COUNTIF(choice!$D:$D,CONCATENATE($V18,"@",DZ$7))=0,"",VLOOKUP(CONCATENATE($V18,"@",DZ$7),choice!$D:$E,2,0)))</f>
        <v/>
      </c>
      <c r="EA18" s="74" t="str">
        <f>IF($V18="","",IF(COUNTIF(choice!$D:$D,CONCATENATE($V18,"@",EA$7))=0,"",VLOOKUP(CONCATENATE($V18,"@",EA$7),choice!$D:$E,2,0)))</f>
        <v/>
      </c>
      <c r="EB18" s="74" t="str">
        <f>IF($V18="","",IF(COUNTIF(choice!$D:$D,CONCATENATE($V18,"@",EB$7))=0,"",VLOOKUP(CONCATENATE($V18,"@",EB$7),choice!$D:$E,2,0)))</f>
        <v/>
      </c>
      <c r="EC18" s="81" t="str">
        <f>IF($V18="","",IF(COUNTIF(choice!$D:$D,CONCATENATE($V18,"@",EC$7))=0,"",VLOOKUP(CONCATENATE($V18,"@",EC$7),choice!$D:$E,2,0)))</f>
        <v/>
      </c>
      <c r="ED18" s="80" t="str">
        <f>IF($W18="","",IF(COUNTIF(choice!$D:$D,CONCATENATE($W18,"@",ED$7))=0,"",VLOOKUP(CONCATENATE($W18,"@",ED$7),choice!$D:$E,2,0)))</f>
        <v/>
      </c>
      <c r="EE18" s="74" t="str">
        <f>IF($W18="","",IF(COUNTIF(choice!$D:$D,CONCATENATE($W18,"@",EE$7))=0,"",VLOOKUP(CONCATENATE($W18,"@",EE$7),choice!$D:$E,2,0)))</f>
        <v/>
      </c>
      <c r="EF18" s="74" t="str">
        <f>IF($W18="","",IF(COUNTIF(choice!$D:$D,CONCATENATE($W18,"@",EF$7))=0,"",VLOOKUP(CONCATENATE($W18,"@",EF$7),choice!$D:$E,2,0)))</f>
        <v/>
      </c>
      <c r="EG18" s="74" t="str">
        <f>IF($W18="","",IF(COUNTIF(choice!$D:$D,CONCATENATE($W18,"@",EG$7))=0,"",VLOOKUP(CONCATENATE($W18,"@",EG$7),choice!$D:$E,2,0)))</f>
        <v/>
      </c>
      <c r="EH18" s="74" t="str">
        <f>IF($W18="","",IF(COUNTIF(choice!$D:$D,CONCATENATE($W18,"@",EH$7))=0,"",VLOOKUP(CONCATENATE($W18,"@",EH$7),choice!$D:$E,2,0)))</f>
        <v/>
      </c>
      <c r="EI18" s="74" t="str">
        <f>IF($W18="","",IF(COUNTIF(choice!$D:$D,CONCATENATE($W18,"@",EI$7))=0,"",VLOOKUP(CONCATENATE($W18,"@",EI$7),choice!$D:$E,2,0)))</f>
        <v/>
      </c>
      <c r="EJ18" s="74" t="str">
        <f>IF($W18="","",IF(COUNTIF(choice!$D:$D,CONCATENATE($W18,"@",EJ$7))=0,"",VLOOKUP(CONCATENATE($W18,"@",EJ$7),choice!$D:$E,2,0)))</f>
        <v/>
      </c>
      <c r="EK18" s="74" t="str">
        <f>IF($W18="","",IF(COUNTIF(choice!$D:$D,CONCATENATE($W18,"@",EK$7))=0,"",VLOOKUP(CONCATENATE($W18,"@",EK$7),choice!$D:$E,2,0)))</f>
        <v/>
      </c>
      <c r="EL18" s="74" t="str">
        <f>IF($W18="","",IF(COUNTIF(choice!$D:$D,CONCATENATE($W18,"@",EL$7))=0,"",VLOOKUP(CONCATENATE($W18,"@",EL$7),choice!$D:$E,2,0)))</f>
        <v/>
      </c>
      <c r="EM18" s="74" t="str">
        <f>IF($W18="","",IF(COUNTIF(choice!$D:$D,CONCATENATE($W18,"@",EM$7))=0,"",VLOOKUP(CONCATENATE($W18,"@",EM$7),choice!$D:$E,2,0)))</f>
        <v/>
      </c>
      <c r="EN18" s="74" t="str">
        <f>IF($W18="","",IF(COUNTIF(choice!$D:$D,CONCATENATE($W18,"@",EN$7))=0,"",VLOOKUP(CONCATENATE($W18,"@",EN$7),choice!$D:$E,2,0)))</f>
        <v/>
      </c>
      <c r="EO18" s="74" t="str">
        <f>IF($W18="","",IF(COUNTIF(choice!$D:$D,CONCATENATE($W18,"@",EO$7))=0,"",VLOOKUP(CONCATENATE($W18,"@",EO$7),choice!$D:$E,2,0)))</f>
        <v/>
      </c>
      <c r="EP18" s="74" t="str">
        <f>IF($W18="","",IF(COUNTIF(choice!$D:$D,CONCATENATE($W18,"@",EP$7))=0,"",VLOOKUP(CONCATENATE($W18,"@",EP$7),choice!$D:$E,2,0)))</f>
        <v/>
      </c>
      <c r="EQ18" s="74" t="str">
        <f>IF($W18="","",IF(COUNTIF(choice!$D:$D,CONCATENATE($W18,"@",EQ$7))=0,"",VLOOKUP(CONCATENATE($W18,"@",EQ$7),choice!$D:$E,2,0)))</f>
        <v/>
      </c>
      <c r="ER18" s="74" t="str">
        <f>IF($W18="","",IF(COUNTIF(choice!$D:$D,CONCATENATE($W18,"@",ER$7))=0,"",VLOOKUP(CONCATENATE($W18,"@",ER$7),choice!$D:$E,2,0)))</f>
        <v/>
      </c>
      <c r="ES18" s="74" t="str">
        <f>IF($W18="","",IF(COUNTIF(choice!$D:$D,CONCATENATE($W18,"@",ES$7))=0,"",VLOOKUP(CONCATENATE($W18,"@",ES$7),choice!$D:$E,2,0)))</f>
        <v/>
      </c>
      <c r="ET18" s="74" t="str">
        <f>IF($W18="","",IF(COUNTIF(choice!$D:$D,CONCATENATE($W18,"@",ET$7))=0,"",VLOOKUP(CONCATENATE($W18,"@",ET$7),choice!$D:$E,2,0)))</f>
        <v/>
      </c>
      <c r="EU18" s="74" t="str">
        <f>IF($W18="","",IF(COUNTIF(choice!$D:$D,CONCATENATE($W18,"@",EU$7))=0,"",VLOOKUP(CONCATENATE($W18,"@",EU$7),choice!$D:$E,2,0)))</f>
        <v/>
      </c>
      <c r="EV18" s="74" t="str">
        <f>IF($W18="","",IF(COUNTIF(choice!$D:$D,CONCATENATE($W18,"@",EV$7))=0,"",VLOOKUP(CONCATENATE($W18,"@",EV$7),choice!$D:$E,2,0)))</f>
        <v/>
      </c>
      <c r="EW18" s="74" t="str">
        <f>IF($W18="","",IF(COUNTIF(choice!$D:$D,CONCATENATE($W18,"@",EW$7))=0,"",VLOOKUP(CONCATENATE($W18,"@",EW$7),choice!$D:$E,2,0)))</f>
        <v/>
      </c>
      <c r="EX18" s="74" t="str">
        <f>IF($W18="","",IF(COUNTIF(choice!$D:$D,CONCATENATE($W18,"@",EX$7))=0,"",VLOOKUP(CONCATENATE($W18,"@",EX$7),choice!$D:$E,2,0)))</f>
        <v/>
      </c>
      <c r="EY18" s="74" t="str">
        <f>IF($W18="","",IF(COUNTIF(choice!$D:$D,CONCATENATE($W18,"@",EY$7))=0,"",VLOOKUP(CONCATENATE($W18,"@",EY$7),choice!$D:$E,2,0)))</f>
        <v/>
      </c>
      <c r="EZ18" s="74" t="str">
        <f>IF($W18="","",IF(COUNTIF(choice!$D:$D,CONCATENATE($W18,"@",EZ$7))=0,"",VLOOKUP(CONCATENATE($W18,"@",EZ$7),choice!$D:$E,2,0)))</f>
        <v/>
      </c>
      <c r="FA18" s="74" t="str">
        <f>IF($W18="","",IF(COUNTIF(choice!$D:$D,CONCATENATE($W18,"@",FA$7))=0,"",VLOOKUP(CONCATENATE($W18,"@",FA$7),choice!$D:$E,2,0)))</f>
        <v/>
      </c>
      <c r="FB18" s="74" t="str">
        <f>IF($W18="","",IF(COUNTIF(choice!$D:$D,CONCATENATE($W18,"@",FB$7))=0,"",VLOOKUP(CONCATENATE($W18,"@",FB$7),choice!$D:$E,2,0)))</f>
        <v/>
      </c>
      <c r="FC18" s="74" t="str">
        <f>IF($W18="","",IF(COUNTIF(choice!$D:$D,CONCATENATE($W18,"@",FC$7))=0,"",VLOOKUP(CONCATENATE($W18,"@",FC$7),choice!$D:$E,2,0)))</f>
        <v/>
      </c>
      <c r="FD18" s="74" t="str">
        <f>IF($W18="","",IF(COUNTIF(choice!$D:$D,CONCATENATE($W18,"@",FD$7))=0,"",VLOOKUP(CONCATENATE($W18,"@",FD$7),choice!$D:$E,2,0)))</f>
        <v/>
      </c>
      <c r="FE18" s="74" t="str">
        <f>IF($W18="","",IF(COUNTIF(choice!$D:$D,CONCATENATE($W18,"@",FE$7))=0,"",VLOOKUP(CONCATENATE($W18,"@",FE$7),choice!$D:$E,2,0)))</f>
        <v/>
      </c>
      <c r="FF18" s="74" t="str">
        <f>IF($W18="","",IF(COUNTIF(choice!$D:$D,CONCATENATE($W18,"@",FF$7))=0,"",VLOOKUP(CONCATENATE($W18,"@",FF$7),choice!$D:$E,2,0)))</f>
        <v/>
      </c>
      <c r="FG18" s="74" t="str">
        <f>IF($W18="","",IF(COUNTIF(choice!$D:$D,CONCATENATE($W18,"@",FG$7))=0,"",VLOOKUP(CONCATENATE($W18,"@",FG$7),choice!$D:$E,2,0)))</f>
        <v/>
      </c>
      <c r="FH18" s="74" t="str">
        <f>IF($W18="","",IF(COUNTIF(choice!$D:$D,CONCATENATE($W18,"@",FH$7))=0,"",VLOOKUP(CONCATENATE($W18,"@",FH$7),choice!$D:$E,2,0)))</f>
        <v/>
      </c>
      <c r="FI18" s="74" t="str">
        <f>IF($W18="","",IF(COUNTIF(choice!$D:$D,CONCATENATE($W18,"@",FI$7))=0,"",VLOOKUP(CONCATENATE($W18,"@",FI$7),choice!$D:$E,2,0)))</f>
        <v/>
      </c>
      <c r="FJ18" s="74" t="str">
        <f>IF($W18="","",IF(COUNTIF(choice!$D:$D,CONCATENATE($W18,"@",FJ$7))=0,"",VLOOKUP(CONCATENATE($W18,"@",FJ$7),choice!$D:$E,2,0)))</f>
        <v/>
      </c>
      <c r="FK18" s="74" t="str">
        <f>IF($W18="","",IF(COUNTIF(choice!$D:$D,CONCATENATE($W18,"@",FK$7))=0,"",VLOOKUP(CONCATENATE($W18,"@",FK$7),choice!$D:$E,2,0)))</f>
        <v/>
      </c>
      <c r="FL18" s="74" t="str">
        <f>IF($W18="","",IF(COUNTIF(choice!$D:$D,CONCATENATE($W18,"@",FL$7))=0,"",VLOOKUP(CONCATENATE($W18,"@",FL$7),choice!$D:$E,2,0)))</f>
        <v/>
      </c>
      <c r="FM18" s="74" t="str">
        <f>IF($W18="","",IF(COUNTIF(choice!$D:$D,CONCATENATE($W18,"@",FM$7))=0,"",VLOOKUP(CONCATENATE($W18,"@",FM$7),choice!$D:$E,2,0)))</f>
        <v/>
      </c>
      <c r="FN18" s="74" t="str">
        <f>IF($W18="","",IF(COUNTIF(choice!$D:$D,CONCATENATE($W18,"@",FN$7))=0,"",VLOOKUP(CONCATENATE($W18,"@",FN$7),choice!$D:$E,2,0)))</f>
        <v/>
      </c>
      <c r="FO18" s="74" t="str">
        <f>IF($W18="","",IF(COUNTIF(choice!$D:$D,CONCATENATE($W18,"@",FO$7))=0,"",VLOOKUP(CONCATENATE($W18,"@",FO$7),choice!$D:$E,2,0)))</f>
        <v/>
      </c>
      <c r="FP18" s="74" t="str">
        <f>IF($W18="","",IF(COUNTIF(choice!$D:$D,CONCATENATE($W18,"@",FP$7))=0,"",VLOOKUP(CONCATENATE($W18,"@",FP$7),choice!$D:$E,2,0)))</f>
        <v/>
      </c>
      <c r="FQ18" s="74" t="str">
        <f>IF($W18="","",IF(COUNTIF(choice!$D:$D,CONCATENATE($W18,"@",FQ$7))=0,"",VLOOKUP(CONCATENATE($W18,"@",FQ$7),choice!$D:$E,2,0)))</f>
        <v/>
      </c>
      <c r="FR18" s="74" t="str">
        <f>IF($W18="","",IF(COUNTIF(choice!$D:$D,CONCATENATE($W18,"@",FR$7))=0,"",VLOOKUP(CONCATENATE($W18,"@",FR$7),choice!$D:$E,2,0)))</f>
        <v/>
      </c>
      <c r="FS18" s="74" t="str">
        <f>IF($W18="","",IF(COUNTIF(choice!$D:$D,CONCATENATE($W18,"@",FS$7))=0,"",VLOOKUP(CONCATENATE($W18,"@",FS$7),choice!$D:$E,2,0)))</f>
        <v/>
      </c>
      <c r="FT18" s="74" t="str">
        <f>IF($W18="","",IF(COUNTIF(choice!$D:$D,CONCATENATE($W18,"@",FT$7))=0,"",VLOOKUP(CONCATENATE($W18,"@",FT$7),choice!$D:$E,2,0)))</f>
        <v/>
      </c>
      <c r="FU18" s="74" t="str">
        <f>IF($W18="","",IF(COUNTIF(choice!$D:$D,CONCATENATE($W18,"@",FU$7))=0,"",VLOOKUP(CONCATENATE($W18,"@",FU$7),choice!$D:$E,2,0)))</f>
        <v/>
      </c>
      <c r="FV18" s="81" t="str">
        <f>IF($W18="","",IF(COUNTIF(choice!$D:$D,CONCATENATE($W18,"@",FV$7))=0,"",VLOOKUP(CONCATENATE($W18,"@",FV$7),choice!$D:$E,2,0)))</f>
        <v/>
      </c>
      <c r="FW18" s="80" t="str">
        <f>IF($X18="","",IF(COUNTIF(choice!$D:$D,CONCATENATE($X18,"@",FW$7))=0,"",VLOOKUP(CONCATENATE($X18,"@",FW$7),choice!$D:$E,2,0)))</f>
        <v/>
      </c>
      <c r="FX18" s="74" t="str">
        <f>IF($X18="","",IF(COUNTIF(choice!$D:$D,CONCATENATE($X18,"@",FX$7))=0,"",VLOOKUP(CONCATENATE($X18,"@",FX$7),choice!$D:$E,2,0)))</f>
        <v/>
      </c>
      <c r="FY18" s="74" t="str">
        <f>IF($X18="","",IF(COUNTIF(choice!$D:$D,CONCATENATE($X18,"@",FY$7))=0,"",VLOOKUP(CONCATENATE($X18,"@",FY$7),choice!$D:$E,2,0)))</f>
        <v/>
      </c>
      <c r="FZ18" s="74" t="str">
        <f>IF($X18="","",IF(COUNTIF(choice!$D:$D,CONCATENATE($X18,"@",FZ$7))=0,"",VLOOKUP(CONCATENATE($X18,"@",FZ$7),choice!$D:$E,2,0)))</f>
        <v/>
      </c>
      <c r="GA18" s="74" t="str">
        <f>IF($X18="","",IF(COUNTIF(choice!$D:$D,CONCATENATE($X18,"@",GA$7))=0,"",VLOOKUP(CONCATENATE($X18,"@",GA$7),choice!$D:$E,2,0)))</f>
        <v/>
      </c>
      <c r="GB18" s="74" t="str">
        <f>IF($X18="","",IF(COUNTIF(choice!$D:$D,CONCATENATE($X18,"@",GB$7))=0,"",VLOOKUP(CONCATENATE($X18,"@",GB$7),choice!$D:$E,2,0)))</f>
        <v/>
      </c>
      <c r="GC18" s="74" t="str">
        <f>IF($X18="","",IF(COUNTIF(choice!$D:$D,CONCATENATE($X18,"@",GC$7))=0,"",VLOOKUP(CONCATENATE($X18,"@",GC$7),choice!$D:$E,2,0)))</f>
        <v/>
      </c>
      <c r="GD18" s="74" t="str">
        <f>IF($X18="","",IF(COUNTIF(choice!$D:$D,CONCATENATE($X18,"@",GD$7))=0,"",VLOOKUP(CONCATENATE($X18,"@",GD$7),choice!$D:$E,2,0)))</f>
        <v/>
      </c>
      <c r="GE18" s="74" t="str">
        <f>IF($X18="","",IF(COUNTIF(choice!$D:$D,CONCATENATE($X18,"@",GE$7))=0,"",VLOOKUP(CONCATENATE($X18,"@",GE$7),choice!$D:$E,2,0)))</f>
        <v/>
      </c>
      <c r="GF18" s="74" t="str">
        <f>IF($X18="","",IF(COUNTIF(choice!$D:$D,CONCATENATE($X18,"@",GF$7))=0,"",VLOOKUP(CONCATENATE($X18,"@",GF$7),choice!$D:$E,2,0)))</f>
        <v/>
      </c>
      <c r="GG18" s="74" t="str">
        <f>IF($X18="","",IF(COUNTIF(choice!$D:$D,CONCATENATE($X18,"@",GG$7))=0,"",VLOOKUP(CONCATENATE($X18,"@",GG$7),choice!$D:$E,2,0)))</f>
        <v/>
      </c>
      <c r="GH18" s="74" t="str">
        <f>IF($X18="","",IF(COUNTIF(choice!$D:$D,CONCATENATE($X18,"@",GH$7))=0,"",VLOOKUP(CONCATENATE($X18,"@",GH$7),choice!$D:$E,2,0)))</f>
        <v/>
      </c>
      <c r="GI18" s="74" t="str">
        <f>IF($X18="","",IF(COUNTIF(choice!$D:$D,CONCATENATE($X18,"@",GI$7))=0,"",VLOOKUP(CONCATENATE($X18,"@",GI$7),choice!$D:$E,2,0)))</f>
        <v/>
      </c>
      <c r="GJ18" s="74" t="str">
        <f>IF($X18="","",IF(COUNTIF(choice!$D:$D,CONCATENATE($X18,"@",GJ$7))=0,"",VLOOKUP(CONCATENATE($X18,"@",GJ$7),choice!$D:$E,2,0)))</f>
        <v/>
      </c>
      <c r="GK18" s="74" t="str">
        <f>IF($X18="","",IF(COUNTIF(choice!$D:$D,CONCATENATE($X18,"@",GK$7))=0,"",VLOOKUP(CONCATENATE($X18,"@",GK$7),choice!$D:$E,2,0)))</f>
        <v/>
      </c>
      <c r="GL18" s="74" t="str">
        <f>IF($X18="","",IF(COUNTIF(choice!$D:$D,CONCATENATE($X18,"@",GL$7))=0,"",VLOOKUP(CONCATENATE($X18,"@",GL$7),choice!$D:$E,2,0)))</f>
        <v/>
      </c>
      <c r="GM18" s="74" t="str">
        <f>IF($X18="","",IF(COUNTIF(choice!$D:$D,CONCATENATE($X18,"@",GM$7))=0,"",VLOOKUP(CONCATENATE($X18,"@",GM$7),choice!$D:$E,2,0)))</f>
        <v/>
      </c>
      <c r="GN18" s="74" t="str">
        <f>IF($X18="","",IF(COUNTIF(choice!$D:$D,CONCATENATE($X18,"@",GN$7))=0,"",VLOOKUP(CONCATENATE($X18,"@",GN$7),choice!$D:$E,2,0)))</f>
        <v/>
      </c>
      <c r="GO18" s="74" t="str">
        <f>IF($X18="","",IF(COUNTIF(choice!$D:$D,CONCATENATE($X18,"@",GO$7))=0,"",VLOOKUP(CONCATENATE($X18,"@",GO$7),choice!$D:$E,2,0)))</f>
        <v/>
      </c>
      <c r="GP18" s="74" t="str">
        <f>IF($X18="","",IF(COUNTIF(choice!$D:$D,CONCATENATE($X18,"@",GP$7))=0,"",VLOOKUP(CONCATENATE($X18,"@",GP$7),choice!$D:$E,2,0)))</f>
        <v/>
      </c>
      <c r="GQ18" s="74" t="str">
        <f>IF($X18="","",IF(COUNTIF(choice!$D:$D,CONCATENATE($X18,"@",GQ$7))=0,"",VLOOKUP(CONCATENATE($X18,"@",GQ$7),choice!$D:$E,2,0)))</f>
        <v/>
      </c>
      <c r="GR18" s="74" t="str">
        <f>IF($X18="","",IF(COUNTIF(choice!$D:$D,CONCATENATE($X18,"@",GR$7))=0,"",VLOOKUP(CONCATENATE($X18,"@",GR$7),choice!$D:$E,2,0)))</f>
        <v/>
      </c>
      <c r="GS18" s="74" t="str">
        <f>IF($X18="","",IF(COUNTIF(choice!$D:$D,CONCATENATE($X18,"@",GS$7))=0,"",VLOOKUP(CONCATENATE($X18,"@",GS$7),choice!$D:$E,2,0)))</f>
        <v/>
      </c>
      <c r="GT18" s="74" t="str">
        <f>IF($X18="","",IF(COUNTIF(choice!$D:$D,CONCATENATE($X18,"@",GT$7))=0,"",VLOOKUP(CONCATENATE($X18,"@",GT$7),choice!$D:$E,2,0)))</f>
        <v/>
      </c>
      <c r="GU18" s="74" t="str">
        <f>IF($X18="","",IF(COUNTIF(choice!$D:$D,CONCATENATE($X18,"@",GU$7))=0,"",VLOOKUP(CONCATENATE($X18,"@",GU$7),choice!$D:$E,2,0)))</f>
        <v/>
      </c>
      <c r="GV18" s="74" t="str">
        <f>IF($X18="","",IF(COUNTIF(choice!$D:$D,CONCATENATE($X18,"@",GV$7))=0,"",VLOOKUP(CONCATENATE($X18,"@",GV$7),choice!$D:$E,2,0)))</f>
        <v/>
      </c>
      <c r="GW18" s="74" t="str">
        <f>IF($X18="","",IF(COUNTIF(choice!$D:$D,CONCATENATE($X18,"@",GW$7))=0,"",VLOOKUP(CONCATENATE($X18,"@",GW$7),choice!$D:$E,2,0)))</f>
        <v/>
      </c>
      <c r="GX18" s="74" t="str">
        <f>IF($X18="","",IF(COUNTIF(choice!$D:$D,CONCATENATE($X18,"@",GX$7))=0,"",VLOOKUP(CONCATENATE($X18,"@",GX$7),choice!$D:$E,2,0)))</f>
        <v/>
      </c>
      <c r="GY18" s="74" t="str">
        <f>IF($X18="","",IF(COUNTIF(choice!$D:$D,CONCATENATE($X18,"@",GY$7))=0,"",VLOOKUP(CONCATENATE($X18,"@",GY$7),choice!$D:$E,2,0)))</f>
        <v/>
      </c>
      <c r="GZ18" s="74" t="str">
        <f>IF($X18="","",IF(COUNTIF(choice!$D:$D,CONCATENATE($X18,"@",GZ$7))=0,"",VLOOKUP(CONCATENATE($X18,"@",GZ$7),choice!$D:$E,2,0)))</f>
        <v/>
      </c>
      <c r="HA18" s="74" t="str">
        <f>IF($X18="","",IF(COUNTIF(choice!$D:$D,CONCATENATE($X18,"@",HA$7))=0,"",VLOOKUP(CONCATENATE($X18,"@",HA$7),choice!$D:$E,2,0)))</f>
        <v/>
      </c>
      <c r="HB18" s="74" t="str">
        <f>IF($X18="","",IF(COUNTIF(choice!$D:$D,CONCATENATE($X18,"@",HB$7))=0,"",VLOOKUP(CONCATENATE($X18,"@",HB$7),choice!$D:$E,2,0)))</f>
        <v/>
      </c>
      <c r="HC18" s="74" t="str">
        <f>IF($X18="","",IF(COUNTIF(choice!$D:$D,CONCATENATE($X18,"@",HC$7))=0,"",VLOOKUP(CONCATENATE($X18,"@",HC$7),choice!$D:$E,2,0)))</f>
        <v/>
      </c>
      <c r="HD18" s="74" t="str">
        <f>IF($X18="","",IF(COUNTIF(choice!$D:$D,CONCATENATE($X18,"@",HD$7))=0,"",VLOOKUP(CONCATENATE($X18,"@",HD$7),choice!$D:$E,2,0)))</f>
        <v/>
      </c>
      <c r="HE18" s="74" t="str">
        <f>IF($X18="","",IF(COUNTIF(choice!$D:$D,CONCATENATE($X18,"@",HE$7))=0,"",VLOOKUP(CONCATENATE($X18,"@",HE$7),choice!$D:$E,2,0)))</f>
        <v/>
      </c>
      <c r="HF18" s="74" t="str">
        <f>IF($X18="","",IF(COUNTIF(choice!$D:$D,CONCATENATE($X18,"@",HF$7))=0,"",VLOOKUP(CONCATENATE($X18,"@",HF$7),choice!$D:$E,2,0)))</f>
        <v/>
      </c>
      <c r="HG18" s="74" t="str">
        <f>IF($X18="","",IF(COUNTIF(choice!$D:$D,CONCATENATE($X18,"@",HG$7))=0,"",VLOOKUP(CONCATENATE($X18,"@",HG$7),choice!$D:$E,2,0)))</f>
        <v/>
      </c>
      <c r="HH18" s="74" t="str">
        <f>IF($X18="","",IF(COUNTIF(choice!$D:$D,CONCATENATE($X18,"@",HH$7))=0,"",VLOOKUP(CONCATENATE($X18,"@",HH$7),choice!$D:$E,2,0)))</f>
        <v/>
      </c>
      <c r="HI18" s="74" t="str">
        <f>IF($X18="","",IF(COUNTIF(choice!$D:$D,CONCATENATE($X18,"@",HI$7))=0,"",VLOOKUP(CONCATENATE($X18,"@",HI$7),choice!$D:$E,2,0)))</f>
        <v/>
      </c>
      <c r="HJ18" s="74" t="str">
        <f>IF($X18="","",IF(COUNTIF(choice!$D:$D,CONCATENATE($X18,"@",HJ$7))=0,"",VLOOKUP(CONCATENATE($X18,"@",HJ$7),choice!$D:$E,2,0)))</f>
        <v/>
      </c>
      <c r="HK18" s="74" t="str">
        <f>IF($X18="","",IF(COUNTIF(choice!$D:$D,CONCATENATE($X18,"@",HK$7))=0,"",VLOOKUP(CONCATENATE($X18,"@",HK$7),choice!$D:$E,2,0)))</f>
        <v/>
      </c>
      <c r="HL18" s="74" t="str">
        <f>IF($X18="","",IF(COUNTIF(choice!$D:$D,CONCATENATE($X18,"@",HL$7))=0,"",VLOOKUP(CONCATENATE($X18,"@",HL$7),choice!$D:$E,2,0)))</f>
        <v/>
      </c>
      <c r="HM18" s="74" t="str">
        <f>IF($X18="","",IF(COUNTIF(choice!$D:$D,CONCATENATE($X18,"@",HM$7))=0,"",VLOOKUP(CONCATENATE($X18,"@",HM$7),choice!$D:$E,2,0)))</f>
        <v/>
      </c>
      <c r="HN18" s="74" t="str">
        <f>IF($X18="","",IF(COUNTIF(choice!$D:$D,CONCATENATE($X18,"@",HN$7))=0,"",VLOOKUP(CONCATENATE($X18,"@",HN$7),choice!$D:$E,2,0)))</f>
        <v/>
      </c>
      <c r="HO18" s="81" t="str">
        <f>IF($X18="","",IF(COUNTIF(choice!$D:$D,CONCATENATE($X18,"@",HO$7))=0,"",VLOOKUP(CONCATENATE($X18,"@",HO$7),choice!$D:$E,2,0)))</f>
        <v/>
      </c>
      <c r="HP18" s="20" t="s">
        <v>71</v>
      </c>
      <c r="HQ18" s="20" t="s">
        <v>72</v>
      </c>
      <c r="HV18" s="74">
        <f t="shared" si="12"/>
        <v>0</v>
      </c>
      <c r="HW18" s="74">
        <f t="shared" si="13"/>
        <v>0</v>
      </c>
      <c r="HX18" s="74">
        <f t="shared" si="14"/>
        <v>0</v>
      </c>
      <c r="HY18" s="74">
        <f t="shared" si="15"/>
        <v>0</v>
      </c>
      <c r="HZ18" s="74">
        <f t="shared" si="21"/>
        <v>0</v>
      </c>
      <c r="IA18" s="74">
        <f t="shared" si="21"/>
        <v>0</v>
      </c>
      <c r="IB18" s="74" t="str">
        <f t="shared" si="22"/>
        <v/>
      </c>
      <c r="IC18" s="74" t="str">
        <f t="shared" si="23"/>
        <v/>
      </c>
      <c r="ID18" s="74" t="str">
        <f t="shared" si="16"/>
        <v/>
      </c>
      <c r="IE18" s="74">
        <f t="shared" si="17"/>
        <v>37</v>
      </c>
      <c r="IF18" s="74">
        <f>COUNTIFS(ID$8:ID18,"BLUE")</f>
        <v>0</v>
      </c>
      <c r="IG18" s="74" t="str">
        <f t="shared" si="18"/>
        <v/>
      </c>
      <c r="IH18" s="74" t="str">
        <f>IF(COUNTIFS($AQ18,"*02*")=0,"",COUNTIFS(IJ$8:IJ18,"BLUE"))</f>
        <v/>
      </c>
      <c r="II18" s="74" t="str">
        <f>IF(COUNTIFS($AQ18,"*04*")=0,"",COUNTIFS(IK$8:IK18,"BLUE"))</f>
        <v/>
      </c>
      <c r="IJ18" s="74" t="str">
        <f t="shared" si="24"/>
        <v/>
      </c>
      <c r="IK18" s="74" t="str">
        <f t="shared" si="25"/>
        <v/>
      </c>
      <c r="IL18" s="74" t="str">
        <f t="shared" si="19"/>
        <v/>
      </c>
      <c r="IM18" s="74" t="str">
        <f t="shared" si="20"/>
        <v/>
      </c>
      <c r="IN18" s="74">
        <f>COUNTIFS(IJ$8:IJ18,"BLUE")</f>
        <v>0</v>
      </c>
      <c r="IO18" s="74">
        <f>COUNTIFS(IK$8:IK18,"BLUE")</f>
        <v>0</v>
      </c>
    </row>
    <row r="19" spans="1:249" s="20" customFormat="1" ht="24.9" customHeight="1">
      <c r="A19" s="33"/>
      <c r="B19" s="30">
        <v>38</v>
      </c>
      <c r="C19" s="22"/>
      <c r="D19" s="177"/>
      <c r="E19" s="88" t="e">
        <f>VLOOKUP(F19,'Radio Call Sign'!A:B,2)</f>
        <v>#N/A</v>
      </c>
      <c r="F19" s="88"/>
      <c r="G19" s="88" t="e">
        <f>VLOOKUP(H19,'Radio Call Sign'!A:B,2)</f>
        <v>#N/A</v>
      </c>
      <c r="H19" s="88"/>
      <c r="I19" s="89" t="str">
        <f t="shared" si="4"/>
        <v/>
      </c>
      <c r="J19" s="90" t="str">
        <f t="shared" si="9"/>
        <v/>
      </c>
      <c r="K19" s="86" t="str">
        <f t="shared" si="10"/>
        <v/>
      </c>
      <c r="L19" s="42"/>
      <c r="M19" s="190" t="str">
        <f t="shared" si="11"/>
        <v/>
      </c>
      <c r="N19" s="21"/>
      <c r="O19" s="21"/>
      <c r="P19" s="53"/>
      <c r="Q19" s="163" t="str">
        <f>IF(AA19="","",IF(COUNTIFS('overhead line area'!$D$3:$D$100,AA19)+COUNTIFS('overhead line area'!$D$3:$D$100,AB19)+COUNTIFS('overhead line area'!$D$3:$D$100,AC19)+COUNTIFS('overhead line area'!$D$3:$D$100,AD19)=0,"","*               "))</f>
        <v/>
      </c>
      <c r="R19" s="53"/>
      <c r="S19" s="24"/>
      <c r="U19" s="74"/>
      <c r="V19" s="74"/>
      <c r="W19" s="74"/>
      <c r="X19" s="74"/>
      <c r="Y19" s="74"/>
      <c r="AA19" s="74" t="str">
        <f t="shared" si="5"/>
        <v/>
      </c>
      <c r="AB19" s="74" t="str">
        <f t="shared" si="6"/>
        <v/>
      </c>
      <c r="AC19" s="74" t="str">
        <f t="shared" si="6"/>
        <v/>
      </c>
      <c r="AD19" s="74" t="str">
        <f t="shared" si="6"/>
        <v/>
      </c>
      <c r="AF19" s="74" t="str">
        <f>IF(AA19="","",IF(COUNTIF(Route!$AM:$AM,'Add-on Train Movement Log'!AA19)=0,"未有資料",VLOOKUP('Add-on Train Movement Log'!AA19,Route!$AM:$AP,3,0)))</f>
        <v/>
      </c>
      <c r="AG19" s="74" t="str">
        <f>IF(AB19="","",IF(COUNTIF(Route!$AM:$AM,'Add-on Train Movement Log'!AB19)=0,"未有資料",VLOOKUP('Add-on Train Movement Log'!AB19,Route!$AM:$AP,3,0)))</f>
        <v/>
      </c>
      <c r="AH19" s="74" t="str">
        <f>IF(AC19="","",IF(COUNTIF(Route!$AM:$AM,'Add-on Train Movement Log'!AC19)=0,"未有資料",VLOOKUP('Add-on Train Movement Log'!AC19,Route!$AM:$AP,3,0)))</f>
        <v/>
      </c>
      <c r="AI19" s="74" t="str">
        <f>IF(AD19="","",IF(COUNTIF(Route!$AM:$AM,'Add-on Train Movement Log'!AD19)=0,"未有資料",VLOOKUP('Add-on Train Movement Log'!AD19,Route!$AM:$AP,3,0)))</f>
        <v/>
      </c>
      <c r="AK19" s="74" t="str">
        <f>IF(AA19="","",IF(COUNTIF(Route!$AM:$AM,'Add-on Train Movement Log'!AA19)=0,"未有資料",VLOOKUP('Add-on Train Movement Log'!AA19,Route!$AM:$AP,4,0)))</f>
        <v/>
      </c>
      <c r="AL19" s="74" t="str">
        <f>IF(AB19="","",IF(COUNTIF(Route!$AM:$AM,'Add-on Train Movement Log'!AB19)=0,"未有資料",VLOOKUP('Add-on Train Movement Log'!AB19,Route!$AM:$AP,4,0)))</f>
        <v/>
      </c>
      <c r="AM19" s="74" t="str">
        <f>IF(AC19="","",IF(COUNTIF(Route!$AM:$AM,'Add-on Train Movement Log'!AC19)=0,"未有資料",VLOOKUP('Add-on Train Movement Log'!AC19,Route!$AM:$AP,4,0)))</f>
        <v/>
      </c>
      <c r="AN19" s="74" t="str">
        <f>IF(AD19="","",IF(COUNTIF(Route!$AM:$AM,'Add-on Train Movement Log'!AD19)=0,"未有資料",VLOOKUP('Add-on Train Movement Log'!AD19,Route!$AM:$AP,4,0)))</f>
        <v/>
      </c>
      <c r="AP19" s="74" t="str">
        <f t="shared" si="7"/>
        <v/>
      </c>
      <c r="AQ19" s="76" t="str">
        <f t="shared" si="8"/>
        <v/>
      </c>
      <c r="AR19" s="80" t="str">
        <f>IF($U19="","",IF(COUNTIF(choice!$D:$D,CONCATENATE($U19,"@",AR$7))=0,"",VLOOKUP(CONCATENATE($U19,"@",AR$7),choice!$D:$E,2,0)))</f>
        <v/>
      </c>
      <c r="AS19" s="74" t="str">
        <f>IF($U19="","",IF(COUNTIF(choice!$D:$D,CONCATENATE($U19,"@",AS$7))=0,"",VLOOKUP(CONCATENATE($U19,"@",AS$7),choice!$D:$E,2,0)))</f>
        <v/>
      </c>
      <c r="AT19" s="74" t="str">
        <f>IF($U19="","",IF(COUNTIF(choice!$D:$D,CONCATENATE($U19,"@",AT$7))=0,"",VLOOKUP(CONCATENATE($U19,"@",AT$7),choice!$D:$E,2,0)))</f>
        <v/>
      </c>
      <c r="AU19" s="74" t="str">
        <f>IF($U19="","",IF(COUNTIF(choice!$D:$D,CONCATENATE($U19,"@",AU$7))=0,"",VLOOKUP(CONCATENATE($U19,"@",AU$7),choice!$D:$E,2,0)))</f>
        <v/>
      </c>
      <c r="AV19" s="74" t="str">
        <f>IF($U19="","",IF(COUNTIF(choice!$D:$D,CONCATENATE($U19,"@",AV$7))=0,"",VLOOKUP(CONCATENATE($U19,"@",AV$7),choice!$D:$E,2,0)))</f>
        <v/>
      </c>
      <c r="AW19" s="74" t="str">
        <f>IF($U19="","",IF(COUNTIF(choice!$D:$D,CONCATENATE($U19,"@",AW$7))=0,"",VLOOKUP(CONCATENATE($U19,"@",AW$7),choice!$D:$E,2,0)))</f>
        <v/>
      </c>
      <c r="AX19" s="74" t="str">
        <f>IF($U19="","",IF(COUNTIF(choice!$D:$D,CONCATENATE($U19,"@",AX$7))=0,"",VLOOKUP(CONCATENATE($U19,"@",AX$7),choice!$D:$E,2,0)))</f>
        <v/>
      </c>
      <c r="AY19" s="74" t="str">
        <f>IF($U19="","",IF(COUNTIF(choice!$D:$D,CONCATENATE($U19,"@",AY$7))=0,"",VLOOKUP(CONCATENATE($U19,"@",AY$7),choice!$D:$E,2,0)))</f>
        <v/>
      </c>
      <c r="AZ19" s="74" t="str">
        <f>IF($U19="","",IF(COUNTIF(choice!$D:$D,CONCATENATE($U19,"@",AZ$7))=0,"",VLOOKUP(CONCATENATE($U19,"@",AZ$7),choice!$D:$E,2,0)))</f>
        <v/>
      </c>
      <c r="BA19" s="74" t="str">
        <f>IF($U19="","",IF(COUNTIF(choice!$D:$D,CONCATENATE($U19,"@",BA$7))=0,"",VLOOKUP(CONCATENATE($U19,"@",BA$7),choice!$D:$E,2,0)))</f>
        <v/>
      </c>
      <c r="BB19" s="74" t="str">
        <f>IF($U19="","",IF(COUNTIF(choice!$D:$D,CONCATENATE($U19,"@",BB$7))=0,"",VLOOKUP(CONCATENATE($U19,"@",BB$7),choice!$D:$E,2,0)))</f>
        <v/>
      </c>
      <c r="BC19" s="74" t="str">
        <f>IF($U19="","",IF(COUNTIF(choice!$D:$D,CONCATENATE($U19,"@",BC$7))=0,"",VLOOKUP(CONCATENATE($U19,"@",BC$7),choice!$D:$E,2,0)))</f>
        <v/>
      </c>
      <c r="BD19" s="74" t="str">
        <f>IF($U19="","",IF(COUNTIF(choice!$D:$D,CONCATENATE($U19,"@",BD$7))=0,"",VLOOKUP(CONCATENATE($U19,"@",BD$7),choice!$D:$E,2,0)))</f>
        <v/>
      </c>
      <c r="BE19" s="74" t="str">
        <f>IF($U19="","",IF(COUNTIF(choice!$D:$D,CONCATENATE($U19,"@",BE$7))=0,"",VLOOKUP(CONCATENATE($U19,"@",BE$7),choice!$D:$E,2,0)))</f>
        <v/>
      </c>
      <c r="BF19" s="74" t="str">
        <f>IF($U19="","",IF(COUNTIF(choice!$D:$D,CONCATENATE($U19,"@",BF$7))=0,"",VLOOKUP(CONCATENATE($U19,"@",BF$7),choice!$D:$E,2,0)))</f>
        <v/>
      </c>
      <c r="BG19" s="74" t="str">
        <f>IF($U19="","",IF(COUNTIF(choice!$D:$D,CONCATENATE($U19,"@",BG$7))=0,"",VLOOKUP(CONCATENATE($U19,"@",BG$7),choice!$D:$E,2,0)))</f>
        <v/>
      </c>
      <c r="BH19" s="74" t="str">
        <f>IF($U19="","",IF(COUNTIF(choice!$D:$D,CONCATENATE($U19,"@",BH$7))=0,"",VLOOKUP(CONCATENATE($U19,"@",BH$7),choice!$D:$E,2,0)))</f>
        <v/>
      </c>
      <c r="BI19" s="74" t="str">
        <f>IF($U19="","",IF(COUNTIF(choice!$D:$D,CONCATENATE($U19,"@",BI$7))=0,"",VLOOKUP(CONCATENATE($U19,"@",BI$7),choice!$D:$E,2,0)))</f>
        <v/>
      </c>
      <c r="BJ19" s="74" t="str">
        <f>IF($U19="","",IF(COUNTIF(choice!$D:$D,CONCATENATE($U19,"@",BJ$7))=0,"",VLOOKUP(CONCATENATE($U19,"@",BJ$7),choice!$D:$E,2,0)))</f>
        <v/>
      </c>
      <c r="BK19" s="74" t="str">
        <f>IF($U19="","",IF(COUNTIF(choice!$D:$D,CONCATENATE($U19,"@",BK$7))=0,"",VLOOKUP(CONCATENATE($U19,"@",BK$7),choice!$D:$E,2,0)))</f>
        <v/>
      </c>
      <c r="BL19" s="74" t="str">
        <f>IF($U19="","",IF(COUNTIF(choice!$D:$D,CONCATENATE($U19,"@",BL$7))=0,"",VLOOKUP(CONCATENATE($U19,"@",BL$7),choice!$D:$E,2,0)))</f>
        <v/>
      </c>
      <c r="BM19" s="74" t="str">
        <f>IF($U19="","",IF(COUNTIF(choice!$D:$D,CONCATENATE($U19,"@",BM$7))=0,"",VLOOKUP(CONCATENATE($U19,"@",BM$7),choice!$D:$E,2,0)))</f>
        <v/>
      </c>
      <c r="BN19" s="74" t="str">
        <f>IF($U19="","",IF(COUNTIF(choice!$D:$D,CONCATENATE($U19,"@",BN$7))=0,"",VLOOKUP(CONCATENATE($U19,"@",BN$7),choice!$D:$E,2,0)))</f>
        <v/>
      </c>
      <c r="BO19" s="74" t="str">
        <f>IF($U19="","",IF(COUNTIF(choice!$D:$D,CONCATENATE($U19,"@",BO$7))=0,"",VLOOKUP(CONCATENATE($U19,"@",BO$7),choice!$D:$E,2,0)))</f>
        <v/>
      </c>
      <c r="BP19" s="74" t="str">
        <f>IF($U19="","",IF(COUNTIF(choice!$D:$D,CONCATENATE($U19,"@",BP$7))=0,"",VLOOKUP(CONCATENATE($U19,"@",BP$7),choice!$D:$E,2,0)))</f>
        <v/>
      </c>
      <c r="BQ19" s="74" t="str">
        <f>IF($U19="","",IF(COUNTIF(choice!$D:$D,CONCATENATE($U19,"@",BQ$7))=0,"",VLOOKUP(CONCATENATE($U19,"@",BQ$7),choice!$D:$E,2,0)))</f>
        <v/>
      </c>
      <c r="BR19" s="74" t="str">
        <f>IF($U19="","",IF(COUNTIF(choice!$D:$D,CONCATENATE($U19,"@",BR$7))=0,"",VLOOKUP(CONCATENATE($U19,"@",BR$7),choice!$D:$E,2,0)))</f>
        <v/>
      </c>
      <c r="BS19" s="74" t="str">
        <f>IF($U19="","",IF(COUNTIF(choice!$D:$D,CONCATENATE($U19,"@",BS$7))=0,"",VLOOKUP(CONCATENATE($U19,"@",BS$7),choice!$D:$E,2,0)))</f>
        <v/>
      </c>
      <c r="BT19" s="74" t="str">
        <f>IF($U19="","",IF(COUNTIF(choice!$D:$D,CONCATENATE($U19,"@",BT$7))=0,"",VLOOKUP(CONCATENATE($U19,"@",BT$7),choice!$D:$E,2,0)))</f>
        <v/>
      </c>
      <c r="BU19" s="74" t="str">
        <f>IF($U19="","",IF(COUNTIF(choice!$D:$D,CONCATENATE($U19,"@",BU$7))=0,"",VLOOKUP(CONCATENATE($U19,"@",BU$7),choice!$D:$E,2,0)))</f>
        <v/>
      </c>
      <c r="BV19" s="74" t="str">
        <f>IF($U19="","",IF(COUNTIF(choice!$D:$D,CONCATENATE($U19,"@",BV$7))=0,"",VLOOKUP(CONCATENATE($U19,"@",BV$7),choice!$D:$E,2,0)))</f>
        <v/>
      </c>
      <c r="BW19" s="74" t="str">
        <f>IF($U19="","",IF(COUNTIF(choice!$D:$D,CONCATENATE($U19,"@",BW$7))=0,"",VLOOKUP(CONCATENATE($U19,"@",BW$7),choice!$D:$E,2,0)))</f>
        <v/>
      </c>
      <c r="BX19" s="74" t="str">
        <f>IF($U19="","",IF(COUNTIF(choice!$D:$D,CONCATENATE($U19,"@",BX$7))=0,"",VLOOKUP(CONCATENATE($U19,"@",BX$7),choice!$D:$E,2,0)))</f>
        <v/>
      </c>
      <c r="BY19" s="74" t="str">
        <f>IF($U19="","",IF(COUNTIF(choice!$D:$D,CONCATENATE($U19,"@",BY$7))=0,"",VLOOKUP(CONCATENATE($U19,"@",BY$7),choice!$D:$E,2,0)))</f>
        <v/>
      </c>
      <c r="BZ19" s="74" t="str">
        <f>IF($U19="","",IF(COUNTIF(choice!$D:$D,CONCATENATE($U19,"@",BZ$7))=0,"",VLOOKUP(CONCATENATE($U19,"@",BZ$7),choice!$D:$E,2,0)))</f>
        <v/>
      </c>
      <c r="CA19" s="74" t="str">
        <f>IF($U19="","",IF(COUNTIF(choice!$D:$D,CONCATENATE($U19,"@",CA$7))=0,"",VLOOKUP(CONCATENATE($U19,"@",CA$7),choice!$D:$E,2,0)))</f>
        <v/>
      </c>
      <c r="CB19" s="74" t="str">
        <f>IF($U19="","",IF(COUNTIF(choice!$D:$D,CONCATENATE($U19,"@",CB$7))=0,"",VLOOKUP(CONCATENATE($U19,"@",CB$7),choice!$D:$E,2,0)))</f>
        <v/>
      </c>
      <c r="CC19" s="74" t="str">
        <f>IF($U19="","",IF(COUNTIF(choice!$D:$D,CONCATENATE($U19,"@",CC$7))=0,"",VLOOKUP(CONCATENATE($U19,"@",CC$7),choice!$D:$E,2,0)))</f>
        <v/>
      </c>
      <c r="CD19" s="74" t="str">
        <f>IF($U19="","",IF(COUNTIF(choice!$D:$D,CONCATENATE($U19,"@",CD$7))=0,"",VLOOKUP(CONCATENATE($U19,"@",CD$7),choice!$D:$E,2,0)))</f>
        <v/>
      </c>
      <c r="CE19" s="74" t="str">
        <f>IF($U19="","",IF(COUNTIF(choice!$D:$D,CONCATENATE($U19,"@",CE$7))=0,"",VLOOKUP(CONCATENATE($U19,"@",CE$7),choice!$D:$E,2,0)))</f>
        <v/>
      </c>
      <c r="CF19" s="74" t="str">
        <f>IF($U19="","",IF(COUNTIF(choice!$D:$D,CONCATENATE($U19,"@",CF$7))=0,"",VLOOKUP(CONCATENATE($U19,"@",CF$7),choice!$D:$E,2,0)))</f>
        <v/>
      </c>
      <c r="CG19" s="74" t="str">
        <f>IF($U19="","",IF(COUNTIF(choice!$D:$D,CONCATENATE($U19,"@",CG$7))=0,"",VLOOKUP(CONCATENATE($U19,"@",CG$7),choice!$D:$E,2,0)))</f>
        <v/>
      </c>
      <c r="CH19" s="74" t="str">
        <f>IF($U19="","",IF(COUNTIF(choice!$D:$D,CONCATENATE($U19,"@",CH$7))=0,"",VLOOKUP(CONCATENATE($U19,"@",CH$7),choice!$D:$E,2,0)))</f>
        <v/>
      </c>
      <c r="CI19" s="74" t="str">
        <f>IF($U19="","",IF(COUNTIF(choice!$D:$D,CONCATENATE($U19,"@",CI$7))=0,"",VLOOKUP(CONCATENATE($U19,"@",CI$7),choice!$D:$E,2,0)))</f>
        <v/>
      </c>
      <c r="CJ19" s="81" t="str">
        <f>IF($U19="","",IF(COUNTIF(choice!$D:$D,CONCATENATE($U19,"@",CJ$7))=0,"",VLOOKUP(CONCATENATE($U19,"@",CJ$7),choice!$D:$E,2,0)))</f>
        <v/>
      </c>
      <c r="CK19" s="80" t="str">
        <f>IF($V19="","",IF(COUNTIF(choice!$D:$D,CONCATENATE($V19,"@",CK$7))=0,"",VLOOKUP(CONCATENATE($V19,"@",CK$7),choice!$D:$E,2,0)))</f>
        <v/>
      </c>
      <c r="CL19" s="74" t="str">
        <f>IF($V19="","",IF(COUNTIF(choice!$D:$D,CONCATENATE($V19,"@",CL$7))=0,"",VLOOKUP(CONCATENATE($V19,"@",CL$7),choice!$D:$E,2,0)))</f>
        <v/>
      </c>
      <c r="CM19" s="74" t="str">
        <f>IF($V19="","",IF(COUNTIF(choice!$D:$D,CONCATENATE($V19,"@",CM$7))=0,"",VLOOKUP(CONCATENATE($V19,"@",CM$7),choice!$D:$E,2,0)))</f>
        <v/>
      </c>
      <c r="CN19" s="74" t="str">
        <f>IF($V19="","",IF(COUNTIF(choice!$D:$D,CONCATENATE($V19,"@",CN$7))=0,"",VLOOKUP(CONCATENATE($V19,"@",CN$7),choice!$D:$E,2,0)))</f>
        <v/>
      </c>
      <c r="CO19" s="74" t="str">
        <f>IF($V19="","",IF(COUNTIF(choice!$D:$D,CONCATENATE($V19,"@",CO$7))=0,"",VLOOKUP(CONCATENATE($V19,"@",CO$7),choice!$D:$E,2,0)))</f>
        <v/>
      </c>
      <c r="CP19" s="74" t="str">
        <f>IF($V19="","",IF(COUNTIF(choice!$D:$D,CONCATENATE($V19,"@",CP$7))=0,"",VLOOKUP(CONCATENATE($V19,"@",CP$7),choice!$D:$E,2,0)))</f>
        <v/>
      </c>
      <c r="CQ19" s="74" t="str">
        <f>IF($V19="","",IF(COUNTIF(choice!$D:$D,CONCATENATE($V19,"@",CQ$7))=0,"",VLOOKUP(CONCATENATE($V19,"@",CQ$7),choice!$D:$E,2,0)))</f>
        <v/>
      </c>
      <c r="CR19" s="74" t="str">
        <f>IF($V19="","",IF(COUNTIF(choice!$D:$D,CONCATENATE($V19,"@",CR$7))=0,"",VLOOKUP(CONCATENATE($V19,"@",CR$7),choice!$D:$E,2,0)))</f>
        <v/>
      </c>
      <c r="CS19" s="74" t="str">
        <f>IF($V19="","",IF(COUNTIF(choice!$D:$D,CONCATENATE($V19,"@",CS$7))=0,"",VLOOKUP(CONCATENATE($V19,"@",CS$7),choice!$D:$E,2,0)))</f>
        <v/>
      </c>
      <c r="CT19" s="74" t="str">
        <f>IF($V19="","",IF(COUNTIF(choice!$D:$D,CONCATENATE($V19,"@",CT$7))=0,"",VLOOKUP(CONCATENATE($V19,"@",CT$7),choice!$D:$E,2,0)))</f>
        <v/>
      </c>
      <c r="CU19" s="74" t="str">
        <f>IF($V19="","",IF(COUNTIF(choice!$D:$D,CONCATENATE($V19,"@",CU$7))=0,"",VLOOKUP(CONCATENATE($V19,"@",CU$7),choice!$D:$E,2,0)))</f>
        <v/>
      </c>
      <c r="CV19" s="74" t="str">
        <f>IF($V19="","",IF(COUNTIF(choice!$D:$D,CONCATENATE($V19,"@",CV$7))=0,"",VLOOKUP(CONCATENATE($V19,"@",CV$7),choice!$D:$E,2,0)))</f>
        <v/>
      </c>
      <c r="CW19" s="74" t="str">
        <f>IF($V19="","",IF(COUNTIF(choice!$D:$D,CONCATENATE($V19,"@",CW$7))=0,"",VLOOKUP(CONCATENATE($V19,"@",CW$7),choice!$D:$E,2,0)))</f>
        <v/>
      </c>
      <c r="CX19" s="74" t="str">
        <f>IF($V19="","",IF(COUNTIF(choice!$D:$D,CONCATENATE($V19,"@",CX$7))=0,"",VLOOKUP(CONCATENATE($V19,"@",CX$7),choice!$D:$E,2,0)))</f>
        <v/>
      </c>
      <c r="CY19" s="74" t="str">
        <f>IF($V19="","",IF(COUNTIF(choice!$D:$D,CONCATENATE($V19,"@",CY$7))=0,"",VLOOKUP(CONCATENATE($V19,"@",CY$7),choice!$D:$E,2,0)))</f>
        <v/>
      </c>
      <c r="CZ19" s="74" t="str">
        <f>IF($V19="","",IF(COUNTIF(choice!$D:$D,CONCATENATE($V19,"@",CZ$7))=0,"",VLOOKUP(CONCATENATE($V19,"@",CZ$7),choice!$D:$E,2,0)))</f>
        <v/>
      </c>
      <c r="DA19" s="74" t="str">
        <f>IF($V19="","",IF(COUNTIF(choice!$D:$D,CONCATENATE($V19,"@",DA$7))=0,"",VLOOKUP(CONCATENATE($V19,"@",DA$7),choice!$D:$E,2,0)))</f>
        <v/>
      </c>
      <c r="DB19" s="74" t="str">
        <f>IF($V19="","",IF(COUNTIF(choice!$D:$D,CONCATENATE($V19,"@",DB$7))=0,"",VLOOKUP(CONCATENATE($V19,"@",DB$7),choice!$D:$E,2,0)))</f>
        <v/>
      </c>
      <c r="DC19" s="74" t="str">
        <f>IF($V19="","",IF(COUNTIF(choice!$D:$D,CONCATENATE($V19,"@",DC$7))=0,"",VLOOKUP(CONCATENATE($V19,"@",DC$7),choice!$D:$E,2,0)))</f>
        <v/>
      </c>
      <c r="DD19" s="74" t="str">
        <f>IF($V19="","",IF(COUNTIF(choice!$D:$D,CONCATENATE($V19,"@",DD$7))=0,"",VLOOKUP(CONCATENATE($V19,"@",DD$7),choice!$D:$E,2,0)))</f>
        <v/>
      </c>
      <c r="DE19" s="74" t="str">
        <f>IF($V19="","",IF(COUNTIF(choice!$D:$D,CONCATENATE($V19,"@",DE$7))=0,"",VLOOKUP(CONCATENATE($V19,"@",DE$7),choice!$D:$E,2,0)))</f>
        <v/>
      </c>
      <c r="DF19" s="74" t="str">
        <f>IF($V19="","",IF(COUNTIF(choice!$D:$D,CONCATENATE($V19,"@",DF$7))=0,"",VLOOKUP(CONCATENATE($V19,"@",DF$7),choice!$D:$E,2,0)))</f>
        <v/>
      </c>
      <c r="DG19" s="74" t="str">
        <f>IF($V19="","",IF(COUNTIF(choice!$D:$D,CONCATENATE($V19,"@",DG$7))=0,"",VLOOKUP(CONCATENATE($V19,"@",DG$7),choice!$D:$E,2,0)))</f>
        <v/>
      </c>
      <c r="DH19" s="74" t="str">
        <f>IF($V19="","",IF(COUNTIF(choice!$D:$D,CONCATENATE($V19,"@",DH$7))=0,"",VLOOKUP(CONCATENATE($V19,"@",DH$7),choice!$D:$E,2,0)))</f>
        <v/>
      </c>
      <c r="DI19" s="74" t="str">
        <f>IF($V19="","",IF(COUNTIF(choice!$D:$D,CONCATENATE($V19,"@",DI$7))=0,"",VLOOKUP(CONCATENATE($V19,"@",DI$7),choice!$D:$E,2,0)))</f>
        <v/>
      </c>
      <c r="DJ19" s="74" t="str">
        <f>IF($V19="","",IF(COUNTIF(choice!$D:$D,CONCATENATE($V19,"@",DJ$7))=0,"",VLOOKUP(CONCATENATE($V19,"@",DJ$7),choice!$D:$E,2,0)))</f>
        <v/>
      </c>
      <c r="DK19" s="74" t="str">
        <f>IF($V19="","",IF(COUNTIF(choice!$D:$D,CONCATENATE($V19,"@",DK$7))=0,"",VLOOKUP(CONCATENATE($V19,"@",DK$7),choice!$D:$E,2,0)))</f>
        <v/>
      </c>
      <c r="DL19" s="74" t="str">
        <f>IF($V19="","",IF(COUNTIF(choice!$D:$D,CONCATENATE($V19,"@",DL$7))=0,"",VLOOKUP(CONCATENATE($V19,"@",DL$7),choice!$D:$E,2,0)))</f>
        <v/>
      </c>
      <c r="DM19" s="74" t="str">
        <f>IF($V19="","",IF(COUNTIF(choice!$D:$D,CONCATENATE($V19,"@",DM$7))=0,"",VLOOKUP(CONCATENATE($V19,"@",DM$7),choice!$D:$E,2,0)))</f>
        <v/>
      </c>
      <c r="DN19" s="74" t="str">
        <f>IF($V19="","",IF(COUNTIF(choice!$D:$D,CONCATENATE($V19,"@",DN$7))=0,"",VLOOKUP(CONCATENATE($V19,"@",DN$7),choice!$D:$E,2,0)))</f>
        <v/>
      </c>
      <c r="DO19" s="74" t="str">
        <f>IF($V19="","",IF(COUNTIF(choice!$D:$D,CONCATENATE($V19,"@",DO$7))=0,"",VLOOKUP(CONCATENATE($V19,"@",DO$7),choice!$D:$E,2,0)))</f>
        <v/>
      </c>
      <c r="DP19" s="74" t="str">
        <f>IF($V19="","",IF(COUNTIF(choice!$D:$D,CONCATENATE($V19,"@",DP$7))=0,"",VLOOKUP(CONCATENATE($V19,"@",DP$7),choice!$D:$E,2,0)))</f>
        <v/>
      </c>
      <c r="DQ19" s="74" t="str">
        <f>IF($V19="","",IF(COUNTIF(choice!$D:$D,CONCATENATE($V19,"@",DQ$7))=0,"",VLOOKUP(CONCATENATE($V19,"@",DQ$7),choice!$D:$E,2,0)))</f>
        <v/>
      </c>
      <c r="DR19" s="74" t="str">
        <f>IF($V19="","",IF(COUNTIF(choice!$D:$D,CONCATENATE($V19,"@",DR$7))=0,"",VLOOKUP(CONCATENATE($V19,"@",DR$7),choice!$D:$E,2,0)))</f>
        <v/>
      </c>
      <c r="DS19" s="74" t="str">
        <f>IF($V19="","",IF(COUNTIF(choice!$D:$D,CONCATENATE($V19,"@",DS$7))=0,"",VLOOKUP(CONCATENATE($V19,"@",DS$7),choice!$D:$E,2,0)))</f>
        <v/>
      </c>
      <c r="DT19" s="74" t="str">
        <f>IF($V19="","",IF(COUNTIF(choice!$D:$D,CONCATENATE($V19,"@",DT$7))=0,"",VLOOKUP(CONCATENATE($V19,"@",DT$7),choice!$D:$E,2,0)))</f>
        <v/>
      </c>
      <c r="DU19" s="74" t="str">
        <f>IF($V19="","",IF(COUNTIF(choice!$D:$D,CONCATENATE($V19,"@",DU$7))=0,"",VLOOKUP(CONCATENATE($V19,"@",DU$7),choice!$D:$E,2,0)))</f>
        <v/>
      </c>
      <c r="DV19" s="74" t="str">
        <f>IF($V19="","",IF(COUNTIF(choice!$D:$D,CONCATENATE($V19,"@",DV$7))=0,"",VLOOKUP(CONCATENATE($V19,"@",DV$7),choice!$D:$E,2,0)))</f>
        <v/>
      </c>
      <c r="DW19" s="74" t="str">
        <f>IF($V19="","",IF(COUNTIF(choice!$D:$D,CONCATENATE($V19,"@",DW$7))=0,"",VLOOKUP(CONCATENATE($V19,"@",DW$7),choice!$D:$E,2,0)))</f>
        <v/>
      </c>
      <c r="DX19" s="74" t="str">
        <f>IF($V19="","",IF(COUNTIF(choice!$D:$D,CONCATENATE($V19,"@",DX$7))=0,"",VLOOKUP(CONCATENATE($V19,"@",DX$7),choice!$D:$E,2,0)))</f>
        <v/>
      </c>
      <c r="DY19" s="74" t="str">
        <f>IF($V19="","",IF(COUNTIF(choice!$D:$D,CONCATENATE($V19,"@",DY$7))=0,"",VLOOKUP(CONCATENATE($V19,"@",DY$7),choice!$D:$E,2,0)))</f>
        <v/>
      </c>
      <c r="DZ19" s="74" t="str">
        <f>IF($V19="","",IF(COUNTIF(choice!$D:$D,CONCATENATE($V19,"@",DZ$7))=0,"",VLOOKUP(CONCATENATE($V19,"@",DZ$7),choice!$D:$E,2,0)))</f>
        <v/>
      </c>
      <c r="EA19" s="74" t="str">
        <f>IF($V19="","",IF(COUNTIF(choice!$D:$D,CONCATENATE($V19,"@",EA$7))=0,"",VLOOKUP(CONCATENATE($V19,"@",EA$7),choice!$D:$E,2,0)))</f>
        <v/>
      </c>
      <c r="EB19" s="74" t="str">
        <f>IF($V19="","",IF(COUNTIF(choice!$D:$D,CONCATENATE($V19,"@",EB$7))=0,"",VLOOKUP(CONCATENATE($V19,"@",EB$7),choice!$D:$E,2,0)))</f>
        <v/>
      </c>
      <c r="EC19" s="81" t="str">
        <f>IF($V19="","",IF(COUNTIF(choice!$D:$D,CONCATENATE($V19,"@",EC$7))=0,"",VLOOKUP(CONCATENATE($V19,"@",EC$7),choice!$D:$E,2,0)))</f>
        <v/>
      </c>
      <c r="ED19" s="80" t="str">
        <f>IF($W19="","",IF(COUNTIF(choice!$D:$D,CONCATENATE($W19,"@",ED$7))=0,"",VLOOKUP(CONCATENATE($W19,"@",ED$7),choice!$D:$E,2,0)))</f>
        <v/>
      </c>
      <c r="EE19" s="74" t="str">
        <f>IF($W19="","",IF(COUNTIF(choice!$D:$D,CONCATENATE($W19,"@",EE$7))=0,"",VLOOKUP(CONCATENATE($W19,"@",EE$7),choice!$D:$E,2,0)))</f>
        <v/>
      </c>
      <c r="EF19" s="74" t="str">
        <f>IF($W19="","",IF(COUNTIF(choice!$D:$D,CONCATENATE($W19,"@",EF$7))=0,"",VLOOKUP(CONCATENATE($W19,"@",EF$7),choice!$D:$E,2,0)))</f>
        <v/>
      </c>
      <c r="EG19" s="74" t="str">
        <f>IF($W19="","",IF(COUNTIF(choice!$D:$D,CONCATENATE($W19,"@",EG$7))=0,"",VLOOKUP(CONCATENATE($W19,"@",EG$7),choice!$D:$E,2,0)))</f>
        <v/>
      </c>
      <c r="EH19" s="74" t="str">
        <f>IF($W19="","",IF(COUNTIF(choice!$D:$D,CONCATENATE($W19,"@",EH$7))=0,"",VLOOKUP(CONCATENATE($W19,"@",EH$7),choice!$D:$E,2,0)))</f>
        <v/>
      </c>
      <c r="EI19" s="74" t="str">
        <f>IF($W19="","",IF(COUNTIF(choice!$D:$D,CONCATENATE($W19,"@",EI$7))=0,"",VLOOKUP(CONCATENATE($W19,"@",EI$7),choice!$D:$E,2,0)))</f>
        <v/>
      </c>
      <c r="EJ19" s="74" t="str">
        <f>IF($W19="","",IF(COUNTIF(choice!$D:$D,CONCATENATE($W19,"@",EJ$7))=0,"",VLOOKUP(CONCATENATE($W19,"@",EJ$7),choice!$D:$E,2,0)))</f>
        <v/>
      </c>
      <c r="EK19" s="74" t="str">
        <f>IF($W19="","",IF(COUNTIF(choice!$D:$D,CONCATENATE($W19,"@",EK$7))=0,"",VLOOKUP(CONCATENATE($W19,"@",EK$7),choice!$D:$E,2,0)))</f>
        <v/>
      </c>
      <c r="EL19" s="74" t="str">
        <f>IF($W19="","",IF(COUNTIF(choice!$D:$D,CONCATENATE($W19,"@",EL$7))=0,"",VLOOKUP(CONCATENATE($W19,"@",EL$7),choice!$D:$E,2,0)))</f>
        <v/>
      </c>
      <c r="EM19" s="74" t="str">
        <f>IF($W19="","",IF(COUNTIF(choice!$D:$D,CONCATENATE($W19,"@",EM$7))=0,"",VLOOKUP(CONCATENATE($W19,"@",EM$7),choice!$D:$E,2,0)))</f>
        <v/>
      </c>
      <c r="EN19" s="74" t="str">
        <f>IF($W19="","",IF(COUNTIF(choice!$D:$D,CONCATENATE($W19,"@",EN$7))=0,"",VLOOKUP(CONCATENATE($W19,"@",EN$7),choice!$D:$E,2,0)))</f>
        <v/>
      </c>
      <c r="EO19" s="74" t="str">
        <f>IF($W19="","",IF(COUNTIF(choice!$D:$D,CONCATENATE($W19,"@",EO$7))=0,"",VLOOKUP(CONCATENATE($W19,"@",EO$7),choice!$D:$E,2,0)))</f>
        <v/>
      </c>
      <c r="EP19" s="74" t="str">
        <f>IF($W19="","",IF(COUNTIF(choice!$D:$D,CONCATENATE($W19,"@",EP$7))=0,"",VLOOKUP(CONCATENATE($W19,"@",EP$7),choice!$D:$E,2,0)))</f>
        <v/>
      </c>
      <c r="EQ19" s="74" t="str">
        <f>IF($W19="","",IF(COUNTIF(choice!$D:$D,CONCATENATE($W19,"@",EQ$7))=0,"",VLOOKUP(CONCATENATE($W19,"@",EQ$7),choice!$D:$E,2,0)))</f>
        <v/>
      </c>
      <c r="ER19" s="74" t="str">
        <f>IF($W19="","",IF(COUNTIF(choice!$D:$D,CONCATENATE($W19,"@",ER$7))=0,"",VLOOKUP(CONCATENATE($W19,"@",ER$7),choice!$D:$E,2,0)))</f>
        <v/>
      </c>
      <c r="ES19" s="74" t="str">
        <f>IF($W19="","",IF(COUNTIF(choice!$D:$D,CONCATENATE($W19,"@",ES$7))=0,"",VLOOKUP(CONCATENATE($W19,"@",ES$7),choice!$D:$E,2,0)))</f>
        <v/>
      </c>
      <c r="ET19" s="74" t="str">
        <f>IF($W19="","",IF(COUNTIF(choice!$D:$D,CONCATENATE($W19,"@",ET$7))=0,"",VLOOKUP(CONCATENATE($W19,"@",ET$7),choice!$D:$E,2,0)))</f>
        <v/>
      </c>
      <c r="EU19" s="74" t="str">
        <f>IF($W19="","",IF(COUNTIF(choice!$D:$D,CONCATENATE($W19,"@",EU$7))=0,"",VLOOKUP(CONCATENATE($W19,"@",EU$7),choice!$D:$E,2,0)))</f>
        <v/>
      </c>
      <c r="EV19" s="74" t="str">
        <f>IF($W19="","",IF(COUNTIF(choice!$D:$D,CONCATENATE($W19,"@",EV$7))=0,"",VLOOKUP(CONCATENATE($W19,"@",EV$7),choice!$D:$E,2,0)))</f>
        <v/>
      </c>
      <c r="EW19" s="74" t="str">
        <f>IF($W19="","",IF(COUNTIF(choice!$D:$D,CONCATENATE($W19,"@",EW$7))=0,"",VLOOKUP(CONCATENATE($W19,"@",EW$7),choice!$D:$E,2,0)))</f>
        <v/>
      </c>
      <c r="EX19" s="74" t="str">
        <f>IF($W19="","",IF(COUNTIF(choice!$D:$D,CONCATENATE($W19,"@",EX$7))=0,"",VLOOKUP(CONCATENATE($W19,"@",EX$7),choice!$D:$E,2,0)))</f>
        <v/>
      </c>
      <c r="EY19" s="74" t="str">
        <f>IF($W19="","",IF(COUNTIF(choice!$D:$D,CONCATENATE($W19,"@",EY$7))=0,"",VLOOKUP(CONCATENATE($W19,"@",EY$7),choice!$D:$E,2,0)))</f>
        <v/>
      </c>
      <c r="EZ19" s="74" t="str">
        <f>IF($W19="","",IF(COUNTIF(choice!$D:$D,CONCATENATE($W19,"@",EZ$7))=0,"",VLOOKUP(CONCATENATE($W19,"@",EZ$7),choice!$D:$E,2,0)))</f>
        <v/>
      </c>
      <c r="FA19" s="74" t="str">
        <f>IF($W19="","",IF(COUNTIF(choice!$D:$D,CONCATENATE($W19,"@",FA$7))=0,"",VLOOKUP(CONCATENATE($W19,"@",FA$7),choice!$D:$E,2,0)))</f>
        <v/>
      </c>
      <c r="FB19" s="74" t="str">
        <f>IF($W19="","",IF(COUNTIF(choice!$D:$D,CONCATENATE($W19,"@",FB$7))=0,"",VLOOKUP(CONCATENATE($W19,"@",FB$7),choice!$D:$E,2,0)))</f>
        <v/>
      </c>
      <c r="FC19" s="74" t="str">
        <f>IF($W19="","",IF(COUNTIF(choice!$D:$D,CONCATENATE($W19,"@",FC$7))=0,"",VLOOKUP(CONCATENATE($W19,"@",FC$7),choice!$D:$E,2,0)))</f>
        <v/>
      </c>
      <c r="FD19" s="74" t="str">
        <f>IF($W19="","",IF(COUNTIF(choice!$D:$D,CONCATENATE($W19,"@",FD$7))=0,"",VLOOKUP(CONCATENATE($W19,"@",FD$7),choice!$D:$E,2,0)))</f>
        <v/>
      </c>
      <c r="FE19" s="74" t="str">
        <f>IF($W19="","",IF(COUNTIF(choice!$D:$D,CONCATENATE($W19,"@",FE$7))=0,"",VLOOKUP(CONCATENATE($W19,"@",FE$7),choice!$D:$E,2,0)))</f>
        <v/>
      </c>
      <c r="FF19" s="74" t="str">
        <f>IF($W19="","",IF(COUNTIF(choice!$D:$D,CONCATENATE($W19,"@",FF$7))=0,"",VLOOKUP(CONCATENATE($W19,"@",FF$7),choice!$D:$E,2,0)))</f>
        <v/>
      </c>
      <c r="FG19" s="74" t="str">
        <f>IF($W19="","",IF(COUNTIF(choice!$D:$D,CONCATENATE($W19,"@",FG$7))=0,"",VLOOKUP(CONCATENATE($W19,"@",FG$7),choice!$D:$E,2,0)))</f>
        <v/>
      </c>
      <c r="FH19" s="74" t="str">
        <f>IF($W19="","",IF(COUNTIF(choice!$D:$D,CONCATENATE($W19,"@",FH$7))=0,"",VLOOKUP(CONCATENATE($W19,"@",FH$7),choice!$D:$E,2,0)))</f>
        <v/>
      </c>
      <c r="FI19" s="74" t="str">
        <f>IF($W19="","",IF(COUNTIF(choice!$D:$D,CONCATENATE($W19,"@",FI$7))=0,"",VLOOKUP(CONCATENATE($W19,"@",FI$7),choice!$D:$E,2,0)))</f>
        <v/>
      </c>
      <c r="FJ19" s="74" t="str">
        <f>IF($W19="","",IF(COUNTIF(choice!$D:$D,CONCATENATE($W19,"@",FJ$7))=0,"",VLOOKUP(CONCATENATE($W19,"@",FJ$7),choice!$D:$E,2,0)))</f>
        <v/>
      </c>
      <c r="FK19" s="74" t="str">
        <f>IF($W19="","",IF(COUNTIF(choice!$D:$D,CONCATENATE($W19,"@",FK$7))=0,"",VLOOKUP(CONCATENATE($W19,"@",FK$7),choice!$D:$E,2,0)))</f>
        <v/>
      </c>
      <c r="FL19" s="74" t="str">
        <f>IF($W19="","",IF(COUNTIF(choice!$D:$D,CONCATENATE($W19,"@",FL$7))=0,"",VLOOKUP(CONCATENATE($W19,"@",FL$7),choice!$D:$E,2,0)))</f>
        <v/>
      </c>
      <c r="FM19" s="74" t="str">
        <f>IF($W19="","",IF(COUNTIF(choice!$D:$D,CONCATENATE($W19,"@",FM$7))=0,"",VLOOKUP(CONCATENATE($W19,"@",FM$7),choice!$D:$E,2,0)))</f>
        <v/>
      </c>
      <c r="FN19" s="74" t="str">
        <f>IF($W19="","",IF(COUNTIF(choice!$D:$D,CONCATENATE($W19,"@",FN$7))=0,"",VLOOKUP(CONCATENATE($W19,"@",FN$7),choice!$D:$E,2,0)))</f>
        <v/>
      </c>
      <c r="FO19" s="74" t="str">
        <f>IF($W19="","",IF(COUNTIF(choice!$D:$D,CONCATENATE($W19,"@",FO$7))=0,"",VLOOKUP(CONCATENATE($W19,"@",FO$7),choice!$D:$E,2,0)))</f>
        <v/>
      </c>
      <c r="FP19" s="74" t="str">
        <f>IF($W19="","",IF(COUNTIF(choice!$D:$D,CONCATENATE($W19,"@",FP$7))=0,"",VLOOKUP(CONCATENATE($W19,"@",FP$7),choice!$D:$E,2,0)))</f>
        <v/>
      </c>
      <c r="FQ19" s="74" t="str">
        <f>IF($W19="","",IF(COUNTIF(choice!$D:$D,CONCATENATE($W19,"@",FQ$7))=0,"",VLOOKUP(CONCATENATE($W19,"@",FQ$7),choice!$D:$E,2,0)))</f>
        <v/>
      </c>
      <c r="FR19" s="74" t="str">
        <f>IF($W19="","",IF(COUNTIF(choice!$D:$D,CONCATENATE($W19,"@",FR$7))=0,"",VLOOKUP(CONCATENATE($W19,"@",FR$7),choice!$D:$E,2,0)))</f>
        <v/>
      </c>
      <c r="FS19" s="74" t="str">
        <f>IF($W19="","",IF(COUNTIF(choice!$D:$D,CONCATENATE($W19,"@",FS$7))=0,"",VLOOKUP(CONCATENATE($W19,"@",FS$7),choice!$D:$E,2,0)))</f>
        <v/>
      </c>
      <c r="FT19" s="74" t="str">
        <f>IF($W19="","",IF(COUNTIF(choice!$D:$D,CONCATENATE($W19,"@",FT$7))=0,"",VLOOKUP(CONCATENATE($W19,"@",FT$7),choice!$D:$E,2,0)))</f>
        <v/>
      </c>
      <c r="FU19" s="74" t="str">
        <f>IF($W19="","",IF(COUNTIF(choice!$D:$D,CONCATENATE($W19,"@",FU$7))=0,"",VLOOKUP(CONCATENATE($W19,"@",FU$7),choice!$D:$E,2,0)))</f>
        <v/>
      </c>
      <c r="FV19" s="81" t="str">
        <f>IF($W19="","",IF(COUNTIF(choice!$D:$D,CONCATENATE($W19,"@",FV$7))=0,"",VLOOKUP(CONCATENATE($W19,"@",FV$7),choice!$D:$E,2,0)))</f>
        <v/>
      </c>
      <c r="FW19" s="80" t="str">
        <f>IF($X19="","",IF(COUNTIF(choice!$D:$D,CONCATENATE($X19,"@",FW$7))=0,"",VLOOKUP(CONCATENATE($X19,"@",FW$7),choice!$D:$E,2,0)))</f>
        <v/>
      </c>
      <c r="FX19" s="74" t="str">
        <f>IF($X19="","",IF(COUNTIF(choice!$D:$D,CONCATENATE($X19,"@",FX$7))=0,"",VLOOKUP(CONCATENATE($X19,"@",FX$7),choice!$D:$E,2,0)))</f>
        <v/>
      </c>
      <c r="FY19" s="74" t="str">
        <f>IF($X19="","",IF(COUNTIF(choice!$D:$D,CONCATENATE($X19,"@",FY$7))=0,"",VLOOKUP(CONCATENATE($X19,"@",FY$7),choice!$D:$E,2,0)))</f>
        <v/>
      </c>
      <c r="FZ19" s="74" t="str">
        <f>IF($X19="","",IF(COUNTIF(choice!$D:$D,CONCATENATE($X19,"@",FZ$7))=0,"",VLOOKUP(CONCATENATE($X19,"@",FZ$7),choice!$D:$E,2,0)))</f>
        <v/>
      </c>
      <c r="GA19" s="74" t="str">
        <f>IF($X19="","",IF(COUNTIF(choice!$D:$D,CONCATENATE($X19,"@",GA$7))=0,"",VLOOKUP(CONCATENATE($X19,"@",GA$7),choice!$D:$E,2,0)))</f>
        <v/>
      </c>
      <c r="GB19" s="74" t="str">
        <f>IF($X19="","",IF(COUNTIF(choice!$D:$D,CONCATENATE($X19,"@",GB$7))=0,"",VLOOKUP(CONCATENATE($X19,"@",GB$7),choice!$D:$E,2,0)))</f>
        <v/>
      </c>
      <c r="GC19" s="74" t="str">
        <f>IF($X19="","",IF(COUNTIF(choice!$D:$D,CONCATENATE($X19,"@",GC$7))=0,"",VLOOKUP(CONCATENATE($X19,"@",GC$7),choice!$D:$E,2,0)))</f>
        <v/>
      </c>
      <c r="GD19" s="74" t="str">
        <f>IF($X19="","",IF(COUNTIF(choice!$D:$D,CONCATENATE($X19,"@",GD$7))=0,"",VLOOKUP(CONCATENATE($X19,"@",GD$7),choice!$D:$E,2,0)))</f>
        <v/>
      </c>
      <c r="GE19" s="74" t="str">
        <f>IF($X19="","",IF(COUNTIF(choice!$D:$D,CONCATENATE($X19,"@",GE$7))=0,"",VLOOKUP(CONCATENATE($X19,"@",GE$7),choice!$D:$E,2,0)))</f>
        <v/>
      </c>
      <c r="GF19" s="74" t="str">
        <f>IF($X19="","",IF(COUNTIF(choice!$D:$D,CONCATENATE($X19,"@",GF$7))=0,"",VLOOKUP(CONCATENATE($X19,"@",GF$7),choice!$D:$E,2,0)))</f>
        <v/>
      </c>
      <c r="GG19" s="74" t="str">
        <f>IF($X19="","",IF(COUNTIF(choice!$D:$D,CONCATENATE($X19,"@",GG$7))=0,"",VLOOKUP(CONCATENATE($X19,"@",GG$7),choice!$D:$E,2,0)))</f>
        <v/>
      </c>
      <c r="GH19" s="74" t="str">
        <f>IF($X19="","",IF(COUNTIF(choice!$D:$D,CONCATENATE($X19,"@",GH$7))=0,"",VLOOKUP(CONCATENATE($X19,"@",GH$7),choice!$D:$E,2,0)))</f>
        <v/>
      </c>
      <c r="GI19" s="74" t="str">
        <f>IF($X19="","",IF(COUNTIF(choice!$D:$D,CONCATENATE($X19,"@",GI$7))=0,"",VLOOKUP(CONCATENATE($X19,"@",GI$7),choice!$D:$E,2,0)))</f>
        <v/>
      </c>
      <c r="GJ19" s="74" t="str">
        <f>IF($X19="","",IF(COUNTIF(choice!$D:$D,CONCATENATE($X19,"@",GJ$7))=0,"",VLOOKUP(CONCATENATE($X19,"@",GJ$7),choice!$D:$E,2,0)))</f>
        <v/>
      </c>
      <c r="GK19" s="74" t="str">
        <f>IF($X19="","",IF(COUNTIF(choice!$D:$D,CONCATENATE($X19,"@",GK$7))=0,"",VLOOKUP(CONCATENATE($X19,"@",GK$7),choice!$D:$E,2,0)))</f>
        <v/>
      </c>
      <c r="GL19" s="74" t="str">
        <f>IF($X19="","",IF(COUNTIF(choice!$D:$D,CONCATENATE($X19,"@",GL$7))=0,"",VLOOKUP(CONCATENATE($X19,"@",GL$7),choice!$D:$E,2,0)))</f>
        <v/>
      </c>
      <c r="GM19" s="74" t="str">
        <f>IF($X19="","",IF(COUNTIF(choice!$D:$D,CONCATENATE($X19,"@",GM$7))=0,"",VLOOKUP(CONCATENATE($X19,"@",GM$7),choice!$D:$E,2,0)))</f>
        <v/>
      </c>
      <c r="GN19" s="74" t="str">
        <f>IF($X19="","",IF(COUNTIF(choice!$D:$D,CONCATENATE($X19,"@",GN$7))=0,"",VLOOKUP(CONCATENATE($X19,"@",GN$7),choice!$D:$E,2,0)))</f>
        <v/>
      </c>
      <c r="GO19" s="74" t="str">
        <f>IF($X19="","",IF(COUNTIF(choice!$D:$D,CONCATENATE($X19,"@",GO$7))=0,"",VLOOKUP(CONCATENATE($X19,"@",GO$7),choice!$D:$E,2,0)))</f>
        <v/>
      </c>
      <c r="GP19" s="74" t="str">
        <f>IF($X19="","",IF(COUNTIF(choice!$D:$D,CONCATENATE($X19,"@",GP$7))=0,"",VLOOKUP(CONCATENATE($X19,"@",GP$7),choice!$D:$E,2,0)))</f>
        <v/>
      </c>
      <c r="GQ19" s="74" t="str">
        <f>IF($X19="","",IF(COUNTIF(choice!$D:$D,CONCATENATE($X19,"@",GQ$7))=0,"",VLOOKUP(CONCATENATE($X19,"@",GQ$7),choice!$D:$E,2,0)))</f>
        <v/>
      </c>
      <c r="GR19" s="74" t="str">
        <f>IF($X19="","",IF(COUNTIF(choice!$D:$D,CONCATENATE($X19,"@",GR$7))=0,"",VLOOKUP(CONCATENATE($X19,"@",GR$7),choice!$D:$E,2,0)))</f>
        <v/>
      </c>
      <c r="GS19" s="74" t="str">
        <f>IF($X19="","",IF(COUNTIF(choice!$D:$D,CONCATENATE($X19,"@",GS$7))=0,"",VLOOKUP(CONCATENATE($X19,"@",GS$7),choice!$D:$E,2,0)))</f>
        <v/>
      </c>
      <c r="GT19" s="74" t="str">
        <f>IF($X19="","",IF(COUNTIF(choice!$D:$D,CONCATENATE($X19,"@",GT$7))=0,"",VLOOKUP(CONCATENATE($X19,"@",GT$7),choice!$D:$E,2,0)))</f>
        <v/>
      </c>
      <c r="GU19" s="74" t="str">
        <f>IF($X19="","",IF(COUNTIF(choice!$D:$D,CONCATENATE($X19,"@",GU$7))=0,"",VLOOKUP(CONCATENATE($X19,"@",GU$7),choice!$D:$E,2,0)))</f>
        <v/>
      </c>
      <c r="GV19" s="74" t="str">
        <f>IF($X19="","",IF(COUNTIF(choice!$D:$D,CONCATENATE($X19,"@",GV$7))=0,"",VLOOKUP(CONCATENATE($X19,"@",GV$7),choice!$D:$E,2,0)))</f>
        <v/>
      </c>
      <c r="GW19" s="74" t="str">
        <f>IF($X19="","",IF(COUNTIF(choice!$D:$D,CONCATENATE($X19,"@",GW$7))=0,"",VLOOKUP(CONCATENATE($X19,"@",GW$7),choice!$D:$E,2,0)))</f>
        <v/>
      </c>
      <c r="GX19" s="74" t="str">
        <f>IF($X19="","",IF(COUNTIF(choice!$D:$D,CONCATENATE($X19,"@",GX$7))=0,"",VLOOKUP(CONCATENATE($X19,"@",GX$7),choice!$D:$E,2,0)))</f>
        <v/>
      </c>
      <c r="GY19" s="74" t="str">
        <f>IF($X19="","",IF(COUNTIF(choice!$D:$D,CONCATENATE($X19,"@",GY$7))=0,"",VLOOKUP(CONCATENATE($X19,"@",GY$7),choice!$D:$E,2,0)))</f>
        <v/>
      </c>
      <c r="GZ19" s="74" t="str">
        <f>IF($X19="","",IF(COUNTIF(choice!$D:$D,CONCATENATE($X19,"@",GZ$7))=0,"",VLOOKUP(CONCATENATE($X19,"@",GZ$7),choice!$D:$E,2,0)))</f>
        <v/>
      </c>
      <c r="HA19" s="74" t="str">
        <f>IF($X19="","",IF(COUNTIF(choice!$D:$D,CONCATENATE($X19,"@",HA$7))=0,"",VLOOKUP(CONCATENATE($X19,"@",HA$7),choice!$D:$E,2,0)))</f>
        <v/>
      </c>
      <c r="HB19" s="74" t="str">
        <f>IF($X19="","",IF(COUNTIF(choice!$D:$D,CONCATENATE($X19,"@",HB$7))=0,"",VLOOKUP(CONCATENATE($X19,"@",HB$7),choice!$D:$E,2,0)))</f>
        <v/>
      </c>
      <c r="HC19" s="74" t="str">
        <f>IF($X19="","",IF(COUNTIF(choice!$D:$D,CONCATENATE($X19,"@",HC$7))=0,"",VLOOKUP(CONCATENATE($X19,"@",HC$7),choice!$D:$E,2,0)))</f>
        <v/>
      </c>
      <c r="HD19" s="74" t="str">
        <f>IF($X19="","",IF(COUNTIF(choice!$D:$D,CONCATENATE($X19,"@",HD$7))=0,"",VLOOKUP(CONCATENATE($X19,"@",HD$7),choice!$D:$E,2,0)))</f>
        <v/>
      </c>
      <c r="HE19" s="74" t="str">
        <f>IF($X19="","",IF(COUNTIF(choice!$D:$D,CONCATENATE($X19,"@",HE$7))=0,"",VLOOKUP(CONCATENATE($X19,"@",HE$7),choice!$D:$E,2,0)))</f>
        <v/>
      </c>
      <c r="HF19" s="74" t="str">
        <f>IF($X19="","",IF(COUNTIF(choice!$D:$D,CONCATENATE($X19,"@",HF$7))=0,"",VLOOKUP(CONCATENATE($X19,"@",HF$7),choice!$D:$E,2,0)))</f>
        <v/>
      </c>
      <c r="HG19" s="74" t="str">
        <f>IF($X19="","",IF(COUNTIF(choice!$D:$D,CONCATENATE($X19,"@",HG$7))=0,"",VLOOKUP(CONCATENATE($X19,"@",HG$7),choice!$D:$E,2,0)))</f>
        <v/>
      </c>
      <c r="HH19" s="74" t="str">
        <f>IF($X19="","",IF(COUNTIF(choice!$D:$D,CONCATENATE($X19,"@",HH$7))=0,"",VLOOKUP(CONCATENATE($X19,"@",HH$7),choice!$D:$E,2,0)))</f>
        <v/>
      </c>
      <c r="HI19" s="74" t="str">
        <f>IF($X19="","",IF(COUNTIF(choice!$D:$D,CONCATENATE($X19,"@",HI$7))=0,"",VLOOKUP(CONCATENATE($X19,"@",HI$7),choice!$D:$E,2,0)))</f>
        <v/>
      </c>
      <c r="HJ19" s="74" t="str">
        <f>IF($X19="","",IF(COUNTIF(choice!$D:$D,CONCATENATE($X19,"@",HJ$7))=0,"",VLOOKUP(CONCATENATE($X19,"@",HJ$7),choice!$D:$E,2,0)))</f>
        <v/>
      </c>
      <c r="HK19" s="74" t="str">
        <f>IF($X19="","",IF(COUNTIF(choice!$D:$D,CONCATENATE($X19,"@",HK$7))=0,"",VLOOKUP(CONCATENATE($X19,"@",HK$7),choice!$D:$E,2,0)))</f>
        <v/>
      </c>
      <c r="HL19" s="74" t="str">
        <f>IF($X19="","",IF(COUNTIF(choice!$D:$D,CONCATENATE($X19,"@",HL$7))=0,"",VLOOKUP(CONCATENATE($X19,"@",HL$7),choice!$D:$E,2,0)))</f>
        <v/>
      </c>
      <c r="HM19" s="74" t="str">
        <f>IF($X19="","",IF(COUNTIF(choice!$D:$D,CONCATENATE($X19,"@",HM$7))=0,"",VLOOKUP(CONCATENATE($X19,"@",HM$7),choice!$D:$E,2,0)))</f>
        <v/>
      </c>
      <c r="HN19" s="74" t="str">
        <f>IF($X19="","",IF(COUNTIF(choice!$D:$D,CONCATENATE($X19,"@",HN$7))=0,"",VLOOKUP(CONCATENATE($X19,"@",HN$7),choice!$D:$E,2,0)))</f>
        <v/>
      </c>
      <c r="HO19" s="81" t="str">
        <f>IF($X19="","",IF(COUNTIF(choice!$D:$D,CONCATENATE($X19,"@",HO$7))=0,"",VLOOKUP(CONCATENATE($X19,"@",HO$7),choice!$D:$E,2,0)))</f>
        <v/>
      </c>
      <c r="HP19" s="20" t="s">
        <v>73</v>
      </c>
      <c r="HQ19" s="20" t="s">
        <v>74</v>
      </c>
      <c r="HV19" s="74">
        <f t="shared" si="12"/>
        <v>0</v>
      </c>
      <c r="HW19" s="74">
        <f t="shared" si="13"/>
        <v>0</v>
      </c>
      <c r="HX19" s="74">
        <f t="shared" si="14"/>
        <v>0</v>
      </c>
      <c r="HY19" s="74">
        <f t="shared" si="15"/>
        <v>0</v>
      </c>
      <c r="HZ19" s="74">
        <f t="shared" si="21"/>
        <v>0</v>
      </c>
      <c r="IA19" s="74">
        <f t="shared" si="21"/>
        <v>0</v>
      </c>
      <c r="IB19" s="74" t="str">
        <f t="shared" si="22"/>
        <v/>
      </c>
      <c r="IC19" s="74" t="str">
        <f t="shared" si="23"/>
        <v/>
      </c>
      <c r="ID19" s="74" t="str">
        <f t="shared" si="16"/>
        <v/>
      </c>
      <c r="IE19" s="74">
        <f t="shared" si="17"/>
        <v>38</v>
      </c>
      <c r="IF19" s="74">
        <f>COUNTIFS(ID$8:ID19,"BLUE")</f>
        <v>0</v>
      </c>
      <c r="IG19" s="74" t="str">
        <f t="shared" si="18"/>
        <v/>
      </c>
      <c r="IH19" s="74" t="str">
        <f>IF(COUNTIFS($AQ19,"*02*")=0,"",COUNTIFS(IJ$8:IJ19,"BLUE"))</f>
        <v/>
      </c>
      <c r="II19" s="74" t="str">
        <f>IF(COUNTIFS($AQ19,"*04*")=0,"",COUNTIFS(IK$8:IK19,"BLUE"))</f>
        <v/>
      </c>
      <c r="IJ19" s="74" t="str">
        <f t="shared" si="24"/>
        <v/>
      </c>
      <c r="IK19" s="74" t="str">
        <f t="shared" si="25"/>
        <v/>
      </c>
      <c r="IL19" s="74" t="str">
        <f t="shared" si="19"/>
        <v/>
      </c>
      <c r="IM19" s="74" t="str">
        <f t="shared" si="20"/>
        <v/>
      </c>
      <c r="IN19" s="74">
        <f>COUNTIFS(IJ$8:IJ19,"BLUE")</f>
        <v>0</v>
      </c>
      <c r="IO19" s="74">
        <f>COUNTIFS(IK$8:IK19,"BLUE")</f>
        <v>0</v>
      </c>
    </row>
    <row r="20" spans="1:249" s="20" customFormat="1" ht="24.9" customHeight="1" thickBot="1">
      <c r="A20" s="33"/>
      <c r="B20" s="31">
        <v>39</v>
      </c>
      <c r="C20" s="173"/>
      <c r="D20" s="174"/>
      <c r="E20" s="92" t="e">
        <f>VLOOKUP(F20,'Radio Call Sign'!A:B,2)</f>
        <v>#N/A</v>
      </c>
      <c r="F20" s="92"/>
      <c r="G20" s="92" t="e">
        <f>VLOOKUP(H20,'Radio Call Sign'!A:B,2)</f>
        <v>#N/A</v>
      </c>
      <c r="H20" s="92"/>
      <c r="I20" s="92" t="str">
        <f>IF(U20="","",IF(Y20="",IF(X20="",IF(W20="",CONCATENATE(U20,"-",V20),CONCATENATE(U20,"-",W20)),CONCATENATE(U20,"-",X20)),CONCATENATE(U20,"-",Y20)))</f>
        <v/>
      </c>
      <c r="J20" s="94" t="str">
        <f t="shared" si="9"/>
        <v/>
      </c>
      <c r="K20" s="93" t="str">
        <f t="shared" si="10"/>
        <v/>
      </c>
      <c r="L20" s="173"/>
      <c r="M20" s="192" t="str">
        <f t="shared" si="11"/>
        <v/>
      </c>
      <c r="N20" s="25"/>
      <c r="O20" s="25"/>
      <c r="P20" s="54"/>
      <c r="Q20" s="164" t="str">
        <f>IF(AA20="","",IF(COUNTIFS('overhead line area'!$D$3:$D$100,AA20)+COUNTIFS('overhead line area'!$D$3:$D$100,AB20)+COUNTIFS('overhead line area'!$D$3:$D$100,AC20)+COUNTIFS('overhead line area'!$D$3:$D$100,AD20)=0,"","*               "))</f>
        <v/>
      </c>
      <c r="R20" s="54"/>
      <c r="S20" s="28"/>
      <c r="U20" s="74"/>
      <c r="V20" s="74"/>
      <c r="W20" s="74"/>
      <c r="X20" s="74"/>
      <c r="Y20" s="74"/>
      <c r="AA20" s="74" t="str">
        <f>IF(U20="","",CONCATENATE(U20,"-",V20))</f>
        <v/>
      </c>
      <c r="AB20" s="74" t="str">
        <f t="shared" si="6"/>
        <v/>
      </c>
      <c r="AC20" s="74" t="str">
        <f t="shared" si="6"/>
        <v/>
      </c>
      <c r="AD20" s="74" t="str">
        <f t="shared" si="6"/>
        <v/>
      </c>
      <c r="AF20" s="74" t="str">
        <f>IF(AA20="","",IF(COUNTIF(Route!$AM:$AM,'Add-on Train Movement Log'!AA20)=0,"未有資料",VLOOKUP('Add-on Train Movement Log'!AA20,Route!$AM:$AP,3,0)))</f>
        <v/>
      </c>
      <c r="AG20" s="74" t="str">
        <f>IF(AB20="","",IF(COUNTIF(Route!$AM:$AM,'Add-on Train Movement Log'!AB20)=0,"未有資料",VLOOKUP('Add-on Train Movement Log'!AB20,Route!$AM:$AP,3,0)))</f>
        <v/>
      </c>
      <c r="AH20" s="74" t="str">
        <f>IF(AC20="","",IF(COUNTIF(Route!$AM:$AM,'Add-on Train Movement Log'!AC20)=0,"未有資料",VLOOKUP('Add-on Train Movement Log'!AC20,Route!$AM:$AP,3,0)))</f>
        <v/>
      </c>
      <c r="AI20" s="74" t="str">
        <f>IF(AD20="","",IF(COUNTIF(Route!$AM:$AM,'Add-on Train Movement Log'!AD20)=0,"未有資料",VLOOKUP('Add-on Train Movement Log'!AD20,Route!$AM:$AP,3,0)))</f>
        <v/>
      </c>
      <c r="AK20" s="74" t="str">
        <f>IF(AA20="","",IF(COUNTIF(Route!$AM:$AM,'Add-on Train Movement Log'!AA20)=0,"未有資料",VLOOKUP('Add-on Train Movement Log'!AA20,Route!$AM:$AP,4,0)))</f>
        <v/>
      </c>
      <c r="AL20" s="74" t="str">
        <f>IF(AB20="","",IF(COUNTIF(Route!$AM:$AM,'Add-on Train Movement Log'!AB20)=0,"未有資料",VLOOKUP('Add-on Train Movement Log'!AB20,Route!$AM:$AP,4,0)))</f>
        <v/>
      </c>
      <c r="AM20" s="74" t="str">
        <f>IF(AC20="","",IF(COUNTIF(Route!$AM:$AM,'Add-on Train Movement Log'!AC20)=0,"未有資料",VLOOKUP('Add-on Train Movement Log'!AC20,Route!$AM:$AP,4,0)))</f>
        <v/>
      </c>
      <c r="AN20" s="74" t="str">
        <f>IF(AD20="","",IF(COUNTIF(Route!$AM:$AM,'Add-on Train Movement Log'!AD20)=0,"未有資料",VLOOKUP('Add-on Train Movement Log'!AD20,Route!$AM:$AP,4,0)))</f>
        <v/>
      </c>
      <c r="AP20" s="74" t="str">
        <f t="shared" si="7"/>
        <v/>
      </c>
      <c r="AQ20" s="76" t="str">
        <f t="shared" si="8"/>
        <v/>
      </c>
      <c r="AR20" s="82" t="str">
        <f>IF($U20="","",IF(COUNTIF(choice!$D:$D,CONCATENATE($U20,"@",AR$7))=0,"",VLOOKUP(CONCATENATE($U20,"@",AR$7),choice!$D:$E,2,0)))</f>
        <v/>
      </c>
      <c r="AS20" s="83" t="str">
        <f>IF($U20="","",IF(COUNTIF(choice!$D:$D,CONCATENATE($U20,"@",AS$7))=0,"",VLOOKUP(CONCATENATE($U20,"@",AS$7),choice!$D:$E,2,0)))</f>
        <v/>
      </c>
      <c r="AT20" s="83" t="str">
        <f>IF($U20="","",IF(COUNTIF(choice!$D:$D,CONCATENATE($U20,"@",AT$7))=0,"",VLOOKUP(CONCATENATE($U20,"@",AT$7),choice!$D:$E,2,0)))</f>
        <v/>
      </c>
      <c r="AU20" s="83" t="str">
        <f>IF($U20="","",IF(COUNTIF(choice!$D:$D,CONCATENATE($U20,"@",AU$7))=0,"",VLOOKUP(CONCATENATE($U20,"@",AU$7),choice!$D:$E,2,0)))</f>
        <v/>
      </c>
      <c r="AV20" s="83" t="str">
        <f>IF($U20="","",IF(COUNTIF(choice!$D:$D,CONCATENATE($U20,"@",AV$7))=0,"",VLOOKUP(CONCATENATE($U20,"@",AV$7),choice!$D:$E,2,0)))</f>
        <v/>
      </c>
      <c r="AW20" s="83" t="str">
        <f>IF($U20="","",IF(COUNTIF(choice!$D:$D,CONCATENATE($U20,"@",AW$7))=0,"",VLOOKUP(CONCATENATE($U20,"@",AW$7),choice!$D:$E,2,0)))</f>
        <v/>
      </c>
      <c r="AX20" s="83" t="str">
        <f>IF($U20="","",IF(COUNTIF(choice!$D:$D,CONCATENATE($U20,"@",AX$7))=0,"",VLOOKUP(CONCATENATE($U20,"@",AX$7),choice!$D:$E,2,0)))</f>
        <v/>
      </c>
      <c r="AY20" s="83" t="str">
        <f>IF($U20="","",IF(COUNTIF(choice!$D:$D,CONCATENATE($U20,"@",AY$7))=0,"",VLOOKUP(CONCATENATE($U20,"@",AY$7),choice!$D:$E,2,0)))</f>
        <v/>
      </c>
      <c r="AZ20" s="83" t="str">
        <f>IF($U20="","",IF(COUNTIF(choice!$D:$D,CONCATENATE($U20,"@",AZ$7))=0,"",VLOOKUP(CONCATENATE($U20,"@",AZ$7),choice!$D:$E,2,0)))</f>
        <v/>
      </c>
      <c r="BA20" s="83" t="str">
        <f>IF($U20="","",IF(COUNTIF(choice!$D:$D,CONCATENATE($U20,"@",BA$7))=0,"",VLOOKUP(CONCATENATE($U20,"@",BA$7),choice!$D:$E,2,0)))</f>
        <v/>
      </c>
      <c r="BB20" s="83" t="str">
        <f>IF($U20="","",IF(COUNTIF(choice!$D:$D,CONCATENATE($U20,"@",BB$7))=0,"",VLOOKUP(CONCATENATE($U20,"@",BB$7),choice!$D:$E,2,0)))</f>
        <v/>
      </c>
      <c r="BC20" s="83" t="str">
        <f>IF($U20="","",IF(COUNTIF(choice!$D:$D,CONCATENATE($U20,"@",BC$7))=0,"",VLOOKUP(CONCATENATE($U20,"@",BC$7),choice!$D:$E,2,0)))</f>
        <v/>
      </c>
      <c r="BD20" s="83" t="str">
        <f>IF($U20="","",IF(COUNTIF(choice!$D:$D,CONCATENATE($U20,"@",BD$7))=0,"",VLOOKUP(CONCATENATE($U20,"@",BD$7),choice!$D:$E,2,0)))</f>
        <v/>
      </c>
      <c r="BE20" s="83" t="str">
        <f>IF($U20="","",IF(COUNTIF(choice!$D:$D,CONCATENATE($U20,"@",BE$7))=0,"",VLOOKUP(CONCATENATE($U20,"@",BE$7),choice!$D:$E,2,0)))</f>
        <v/>
      </c>
      <c r="BF20" s="83" t="str">
        <f>IF($U20="","",IF(COUNTIF(choice!$D:$D,CONCATENATE($U20,"@",BF$7))=0,"",VLOOKUP(CONCATENATE($U20,"@",BF$7),choice!$D:$E,2,0)))</f>
        <v/>
      </c>
      <c r="BG20" s="83" t="str">
        <f>IF($U20="","",IF(COUNTIF(choice!$D:$D,CONCATENATE($U20,"@",BG$7))=0,"",VLOOKUP(CONCATENATE($U20,"@",BG$7),choice!$D:$E,2,0)))</f>
        <v/>
      </c>
      <c r="BH20" s="83" t="str">
        <f>IF($U20="","",IF(COUNTIF(choice!$D:$D,CONCATENATE($U20,"@",BH$7))=0,"",VLOOKUP(CONCATENATE($U20,"@",BH$7),choice!$D:$E,2,0)))</f>
        <v/>
      </c>
      <c r="BI20" s="83" t="str">
        <f>IF($U20="","",IF(COUNTIF(choice!$D:$D,CONCATENATE($U20,"@",BI$7))=0,"",VLOOKUP(CONCATENATE($U20,"@",BI$7),choice!$D:$E,2,0)))</f>
        <v/>
      </c>
      <c r="BJ20" s="83" t="str">
        <f>IF($U20="","",IF(COUNTIF(choice!$D:$D,CONCATENATE($U20,"@",BJ$7))=0,"",VLOOKUP(CONCATENATE($U20,"@",BJ$7),choice!$D:$E,2,0)))</f>
        <v/>
      </c>
      <c r="BK20" s="83" t="str">
        <f>IF($U20="","",IF(COUNTIF(choice!$D:$D,CONCATENATE($U20,"@",BK$7))=0,"",VLOOKUP(CONCATENATE($U20,"@",BK$7),choice!$D:$E,2,0)))</f>
        <v/>
      </c>
      <c r="BL20" s="83" t="str">
        <f>IF($U20="","",IF(COUNTIF(choice!$D:$D,CONCATENATE($U20,"@",BL$7))=0,"",VLOOKUP(CONCATENATE($U20,"@",BL$7),choice!$D:$E,2,0)))</f>
        <v/>
      </c>
      <c r="BM20" s="83" t="str">
        <f>IF($U20="","",IF(COUNTIF(choice!$D:$D,CONCATENATE($U20,"@",BM$7))=0,"",VLOOKUP(CONCATENATE($U20,"@",BM$7),choice!$D:$E,2,0)))</f>
        <v/>
      </c>
      <c r="BN20" s="83" t="str">
        <f>IF($U20="","",IF(COUNTIF(choice!$D:$D,CONCATENATE($U20,"@",BN$7))=0,"",VLOOKUP(CONCATENATE($U20,"@",BN$7),choice!$D:$E,2,0)))</f>
        <v/>
      </c>
      <c r="BO20" s="83" t="str">
        <f>IF($U20="","",IF(COUNTIF(choice!$D:$D,CONCATENATE($U20,"@",BO$7))=0,"",VLOOKUP(CONCATENATE($U20,"@",BO$7),choice!$D:$E,2,0)))</f>
        <v/>
      </c>
      <c r="BP20" s="83" t="str">
        <f>IF($U20="","",IF(COUNTIF(choice!$D:$D,CONCATENATE($U20,"@",BP$7))=0,"",VLOOKUP(CONCATENATE($U20,"@",BP$7),choice!$D:$E,2,0)))</f>
        <v/>
      </c>
      <c r="BQ20" s="83" t="str">
        <f>IF($U20="","",IF(COUNTIF(choice!$D:$D,CONCATENATE($U20,"@",BQ$7))=0,"",VLOOKUP(CONCATENATE($U20,"@",BQ$7),choice!$D:$E,2,0)))</f>
        <v/>
      </c>
      <c r="BR20" s="83" t="str">
        <f>IF($U20="","",IF(COUNTIF(choice!$D:$D,CONCATENATE($U20,"@",BR$7))=0,"",VLOOKUP(CONCATENATE($U20,"@",BR$7),choice!$D:$E,2,0)))</f>
        <v/>
      </c>
      <c r="BS20" s="83" t="str">
        <f>IF($U20="","",IF(COUNTIF(choice!$D:$D,CONCATENATE($U20,"@",BS$7))=0,"",VLOOKUP(CONCATENATE($U20,"@",BS$7),choice!$D:$E,2,0)))</f>
        <v/>
      </c>
      <c r="BT20" s="83" t="str">
        <f>IF($U20="","",IF(COUNTIF(choice!$D:$D,CONCATENATE($U20,"@",BT$7))=0,"",VLOOKUP(CONCATENATE($U20,"@",BT$7),choice!$D:$E,2,0)))</f>
        <v/>
      </c>
      <c r="BU20" s="83" t="str">
        <f>IF($U20="","",IF(COUNTIF(choice!$D:$D,CONCATENATE($U20,"@",BU$7))=0,"",VLOOKUP(CONCATENATE($U20,"@",BU$7),choice!$D:$E,2,0)))</f>
        <v/>
      </c>
      <c r="BV20" s="83" t="str">
        <f>IF($U20="","",IF(COUNTIF(choice!$D:$D,CONCATENATE($U20,"@",BV$7))=0,"",VLOOKUP(CONCATENATE($U20,"@",BV$7),choice!$D:$E,2,0)))</f>
        <v/>
      </c>
      <c r="BW20" s="83" t="str">
        <f>IF($U20="","",IF(COUNTIF(choice!$D:$D,CONCATENATE($U20,"@",BW$7))=0,"",VLOOKUP(CONCATENATE($U20,"@",BW$7),choice!$D:$E,2,0)))</f>
        <v/>
      </c>
      <c r="BX20" s="83" t="str">
        <f>IF($U20="","",IF(COUNTIF(choice!$D:$D,CONCATENATE($U20,"@",BX$7))=0,"",VLOOKUP(CONCATENATE($U20,"@",BX$7),choice!$D:$E,2,0)))</f>
        <v/>
      </c>
      <c r="BY20" s="83" t="str">
        <f>IF($U20="","",IF(COUNTIF(choice!$D:$D,CONCATENATE($U20,"@",BY$7))=0,"",VLOOKUP(CONCATENATE($U20,"@",BY$7),choice!$D:$E,2,0)))</f>
        <v/>
      </c>
      <c r="BZ20" s="83" t="str">
        <f>IF($U20="","",IF(COUNTIF(choice!$D:$D,CONCATENATE($U20,"@",BZ$7))=0,"",VLOOKUP(CONCATENATE($U20,"@",BZ$7),choice!$D:$E,2,0)))</f>
        <v/>
      </c>
      <c r="CA20" s="83" t="str">
        <f>IF($U20="","",IF(COUNTIF(choice!$D:$D,CONCATENATE($U20,"@",CA$7))=0,"",VLOOKUP(CONCATENATE($U20,"@",CA$7),choice!$D:$E,2,0)))</f>
        <v/>
      </c>
      <c r="CB20" s="83" t="str">
        <f>IF($U20="","",IF(COUNTIF(choice!$D:$D,CONCATENATE($U20,"@",CB$7))=0,"",VLOOKUP(CONCATENATE($U20,"@",CB$7),choice!$D:$E,2,0)))</f>
        <v/>
      </c>
      <c r="CC20" s="83" t="str">
        <f>IF($U20="","",IF(COUNTIF(choice!$D:$D,CONCATENATE($U20,"@",CC$7))=0,"",VLOOKUP(CONCATENATE($U20,"@",CC$7),choice!$D:$E,2,0)))</f>
        <v/>
      </c>
      <c r="CD20" s="83" t="str">
        <f>IF($U20="","",IF(COUNTIF(choice!$D:$D,CONCATENATE($U20,"@",CD$7))=0,"",VLOOKUP(CONCATENATE($U20,"@",CD$7),choice!$D:$E,2,0)))</f>
        <v/>
      </c>
      <c r="CE20" s="83" t="str">
        <f>IF($U20="","",IF(COUNTIF(choice!$D:$D,CONCATENATE($U20,"@",CE$7))=0,"",VLOOKUP(CONCATENATE($U20,"@",CE$7),choice!$D:$E,2,0)))</f>
        <v/>
      </c>
      <c r="CF20" s="83" t="str">
        <f>IF($U20="","",IF(COUNTIF(choice!$D:$D,CONCATENATE($U20,"@",CF$7))=0,"",VLOOKUP(CONCATENATE($U20,"@",CF$7),choice!$D:$E,2,0)))</f>
        <v/>
      </c>
      <c r="CG20" s="83" t="str">
        <f>IF($U20="","",IF(COUNTIF(choice!$D:$D,CONCATENATE($U20,"@",CG$7))=0,"",VLOOKUP(CONCATENATE($U20,"@",CG$7),choice!$D:$E,2,0)))</f>
        <v/>
      </c>
      <c r="CH20" s="83" t="str">
        <f>IF($U20="","",IF(COUNTIF(choice!$D:$D,CONCATENATE($U20,"@",CH$7))=0,"",VLOOKUP(CONCATENATE($U20,"@",CH$7),choice!$D:$E,2,0)))</f>
        <v/>
      </c>
      <c r="CI20" s="83" t="str">
        <f>IF($U20="","",IF(COUNTIF(choice!$D:$D,CONCATENATE($U20,"@",CI$7))=0,"",VLOOKUP(CONCATENATE($U20,"@",CI$7),choice!$D:$E,2,0)))</f>
        <v/>
      </c>
      <c r="CJ20" s="84" t="str">
        <f>IF($U20="","",IF(COUNTIF(choice!$D:$D,CONCATENATE($U20,"@",CJ$7))=0,"",VLOOKUP(CONCATENATE($U20,"@",CJ$7),choice!$D:$E,2,0)))</f>
        <v/>
      </c>
      <c r="CK20" s="82" t="str">
        <f>IF($V20="","",IF(COUNTIF(choice!$D:$D,CONCATENATE($V20,"@",CK$7))=0,"",VLOOKUP(CONCATENATE($V20,"@",CK$7),choice!$D:$E,2,0)))</f>
        <v/>
      </c>
      <c r="CL20" s="83" t="str">
        <f>IF($V20="","",IF(COUNTIF(choice!$D:$D,CONCATENATE($V20,"@",CL$7))=0,"",VLOOKUP(CONCATENATE($V20,"@",CL$7),choice!$D:$E,2,0)))</f>
        <v/>
      </c>
      <c r="CM20" s="83" t="str">
        <f>IF($V20="","",IF(COUNTIF(choice!$D:$D,CONCATENATE($V20,"@",CM$7))=0,"",VLOOKUP(CONCATENATE($V20,"@",CM$7),choice!$D:$E,2,0)))</f>
        <v/>
      </c>
      <c r="CN20" s="83" t="str">
        <f>IF($V20="","",IF(COUNTIF(choice!$D:$D,CONCATENATE($V20,"@",CN$7))=0,"",VLOOKUP(CONCATENATE($V20,"@",CN$7),choice!$D:$E,2,0)))</f>
        <v/>
      </c>
      <c r="CO20" s="83" t="str">
        <f>IF($V20="","",IF(COUNTIF(choice!$D:$D,CONCATENATE($V20,"@",CO$7))=0,"",VLOOKUP(CONCATENATE($V20,"@",CO$7),choice!$D:$E,2,0)))</f>
        <v/>
      </c>
      <c r="CP20" s="83" t="str">
        <f>IF($V20="","",IF(COUNTIF(choice!$D:$D,CONCATENATE($V20,"@",CP$7))=0,"",VLOOKUP(CONCATENATE($V20,"@",CP$7),choice!$D:$E,2,0)))</f>
        <v/>
      </c>
      <c r="CQ20" s="83" t="str">
        <f>IF($V20="","",IF(COUNTIF(choice!$D:$D,CONCATENATE($V20,"@",CQ$7))=0,"",VLOOKUP(CONCATENATE($V20,"@",CQ$7),choice!$D:$E,2,0)))</f>
        <v/>
      </c>
      <c r="CR20" s="83" t="str">
        <f>IF($V20="","",IF(COUNTIF(choice!$D:$D,CONCATENATE($V20,"@",CR$7))=0,"",VLOOKUP(CONCATENATE($V20,"@",CR$7),choice!$D:$E,2,0)))</f>
        <v/>
      </c>
      <c r="CS20" s="83" t="str">
        <f>IF($V20="","",IF(COUNTIF(choice!$D:$D,CONCATENATE($V20,"@",CS$7))=0,"",VLOOKUP(CONCATENATE($V20,"@",CS$7),choice!$D:$E,2,0)))</f>
        <v/>
      </c>
      <c r="CT20" s="83" t="str">
        <f>IF($V20="","",IF(COUNTIF(choice!$D:$D,CONCATENATE($V20,"@",CT$7))=0,"",VLOOKUP(CONCATENATE($V20,"@",CT$7),choice!$D:$E,2,0)))</f>
        <v/>
      </c>
      <c r="CU20" s="83" t="str">
        <f>IF($V20="","",IF(COUNTIF(choice!$D:$D,CONCATENATE($V20,"@",CU$7))=0,"",VLOOKUP(CONCATENATE($V20,"@",CU$7),choice!$D:$E,2,0)))</f>
        <v/>
      </c>
      <c r="CV20" s="83" t="str">
        <f>IF($V20="","",IF(COUNTIF(choice!$D:$D,CONCATENATE($V20,"@",CV$7))=0,"",VLOOKUP(CONCATENATE($V20,"@",CV$7),choice!$D:$E,2,0)))</f>
        <v/>
      </c>
      <c r="CW20" s="83" t="str">
        <f>IF($V20="","",IF(COUNTIF(choice!$D:$D,CONCATENATE($V20,"@",CW$7))=0,"",VLOOKUP(CONCATENATE($V20,"@",CW$7),choice!$D:$E,2,0)))</f>
        <v/>
      </c>
      <c r="CX20" s="83" t="str">
        <f>IF($V20="","",IF(COUNTIF(choice!$D:$D,CONCATENATE($V20,"@",CX$7))=0,"",VLOOKUP(CONCATENATE($V20,"@",CX$7),choice!$D:$E,2,0)))</f>
        <v/>
      </c>
      <c r="CY20" s="83" t="str">
        <f>IF($V20="","",IF(COUNTIF(choice!$D:$D,CONCATENATE($V20,"@",CY$7))=0,"",VLOOKUP(CONCATENATE($V20,"@",CY$7),choice!$D:$E,2,0)))</f>
        <v/>
      </c>
      <c r="CZ20" s="83" t="str">
        <f>IF($V20="","",IF(COUNTIF(choice!$D:$D,CONCATENATE($V20,"@",CZ$7))=0,"",VLOOKUP(CONCATENATE($V20,"@",CZ$7),choice!$D:$E,2,0)))</f>
        <v/>
      </c>
      <c r="DA20" s="83" t="str">
        <f>IF($V20="","",IF(COUNTIF(choice!$D:$D,CONCATENATE($V20,"@",DA$7))=0,"",VLOOKUP(CONCATENATE($V20,"@",DA$7),choice!$D:$E,2,0)))</f>
        <v/>
      </c>
      <c r="DB20" s="83" t="str">
        <f>IF($V20="","",IF(COUNTIF(choice!$D:$D,CONCATENATE($V20,"@",DB$7))=0,"",VLOOKUP(CONCATENATE($V20,"@",DB$7),choice!$D:$E,2,0)))</f>
        <v/>
      </c>
      <c r="DC20" s="83" t="str">
        <f>IF($V20="","",IF(COUNTIF(choice!$D:$D,CONCATENATE($V20,"@",DC$7))=0,"",VLOOKUP(CONCATENATE($V20,"@",DC$7),choice!$D:$E,2,0)))</f>
        <v/>
      </c>
      <c r="DD20" s="83" t="str">
        <f>IF($V20="","",IF(COUNTIF(choice!$D:$D,CONCATENATE($V20,"@",DD$7))=0,"",VLOOKUP(CONCATENATE($V20,"@",DD$7),choice!$D:$E,2,0)))</f>
        <v/>
      </c>
      <c r="DE20" s="83" t="str">
        <f>IF($V20="","",IF(COUNTIF(choice!$D:$D,CONCATENATE($V20,"@",DE$7))=0,"",VLOOKUP(CONCATENATE($V20,"@",DE$7),choice!$D:$E,2,0)))</f>
        <v/>
      </c>
      <c r="DF20" s="83" t="str">
        <f>IF($V20="","",IF(COUNTIF(choice!$D:$D,CONCATENATE($V20,"@",DF$7))=0,"",VLOOKUP(CONCATENATE($V20,"@",DF$7),choice!$D:$E,2,0)))</f>
        <v/>
      </c>
      <c r="DG20" s="83" t="str">
        <f>IF($V20="","",IF(COUNTIF(choice!$D:$D,CONCATENATE($V20,"@",DG$7))=0,"",VLOOKUP(CONCATENATE($V20,"@",DG$7),choice!$D:$E,2,0)))</f>
        <v/>
      </c>
      <c r="DH20" s="83" t="str">
        <f>IF($V20="","",IF(COUNTIF(choice!$D:$D,CONCATENATE($V20,"@",DH$7))=0,"",VLOOKUP(CONCATENATE($V20,"@",DH$7),choice!$D:$E,2,0)))</f>
        <v/>
      </c>
      <c r="DI20" s="83" t="str">
        <f>IF($V20="","",IF(COUNTIF(choice!$D:$D,CONCATENATE($V20,"@",DI$7))=0,"",VLOOKUP(CONCATENATE($V20,"@",DI$7),choice!$D:$E,2,0)))</f>
        <v/>
      </c>
      <c r="DJ20" s="83" t="str">
        <f>IF($V20="","",IF(COUNTIF(choice!$D:$D,CONCATENATE($V20,"@",DJ$7))=0,"",VLOOKUP(CONCATENATE($V20,"@",DJ$7),choice!$D:$E,2,0)))</f>
        <v/>
      </c>
      <c r="DK20" s="83" t="str">
        <f>IF($V20="","",IF(COUNTIF(choice!$D:$D,CONCATENATE($V20,"@",DK$7))=0,"",VLOOKUP(CONCATENATE($V20,"@",DK$7),choice!$D:$E,2,0)))</f>
        <v/>
      </c>
      <c r="DL20" s="83" t="str">
        <f>IF($V20="","",IF(COUNTIF(choice!$D:$D,CONCATENATE($V20,"@",DL$7))=0,"",VLOOKUP(CONCATENATE($V20,"@",DL$7),choice!$D:$E,2,0)))</f>
        <v/>
      </c>
      <c r="DM20" s="83" t="str">
        <f>IF($V20="","",IF(COUNTIF(choice!$D:$D,CONCATENATE($V20,"@",DM$7))=0,"",VLOOKUP(CONCATENATE($V20,"@",DM$7),choice!$D:$E,2,0)))</f>
        <v/>
      </c>
      <c r="DN20" s="83" t="str">
        <f>IF($V20="","",IF(COUNTIF(choice!$D:$D,CONCATENATE($V20,"@",DN$7))=0,"",VLOOKUP(CONCATENATE($V20,"@",DN$7),choice!$D:$E,2,0)))</f>
        <v/>
      </c>
      <c r="DO20" s="83" t="str">
        <f>IF($V20="","",IF(COUNTIF(choice!$D:$D,CONCATENATE($V20,"@",DO$7))=0,"",VLOOKUP(CONCATENATE($V20,"@",DO$7),choice!$D:$E,2,0)))</f>
        <v/>
      </c>
      <c r="DP20" s="83" t="str">
        <f>IF($V20="","",IF(COUNTIF(choice!$D:$D,CONCATENATE($V20,"@",DP$7))=0,"",VLOOKUP(CONCATENATE($V20,"@",DP$7),choice!$D:$E,2,0)))</f>
        <v/>
      </c>
      <c r="DQ20" s="83" t="str">
        <f>IF($V20="","",IF(COUNTIF(choice!$D:$D,CONCATENATE($V20,"@",DQ$7))=0,"",VLOOKUP(CONCATENATE($V20,"@",DQ$7),choice!$D:$E,2,0)))</f>
        <v/>
      </c>
      <c r="DR20" s="83" t="str">
        <f>IF($V20="","",IF(COUNTIF(choice!$D:$D,CONCATENATE($V20,"@",DR$7))=0,"",VLOOKUP(CONCATENATE($V20,"@",DR$7),choice!$D:$E,2,0)))</f>
        <v/>
      </c>
      <c r="DS20" s="83" t="str">
        <f>IF($V20="","",IF(COUNTIF(choice!$D:$D,CONCATENATE($V20,"@",DS$7))=0,"",VLOOKUP(CONCATENATE($V20,"@",DS$7),choice!$D:$E,2,0)))</f>
        <v/>
      </c>
      <c r="DT20" s="83" t="str">
        <f>IF($V20="","",IF(COUNTIF(choice!$D:$D,CONCATENATE($V20,"@",DT$7))=0,"",VLOOKUP(CONCATENATE($V20,"@",DT$7),choice!$D:$E,2,0)))</f>
        <v/>
      </c>
      <c r="DU20" s="83" t="str">
        <f>IF($V20="","",IF(COUNTIF(choice!$D:$D,CONCATENATE($V20,"@",DU$7))=0,"",VLOOKUP(CONCATENATE($V20,"@",DU$7),choice!$D:$E,2,0)))</f>
        <v/>
      </c>
      <c r="DV20" s="83" t="str">
        <f>IF($V20="","",IF(COUNTIF(choice!$D:$D,CONCATENATE($V20,"@",DV$7))=0,"",VLOOKUP(CONCATENATE($V20,"@",DV$7),choice!$D:$E,2,0)))</f>
        <v/>
      </c>
      <c r="DW20" s="83" t="str">
        <f>IF($V20="","",IF(COUNTIF(choice!$D:$D,CONCATENATE($V20,"@",DW$7))=0,"",VLOOKUP(CONCATENATE($V20,"@",DW$7),choice!$D:$E,2,0)))</f>
        <v/>
      </c>
      <c r="DX20" s="83" t="str">
        <f>IF($V20="","",IF(COUNTIF(choice!$D:$D,CONCATENATE($V20,"@",DX$7))=0,"",VLOOKUP(CONCATENATE($V20,"@",DX$7),choice!$D:$E,2,0)))</f>
        <v/>
      </c>
      <c r="DY20" s="83" t="str">
        <f>IF($V20="","",IF(COUNTIF(choice!$D:$D,CONCATENATE($V20,"@",DY$7))=0,"",VLOOKUP(CONCATENATE($V20,"@",DY$7),choice!$D:$E,2,0)))</f>
        <v/>
      </c>
      <c r="DZ20" s="83" t="str">
        <f>IF($V20="","",IF(COUNTIF(choice!$D:$D,CONCATENATE($V20,"@",DZ$7))=0,"",VLOOKUP(CONCATENATE($V20,"@",DZ$7),choice!$D:$E,2,0)))</f>
        <v/>
      </c>
      <c r="EA20" s="83" t="str">
        <f>IF($V20="","",IF(COUNTIF(choice!$D:$D,CONCATENATE($V20,"@",EA$7))=0,"",VLOOKUP(CONCATENATE($V20,"@",EA$7),choice!$D:$E,2,0)))</f>
        <v/>
      </c>
      <c r="EB20" s="83" t="str">
        <f>IF($V20="","",IF(COUNTIF(choice!$D:$D,CONCATENATE($V20,"@",EB$7))=0,"",VLOOKUP(CONCATENATE($V20,"@",EB$7),choice!$D:$E,2,0)))</f>
        <v/>
      </c>
      <c r="EC20" s="84" t="str">
        <f>IF($V20="","",IF(COUNTIF(choice!$D:$D,CONCATENATE($V20,"@",EC$7))=0,"",VLOOKUP(CONCATENATE($V20,"@",EC$7),choice!$D:$E,2,0)))</f>
        <v/>
      </c>
      <c r="ED20" s="82" t="str">
        <f>IF($W20="","",IF(COUNTIF(choice!$D:$D,CONCATENATE($W20,"@",ED$7))=0,"",VLOOKUP(CONCATENATE($W20,"@",ED$7),choice!$D:$E,2,0)))</f>
        <v/>
      </c>
      <c r="EE20" s="83" t="str">
        <f>IF($W20="","",IF(COUNTIF(choice!$D:$D,CONCATENATE($W20,"@",EE$7))=0,"",VLOOKUP(CONCATENATE($W20,"@",EE$7),choice!$D:$E,2,0)))</f>
        <v/>
      </c>
      <c r="EF20" s="83" t="str">
        <f>IF($W20="","",IF(COUNTIF(choice!$D:$D,CONCATENATE($W20,"@",EF$7))=0,"",VLOOKUP(CONCATENATE($W20,"@",EF$7),choice!$D:$E,2,0)))</f>
        <v/>
      </c>
      <c r="EG20" s="83" t="str">
        <f>IF($W20="","",IF(COUNTIF(choice!$D:$D,CONCATENATE($W20,"@",EG$7))=0,"",VLOOKUP(CONCATENATE($W20,"@",EG$7),choice!$D:$E,2,0)))</f>
        <v/>
      </c>
      <c r="EH20" s="83" t="str">
        <f>IF($W20="","",IF(COUNTIF(choice!$D:$D,CONCATENATE($W20,"@",EH$7))=0,"",VLOOKUP(CONCATENATE($W20,"@",EH$7),choice!$D:$E,2,0)))</f>
        <v/>
      </c>
      <c r="EI20" s="83" t="str">
        <f>IF($W20="","",IF(COUNTIF(choice!$D:$D,CONCATENATE($W20,"@",EI$7))=0,"",VLOOKUP(CONCATENATE($W20,"@",EI$7),choice!$D:$E,2,0)))</f>
        <v/>
      </c>
      <c r="EJ20" s="83" t="str">
        <f>IF($W20="","",IF(COUNTIF(choice!$D:$D,CONCATENATE($W20,"@",EJ$7))=0,"",VLOOKUP(CONCATENATE($W20,"@",EJ$7),choice!$D:$E,2,0)))</f>
        <v/>
      </c>
      <c r="EK20" s="83" t="str">
        <f>IF($W20="","",IF(COUNTIF(choice!$D:$D,CONCATENATE($W20,"@",EK$7))=0,"",VLOOKUP(CONCATENATE($W20,"@",EK$7),choice!$D:$E,2,0)))</f>
        <v/>
      </c>
      <c r="EL20" s="83" t="str">
        <f>IF($W20="","",IF(COUNTIF(choice!$D:$D,CONCATENATE($W20,"@",EL$7))=0,"",VLOOKUP(CONCATENATE($W20,"@",EL$7),choice!$D:$E,2,0)))</f>
        <v/>
      </c>
      <c r="EM20" s="83" t="str">
        <f>IF($W20="","",IF(COUNTIF(choice!$D:$D,CONCATENATE($W20,"@",EM$7))=0,"",VLOOKUP(CONCATENATE($W20,"@",EM$7),choice!$D:$E,2,0)))</f>
        <v/>
      </c>
      <c r="EN20" s="83" t="str">
        <f>IF($W20="","",IF(COUNTIF(choice!$D:$D,CONCATENATE($W20,"@",EN$7))=0,"",VLOOKUP(CONCATENATE($W20,"@",EN$7),choice!$D:$E,2,0)))</f>
        <v/>
      </c>
      <c r="EO20" s="83" t="str">
        <f>IF($W20="","",IF(COUNTIF(choice!$D:$D,CONCATENATE($W20,"@",EO$7))=0,"",VLOOKUP(CONCATENATE($W20,"@",EO$7),choice!$D:$E,2,0)))</f>
        <v/>
      </c>
      <c r="EP20" s="83" t="str">
        <f>IF($W20="","",IF(COUNTIF(choice!$D:$D,CONCATENATE($W20,"@",EP$7))=0,"",VLOOKUP(CONCATENATE($W20,"@",EP$7),choice!$D:$E,2,0)))</f>
        <v/>
      </c>
      <c r="EQ20" s="83" t="str">
        <f>IF($W20="","",IF(COUNTIF(choice!$D:$D,CONCATENATE($W20,"@",EQ$7))=0,"",VLOOKUP(CONCATENATE($W20,"@",EQ$7),choice!$D:$E,2,0)))</f>
        <v/>
      </c>
      <c r="ER20" s="83" t="str">
        <f>IF($W20="","",IF(COUNTIF(choice!$D:$D,CONCATENATE($W20,"@",ER$7))=0,"",VLOOKUP(CONCATENATE($W20,"@",ER$7),choice!$D:$E,2,0)))</f>
        <v/>
      </c>
      <c r="ES20" s="83" t="str">
        <f>IF($W20="","",IF(COUNTIF(choice!$D:$D,CONCATENATE($W20,"@",ES$7))=0,"",VLOOKUP(CONCATENATE($W20,"@",ES$7),choice!$D:$E,2,0)))</f>
        <v/>
      </c>
      <c r="ET20" s="83" t="str">
        <f>IF($W20="","",IF(COUNTIF(choice!$D:$D,CONCATENATE($W20,"@",ET$7))=0,"",VLOOKUP(CONCATENATE($W20,"@",ET$7),choice!$D:$E,2,0)))</f>
        <v/>
      </c>
      <c r="EU20" s="83" t="str">
        <f>IF($W20="","",IF(COUNTIF(choice!$D:$D,CONCATENATE($W20,"@",EU$7))=0,"",VLOOKUP(CONCATENATE($W20,"@",EU$7),choice!$D:$E,2,0)))</f>
        <v/>
      </c>
      <c r="EV20" s="83" t="str">
        <f>IF($W20="","",IF(COUNTIF(choice!$D:$D,CONCATENATE($W20,"@",EV$7))=0,"",VLOOKUP(CONCATENATE($W20,"@",EV$7),choice!$D:$E,2,0)))</f>
        <v/>
      </c>
      <c r="EW20" s="83" t="str">
        <f>IF($W20="","",IF(COUNTIF(choice!$D:$D,CONCATENATE($W20,"@",EW$7))=0,"",VLOOKUP(CONCATENATE($W20,"@",EW$7),choice!$D:$E,2,0)))</f>
        <v/>
      </c>
      <c r="EX20" s="83" t="str">
        <f>IF($W20="","",IF(COUNTIF(choice!$D:$D,CONCATENATE($W20,"@",EX$7))=0,"",VLOOKUP(CONCATENATE($W20,"@",EX$7),choice!$D:$E,2,0)))</f>
        <v/>
      </c>
      <c r="EY20" s="83" t="str">
        <f>IF($W20="","",IF(COUNTIF(choice!$D:$D,CONCATENATE($W20,"@",EY$7))=0,"",VLOOKUP(CONCATENATE($W20,"@",EY$7),choice!$D:$E,2,0)))</f>
        <v/>
      </c>
      <c r="EZ20" s="83" t="str">
        <f>IF($W20="","",IF(COUNTIF(choice!$D:$D,CONCATENATE($W20,"@",EZ$7))=0,"",VLOOKUP(CONCATENATE($W20,"@",EZ$7),choice!$D:$E,2,0)))</f>
        <v/>
      </c>
      <c r="FA20" s="83" t="str">
        <f>IF($W20="","",IF(COUNTIF(choice!$D:$D,CONCATENATE($W20,"@",FA$7))=0,"",VLOOKUP(CONCATENATE($W20,"@",FA$7),choice!$D:$E,2,0)))</f>
        <v/>
      </c>
      <c r="FB20" s="83" t="str">
        <f>IF($W20="","",IF(COUNTIF(choice!$D:$D,CONCATENATE($W20,"@",FB$7))=0,"",VLOOKUP(CONCATENATE($W20,"@",FB$7),choice!$D:$E,2,0)))</f>
        <v/>
      </c>
      <c r="FC20" s="83" t="str">
        <f>IF($W20="","",IF(COUNTIF(choice!$D:$D,CONCATENATE($W20,"@",FC$7))=0,"",VLOOKUP(CONCATENATE($W20,"@",FC$7),choice!$D:$E,2,0)))</f>
        <v/>
      </c>
      <c r="FD20" s="83" t="str">
        <f>IF($W20="","",IF(COUNTIF(choice!$D:$D,CONCATENATE($W20,"@",FD$7))=0,"",VLOOKUP(CONCATENATE($W20,"@",FD$7),choice!$D:$E,2,0)))</f>
        <v/>
      </c>
      <c r="FE20" s="83" t="str">
        <f>IF($W20="","",IF(COUNTIF(choice!$D:$D,CONCATENATE($W20,"@",FE$7))=0,"",VLOOKUP(CONCATENATE($W20,"@",FE$7),choice!$D:$E,2,0)))</f>
        <v/>
      </c>
      <c r="FF20" s="83" t="str">
        <f>IF($W20="","",IF(COUNTIF(choice!$D:$D,CONCATENATE($W20,"@",FF$7))=0,"",VLOOKUP(CONCATENATE($W20,"@",FF$7),choice!$D:$E,2,0)))</f>
        <v/>
      </c>
      <c r="FG20" s="83" t="str">
        <f>IF($W20="","",IF(COUNTIF(choice!$D:$D,CONCATENATE($W20,"@",FG$7))=0,"",VLOOKUP(CONCATENATE($W20,"@",FG$7),choice!$D:$E,2,0)))</f>
        <v/>
      </c>
      <c r="FH20" s="83" t="str">
        <f>IF($W20="","",IF(COUNTIF(choice!$D:$D,CONCATENATE($W20,"@",FH$7))=0,"",VLOOKUP(CONCATENATE($W20,"@",FH$7),choice!$D:$E,2,0)))</f>
        <v/>
      </c>
      <c r="FI20" s="83" t="str">
        <f>IF($W20="","",IF(COUNTIF(choice!$D:$D,CONCATENATE($W20,"@",FI$7))=0,"",VLOOKUP(CONCATENATE($W20,"@",FI$7),choice!$D:$E,2,0)))</f>
        <v/>
      </c>
      <c r="FJ20" s="83" t="str">
        <f>IF($W20="","",IF(COUNTIF(choice!$D:$D,CONCATENATE($W20,"@",FJ$7))=0,"",VLOOKUP(CONCATENATE($W20,"@",FJ$7),choice!$D:$E,2,0)))</f>
        <v/>
      </c>
      <c r="FK20" s="83" t="str">
        <f>IF($W20="","",IF(COUNTIF(choice!$D:$D,CONCATENATE($W20,"@",FK$7))=0,"",VLOOKUP(CONCATENATE($W20,"@",FK$7),choice!$D:$E,2,0)))</f>
        <v/>
      </c>
      <c r="FL20" s="83" t="str">
        <f>IF($W20="","",IF(COUNTIF(choice!$D:$D,CONCATENATE($W20,"@",FL$7))=0,"",VLOOKUP(CONCATENATE($W20,"@",FL$7),choice!$D:$E,2,0)))</f>
        <v/>
      </c>
      <c r="FM20" s="83" t="str">
        <f>IF($W20="","",IF(COUNTIF(choice!$D:$D,CONCATENATE($W20,"@",FM$7))=0,"",VLOOKUP(CONCATENATE($W20,"@",FM$7),choice!$D:$E,2,0)))</f>
        <v/>
      </c>
      <c r="FN20" s="83" t="str">
        <f>IF($W20="","",IF(COUNTIF(choice!$D:$D,CONCATENATE($W20,"@",FN$7))=0,"",VLOOKUP(CONCATENATE($W20,"@",FN$7),choice!$D:$E,2,0)))</f>
        <v/>
      </c>
      <c r="FO20" s="83" t="str">
        <f>IF($W20="","",IF(COUNTIF(choice!$D:$D,CONCATENATE($W20,"@",FO$7))=0,"",VLOOKUP(CONCATENATE($W20,"@",FO$7),choice!$D:$E,2,0)))</f>
        <v/>
      </c>
      <c r="FP20" s="83" t="str">
        <f>IF($W20="","",IF(COUNTIF(choice!$D:$D,CONCATENATE($W20,"@",FP$7))=0,"",VLOOKUP(CONCATENATE($W20,"@",FP$7),choice!$D:$E,2,0)))</f>
        <v/>
      </c>
      <c r="FQ20" s="83" t="str">
        <f>IF($W20="","",IF(COUNTIF(choice!$D:$D,CONCATENATE($W20,"@",FQ$7))=0,"",VLOOKUP(CONCATENATE($W20,"@",FQ$7),choice!$D:$E,2,0)))</f>
        <v/>
      </c>
      <c r="FR20" s="83" t="str">
        <f>IF($W20="","",IF(COUNTIF(choice!$D:$D,CONCATENATE($W20,"@",FR$7))=0,"",VLOOKUP(CONCATENATE($W20,"@",FR$7),choice!$D:$E,2,0)))</f>
        <v/>
      </c>
      <c r="FS20" s="83" t="str">
        <f>IF($W20="","",IF(COUNTIF(choice!$D:$D,CONCATENATE($W20,"@",FS$7))=0,"",VLOOKUP(CONCATENATE($W20,"@",FS$7),choice!$D:$E,2,0)))</f>
        <v/>
      </c>
      <c r="FT20" s="83" t="str">
        <f>IF($W20="","",IF(COUNTIF(choice!$D:$D,CONCATENATE($W20,"@",FT$7))=0,"",VLOOKUP(CONCATENATE($W20,"@",FT$7),choice!$D:$E,2,0)))</f>
        <v/>
      </c>
      <c r="FU20" s="83" t="str">
        <f>IF($W20="","",IF(COUNTIF(choice!$D:$D,CONCATENATE($W20,"@",FU$7))=0,"",VLOOKUP(CONCATENATE($W20,"@",FU$7),choice!$D:$E,2,0)))</f>
        <v/>
      </c>
      <c r="FV20" s="84" t="str">
        <f>IF($W20="","",IF(COUNTIF(choice!$D:$D,CONCATENATE($W20,"@",FV$7))=0,"",VLOOKUP(CONCATENATE($W20,"@",FV$7),choice!$D:$E,2,0)))</f>
        <v/>
      </c>
      <c r="FW20" s="82" t="str">
        <f>IF($X20="","",IF(COUNTIF(choice!$D:$D,CONCATENATE($X20,"@",FW$7))=0,"",VLOOKUP(CONCATENATE($X20,"@",FW$7),choice!$D:$E,2,0)))</f>
        <v/>
      </c>
      <c r="FX20" s="83" t="str">
        <f>IF($X20="","",IF(COUNTIF(choice!$D:$D,CONCATENATE($X20,"@",FX$7))=0,"",VLOOKUP(CONCATENATE($X20,"@",FX$7),choice!$D:$E,2,0)))</f>
        <v/>
      </c>
      <c r="FY20" s="83" t="str">
        <f>IF($X20="","",IF(COUNTIF(choice!$D:$D,CONCATENATE($X20,"@",FY$7))=0,"",VLOOKUP(CONCATENATE($X20,"@",FY$7),choice!$D:$E,2,0)))</f>
        <v/>
      </c>
      <c r="FZ20" s="83" t="str">
        <f>IF($X20="","",IF(COUNTIF(choice!$D:$D,CONCATENATE($X20,"@",FZ$7))=0,"",VLOOKUP(CONCATENATE($X20,"@",FZ$7),choice!$D:$E,2,0)))</f>
        <v/>
      </c>
      <c r="GA20" s="83" t="str">
        <f>IF($X20="","",IF(COUNTIF(choice!$D:$D,CONCATENATE($X20,"@",GA$7))=0,"",VLOOKUP(CONCATENATE($X20,"@",GA$7),choice!$D:$E,2,0)))</f>
        <v/>
      </c>
      <c r="GB20" s="83" t="str">
        <f>IF($X20="","",IF(COUNTIF(choice!$D:$D,CONCATENATE($X20,"@",GB$7))=0,"",VLOOKUP(CONCATENATE($X20,"@",GB$7),choice!$D:$E,2,0)))</f>
        <v/>
      </c>
      <c r="GC20" s="83" t="str">
        <f>IF($X20="","",IF(COUNTIF(choice!$D:$D,CONCATENATE($X20,"@",GC$7))=0,"",VLOOKUP(CONCATENATE($X20,"@",GC$7),choice!$D:$E,2,0)))</f>
        <v/>
      </c>
      <c r="GD20" s="83" t="str">
        <f>IF($X20="","",IF(COUNTIF(choice!$D:$D,CONCATENATE($X20,"@",GD$7))=0,"",VLOOKUP(CONCATENATE($X20,"@",GD$7),choice!$D:$E,2,0)))</f>
        <v/>
      </c>
      <c r="GE20" s="83" t="str">
        <f>IF($X20="","",IF(COUNTIF(choice!$D:$D,CONCATENATE($X20,"@",GE$7))=0,"",VLOOKUP(CONCATENATE($X20,"@",GE$7),choice!$D:$E,2,0)))</f>
        <v/>
      </c>
      <c r="GF20" s="83" t="str">
        <f>IF($X20="","",IF(COUNTIF(choice!$D:$D,CONCATENATE($X20,"@",GF$7))=0,"",VLOOKUP(CONCATENATE($X20,"@",GF$7),choice!$D:$E,2,0)))</f>
        <v/>
      </c>
      <c r="GG20" s="83" t="str">
        <f>IF($X20="","",IF(COUNTIF(choice!$D:$D,CONCATENATE($X20,"@",GG$7))=0,"",VLOOKUP(CONCATENATE($X20,"@",GG$7),choice!$D:$E,2,0)))</f>
        <v/>
      </c>
      <c r="GH20" s="83" t="str">
        <f>IF($X20="","",IF(COUNTIF(choice!$D:$D,CONCATENATE($X20,"@",GH$7))=0,"",VLOOKUP(CONCATENATE($X20,"@",GH$7),choice!$D:$E,2,0)))</f>
        <v/>
      </c>
      <c r="GI20" s="83" t="str">
        <f>IF($X20="","",IF(COUNTIF(choice!$D:$D,CONCATENATE($X20,"@",GI$7))=0,"",VLOOKUP(CONCATENATE($X20,"@",GI$7),choice!$D:$E,2,0)))</f>
        <v/>
      </c>
      <c r="GJ20" s="83" t="str">
        <f>IF($X20="","",IF(COUNTIF(choice!$D:$D,CONCATENATE($X20,"@",GJ$7))=0,"",VLOOKUP(CONCATENATE($X20,"@",GJ$7),choice!$D:$E,2,0)))</f>
        <v/>
      </c>
      <c r="GK20" s="83" t="str">
        <f>IF($X20="","",IF(COUNTIF(choice!$D:$D,CONCATENATE($X20,"@",GK$7))=0,"",VLOOKUP(CONCATENATE($X20,"@",GK$7),choice!$D:$E,2,0)))</f>
        <v/>
      </c>
      <c r="GL20" s="83" t="str">
        <f>IF($X20="","",IF(COUNTIF(choice!$D:$D,CONCATENATE($X20,"@",GL$7))=0,"",VLOOKUP(CONCATENATE($X20,"@",GL$7),choice!$D:$E,2,0)))</f>
        <v/>
      </c>
      <c r="GM20" s="83" t="str">
        <f>IF($X20="","",IF(COUNTIF(choice!$D:$D,CONCATENATE($X20,"@",GM$7))=0,"",VLOOKUP(CONCATENATE($X20,"@",GM$7),choice!$D:$E,2,0)))</f>
        <v/>
      </c>
      <c r="GN20" s="83" t="str">
        <f>IF($X20="","",IF(COUNTIF(choice!$D:$D,CONCATENATE($X20,"@",GN$7))=0,"",VLOOKUP(CONCATENATE($X20,"@",GN$7),choice!$D:$E,2,0)))</f>
        <v/>
      </c>
      <c r="GO20" s="83" t="str">
        <f>IF($X20="","",IF(COUNTIF(choice!$D:$D,CONCATENATE($X20,"@",GO$7))=0,"",VLOOKUP(CONCATENATE($X20,"@",GO$7),choice!$D:$E,2,0)))</f>
        <v/>
      </c>
      <c r="GP20" s="83" t="str">
        <f>IF($X20="","",IF(COUNTIF(choice!$D:$D,CONCATENATE($X20,"@",GP$7))=0,"",VLOOKUP(CONCATENATE($X20,"@",GP$7),choice!$D:$E,2,0)))</f>
        <v/>
      </c>
      <c r="GQ20" s="83" t="str">
        <f>IF($X20="","",IF(COUNTIF(choice!$D:$D,CONCATENATE($X20,"@",GQ$7))=0,"",VLOOKUP(CONCATENATE($X20,"@",GQ$7),choice!$D:$E,2,0)))</f>
        <v/>
      </c>
      <c r="GR20" s="83" t="str">
        <f>IF($X20="","",IF(COUNTIF(choice!$D:$D,CONCATENATE($X20,"@",GR$7))=0,"",VLOOKUP(CONCATENATE($X20,"@",GR$7),choice!$D:$E,2,0)))</f>
        <v/>
      </c>
      <c r="GS20" s="83" t="str">
        <f>IF($X20="","",IF(COUNTIF(choice!$D:$D,CONCATENATE($X20,"@",GS$7))=0,"",VLOOKUP(CONCATENATE($X20,"@",GS$7),choice!$D:$E,2,0)))</f>
        <v/>
      </c>
      <c r="GT20" s="83" t="str">
        <f>IF($X20="","",IF(COUNTIF(choice!$D:$D,CONCATENATE($X20,"@",GT$7))=0,"",VLOOKUP(CONCATENATE($X20,"@",GT$7),choice!$D:$E,2,0)))</f>
        <v/>
      </c>
      <c r="GU20" s="83" t="str">
        <f>IF($X20="","",IF(COUNTIF(choice!$D:$D,CONCATENATE($X20,"@",GU$7))=0,"",VLOOKUP(CONCATENATE($X20,"@",GU$7),choice!$D:$E,2,0)))</f>
        <v/>
      </c>
      <c r="GV20" s="83" t="str">
        <f>IF($X20="","",IF(COUNTIF(choice!$D:$D,CONCATENATE($X20,"@",GV$7))=0,"",VLOOKUP(CONCATENATE($X20,"@",GV$7),choice!$D:$E,2,0)))</f>
        <v/>
      </c>
      <c r="GW20" s="83" t="str">
        <f>IF($X20="","",IF(COUNTIF(choice!$D:$D,CONCATENATE($X20,"@",GW$7))=0,"",VLOOKUP(CONCATENATE($X20,"@",GW$7),choice!$D:$E,2,0)))</f>
        <v/>
      </c>
      <c r="GX20" s="83" t="str">
        <f>IF($X20="","",IF(COUNTIF(choice!$D:$D,CONCATENATE($X20,"@",GX$7))=0,"",VLOOKUP(CONCATENATE($X20,"@",GX$7),choice!$D:$E,2,0)))</f>
        <v/>
      </c>
      <c r="GY20" s="83" t="str">
        <f>IF($X20="","",IF(COUNTIF(choice!$D:$D,CONCATENATE($X20,"@",GY$7))=0,"",VLOOKUP(CONCATENATE($X20,"@",GY$7),choice!$D:$E,2,0)))</f>
        <v/>
      </c>
      <c r="GZ20" s="83" t="str">
        <f>IF($X20="","",IF(COUNTIF(choice!$D:$D,CONCATENATE($X20,"@",GZ$7))=0,"",VLOOKUP(CONCATENATE($X20,"@",GZ$7),choice!$D:$E,2,0)))</f>
        <v/>
      </c>
      <c r="HA20" s="83" t="str">
        <f>IF($X20="","",IF(COUNTIF(choice!$D:$D,CONCATENATE($X20,"@",HA$7))=0,"",VLOOKUP(CONCATENATE($X20,"@",HA$7),choice!$D:$E,2,0)))</f>
        <v/>
      </c>
      <c r="HB20" s="83" t="str">
        <f>IF($X20="","",IF(COUNTIF(choice!$D:$D,CONCATENATE($X20,"@",HB$7))=0,"",VLOOKUP(CONCATENATE($X20,"@",HB$7),choice!$D:$E,2,0)))</f>
        <v/>
      </c>
      <c r="HC20" s="83" t="str">
        <f>IF($X20="","",IF(COUNTIF(choice!$D:$D,CONCATENATE($X20,"@",HC$7))=0,"",VLOOKUP(CONCATENATE($X20,"@",HC$7),choice!$D:$E,2,0)))</f>
        <v/>
      </c>
      <c r="HD20" s="83" t="str">
        <f>IF($X20="","",IF(COUNTIF(choice!$D:$D,CONCATENATE($X20,"@",HD$7))=0,"",VLOOKUP(CONCATENATE($X20,"@",HD$7),choice!$D:$E,2,0)))</f>
        <v/>
      </c>
      <c r="HE20" s="83" t="str">
        <f>IF($X20="","",IF(COUNTIF(choice!$D:$D,CONCATENATE($X20,"@",HE$7))=0,"",VLOOKUP(CONCATENATE($X20,"@",HE$7),choice!$D:$E,2,0)))</f>
        <v/>
      </c>
      <c r="HF20" s="83" t="str">
        <f>IF($X20="","",IF(COUNTIF(choice!$D:$D,CONCATENATE($X20,"@",HF$7))=0,"",VLOOKUP(CONCATENATE($X20,"@",HF$7),choice!$D:$E,2,0)))</f>
        <v/>
      </c>
      <c r="HG20" s="83" t="str">
        <f>IF($X20="","",IF(COUNTIF(choice!$D:$D,CONCATENATE($X20,"@",HG$7))=0,"",VLOOKUP(CONCATENATE($X20,"@",HG$7),choice!$D:$E,2,0)))</f>
        <v/>
      </c>
      <c r="HH20" s="83" t="str">
        <f>IF($X20="","",IF(COUNTIF(choice!$D:$D,CONCATENATE($X20,"@",HH$7))=0,"",VLOOKUP(CONCATENATE($X20,"@",HH$7),choice!$D:$E,2,0)))</f>
        <v/>
      </c>
      <c r="HI20" s="83" t="str">
        <f>IF($X20="","",IF(COUNTIF(choice!$D:$D,CONCATENATE($X20,"@",HI$7))=0,"",VLOOKUP(CONCATENATE($X20,"@",HI$7),choice!$D:$E,2,0)))</f>
        <v/>
      </c>
      <c r="HJ20" s="83" t="str">
        <f>IF($X20="","",IF(COUNTIF(choice!$D:$D,CONCATENATE($X20,"@",HJ$7))=0,"",VLOOKUP(CONCATENATE($X20,"@",HJ$7),choice!$D:$E,2,0)))</f>
        <v/>
      </c>
      <c r="HK20" s="83" t="str">
        <f>IF($X20="","",IF(COUNTIF(choice!$D:$D,CONCATENATE($X20,"@",HK$7))=0,"",VLOOKUP(CONCATENATE($X20,"@",HK$7),choice!$D:$E,2,0)))</f>
        <v/>
      </c>
      <c r="HL20" s="83" t="str">
        <f>IF($X20="","",IF(COUNTIF(choice!$D:$D,CONCATENATE($X20,"@",HL$7))=0,"",VLOOKUP(CONCATENATE($X20,"@",HL$7),choice!$D:$E,2,0)))</f>
        <v/>
      </c>
      <c r="HM20" s="83" t="str">
        <f>IF($X20="","",IF(COUNTIF(choice!$D:$D,CONCATENATE($X20,"@",HM$7))=0,"",VLOOKUP(CONCATENATE($X20,"@",HM$7),choice!$D:$E,2,0)))</f>
        <v/>
      </c>
      <c r="HN20" s="83" t="str">
        <f>IF($X20="","",IF(COUNTIF(choice!$D:$D,CONCATENATE($X20,"@",HN$7))=0,"",VLOOKUP(CONCATENATE($X20,"@",HN$7),choice!$D:$E,2,0)))</f>
        <v/>
      </c>
      <c r="HO20" s="84" t="str">
        <f>IF($X20="","",IF(COUNTIF(choice!$D:$D,CONCATENATE($X20,"@",HO$7))=0,"",VLOOKUP(CONCATENATE($X20,"@",HO$7),choice!$D:$E,2,0)))</f>
        <v/>
      </c>
      <c r="HP20" s="20" t="s">
        <v>75</v>
      </c>
      <c r="HQ20" s="20" t="s">
        <v>76</v>
      </c>
      <c r="HV20" s="74">
        <f t="shared" si="12"/>
        <v>0</v>
      </c>
      <c r="HW20" s="74">
        <f t="shared" si="13"/>
        <v>0</v>
      </c>
      <c r="HX20" s="74">
        <f t="shared" si="14"/>
        <v>0</v>
      </c>
      <c r="HY20" s="74">
        <f t="shared" si="15"/>
        <v>0</v>
      </c>
      <c r="HZ20" s="74">
        <f t="shared" si="21"/>
        <v>0</v>
      </c>
      <c r="IA20" s="74">
        <f t="shared" si="21"/>
        <v>0</v>
      </c>
      <c r="IB20" s="74" t="str">
        <f t="shared" si="22"/>
        <v/>
      </c>
      <c r="IC20" s="74" t="str">
        <f t="shared" si="23"/>
        <v/>
      </c>
      <c r="ID20" s="74" t="str">
        <f t="shared" si="16"/>
        <v/>
      </c>
      <c r="IE20" s="74">
        <f t="shared" si="17"/>
        <v>39</v>
      </c>
      <c r="IF20" s="74">
        <f>COUNTIFS(ID$8:ID20,"BLUE")</f>
        <v>0</v>
      </c>
      <c r="IG20" s="74" t="str">
        <f t="shared" si="18"/>
        <v/>
      </c>
      <c r="IH20" s="74" t="str">
        <f>IF(COUNTIFS($AQ20,"*02*")=0,"",COUNTIFS(IJ$8:IJ20,"BLUE"))</f>
        <v/>
      </c>
      <c r="II20" s="74" t="str">
        <f>IF(COUNTIFS($AQ20,"*04*")=0,"",COUNTIFS(IK$8:IK20,"BLUE"))</f>
        <v/>
      </c>
      <c r="IJ20" s="74" t="str">
        <f t="shared" si="24"/>
        <v/>
      </c>
      <c r="IK20" s="74" t="str">
        <f t="shared" si="25"/>
        <v/>
      </c>
      <c r="IL20" s="74" t="str">
        <f t="shared" si="19"/>
        <v/>
      </c>
      <c r="IM20" s="74" t="str">
        <f t="shared" si="20"/>
        <v/>
      </c>
      <c r="IN20" s="74">
        <f>COUNTIFS(IJ$8:IJ20,"BLUE")</f>
        <v>0</v>
      </c>
      <c r="IO20" s="74">
        <f>COUNTIFS(IK$8:IK20,"BLUE")</f>
        <v>0</v>
      </c>
    </row>
    <row r="21" spans="1:249" s="2" customFormat="1" ht="15.75" customHeight="1" thickTop="1">
      <c r="B21" s="14" t="s">
        <v>77</v>
      </c>
      <c r="C21" s="12" t="s">
        <v>100</v>
      </c>
      <c r="D21" s="204" t="s">
        <v>79</v>
      </c>
      <c r="E21" s="204"/>
      <c r="F21" s="204"/>
      <c r="G21" s="204"/>
      <c r="H21" s="204"/>
      <c r="I21" s="204"/>
      <c r="J21" s="204"/>
      <c r="K21" s="204"/>
      <c r="HP21" s="2" t="s">
        <v>80</v>
      </c>
      <c r="HQ21" s="2" t="s">
        <v>81</v>
      </c>
      <c r="HR21" s="2" t="s">
        <v>82</v>
      </c>
      <c r="HS21" s="2" t="s">
        <v>83</v>
      </c>
      <c r="HV21" s="74">
        <f t="shared" si="12"/>
        <v>0</v>
      </c>
      <c r="HW21" s="74">
        <f t="shared" si="13"/>
        <v>0</v>
      </c>
      <c r="HX21" s="74">
        <f t="shared" si="14"/>
        <v>0</v>
      </c>
      <c r="HY21" s="74">
        <f t="shared" si="15"/>
        <v>0</v>
      </c>
      <c r="HZ21" s="74">
        <f t="shared" si="21"/>
        <v>0</v>
      </c>
      <c r="IA21" s="74">
        <f t="shared" si="21"/>
        <v>0</v>
      </c>
      <c r="IB21" s="74" t="str">
        <f t="shared" ref="IB21" si="26">IF(RIGHT(I21,4)="E AV",IF(HZ20=0,"","SPAD"),IF(RIGHT(I21,4)="E DT",IF(IA20=0,"","SPAD"),""))</f>
        <v/>
      </c>
    </row>
    <row r="22" spans="1:249" s="2" customFormat="1" ht="25.5" customHeight="1">
      <c r="C22" s="60" t="s">
        <v>84</v>
      </c>
      <c r="D22" s="204" t="s">
        <v>85</v>
      </c>
      <c r="E22" s="204"/>
      <c r="F22" s="204"/>
      <c r="G22" s="204"/>
      <c r="H22" s="204"/>
      <c r="I22" s="3"/>
      <c r="J22" s="3"/>
      <c r="K22" s="13"/>
      <c r="L22" s="4"/>
      <c r="HP22" s="20" t="s">
        <v>86</v>
      </c>
      <c r="HQ22" s="20" t="s">
        <v>87</v>
      </c>
    </row>
    <row r="23" spans="1:249" ht="20.100000000000001" customHeight="1">
      <c r="B23" s="3"/>
      <c r="C23" s="3"/>
      <c r="D23" s="204" t="str">
        <f>CONCATENATE(IF(IN20=0,"",CONCATENATE("項目",IL8,IL9,IL10,IL11,IL12,IL13,IL14,IL15,IL16,IL17,IL18,IL19,IL20,"需獲SHD02藍燈授權到SHD01或SHD03附近鈎接")),IF(IN20=0,"","          "),IF(IO20=0,"",CONCATENATE("項目",IM8,IM9,IM10,IM11,IM12,IM13,IM14,IM15,IM16,IM17,IM18,IM19,IM20,"需獲SHD04藍燈授權到SHD01或SHD03附近鈎接")))</f>
        <v/>
      </c>
      <c r="E23" s="204"/>
      <c r="F23" s="204"/>
      <c r="G23" s="204"/>
      <c r="H23" s="204"/>
      <c r="I23" s="204"/>
      <c r="J23" s="204"/>
      <c r="K23" s="204"/>
      <c r="L23" s="204"/>
      <c r="M23" s="204"/>
      <c r="N23" s="204"/>
      <c r="O23" s="204"/>
      <c r="P23" s="204"/>
      <c r="Q23" s="204"/>
      <c r="R23" s="204"/>
      <c r="S23" s="204"/>
      <c r="HP23" s="20" t="s">
        <v>88</v>
      </c>
      <c r="HQ23" s="20" t="s">
        <v>89</v>
      </c>
    </row>
    <row r="24" spans="1:249">
      <c r="B24" s="2"/>
      <c r="D24" s="3"/>
      <c r="E24" s="2"/>
      <c r="G24" s="3"/>
      <c r="J24" s="3"/>
      <c r="L24" s="4"/>
      <c r="M24" s="5"/>
      <c r="N24" s="5"/>
      <c r="O24" s="5"/>
      <c r="P24" s="5"/>
      <c r="Q24" s="5"/>
      <c r="R24" s="5"/>
      <c r="S24" s="5"/>
    </row>
    <row r="25" spans="1:249">
      <c r="B25" s="2"/>
      <c r="D25" s="3"/>
      <c r="E25" s="2"/>
      <c r="G25" s="3"/>
      <c r="J25" s="3"/>
      <c r="L25" s="4"/>
      <c r="M25" s="5"/>
      <c r="N25" s="5"/>
      <c r="O25" s="5"/>
      <c r="P25" s="5"/>
      <c r="Q25" s="5"/>
      <c r="R25" s="5"/>
      <c r="S25" s="5"/>
    </row>
    <row r="26" spans="1:249">
      <c r="B26" s="2"/>
      <c r="D26" s="3"/>
      <c r="E26" s="2"/>
      <c r="G26" s="3"/>
      <c r="J26" s="3"/>
      <c r="L26" s="4"/>
      <c r="M26" s="5"/>
      <c r="N26" s="5"/>
      <c r="O26" s="5"/>
      <c r="P26" s="5"/>
      <c r="Q26" s="5"/>
      <c r="R26" s="5"/>
      <c r="S26" s="5"/>
    </row>
    <row r="27" spans="1:249">
      <c r="B27" s="2"/>
      <c r="D27" s="3"/>
      <c r="E27" s="2"/>
      <c r="G27" s="3"/>
      <c r="J27" s="3"/>
      <c r="L27" s="4"/>
      <c r="M27" s="5"/>
      <c r="N27" s="5"/>
      <c r="O27" s="5"/>
      <c r="P27" s="5"/>
      <c r="Q27" s="5"/>
      <c r="R27" s="5"/>
      <c r="S27" s="5"/>
    </row>
    <row r="28" spans="1:249">
      <c r="B28" s="2"/>
      <c r="D28" s="3"/>
      <c r="E28" s="2"/>
      <c r="G28" s="3"/>
      <c r="J28" s="3"/>
      <c r="L28" s="4"/>
      <c r="M28" s="5"/>
      <c r="N28" s="5"/>
      <c r="O28" s="5"/>
      <c r="P28" s="5"/>
      <c r="Q28" s="5"/>
      <c r="R28" s="5"/>
      <c r="S28" s="5"/>
    </row>
    <row r="29" spans="1:249">
      <c r="B29" s="2"/>
      <c r="D29" s="3"/>
      <c r="E29" s="2"/>
      <c r="G29" s="3"/>
      <c r="J29" s="3"/>
      <c r="L29" s="4"/>
      <c r="M29" s="5"/>
      <c r="N29" s="5"/>
      <c r="O29" s="5"/>
      <c r="P29" s="5"/>
      <c r="Q29" s="5"/>
      <c r="R29" s="5"/>
      <c r="S29" s="5"/>
    </row>
    <row r="30" spans="1:249">
      <c r="B30" s="2"/>
      <c r="D30" s="3"/>
      <c r="E30" s="2"/>
      <c r="G30" s="3"/>
      <c r="J30" s="3"/>
      <c r="L30" s="4"/>
      <c r="M30" s="5"/>
      <c r="N30" s="5"/>
      <c r="O30" s="5"/>
      <c r="P30" s="5"/>
      <c r="Q30" s="5"/>
      <c r="R30" s="5"/>
      <c r="S30" s="5"/>
    </row>
    <row r="31" spans="1:249">
      <c r="B31" s="2"/>
      <c r="D31" s="3"/>
      <c r="E31" s="2"/>
      <c r="G31" s="3"/>
      <c r="J31" s="3"/>
      <c r="L31" s="4"/>
      <c r="M31" s="5"/>
      <c r="N31" s="5"/>
      <c r="O31" s="5"/>
      <c r="P31" s="5"/>
      <c r="Q31" s="5"/>
      <c r="R31" s="5"/>
      <c r="S31" s="5"/>
    </row>
    <row r="32" spans="1:249">
      <c r="B32" s="2"/>
      <c r="D32" s="3"/>
      <c r="E32" s="2"/>
      <c r="G32" s="3"/>
      <c r="J32" s="3"/>
      <c r="L32" s="4"/>
      <c r="M32" s="5"/>
      <c r="N32" s="5"/>
      <c r="O32" s="5"/>
      <c r="P32" s="5"/>
      <c r="Q32" s="5"/>
      <c r="R32" s="5"/>
      <c r="S32" s="5"/>
    </row>
    <row r="33" spans="2:19">
      <c r="B33" s="2"/>
      <c r="D33" s="3"/>
      <c r="E33" s="2"/>
      <c r="G33" s="3"/>
      <c r="J33" s="3"/>
      <c r="L33" s="4"/>
      <c r="M33" s="5"/>
      <c r="N33" s="5"/>
      <c r="O33" s="5"/>
      <c r="P33" s="5"/>
      <c r="Q33" s="5"/>
      <c r="R33" s="5"/>
      <c r="S33" s="5"/>
    </row>
    <row r="34" spans="2:19">
      <c r="B34" s="2"/>
      <c r="D34" s="3"/>
      <c r="E34" s="2"/>
      <c r="G34" s="3"/>
      <c r="J34" s="3"/>
      <c r="L34" s="4"/>
      <c r="M34" s="5"/>
      <c r="N34" s="5"/>
      <c r="O34" s="5"/>
      <c r="P34" s="5"/>
      <c r="Q34" s="5"/>
      <c r="R34" s="5"/>
      <c r="S34" s="5"/>
    </row>
    <row r="35" spans="2:19">
      <c r="B35" s="2"/>
      <c r="D35" s="3"/>
      <c r="E35" s="2"/>
      <c r="G35" s="3"/>
      <c r="J35" s="3"/>
      <c r="L35" s="4"/>
      <c r="M35" s="5"/>
      <c r="N35" s="5"/>
      <c r="O35" s="5"/>
      <c r="P35" s="5"/>
      <c r="Q35" s="5"/>
      <c r="R35" s="5"/>
      <c r="S35" s="5"/>
    </row>
    <row r="36" spans="2:19">
      <c r="B36" s="2"/>
      <c r="D36" s="3"/>
      <c r="E36" s="2"/>
      <c r="G36" s="3"/>
      <c r="J36" s="3"/>
      <c r="L36" s="4"/>
      <c r="M36" s="5"/>
      <c r="N36" s="5"/>
      <c r="O36" s="5"/>
      <c r="P36" s="5"/>
      <c r="Q36" s="5"/>
      <c r="R36" s="5"/>
      <c r="S36" s="5"/>
    </row>
    <row r="37" spans="2:19">
      <c r="B37" s="2"/>
      <c r="D37" s="3"/>
      <c r="E37" s="2"/>
      <c r="G37" s="3"/>
      <c r="J37" s="3"/>
      <c r="L37" s="4"/>
      <c r="M37" s="5"/>
      <c r="N37" s="5"/>
      <c r="O37" s="5"/>
      <c r="P37" s="5"/>
      <c r="Q37" s="5"/>
      <c r="R37" s="5"/>
      <c r="S37" s="5"/>
    </row>
    <row r="38" spans="2:19">
      <c r="B38" s="2"/>
      <c r="D38" s="3"/>
      <c r="E38" s="2"/>
      <c r="G38" s="3"/>
      <c r="J38" s="3"/>
      <c r="L38" s="4"/>
      <c r="M38" s="5"/>
      <c r="N38" s="5"/>
      <c r="O38" s="5"/>
      <c r="P38" s="5"/>
      <c r="Q38" s="5"/>
      <c r="R38" s="5"/>
      <c r="S38" s="5"/>
    </row>
    <row r="39" spans="2:19">
      <c r="B39" s="2"/>
      <c r="D39" s="3"/>
      <c r="E39" s="2"/>
      <c r="G39" s="3"/>
      <c r="J39" s="3"/>
      <c r="L39" s="4"/>
      <c r="M39" s="5"/>
      <c r="N39" s="5"/>
      <c r="O39" s="5"/>
      <c r="P39" s="5"/>
      <c r="Q39" s="5"/>
      <c r="R39" s="5"/>
      <c r="S39" s="5"/>
    </row>
    <row r="40" spans="2:19">
      <c r="B40" s="2"/>
      <c r="D40" s="3"/>
      <c r="E40" s="2"/>
      <c r="G40" s="3"/>
      <c r="J40" s="3"/>
      <c r="L40" s="4"/>
      <c r="M40" s="5"/>
      <c r="N40" s="5"/>
      <c r="O40" s="5"/>
      <c r="P40" s="5"/>
      <c r="Q40" s="5"/>
      <c r="R40" s="5"/>
      <c r="S40" s="5"/>
    </row>
    <row r="41" spans="2:19">
      <c r="B41" s="2"/>
      <c r="D41" s="3"/>
      <c r="E41" s="2"/>
      <c r="G41" s="3"/>
      <c r="J41" s="3"/>
      <c r="L41" s="4"/>
      <c r="M41" s="5"/>
      <c r="N41" s="5"/>
      <c r="O41" s="5"/>
      <c r="P41" s="5"/>
      <c r="Q41" s="5"/>
      <c r="R41" s="5"/>
      <c r="S41" s="5"/>
    </row>
    <row r="42" spans="2:19">
      <c r="B42" s="2"/>
      <c r="D42" s="3"/>
      <c r="E42" s="2"/>
      <c r="G42" s="3"/>
      <c r="J42" s="3"/>
      <c r="L42" s="4"/>
      <c r="M42" s="5"/>
      <c r="N42" s="5"/>
      <c r="O42" s="5"/>
      <c r="P42" s="5"/>
      <c r="Q42" s="5"/>
      <c r="R42" s="5"/>
      <c r="S42" s="5"/>
    </row>
    <row r="43" spans="2:19">
      <c r="B43" s="2"/>
      <c r="D43" s="3"/>
      <c r="E43" s="2"/>
      <c r="G43" s="3"/>
      <c r="J43" s="3"/>
      <c r="L43" s="4"/>
      <c r="M43" s="5"/>
      <c r="N43" s="5"/>
      <c r="O43" s="5"/>
      <c r="P43" s="5"/>
      <c r="Q43" s="5"/>
      <c r="R43" s="5"/>
      <c r="S43" s="5"/>
    </row>
    <row r="44" spans="2:19">
      <c r="B44" s="2"/>
      <c r="D44" s="3"/>
      <c r="E44" s="2"/>
      <c r="G44" s="3"/>
      <c r="J44" s="3"/>
      <c r="L44" s="4"/>
      <c r="M44" s="5"/>
      <c r="N44" s="5"/>
      <c r="O44" s="5"/>
      <c r="P44" s="5"/>
      <c r="Q44" s="5"/>
      <c r="R44" s="5"/>
      <c r="S44" s="5"/>
    </row>
    <row r="45" spans="2:19">
      <c r="B45" s="2"/>
      <c r="D45" s="3"/>
      <c r="E45" s="2"/>
      <c r="G45" s="3"/>
      <c r="J45" s="3"/>
      <c r="L45" s="4"/>
      <c r="M45" s="5"/>
      <c r="N45" s="5"/>
      <c r="O45" s="5"/>
      <c r="P45" s="5"/>
      <c r="Q45" s="5"/>
      <c r="R45" s="5"/>
      <c r="S45" s="5"/>
    </row>
    <row r="46" spans="2:19">
      <c r="B46" s="2"/>
      <c r="D46" s="3"/>
      <c r="E46" s="2"/>
      <c r="G46" s="3"/>
      <c r="J46" s="3"/>
      <c r="L46" s="4"/>
      <c r="M46" s="5"/>
      <c r="N46" s="5"/>
      <c r="O46" s="5"/>
      <c r="P46" s="5"/>
      <c r="Q46" s="5"/>
      <c r="R46" s="5"/>
      <c r="S46" s="5"/>
    </row>
    <row r="47" spans="2:19">
      <c r="B47" s="2"/>
      <c r="D47" s="3"/>
      <c r="E47" s="2"/>
      <c r="G47" s="3"/>
      <c r="J47" s="3"/>
      <c r="L47" s="4"/>
      <c r="M47" s="5"/>
      <c r="N47" s="5"/>
      <c r="O47" s="5"/>
      <c r="P47" s="5"/>
      <c r="Q47" s="5"/>
      <c r="R47" s="5"/>
      <c r="S47" s="5"/>
    </row>
    <row r="48" spans="2:19">
      <c r="B48" s="2"/>
      <c r="D48" s="3"/>
      <c r="E48" s="2"/>
      <c r="G48" s="3"/>
      <c r="J48" s="3"/>
      <c r="L48" s="4"/>
      <c r="M48" s="5"/>
      <c r="N48" s="5"/>
      <c r="O48" s="5"/>
      <c r="P48" s="5"/>
      <c r="Q48" s="5"/>
      <c r="R48" s="5"/>
      <c r="S48" s="5"/>
    </row>
    <row r="49" spans="2:19">
      <c r="B49" s="2"/>
      <c r="D49" s="3"/>
      <c r="E49" s="2"/>
      <c r="G49" s="3"/>
      <c r="J49" s="3"/>
      <c r="L49" s="4"/>
      <c r="M49" s="5"/>
      <c r="N49" s="5"/>
      <c r="O49" s="5"/>
      <c r="P49" s="5"/>
      <c r="Q49" s="5"/>
      <c r="R49" s="5"/>
      <c r="S49" s="5"/>
    </row>
    <row r="50" spans="2:19">
      <c r="B50" s="2"/>
      <c r="D50" s="3"/>
      <c r="E50" s="2"/>
      <c r="G50" s="3"/>
      <c r="J50" s="3"/>
      <c r="L50" s="4"/>
      <c r="M50" s="5"/>
      <c r="N50" s="5"/>
      <c r="O50" s="5"/>
      <c r="P50" s="5"/>
      <c r="Q50" s="5"/>
      <c r="R50" s="5"/>
      <c r="S50" s="5"/>
    </row>
    <row r="51" spans="2:19">
      <c r="B51" s="2"/>
      <c r="D51" s="3"/>
      <c r="E51" s="2"/>
      <c r="G51" s="3"/>
      <c r="J51" s="3"/>
      <c r="L51" s="4"/>
      <c r="M51" s="5"/>
      <c r="N51" s="5"/>
      <c r="O51" s="5"/>
      <c r="P51" s="5"/>
      <c r="Q51" s="5"/>
      <c r="R51" s="5"/>
      <c r="S51" s="5"/>
    </row>
    <row r="52" spans="2:19">
      <c r="B52" s="2"/>
      <c r="D52" s="3"/>
      <c r="E52" s="2"/>
      <c r="G52" s="3"/>
      <c r="J52" s="3"/>
      <c r="L52" s="4"/>
      <c r="M52" s="5"/>
      <c r="N52" s="5"/>
      <c r="O52" s="5"/>
      <c r="P52" s="5"/>
      <c r="Q52" s="5"/>
      <c r="R52" s="5"/>
      <c r="S52" s="5"/>
    </row>
    <row r="53" spans="2:19">
      <c r="B53" s="2"/>
      <c r="D53" s="3"/>
      <c r="E53" s="2"/>
      <c r="G53" s="3"/>
      <c r="J53" s="3"/>
      <c r="L53" s="4"/>
      <c r="M53" s="5"/>
      <c r="N53" s="5"/>
      <c r="O53" s="5"/>
      <c r="P53" s="5"/>
      <c r="Q53" s="5"/>
      <c r="R53" s="5"/>
      <c r="S53" s="5"/>
    </row>
    <row r="54" spans="2:19">
      <c r="B54" s="2"/>
      <c r="D54" s="3"/>
      <c r="E54" s="2"/>
      <c r="G54" s="3"/>
      <c r="J54" s="3"/>
      <c r="L54" s="4"/>
      <c r="M54" s="5"/>
      <c r="N54" s="5"/>
      <c r="O54" s="5"/>
      <c r="P54" s="5"/>
      <c r="Q54" s="5"/>
      <c r="R54" s="5"/>
      <c r="S54" s="5"/>
    </row>
    <row r="55" spans="2:19">
      <c r="B55" s="2"/>
      <c r="D55" s="3"/>
      <c r="E55" s="2"/>
      <c r="G55" s="3"/>
      <c r="J55" s="3"/>
      <c r="L55" s="4"/>
      <c r="M55" s="5"/>
      <c r="N55" s="5"/>
      <c r="O55" s="5"/>
      <c r="P55" s="5"/>
      <c r="Q55" s="5"/>
      <c r="R55" s="5"/>
      <c r="S55" s="5"/>
    </row>
    <row r="56" spans="2:19">
      <c r="B56" s="2"/>
      <c r="D56" s="3"/>
      <c r="E56" s="2"/>
      <c r="G56" s="3"/>
      <c r="J56" s="3"/>
      <c r="L56" s="4"/>
      <c r="M56" s="5"/>
      <c r="N56" s="5"/>
      <c r="O56" s="5"/>
      <c r="P56" s="5"/>
      <c r="Q56" s="5"/>
      <c r="R56" s="5"/>
      <c r="S56" s="5"/>
    </row>
    <row r="57" spans="2:19">
      <c r="B57" s="2"/>
      <c r="D57" s="3"/>
      <c r="E57" s="2"/>
      <c r="G57" s="3"/>
      <c r="J57" s="3"/>
      <c r="L57" s="4"/>
      <c r="M57" s="5"/>
      <c r="N57" s="5"/>
      <c r="O57" s="5"/>
      <c r="P57" s="5"/>
      <c r="Q57" s="5"/>
      <c r="R57" s="5"/>
      <c r="S57" s="5"/>
    </row>
    <row r="58" spans="2:19">
      <c r="B58" s="2"/>
      <c r="D58" s="3"/>
      <c r="E58" s="2"/>
      <c r="G58" s="3"/>
      <c r="J58" s="3"/>
      <c r="L58" s="4"/>
      <c r="M58" s="5"/>
      <c r="N58" s="5"/>
      <c r="O58" s="5"/>
      <c r="P58" s="5"/>
      <c r="Q58" s="5"/>
      <c r="R58" s="5"/>
      <c r="S58" s="5"/>
    </row>
    <row r="59" spans="2:19">
      <c r="B59" s="2"/>
      <c r="D59" s="3"/>
      <c r="E59" s="2"/>
      <c r="G59" s="3"/>
      <c r="J59" s="3"/>
      <c r="L59" s="4"/>
      <c r="M59" s="5"/>
      <c r="N59" s="5"/>
      <c r="O59" s="5"/>
      <c r="P59" s="5"/>
      <c r="Q59" s="5"/>
      <c r="R59" s="5"/>
      <c r="S59" s="5"/>
    </row>
  </sheetData>
  <sheetProtection sheet="1" objects="1" scenarios="1"/>
  <protectedRanges>
    <protectedRange sqref="C8:D19 F8:F20 H8:H20 L8:L20 W8:Y20 C4 C20" name="Range1"/>
    <protectedRange sqref="D20" name="範圍1"/>
    <protectedRange sqref="U8:V20" name="範圍1_1"/>
  </protectedRanges>
  <mergeCells count="19">
    <mergeCell ref="N1:S1"/>
    <mergeCell ref="N2:S2"/>
    <mergeCell ref="B3:S3"/>
    <mergeCell ref="C4:D4"/>
    <mergeCell ref="O4:S4"/>
    <mergeCell ref="M6:S6"/>
    <mergeCell ref="D21:K21"/>
    <mergeCell ref="I6:I7"/>
    <mergeCell ref="D23:S23"/>
    <mergeCell ref="B5:S5"/>
    <mergeCell ref="D22:H22"/>
    <mergeCell ref="B6:B7"/>
    <mergeCell ref="C6:C7"/>
    <mergeCell ref="D6:D7"/>
    <mergeCell ref="E6:F6"/>
    <mergeCell ref="G6:H6"/>
    <mergeCell ref="J6:J7"/>
    <mergeCell ref="K6:K7"/>
    <mergeCell ref="L6:L7"/>
  </mergeCells>
  <phoneticPr fontId="3" type="noConversion"/>
  <conditionalFormatting sqref="J8:J20">
    <cfRule type="containsText" dxfId="3" priority="2" operator="containsText" text="要獲授權">
      <formula>NOT(ISERROR(SEARCH("要獲授權",J8)))</formula>
    </cfRule>
    <cfRule type="containsText" dxfId="2" priority="4" operator="containsText" text="SPAD">
      <formula>NOT(ISERROR(SEARCH("SPAD",J8)))</formula>
    </cfRule>
  </conditionalFormatting>
  <conditionalFormatting sqref="J8:K20">
    <cfRule type="containsText" dxfId="1" priority="5" stopIfTrue="1" operator="containsText" text="未">
      <formula>NOT(ISERROR(SEARCH("未",J8)))</formula>
    </cfRule>
  </conditionalFormatting>
  <dataValidations count="5">
    <dataValidation type="list" allowBlank="1" showInputMessage="1" showErrorMessage="1" sqref="V20 V18 V8:V16" xr:uid="{94024A74-DDBE-465B-B862-DDDCA94B009F}">
      <formula1>$AR8:$CJ8</formula1>
    </dataValidation>
    <dataValidation type="list" allowBlank="1" showInputMessage="1" showErrorMessage="1" sqref="W8:W20" xr:uid="{4099412B-9DB6-4C94-A057-8817C5AE3E93}">
      <formula1>$CK8:$EC8</formula1>
    </dataValidation>
    <dataValidation type="list" allowBlank="1" showInputMessage="1" showErrorMessage="1" sqref="X8:X20" xr:uid="{265EA438-9652-442F-9584-7F7E952CA776}">
      <formula1>$ED8:$FV8</formula1>
    </dataValidation>
    <dataValidation type="list" allowBlank="1" showInputMessage="1" showErrorMessage="1" sqref="Y8:Y20" xr:uid="{83CF7BB1-0D82-4B71-B16E-54E164BAD82E}">
      <formula1>$FW8:$HO8</formula1>
    </dataValidation>
    <dataValidation type="list" allowBlank="1" showInputMessage="1" showErrorMessage="1" sqref="C4:D4" xr:uid="{C925526C-70EA-4771-A401-09830E98D9C8}">
      <formula1>$HU$8:$HU$10</formula1>
    </dataValidation>
  </dataValidations>
  <printOptions horizontalCentered="1" verticalCentered="1"/>
  <pageMargins left="0" right="0" top="0" bottom="0" header="0" footer="0"/>
  <pageSetup paperSize="9" fitToHeight="0" orientation="landscape" errors="blank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  <pageSetUpPr fitToPage="1"/>
  </sheetPr>
  <dimension ref="A1:IO59"/>
  <sheetViews>
    <sheetView tabSelected="1" view="pageBreakPreview" topLeftCell="A7" zoomScale="130" zoomScaleNormal="100" zoomScaleSheetLayoutView="100" workbookViewId="0">
      <selection activeCell="H8" sqref="H8"/>
    </sheetView>
  </sheetViews>
  <sheetFormatPr defaultColWidth="9" defaultRowHeight="15"/>
  <cols>
    <col min="1" max="1" width="1.109375" style="5" customWidth="1"/>
    <col min="2" max="2" width="3.77734375" style="6" customWidth="1"/>
    <col min="3" max="3" width="5.33203125" style="2" customWidth="1"/>
    <col min="4" max="4" width="28.5546875" style="48" customWidth="1"/>
    <col min="5" max="5" width="6.5546875" style="6" customWidth="1"/>
    <col min="6" max="6" width="6.5546875" style="2" customWidth="1"/>
    <col min="7" max="7" width="6.5546875" style="9" customWidth="1"/>
    <col min="8" max="8" width="6.5546875" style="3" customWidth="1"/>
    <col min="9" max="9" width="6.44140625" style="3" bestFit="1" customWidth="1"/>
    <col min="10" max="10" width="7.5546875" style="9" customWidth="1"/>
    <col min="11" max="11" width="15.33203125" style="11" customWidth="1"/>
    <col min="12" max="12" width="6.77734375" style="10" customWidth="1"/>
    <col min="13" max="13" width="8.33203125" style="7" customWidth="1"/>
    <col min="14" max="14" width="8.21875" style="7" bestFit="1" customWidth="1"/>
    <col min="15" max="15" width="6.77734375" style="7" bestFit="1" customWidth="1"/>
    <col min="16" max="16" width="6.77734375" style="7" customWidth="1"/>
    <col min="17" max="17" width="7.21875" style="7" bestFit="1" customWidth="1"/>
    <col min="18" max="18" width="7.44140625" style="7" customWidth="1"/>
    <col min="19" max="19" width="10.33203125" style="8" bestFit="1" customWidth="1"/>
    <col min="20" max="20" width="3.33203125" style="5" customWidth="1"/>
    <col min="21" max="25" width="6.5546875" style="5" customWidth="1"/>
    <col min="26" max="26" width="1.77734375" style="5" customWidth="1"/>
    <col min="27" max="27" width="8.44140625" style="5" hidden="1" customWidth="1"/>
    <col min="28" max="28" width="12.109375" style="5" hidden="1" customWidth="1"/>
    <col min="29" max="29" width="11.77734375" style="5" hidden="1" customWidth="1"/>
    <col min="30" max="31" width="9" style="5" hidden="1" customWidth="1"/>
    <col min="32" max="32" width="26.44140625" style="5" hidden="1" customWidth="1"/>
    <col min="33" max="33" width="8" style="5" hidden="1" customWidth="1"/>
    <col min="34" max="34" width="17.77734375" style="5" hidden="1" customWidth="1"/>
    <col min="35" max="35" width="32.77734375" style="5" hidden="1" customWidth="1"/>
    <col min="36" max="41" width="9" style="5" hidden="1" customWidth="1"/>
    <col min="42" max="42" width="88" style="5" hidden="1" customWidth="1"/>
    <col min="43" max="43" width="20.109375" style="5" hidden="1" customWidth="1"/>
    <col min="44" max="223" width="9" style="5" hidden="1" customWidth="1"/>
    <col min="224" max="224" width="12.33203125" style="5" bestFit="1" customWidth="1"/>
    <col min="225" max="226" width="9" style="5"/>
    <col min="227" max="227" width="9" style="5" customWidth="1"/>
    <col min="228" max="228" width="9" hidden="1" customWidth="1"/>
    <col min="229" max="229" width="9" style="5" hidden="1" customWidth="1"/>
    <col min="230" max="230" width="19.33203125" style="5" hidden="1" customWidth="1"/>
    <col min="231" max="233" width="9" style="5" hidden="1" customWidth="1"/>
    <col min="234" max="235" width="9" style="5"/>
    <col min="236" max="249" width="9" style="5" hidden="1" customWidth="1"/>
    <col min="250" max="16384" width="9" style="5"/>
  </cols>
  <sheetData>
    <row r="1" spans="1:249" ht="24" customHeight="1">
      <c r="B1" s="2"/>
      <c r="D1" s="3"/>
      <c r="E1" s="2"/>
      <c r="G1" s="3"/>
      <c r="J1" s="3"/>
      <c r="K1" s="16"/>
      <c r="L1" s="17" t="s">
        <v>0</v>
      </c>
      <c r="M1" s="56" t="s">
        <v>1</v>
      </c>
      <c r="N1" s="215" t="s">
        <v>2</v>
      </c>
      <c r="O1" s="216"/>
      <c r="P1" s="216"/>
      <c r="Q1" s="216"/>
      <c r="R1" s="216"/>
      <c r="S1" s="217"/>
      <c r="U1" s="5" t="s">
        <v>3</v>
      </c>
    </row>
    <row r="2" spans="1:249" ht="19.5" customHeight="1">
      <c r="B2" s="2"/>
      <c r="D2" s="3"/>
      <c r="E2" s="2"/>
      <c r="G2" s="3"/>
      <c r="J2" s="3"/>
      <c r="K2" s="16"/>
      <c r="L2" s="19" t="s">
        <v>4</v>
      </c>
      <c r="M2" s="18" t="s">
        <v>5</v>
      </c>
      <c r="N2" s="218">
        <v>45387</v>
      </c>
      <c r="O2" s="219"/>
      <c r="P2" s="219"/>
      <c r="Q2" s="219"/>
      <c r="R2" s="219"/>
      <c r="S2" s="220"/>
      <c r="W2" s="5" t="s">
        <v>6</v>
      </c>
      <c r="X2" s="5" t="s">
        <v>7</v>
      </c>
    </row>
    <row r="3" spans="1:249" s="2" customFormat="1" ht="24" customHeight="1">
      <c r="B3" s="221" t="s">
        <v>8</v>
      </c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  <c r="S3" s="222"/>
      <c r="W3" s="2" t="s">
        <v>9</v>
      </c>
      <c r="X3" s="2">
        <v>1300</v>
      </c>
    </row>
    <row r="4" spans="1:249" s="34" customFormat="1" ht="15" customHeight="1" thickBot="1">
      <c r="B4" s="35" t="s">
        <v>10</v>
      </c>
      <c r="C4" s="223" t="s">
        <v>6</v>
      </c>
      <c r="D4" s="224"/>
      <c r="E4" s="34">
        <v>1</v>
      </c>
      <c r="G4" s="36"/>
      <c r="H4" s="36"/>
      <c r="I4" s="36"/>
      <c r="J4" s="36"/>
      <c r="K4" s="36"/>
      <c r="L4" s="37"/>
      <c r="N4" s="38" t="s">
        <v>11</v>
      </c>
      <c r="O4" s="225">
        <f ca="1">TODAY()</f>
        <v>45526</v>
      </c>
      <c r="P4" s="225"/>
      <c r="Q4" s="225"/>
      <c r="R4" s="225"/>
      <c r="S4" s="225"/>
      <c r="V4" s="148"/>
      <c r="W4" s="34">
        <v>1200</v>
      </c>
      <c r="X4" s="34">
        <v>1800</v>
      </c>
    </row>
    <row r="5" spans="1:249" s="2" customFormat="1" ht="1.5" customHeight="1" thickBot="1">
      <c r="B5" s="205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  <c r="S5" s="205"/>
    </row>
    <row r="6" spans="1:249" s="2" customFormat="1" ht="36.75" customHeight="1" thickTop="1">
      <c r="B6" s="206" t="s">
        <v>12</v>
      </c>
      <c r="C6" s="208" t="s">
        <v>13</v>
      </c>
      <c r="D6" s="208" t="s">
        <v>14</v>
      </c>
      <c r="E6" s="208" t="s">
        <v>15</v>
      </c>
      <c r="F6" s="211"/>
      <c r="G6" s="208" t="s">
        <v>16</v>
      </c>
      <c r="H6" s="211"/>
      <c r="I6" s="208" t="s">
        <v>17</v>
      </c>
      <c r="J6" s="208" t="s">
        <v>18</v>
      </c>
      <c r="K6" s="208" t="s">
        <v>19</v>
      </c>
      <c r="L6" s="212" t="s">
        <v>20</v>
      </c>
      <c r="M6" s="208" t="s">
        <v>21</v>
      </c>
      <c r="N6" s="211"/>
      <c r="O6" s="211"/>
      <c r="P6" s="213"/>
      <c r="Q6" s="213"/>
      <c r="R6" s="213"/>
      <c r="S6" s="214"/>
      <c r="W6" s="149"/>
    </row>
    <row r="7" spans="1:249" s="2" customFormat="1" ht="92.4" thickBot="1">
      <c r="B7" s="207"/>
      <c r="C7" s="209"/>
      <c r="D7" s="210"/>
      <c r="E7" s="15" t="s">
        <v>22</v>
      </c>
      <c r="F7" s="15" t="s">
        <v>23</v>
      </c>
      <c r="G7" s="15" t="s">
        <v>22</v>
      </c>
      <c r="H7" s="15" t="s">
        <v>23</v>
      </c>
      <c r="I7" s="209"/>
      <c r="J7" s="209"/>
      <c r="K7" s="209"/>
      <c r="L7" s="209"/>
      <c r="M7" s="179" t="s">
        <v>24</v>
      </c>
      <c r="N7" s="179" t="s">
        <v>25</v>
      </c>
      <c r="O7" s="179" t="s">
        <v>26</v>
      </c>
      <c r="P7" s="179" t="s">
        <v>27</v>
      </c>
      <c r="Q7" s="180" t="s">
        <v>28</v>
      </c>
      <c r="R7" s="181" t="s">
        <v>29</v>
      </c>
      <c r="S7" s="182" t="s">
        <v>30</v>
      </c>
      <c r="U7" s="85" t="s">
        <v>31</v>
      </c>
      <c r="V7" s="85" t="s">
        <v>32</v>
      </c>
      <c r="W7" s="85" t="s">
        <v>33</v>
      </c>
      <c r="X7" s="85" t="s">
        <v>34</v>
      </c>
      <c r="Y7" s="85" t="s">
        <v>35</v>
      </c>
      <c r="AR7" s="2">
        <v>1</v>
      </c>
      <c r="AS7" s="2">
        <f>AR7+1</f>
        <v>2</v>
      </c>
      <c r="AT7" s="2">
        <f t="shared" ref="AT7:CJ7" si="0">AS7+1</f>
        <v>3</v>
      </c>
      <c r="AU7" s="2">
        <f t="shared" si="0"/>
        <v>4</v>
      </c>
      <c r="AV7" s="2">
        <f t="shared" si="0"/>
        <v>5</v>
      </c>
      <c r="AW7" s="2">
        <f t="shared" si="0"/>
        <v>6</v>
      </c>
      <c r="AX7" s="2">
        <f t="shared" si="0"/>
        <v>7</v>
      </c>
      <c r="AY7" s="2">
        <f t="shared" si="0"/>
        <v>8</v>
      </c>
      <c r="AZ7" s="2">
        <f t="shared" si="0"/>
        <v>9</v>
      </c>
      <c r="BA7" s="2">
        <f>AZ7+1</f>
        <v>10</v>
      </c>
      <c r="BB7" s="2">
        <f t="shared" si="0"/>
        <v>11</v>
      </c>
      <c r="BC7" s="2">
        <f t="shared" si="0"/>
        <v>12</v>
      </c>
      <c r="BD7" s="2">
        <f t="shared" si="0"/>
        <v>13</v>
      </c>
      <c r="BE7" s="2">
        <f t="shared" si="0"/>
        <v>14</v>
      </c>
      <c r="BF7" s="2">
        <f t="shared" si="0"/>
        <v>15</v>
      </c>
      <c r="BG7" s="2">
        <f t="shared" si="0"/>
        <v>16</v>
      </c>
      <c r="BH7" s="2">
        <f>BG7+1</f>
        <v>17</v>
      </c>
      <c r="BI7" s="2">
        <f t="shared" si="0"/>
        <v>18</v>
      </c>
      <c r="BJ7" s="2">
        <f t="shared" si="0"/>
        <v>19</v>
      </c>
      <c r="BK7" s="2">
        <f t="shared" si="0"/>
        <v>20</v>
      </c>
      <c r="BL7" s="2">
        <f t="shared" si="0"/>
        <v>21</v>
      </c>
      <c r="BM7" s="2">
        <f t="shared" si="0"/>
        <v>22</v>
      </c>
      <c r="BN7" s="2">
        <f t="shared" si="0"/>
        <v>23</v>
      </c>
      <c r="BO7" s="2">
        <f t="shared" si="0"/>
        <v>24</v>
      </c>
      <c r="BP7" s="2">
        <f>BO7+1</f>
        <v>25</v>
      </c>
      <c r="BQ7" s="2">
        <f t="shared" si="0"/>
        <v>26</v>
      </c>
      <c r="BR7" s="2">
        <f t="shared" si="0"/>
        <v>27</v>
      </c>
      <c r="BS7" s="2">
        <f t="shared" si="0"/>
        <v>28</v>
      </c>
      <c r="BT7" s="2">
        <f t="shared" si="0"/>
        <v>29</v>
      </c>
      <c r="BU7" s="2">
        <f>BT7+1</f>
        <v>30</v>
      </c>
      <c r="BV7" s="2">
        <f t="shared" si="0"/>
        <v>31</v>
      </c>
      <c r="BW7" s="2">
        <f t="shared" si="0"/>
        <v>32</v>
      </c>
      <c r="BX7" s="2">
        <f t="shared" si="0"/>
        <v>33</v>
      </c>
      <c r="BY7" s="2">
        <f t="shared" si="0"/>
        <v>34</v>
      </c>
      <c r="BZ7" s="2">
        <f t="shared" si="0"/>
        <v>35</v>
      </c>
      <c r="CA7" s="2">
        <f t="shared" si="0"/>
        <v>36</v>
      </c>
      <c r="CB7" s="2">
        <f t="shared" si="0"/>
        <v>37</v>
      </c>
      <c r="CC7" s="2">
        <f t="shared" si="0"/>
        <v>38</v>
      </c>
      <c r="CD7" s="2">
        <f t="shared" si="0"/>
        <v>39</v>
      </c>
      <c r="CE7" s="2">
        <f t="shared" si="0"/>
        <v>40</v>
      </c>
      <c r="CF7" s="2">
        <f t="shared" si="0"/>
        <v>41</v>
      </c>
      <c r="CG7" s="2">
        <f t="shared" si="0"/>
        <v>42</v>
      </c>
      <c r="CH7" s="2">
        <f t="shared" si="0"/>
        <v>43</v>
      </c>
      <c r="CI7" s="2">
        <f t="shared" si="0"/>
        <v>44</v>
      </c>
      <c r="CJ7" s="2">
        <f t="shared" si="0"/>
        <v>45</v>
      </c>
      <c r="CK7" s="2">
        <v>1</v>
      </c>
      <c r="CL7" s="2">
        <f>CK7+1</f>
        <v>2</v>
      </c>
      <c r="CM7" s="2">
        <f t="shared" ref="CM7:EC7" si="1">CL7+1</f>
        <v>3</v>
      </c>
      <c r="CN7" s="2">
        <f t="shared" si="1"/>
        <v>4</v>
      </c>
      <c r="CO7" s="2">
        <f t="shared" si="1"/>
        <v>5</v>
      </c>
      <c r="CP7" s="2">
        <f t="shared" si="1"/>
        <v>6</v>
      </c>
      <c r="CQ7" s="2">
        <f t="shared" si="1"/>
        <v>7</v>
      </c>
      <c r="CR7" s="2">
        <f t="shared" si="1"/>
        <v>8</v>
      </c>
      <c r="CS7" s="2">
        <f t="shared" si="1"/>
        <v>9</v>
      </c>
      <c r="CT7" s="2">
        <f>CS7+1</f>
        <v>10</v>
      </c>
      <c r="CU7" s="2">
        <f t="shared" si="1"/>
        <v>11</v>
      </c>
      <c r="CV7" s="2">
        <f t="shared" si="1"/>
        <v>12</v>
      </c>
      <c r="CW7" s="2">
        <f t="shared" si="1"/>
        <v>13</v>
      </c>
      <c r="CX7" s="2">
        <f t="shared" si="1"/>
        <v>14</v>
      </c>
      <c r="CY7" s="2">
        <f t="shared" si="1"/>
        <v>15</v>
      </c>
      <c r="CZ7" s="2">
        <f t="shared" si="1"/>
        <v>16</v>
      </c>
      <c r="DA7" s="2">
        <f>CZ7+1</f>
        <v>17</v>
      </c>
      <c r="DB7" s="2">
        <f t="shared" si="1"/>
        <v>18</v>
      </c>
      <c r="DC7" s="2">
        <f t="shared" si="1"/>
        <v>19</v>
      </c>
      <c r="DD7" s="2">
        <f t="shared" si="1"/>
        <v>20</v>
      </c>
      <c r="DE7" s="2">
        <f t="shared" si="1"/>
        <v>21</v>
      </c>
      <c r="DF7" s="2">
        <f t="shared" si="1"/>
        <v>22</v>
      </c>
      <c r="DG7" s="2">
        <f t="shared" si="1"/>
        <v>23</v>
      </c>
      <c r="DH7" s="2">
        <f t="shared" si="1"/>
        <v>24</v>
      </c>
      <c r="DI7" s="2">
        <f>DH7+1</f>
        <v>25</v>
      </c>
      <c r="DJ7" s="2">
        <f t="shared" si="1"/>
        <v>26</v>
      </c>
      <c r="DK7" s="2">
        <f t="shared" si="1"/>
        <v>27</v>
      </c>
      <c r="DL7" s="2">
        <f t="shared" si="1"/>
        <v>28</v>
      </c>
      <c r="DM7" s="2">
        <f t="shared" si="1"/>
        <v>29</v>
      </c>
      <c r="DN7" s="2">
        <f>DM7+1</f>
        <v>30</v>
      </c>
      <c r="DO7" s="2">
        <f t="shared" si="1"/>
        <v>31</v>
      </c>
      <c r="DP7" s="2">
        <f t="shared" si="1"/>
        <v>32</v>
      </c>
      <c r="DQ7" s="2">
        <f t="shared" si="1"/>
        <v>33</v>
      </c>
      <c r="DR7" s="2">
        <f t="shared" si="1"/>
        <v>34</v>
      </c>
      <c r="DS7" s="2">
        <f t="shared" si="1"/>
        <v>35</v>
      </c>
      <c r="DT7" s="2">
        <f t="shared" si="1"/>
        <v>36</v>
      </c>
      <c r="DU7" s="2">
        <f t="shared" si="1"/>
        <v>37</v>
      </c>
      <c r="DV7" s="2">
        <f t="shared" si="1"/>
        <v>38</v>
      </c>
      <c r="DW7" s="2">
        <f t="shared" si="1"/>
        <v>39</v>
      </c>
      <c r="DX7" s="2">
        <f t="shared" si="1"/>
        <v>40</v>
      </c>
      <c r="DY7" s="2">
        <f t="shared" si="1"/>
        <v>41</v>
      </c>
      <c r="DZ7" s="2">
        <f t="shared" si="1"/>
        <v>42</v>
      </c>
      <c r="EA7" s="2">
        <f t="shared" si="1"/>
        <v>43</v>
      </c>
      <c r="EB7" s="2">
        <f t="shared" si="1"/>
        <v>44</v>
      </c>
      <c r="EC7" s="2">
        <f t="shared" si="1"/>
        <v>45</v>
      </c>
      <c r="ED7" s="2">
        <v>1</v>
      </c>
      <c r="EE7" s="2">
        <f>ED7+1</f>
        <v>2</v>
      </c>
      <c r="EF7" s="2">
        <f t="shared" ref="EF7:FV7" si="2">EE7+1</f>
        <v>3</v>
      </c>
      <c r="EG7" s="2">
        <f t="shared" si="2"/>
        <v>4</v>
      </c>
      <c r="EH7" s="2">
        <f t="shared" si="2"/>
        <v>5</v>
      </c>
      <c r="EI7" s="2">
        <f t="shared" si="2"/>
        <v>6</v>
      </c>
      <c r="EJ7" s="2">
        <f t="shared" si="2"/>
        <v>7</v>
      </c>
      <c r="EK7" s="2">
        <f t="shared" si="2"/>
        <v>8</v>
      </c>
      <c r="EL7" s="2">
        <f t="shared" si="2"/>
        <v>9</v>
      </c>
      <c r="EM7" s="2">
        <f>EL7+1</f>
        <v>10</v>
      </c>
      <c r="EN7" s="2">
        <f t="shared" si="2"/>
        <v>11</v>
      </c>
      <c r="EO7" s="2">
        <f t="shared" si="2"/>
        <v>12</v>
      </c>
      <c r="EP7" s="2">
        <f t="shared" si="2"/>
        <v>13</v>
      </c>
      <c r="EQ7" s="2">
        <f t="shared" si="2"/>
        <v>14</v>
      </c>
      <c r="ER7" s="2">
        <f t="shared" si="2"/>
        <v>15</v>
      </c>
      <c r="ES7" s="2">
        <f t="shared" si="2"/>
        <v>16</v>
      </c>
      <c r="ET7" s="2">
        <f>ES7+1</f>
        <v>17</v>
      </c>
      <c r="EU7" s="2">
        <f t="shared" si="2"/>
        <v>18</v>
      </c>
      <c r="EV7" s="2">
        <f t="shared" si="2"/>
        <v>19</v>
      </c>
      <c r="EW7" s="2">
        <f t="shared" si="2"/>
        <v>20</v>
      </c>
      <c r="EX7" s="2">
        <f t="shared" si="2"/>
        <v>21</v>
      </c>
      <c r="EY7" s="2">
        <f t="shared" si="2"/>
        <v>22</v>
      </c>
      <c r="EZ7" s="2">
        <f t="shared" si="2"/>
        <v>23</v>
      </c>
      <c r="FA7" s="2">
        <f t="shared" si="2"/>
        <v>24</v>
      </c>
      <c r="FB7" s="2">
        <f>FA7+1</f>
        <v>25</v>
      </c>
      <c r="FC7" s="2">
        <f t="shared" si="2"/>
        <v>26</v>
      </c>
      <c r="FD7" s="2">
        <f t="shared" si="2"/>
        <v>27</v>
      </c>
      <c r="FE7" s="2">
        <f t="shared" si="2"/>
        <v>28</v>
      </c>
      <c r="FF7" s="2">
        <f t="shared" si="2"/>
        <v>29</v>
      </c>
      <c r="FG7" s="2">
        <f>FF7+1</f>
        <v>30</v>
      </c>
      <c r="FH7" s="2">
        <f t="shared" si="2"/>
        <v>31</v>
      </c>
      <c r="FI7" s="2">
        <f t="shared" si="2"/>
        <v>32</v>
      </c>
      <c r="FJ7" s="2">
        <f t="shared" si="2"/>
        <v>33</v>
      </c>
      <c r="FK7" s="2">
        <f t="shared" si="2"/>
        <v>34</v>
      </c>
      <c r="FL7" s="2">
        <f t="shared" si="2"/>
        <v>35</v>
      </c>
      <c r="FM7" s="2">
        <f t="shared" si="2"/>
        <v>36</v>
      </c>
      <c r="FN7" s="2">
        <f t="shared" si="2"/>
        <v>37</v>
      </c>
      <c r="FO7" s="2">
        <f t="shared" si="2"/>
        <v>38</v>
      </c>
      <c r="FP7" s="2">
        <f t="shared" si="2"/>
        <v>39</v>
      </c>
      <c r="FQ7" s="2">
        <f t="shared" si="2"/>
        <v>40</v>
      </c>
      <c r="FR7" s="2">
        <f t="shared" si="2"/>
        <v>41</v>
      </c>
      <c r="FS7" s="2">
        <f t="shared" si="2"/>
        <v>42</v>
      </c>
      <c r="FT7" s="2">
        <f t="shared" si="2"/>
        <v>43</v>
      </c>
      <c r="FU7" s="2">
        <f t="shared" si="2"/>
        <v>44</v>
      </c>
      <c r="FV7" s="2">
        <f t="shared" si="2"/>
        <v>45</v>
      </c>
      <c r="FW7" s="2">
        <v>1</v>
      </c>
      <c r="FX7" s="2">
        <f>FW7+1</f>
        <v>2</v>
      </c>
      <c r="FY7" s="2">
        <f t="shared" ref="FY7:HO7" si="3">FX7+1</f>
        <v>3</v>
      </c>
      <c r="FZ7" s="2">
        <f t="shared" si="3"/>
        <v>4</v>
      </c>
      <c r="GA7" s="2">
        <f t="shared" si="3"/>
        <v>5</v>
      </c>
      <c r="GB7" s="2">
        <f t="shared" si="3"/>
        <v>6</v>
      </c>
      <c r="GC7" s="2">
        <f t="shared" si="3"/>
        <v>7</v>
      </c>
      <c r="GD7" s="2">
        <f t="shared" si="3"/>
        <v>8</v>
      </c>
      <c r="GE7" s="2">
        <f t="shared" si="3"/>
        <v>9</v>
      </c>
      <c r="GF7" s="2">
        <f>GE7+1</f>
        <v>10</v>
      </c>
      <c r="GG7" s="2">
        <f t="shared" si="3"/>
        <v>11</v>
      </c>
      <c r="GH7" s="2">
        <f t="shared" si="3"/>
        <v>12</v>
      </c>
      <c r="GI7" s="2">
        <f t="shared" si="3"/>
        <v>13</v>
      </c>
      <c r="GJ7" s="2">
        <f t="shared" si="3"/>
        <v>14</v>
      </c>
      <c r="GK7" s="2">
        <f t="shared" si="3"/>
        <v>15</v>
      </c>
      <c r="GL7" s="2">
        <f t="shared" si="3"/>
        <v>16</v>
      </c>
      <c r="GM7" s="2">
        <f>GL7+1</f>
        <v>17</v>
      </c>
      <c r="GN7" s="2">
        <f t="shared" si="3"/>
        <v>18</v>
      </c>
      <c r="GO7" s="2">
        <f t="shared" si="3"/>
        <v>19</v>
      </c>
      <c r="GP7" s="2">
        <f t="shared" si="3"/>
        <v>20</v>
      </c>
      <c r="GQ7" s="2">
        <f t="shared" si="3"/>
        <v>21</v>
      </c>
      <c r="GR7" s="2">
        <f t="shared" si="3"/>
        <v>22</v>
      </c>
      <c r="GS7" s="2">
        <f t="shared" si="3"/>
        <v>23</v>
      </c>
      <c r="GT7" s="2">
        <f t="shared" si="3"/>
        <v>24</v>
      </c>
      <c r="GU7" s="2">
        <f>GT7+1</f>
        <v>25</v>
      </c>
      <c r="GV7" s="2">
        <f t="shared" si="3"/>
        <v>26</v>
      </c>
      <c r="GW7" s="2">
        <f t="shared" si="3"/>
        <v>27</v>
      </c>
      <c r="GX7" s="2">
        <f t="shared" si="3"/>
        <v>28</v>
      </c>
      <c r="GY7" s="2">
        <f t="shared" si="3"/>
        <v>29</v>
      </c>
      <c r="GZ7" s="2">
        <f>GY7+1</f>
        <v>30</v>
      </c>
      <c r="HA7" s="2">
        <f t="shared" si="3"/>
        <v>31</v>
      </c>
      <c r="HB7" s="2">
        <f t="shared" si="3"/>
        <v>32</v>
      </c>
      <c r="HC7" s="2">
        <f t="shared" si="3"/>
        <v>33</v>
      </c>
      <c r="HD7" s="2">
        <f t="shared" si="3"/>
        <v>34</v>
      </c>
      <c r="HE7" s="2">
        <f t="shared" si="3"/>
        <v>35</v>
      </c>
      <c r="HF7" s="2">
        <f t="shared" si="3"/>
        <v>36</v>
      </c>
      <c r="HG7" s="2">
        <f t="shared" si="3"/>
        <v>37</v>
      </c>
      <c r="HH7" s="2">
        <f t="shared" si="3"/>
        <v>38</v>
      </c>
      <c r="HI7" s="2">
        <f t="shared" si="3"/>
        <v>39</v>
      </c>
      <c r="HJ7" s="2">
        <f t="shared" si="3"/>
        <v>40</v>
      </c>
      <c r="HK7" s="2">
        <f t="shared" si="3"/>
        <v>41</v>
      </c>
      <c r="HL7" s="2">
        <f t="shared" si="3"/>
        <v>42</v>
      </c>
      <c r="HM7" s="2">
        <f t="shared" si="3"/>
        <v>43</v>
      </c>
      <c r="HN7" s="2">
        <f t="shared" si="3"/>
        <v>44</v>
      </c>
      <c r="HO7" s="2">
        <f t="shared" si="3"/>
        <v>45</v>
      </c>
      <c r="HV7" s="2" t="s">
        <v>36</v>
      </c>
      <c r="HW7" s="2" t="s">
        <v>37</v>
      </c>
      <c r="HX7" s="2" t="s">
        <v>38</v>
      </c>
      <c r="HY7" s="2" t="s">
        <v>39</v>
      </c>
      <c r="HZ7" s="3" t="s">
        <v>40</v>
      </c>
      <c r="IA7" s="3" t="s">
        <v>41</v>
      </c>
      <c r="IB7" s="2" t="s">
        <v>42</v>
      </c>
      <c r="IH7" s="3" t="s">
        <v>43</v>
      </c>
      <c r="II7" s="3" t="s">
        <v>44</v>
      </c>
      <c r="IJ7" s="3" t="s">
        <v>45</v>
      </c>
      <c r="IK7" s="3" t="s">
        <v>46</v>
      </c>
      <c r="IL7" s="3" t="s">
        <v>47</v>
      </c>
      <c r="IM7" s="3" t="s">
        <v>48</v>
      </c>
      <c r="IN7" s="3" t="s">
        <v>49</v>
      </c>
      <c r="IO7" s="3" t="s">
        <v>50</v>
      </c>
    </row>
    <row r="8" spans="1:249" s="20" customFormat="1" ht="33" customHeight="1" thickTop="1">
      <c r="A8" s="33" t="s">
        <v>51</v>
      </c>
      <c r="B8" s="39">
        <v>1</v>
      </c>
      <c r="C8" s="158"/>
      <c r="D8" s="174"/>
      <c r="E8" s="88" t="e">
        <f>VLOOKUP(F8,'Radio Call Sign'!A:B,2)</f>
        <v>#N/A</v>
      </c>
      <c r="F8" s="88"/>
      <c r="G8" s="88" t="e">
        <f>VLOOKUP(H8,'Radio Call Sign'!A:B,2)</f>
        <v>#N/A</v>
      </c>
      <c r="H8" s="89"/>
      <c r="I8" s="89"/>
      <c r="J8" s="90"/>
      <c r="K8" s="86"/>
      <c r="L8" s="158"/>
      <c r="M8" s="189" t="str">
        <f>IF(J8="","",IF(J8=0,"*",""))</f>
        <v/>
      </c>
      <c r="N8" s="42"/>
      <c r="O8" s="43"/>
      <c r="P8" s="52"/>
      <c r="Q8" s="161" t="str">
        <f>IF(AA8="","",IF(COUNTIFS('overhead line area'!$D$3:$D$100,AA8)+COUNTIFS('overhead line area'!$D$3:$D$100,AB8)+COUNTIFS('overhead line area'!$D$3:$D$100,AC8)+COUNTIFS('overhead line area'!$D$3:$D$100,AD8)=0,"","*               "))</f>
        <v/>
      </c>
      <c r="R8" s="52"/>
      <c r="S8" s="44"/>
      <c r="U8" s="74"/>
      <c r="V8" s="74"/>
      <c r="W8" s="74"/>
      <c r="X8" s="74"/>
      <c r="Y8" s="74"/>
      <c r="AA8" s="74" t="str">
        <f t="shared" ref="AA8:AA17" si="4">IF(U8="","",CONCATENATE(U8,"-",V8))</f>
        <v/>
      </c>
      <c r="AB8" s="74" t="str">
        <f t="shared" ref="AB8:AB17" si="5">IF(W8="","",CONCATENATE(V8,"-",W8))</f>
        <v/>
      </c>
      <c r="AC8" s="74" t="str">
        <f t="shared" ref="AB8:AD20" si="6">IF(X8="","",CONCATENATE(W8,"-",X8))</f>
        <v/>
      </c>
      <c r="AD8" s="74" t="str">
        <f t="shared" si="6"/>
        <v/>
      </c>
      <c r="AF8" s="74" t="str">
        <f>IF(AA8="","",IF(COUNTIF(Route!$AM:$AM,'Train Movement Log (page.1)'!AA8)=0,"未有資料",VLOOKUP('Train Movement Log (page.1)'!AA8,Route!$AM:$AP,3,0)))</f>
        <v/>
      </c>
      <c r="AG8" s="74" t="str">
        <f>IF(AB8="","",IF(COUNTIF(Route!$AM:$AM,'Train Movement Log (page.1)'!AB8)=0,"未有資料",VLOOKUP('Train Movement Log (page.1)'!AB8,Route!$AM:$AP,3,0)))</f>
        <v/>
      </c>
      <c r="AH8" s="74" t="str">
        <f>IF(AC8="","",IF(COUNTIF(Route!$AM:$AM,'Train Movement Log (page.1)'!AC8)=0,"未有資料",VLOOKUP('Train Movement Log (page.1)'!AC8,Route!$AM:$AP,3,0)))</f>
        <v/>
      </c>
      <c r="AI8" s="74" t="str">
        <f>IF(AD8="","",IF(COUNTIF(Route!$AM:$AM,'Train Movement Log (page.1)'!AD8)=0,"未有資料",VLOOKUP('Train Movement Log (page.1)'!AD8,Route!$AM:$AP,3,0)))</f>
        <v/>
      </c>
      <c r="AK8" s="74" t="str">
        <f>IF(AA8="","",IF(COUNTIF(Route!$AM:$AM,'Train Movement Log (page.1)'!AA8)=0,"未有資料",VLOOKUP('Train Movement Log (page.1)'!AA8,Route!$AM:$AP,4,0)))</f>
        <v/>
      </c>
      <c r="AL8" s="74" t="str">
        <f>IF(AB8="","",IF(COUNTIF(Route!$AM:$AM,'Train Movement Log (page.1)'!AB8)=0,"未有資料",VLOOKUP('Train Movement Log (page.1)'!AB8,Route!$AM:$AP,4,0)))</f>
        <v/>
      </c>
      <c r="AM8" s="74" t="str">
        <f>IF(AC8="","",IF(COUNTIF(Route!$AM:$AM,'Train Movement Log (page.1)'!AC8)=0,"未有資料",VLOOKUP('Train Movement Log (page.1)'!AC8,Route!$AM:$AP,4,0)))</f>
        <v/>
      </c>
      <c r="AN8" s="74" t="str">
        <f>IF(AD8="","",IF(COUNTIF(Route!$AM:$AM,'Train Movement Log (page.1)'!AD8)=0,"未有資料",VLOOKUP('Train Movement Log (page.1)'!AD8,Route!$AM:$AP,4,0)))</f>
        <v/>
      </c>
      <c r="AP8" s="74" t="str">
        <f t="shared" ref="AP8:AP20" si="7">IF(AI8="",IF(AH8="",IF(AG8="",AF8,CONCATENATE(AF8,", ",AG8)),CONCATENATE(AF8,", ",AG8,", ",AH8)),CONCATENATE(AF8,", ",AG8,", ",AH8,", ",AI8))</f>
        <v/>
      </c>
      <c r="AQ8" s="76" t="str">
        <f t="shared" ref="AQ8:AQ20" si="8">IF(AN8="",IF(AM8="",IF(AL8="",AK8,CONCATENATE(AK8,", ",AL8)),CONCATENATE(AK8,", ",AL8,", ",AM8)),CONCATENATE(AK8,", ",AL8,", ",AM8,", ",AN8))</f>
        <v/>
      </c>
      <c r="AR8" s="77" t="str">
        <f>IF($U8="","",IF(COUNTIF(choice!$D:$D,CONCATENATE($U8,"@",AR$7))=0,"",VLOOKUP(CONCATENATE($U8,"@",AR$7),choice!$D:$E,2,0)))</f>
        <v/>
      </c>
      <c r="AS8" s="78" t="str">
        <f>IF($U8="","",IF(COUNTIF(choice!$D:$D,CONCATENATE($U8,"@",AS$7))=0,"",VLOOKUP(CONCATENATE($U8,"@",AS$7),choice!$D:$E,2,0)))</f>
        <v/>
      </c>
      <c r="AT8" s="78" t="str">
        <f>IF($U8="","",IF(COUNTIF(choice!$D:$D,CONCATENATE($U8,"@",AT$7))=0,"",VLOOKUP(CONCATENATE($U8,"@",AT$7),choice!$D:$E,2,0)))</f>
        <v/>
      </c>
      <c r="AU8" s="78" t="str">
        <f>IF($U8="","",IF(COUNTIF(choice!$D:$D,CONCATENATE($U8,"@",AU$7))=0,"",VLOOKUP(CONCATENATE($U8,"@",AU$7),choice!$D:$E,2,0)))</f>
        <v/>
      </c>
      <c r="AV8" s="78" t="str">
        <f>IF($U8="","",IF(COUNTIF(choice!$D:$D,CONCATENATE($U8,"@",AV$7))=0,"",VLOOKUP(CONCATENATE($U8,"@",AV$7),choice!$D:$E,2,0)))</f>
        <v/>
      </c>
      <c r="AW8" s="78" t="str">
        <f>IF($U8="","",IF(COUNTIF(choice!$D:$D,CONCATENATE($U8,"@",AW$7))=0,"",VLOOKUP(CONCATENATE($U8,"@",AW$7),choice!$D:$E,2,0)))</f>
        <v/>
      </c>
      <c r="AX8" s="78" t="str">
        <f>IF($U8="","",IF(COUNTIF(choice!$D:$D,CONCATENATE($U8,"@",AX$7))=0,"",VLOOKUP(CONCATENATE($U8,"@",AX$7),choice!$D:$E,2,0)))</f>
        <v/>
      </c>
      <c r="AY8" s="78" t="str">
        <f>IF($U8="","",IF(COUNTIF(choice!$D:$D,CONCATENATE($U8,"@",AY$7))=0,"",VLOOKUP(CONCATENATE($U8,"@",AY$7),choice!$D:$E,2,0)))</f>
        <v/>
      </c>
      <c r="AZ8" s="78" t="str">
        <f>IF($U8="","",IF(COUNTIF(choice!$D:$D,CONCATENATE($U8,"@",AZ$7))=0,"",VLOOKUP(CONCATENATE($U8,"@",AZ$7),choice!$D:$E,2,0)))</f>
        <v/>
      </c>
      <c r="BA8" s="78" t="str">
        <f>IF($U8="","",IF(COUNTIF(choice!$D:$D,CONCATENATE($U8,"@",BA$7))=0,"",VLOOKUP(CONCATENATE($U8,"@",BA$7),choice!$D:$E,2,0)))</f>
        <v/>
      </c>
      <c r="BB8" s="78" t="str">
        <f>IF($U8="","",IF(COUNTIF(choice!$D:$D,CONCATENATE($U8,"@",BB$7))=0,"",VLOOKUP(CONCATENATE($U8,"@",BB$7),choice!$D:$E,2,0)))</f>
        <v/>
      </c>
      <c r="BC8" s="78" t="str">
        <f>IF($U8="","",IF(COUNTIF(choice!$D:$D,CONCATENATE($U8,"@",BC$7))=0,"",VLOOKUP(CONCATENATE($U8,"@",BC$7),choice!$D:$E,2,0)))</f>
        <v/>
      </c>
      <c r="BD8" s="78" t="str">
        <f>IF($U8="","",IF(COUNTIF(choice!$D:$D,CONCATENATE($U8,"@",BD$7))=0,"",VLOOKUP(CONCATENATE($U8,"@",BD$7),choice!$D:$E,2,0)))</f>
        <v/>
      </c>
      <c r="BE8" s="78" t="str">
        <f>IF($U8="","",IF(COUNTIF(choice!$D:$D,CONCATENATE($U8,"@",BE$7))=0,"",VLOOKUP(CONCATENATE($U8,"@",BE$7),choice!$D:$E,2,0)))</f>
        <v/>
      </c>
      <c r="BF8" s="78" t="str">
        <f>IF($U8="","",IF(COUNTIF(choice!$D:$D,CONCATENATE($U8,"@",BF$7))=0,"",VLOOKUP(CONCATENATE($U8,"@",BF$7),choice!$D:$E,2,0)))</f>
        <v/>
      </c>
      <c r="BG8" s="78" t="str">
        <f>IF($U8="","",IF(COUNTIF(choice!$D:$D,CONCATENATE($U8,"@",BG$7))=0,"",VLOOKUP(CONCATENATE($U8,"@",BG$7),choice!$D:$E,2,0)))</f>
        <v/>
      </c>
      <c r="BH8" s="78" t="str">
        <f>IF($U8="","",IF(COUNTIF(choice!$D:$D,CONCATENATE($U8,"@",BH$7))=0,"",VLOOKUP(CONCATENATE($U8,"@",BH$7),choice!$D:$E,2,0)))</f>
        <v/>
      </c>
      <c r="BI8" s="78" t="str">
        <f>IF($U8="","",IF(COUNTIF(choice!$D:$D,CONCATENATE($U8,"@",BI$7))=0,"",VLOOKUP(CONCATENATE($U8,"@",BI$7),choice!$D:$E,2,0)))</f>
        <v/>
      </c>
      <c r="BJ8" s="78" t="str">
        <f>IF($U8="","",IF(COUNTIF(choice!$D:$D,CONCATENATE($U8,"@",BJ$7))=0,"",VLOOKUP(CONCATENATE($U8,"@",BJ$7),choice!$D:$E,2,0)))</f>
        <v/>
      </c>
      <c r="BK8" s="78" t="str">
        <f>IF($U8="","",IF(COUNTIF(choice!$D:$D,CONCATENATE($U8,"@",BK$7))=0,"",VLOOKUP(CONCATENATE($U8,"@",BK$7),choice!$D:$E,2,0)))</f>
        <v/>
      </c>
      <c r="BL8" s="78" t="str">
        <f>IF($U8="","",IF(COUNTIF(choice!$D:$D,CONCATENATE($U8,"@",BL$7))=0,"",VLOOKUP(CONCATENATE($U8,"@",BL$7),choice!$D:$E,2,0)))</f>
        <v/>
      </c>
      <c r="BM8" s="78" t="str">
        <f>IF($U8="","",IF(COUNTIF(choice!$D:$D,CONCATENATE($U8,"@",BM$7))=0,"",VLOOKUP(CONCATENATE($U8,"@",BM$7),choice!$D:$E,2,0)))</f>
        <v/>
      </c>
      <c r="BN8" s="78" t="str">
        <f>IF($U8="","",IF(COUNTIF(choice!$D:$D,CONCATENATE($U8,"@",BN$7))=0,"",VLOOKUP(CONCATENATE($U8,"@",BN$7),choice!$D:$E,2,0)))</f>
        <v/>
      </c>
      <c r="BO8" s="78" t="str">
        <f>IF($U8="","",IF(COUNTIF(choice!$D:$D,CONCATENATE($U8,"@",BO$7))=0,"",VLOOKUP(CONCATENATE($U8,"@",BO$7),choice!$D:$E,2,0)))</f>
        <v/>
      </c>
      <c r="BP8" s="78" t="str">
        <f>IF($U8="","",IF(COUNTIF(choice!$D:$D,CONCATENATE($U8,"@",BP$7))=0,"",VLOOKUP(CONCATENATE($U8,"@",BP$7),choice!$D:$E,2,0)))</f>
        <v/>
      </c>
      <c r="BQ8" s="78" t="str">
        <f>IF($U8="","",IF(COUNTIF(choice!$D:$D,CONCATENATE($U8,"@",BQ$7))=0,"",VLOOKUP(CONCATENATE($U8,"@",BQ$7),choice!$D:$E,2,0)))</f>
        <v/>
      </c>
      <c r="BR8" s="78" t="str">
        <f>IF($U8="","",IF(COUNTIF(choice!$D:$D,CONCATENATE($U8,"@",BR$7))=0,"",VLOOKUP(CONCATENATE($U8,"@",BR$7),choice!$D:$E,2,0)))</f>
        <v/>
      </c>
      <c r="BS8" s="78" t="str">
        <f>IF($U8="","",IF(COUNTIF(choice!$D:$D,CONCATENATE($U8,"@",BS$7))=0,"",VLOOKUP(CONCATENATE($U8,"@",BS$7),choice!$D:$E,2,0)))</f>
        <v/>
      </c>
      <c r="BT8" s="78" t="str">
        <f>IF($U8="","",IF(COUNTIF(choice!$D:$D,CONCATENATE($U8,"@",BT$7))=0,"",VLOOKUP(CONCATENATE($U8,"@",BT$7),choice!$D:$E,2,0)))</f>
        <v/>
      </c>
      <c r="BU8" s="78" t="str">
        <f>IF($U8="","",IF(COUNTIF(choice!$D:$D,CONCATENATE($U8,"@",BU$7))=0,"",VLOOKUP(CONCATENATE($U8,"@",BU$7),choice!$D:$E,2,0)))</f>
        <v/>
      </c>
      <c r="BV8" s="78" t="str">
        <f>IF($U8="","",IF(COUNTIF(choice!$D:$D,CONCATENATE($U8,"@",BV$7))=0,"",VLOOKUP(CONCATENATE($U8,"@",BV$7),choice!$D:$E,2,0)))</f>
        <v/>
      </c>
      <c r="BW8" s="78" t="str">
        <f>IF($U8="","",IF(COUNTIF(choice!$D:$D,CONCATENATE($U8,"@",BW$7))=0,"",VLOOKUP(CONCATENATE($U8,"@",BW$7),choice!$D:$E,2,0)))</f>
        <v/>
      </c>
      <c r="BX8" s="78" t="str">
        <f>IF($U8="","",IF(COUNTIF(choice!$D:$D,CONCATENATE($U8,"@",BX$7))=0,"",VLOOKUP(CONCATENATE($U8,"@",BX$7),choice!$D:$E,2,0)))</f>
        <v/>
      </c>
      <c r="BY8" s="78" t="str">
        <f>IF($U8="","",IF(COUNTIF(choice!$D:$D,CONCATENATE($U8,"@",BY$7))=0,"",VLOOKUP(CONCATENATE($U8,"@",BY$7),choice!$D:$E,2,0)))</f>
        <v/>
      </c>
      <c r="BZ8" s="78" t="str">
        <f>IF($U8="","",IF(COUNTIF(choice!$D:$D,CONCATENATE($U8,"@",BZ$7))=0,"",VLOOKUP(CONCATENATE($U8,"@",BZ$7),choice!$D:$E,2,0)))</f>
        <v/>
      </c>
      <c r="CA8" s="78" t="str">
        <f>IF($U8="","",IF(COUNTIF(choice!$D:$D,CONCATENATE($U8,"@",CA$7))=0,"",VLOOKUP(CONCATENATE($U8,"@",CA$7),choice!$D:$E,2,0)))</f>
        <v/>
      </c>
      <c r="CB8" s="78" t="str">
        <f>IF($U8="","",IF(COUNTIF(choice!$D:$D,CONCATENATE($U8,"@",CB$7))=0,"",VLOOKUP(CONCATENATE($U8,"@",CB$7),choice!$D:$E,2,0)))</f>
        <v/>
      </c>
      <c r="CC8" s="78" t="str">
        <f>IF($U8="","",IF(COUNTIF(choice!$D:$D,CONCATENATE($U8,"@",CC$7))=0,"",VLOOKUP(CONCATENATE($U8,"@",CC$7),choice!$D:$E,2,0)))</f>
        <v/>
      </c>
      <c r="CD8" s="78" t="str">
        <f>IF($U8="","",IF(COUNTIF(choice!$D:$D,CONCATENATE($U8,"@",CD$7))=0,"",VLOOKUP(CONCATENATE($U8,"@",CD$7),choice!$D:$E,2,0)))</f>
        <v/>
      </c>
      <c r="CE8" s="78" t="str">
        <f>IF($U8="","",IF(COUNTIF(choice!$D:$D,CONCATENATE($U8,"@",CE$7))=0,"",VLOOKUP(CONCATENATE($U8,"@",CE$7),choice!$D:$E,2,0)))</f>
        <v/>
      </c>
      <c r="CF8" s="78" t="str">
        <f>IF($U8="","",IF(COUNTIF(choice!$D:$D,CONCATENATE($U8,"@",CF$7))=0,"",VLOOKUP(CONCATENATE($U8,"@",CF$7),choice!$D:$E,2,0)))</f>
        <v/>
      </c>
      <c r="CG8" s="78" t="str">
        <f>IF($U8="","",IF(COUNTIF(choice!$D:$D,CONCATENATE($U8,"@",CG$7))=0,"",VLOOKUP(CONCATENATE($U8,"@",CG$7),choice!$D:$E,2,0)))</f>
        <v/>
      </c>
      <c r="CH8" s="78" t="str">
        <f>IF($U8="","",IF(COUNTIF(choice!$D:$D,CONCATENATE($U8,"@",CH$7))=0,"",VLOOKUP(CONCATENATE($U8,"@",CH$7),choice!$D:$E,2,0)))</f>
        <v/>
      </c>
      <c r="CI8" s="78" t="str">
        <f>IF($U8="","",IF(COUNTIF(choice!$D:$D,CONCATENATE($U8,"@",CI$7))=0,"",VLOOKUP(CONCATENATE($U8,"@",CI$7),choice!$D:$E,2,0)))</f>
        <v/>
      </c>
      <c r="CJ8" s="79" t="str">
        <f>IF($U8="","",IF(COUNTIF(choice!$D:$D,CONCATENATE($U8,"@",CJ$7))=0,"",VLOOKUP(CONCATENATE($U8,"@",CJ$7),choice!$D:$E,2,0)))</f>
        <v/>
      </c>
      <c r="CK8" s="77" t="str">
        <f>IF($V8="","",IF(COUNTIF(choice!$D:$D,CONCATENATE($V8,"@",CK$7))=0,"",VLOOKUP(CONCATENATE($V8,"@",CK$7),choice!$D:$E,2,0)))</f>
        <v/>
      </c>
      <c r="CL8" s="78" t="str">
        <f>IF($V8="","",IF(COUNTIF(choice!$D:$D,CONCATENATE($V8,"@",CL$7))=0,"",VLOOKUP(CONCATENATE($V8,"@",CL$7),choice!$D:$E,2,0)))</f>
        <v/>
      </c>
      <c r="CM8" s="78" t="str">
        <f>IF($V8="","",IF(COUNTIF(choice!$D:$D,CONCATENATE($V8,"@",CM$7))=0,"",VLOOKUP(CONCATENATE($V8,"@",CM$7),choice!$D:$E,2,0)))</f>
        <v/>
      </c>
      <c r="CN8" s="78" t="str">
        <f>IF($V8="","",IF(COUNTIF(choice!$D:$D,CONCATENATE($V8,"@",CN$7))=0,"",VLOOKUP(CONCATENATE($V8,"@",CN$7),choice!$D:$E,2,0)))</f>
        <v/>
      </c>
      <c r="CO8" s="78" t="str">
        <f>IF($V8="","",IF(COUNTIF(choice!$D:$D,CONCATENATE($V8,"@",CO$7))=0,"",VLOOKUP(CONCATENATE($V8,"@",CO$7),choice!$D:$E,2,0)))</f>
        <v/>
      </c>
      <c r="CP8" s="78" t="str">
        <f>IF($V8="","",IF(COUNTIF(choice!$D:$D,CONCATENATE($V8,"@",CP$7))=0,"",VLOOKUP(CONCATENATE($V8,"@",CP$7),choice!$D:$E,2,0)))</f>
        <v/>
      </c>
      <c r="CQ8" s="78" t="str">
        <f>IF($V8="","",IF(COUNTIF(choice!$D:$D,CONCATENATE($V8,"@",CQ$7))=0,"",VLOOKUP(CONCATENATE($V8,"@",CQ$7),choice!$D:$E,2,0)))</f>
        <v/>
      </c>
      <c r="CR8" s="78" t="str">
        <f>IF($V8="","",IF(COUNTIF(choice!$D:$D,CONCATENATE($V8,"@",CR$7))=0,"",VLOOKUP(CONCATENATE($V8,"@",CR$7),choice!$D:$E,2,0)))</f>
        <v/>
      </c>
      <c r="CS8" s="78" t="str">
        <f>IF($V8="","",IF(COUNTIF(choice!$D:$D,CONCATENATE($V8,"@",CS$7))=0,"",VLOOKUP(CONCATENATE($V8,"@",CS$7),choice!$D:$E,2,0)))</f>
        <v/>
      </c>
      <c r="CT8" s="78" t="str">
        <f>IF($V8="","",IF(COUNTIF(choice!$D:$D,CONCATENATE($V8,"@",CT$7))=0,"",VLOOKUP(CONCATENATE($V8,"@",CT$7),choice!$D:$E,2,0)))</f>
        <v/>
      </c>
      <c r="CU8" s="78" t="str">
        <f>IF($V8="","",IF(COUNTIF(choice!$D:$D,CONCATENATE($V8,"@",CU$7))=0,"",VLOOKUP(CONCATENATE($V8,"@",CU$7),choice!$D:$E,2,0)))</f>
        <v/>
      </c>
      <c r="CV8" s="78" t="str">
        <f>IF($V8="","",IF(COUNTIF(choice!$D:$D,CONCATENATE($V8,"@",CV$7))=0,"",VLOOKUP(CONCATENATE($V8,"@",CV$7),choice!$D:$E,2,0)))</f>
        <v/>
      </c>
      <c r="CW8" s="78" t="str">
        <f>IF($V8="","",IF(COUNTIF(choice!$D:$D,CONCATENATE($V8,"@",CW$7))=0,"",VLOOKUP(CONCATENATE($V8,"@",CW$7),choice!$D:$E,2,0)))</f>
        <v/>
      </c>
      <c r="CX8" s="78" t="str">
        <f>IF($V8="","",IF(COUNTIF(choice!$D:$D,CONCATENATE($V8,"@",CX$7))=0,"",VLOOKUP(CONCATENATE($V8,"@",CX$7),choice!$D:$E,2,0)))</f>
        <v/>
      </c>
      <c r="CY8" s="78" t="str">
        <f>IF($V8="","",IF(COUNTIF(choice!$D:$D,CONCATENATE($V8,"@",CY$7))=0,"",VLOOKUP(CONCATENATE($V8,"@",CY$7),choice!$D:$E,2,0)))</f>
        <v/>
      </c>
      <c r="CZ8" s="78" t="str">
        <f>IF($V8="","",IF(COUNTIF(choice!$D:$D,CONCATENATE($V8,"@",CZ$7))=0,"",VLOOKUP(CONCATENATE($V8,"@",CZ$7),choice!$D:$E,2,0)))</f>
        <v/>
      </c>
      <c r="DA8" s="78" t="str">
        <f>IF($V8="","",IF(COUNTIF(choice!$D:$D,CONCATENATE($V8,"@",DA$7))=0,"",VLOOKUP(CONCATENATE($V8,"@",DA$7),choice!$D:$E,2,0)))</f>
        <v/>
      </c>
      <c r="DB8" s="78" t="str">
        <f>IF($V8="","",IF(COUNTIF(choice!$D:$D,CONCATENATE($V8,"@",DB$7))=0,"",VLOOKUP(CONCATENATE($V8,"@",DB$7),choice!$D:$E,2,0)))</f>
        <v/>
      </c>
      <c r="DC8" s="78" t="str">
        <f>IF($V8="","",IF(COUNTIF(choice!$D:$D,CONCATENATE($V8,"@",DC$7))=0,"",VLOOKUP(CONCATENATE($V8,"@",DC$7),choice!$D:$E,2,0)))</f>
        <v/>
      </c>
      <c r="DD8" s="78" t="str">
        <f>IF($V8="","",IF(COUNTIF(choice!$D:$D,CONCATENATE($V8,"@",DD$7))=0,"",VLOOKUP(CONCATENATE($V8,"@",DD$7),choice!$D:$E,2,0)))</f>
        <v/>
      </c>
      <c r="DE8" s="78" t="str">
        <f>IF($V8="","",IF(COUNTIF(choice!$D:$D,CONCATENATE($V8,"@",DE$7))=0,"",VLOOKUP(CONCATENATE($V8,"@",DE$7),choice!$D:$E,2,0)))</f>
        <v/>
      </c>
      <c r="DF8" s="78" t="str">
        <f>IF($V8="","",IF(COUNTIF(choice!$D:$D,CONCATENATE($V8,"@",DF$7))=0,"",VLOOKUP(CONCATENATE($V8,"@",DF$7),choice!$D:$E,2,0)))</f>
        <v/>
      </c>
      <c r="DG8" s="78" t="str">
        <f>IF($V8="","",IF(COUNTIF(choice!$D:$D,CONCATENATE($V8,"@",DG$7))=0,"",VLOOKUP(CONCATENATE($V8,"@",DG$7),choice!$D:$E,2,0)))</f>
        <v/>
      </c>
      <c r="DH8" s="78" t="str">
        <f>IF($V8="","",IF(COUNTIF(choice!$D:$D,CONCATENATE($V8,"@",DH$7))=0,"",VLOOKUP(CONCATENATE($V8,"@",DH$7),choice!$D:$E,2,0)))</f>
        <v/>
      </c>
      <c r="DI8" s="78" t="str">
        <f>IF($V8="","",IF(COUNTIF(choice!$D:$D,CONCATENATE($V8,"@",DI$7))=0,"",VLOOKUP(CONCATENATE($V8,"@",DI$7),choice!$D:$E,2,0)))</f>
        <v/>
      </c>
      <c r="DJ8" s="78" t="str">
        <f>IF($V8="","",IF(COUNTIF(choice!$D:$D,CONCATENATE($V8,"@",DJ$7))=0,"",VLOOKUP(CONCATENATE($V8,"@",DJ$7),choice!$D:$E,2,0)))</f>
        <v/>
      </c>
      <c r="DK8" s="78" t="str">
        <f>IF($V8="","",IF(COUNTIF(choice!$D:$D,CONCATENATE($V8,"@",DK$7))=0,"",VLOOKUP(CONCATENATE($V8,"@",DK$7),choice!$D:$E,2,0)))</f>
        <v/>
      </c>
      <c r="DL8" s="78" t="str">
        <f>IF($V8="","",IF(COUNTIF(choice!$D:$D,CONCATENATE($V8,"@",DL$7))=0,"",VLOOKUP(CONCATENATE($V8,"@",DL$7),choice!$D:$E,2,0)))</f>
        <v/>
      </c>
      <c r="DM8" s="78" t="str">
        <f>IF($V8="","",IF(COUNTIF(choice!$D:$D,CONCATENATE($V8,"@",DM$7))=0,"",VLOOKUP(CONCATENATE($V8,"@",DM$7),choice!$D:$E,2,0)))</f>
        <v/>
      </c>
      <c r="DN8" s="78" t="str">
        <f>IF($V8="","",IF(COUNTIF(choice!$D:$D,CONCATENATE($V8,"@",DN$7))=0,"",VLOOKUP(CONCATENATE($V8,"@",DN$7),choice!$D:$E,2,0)))</f>
        <v/>
      </c>
      <c r="DO8" s="78" t="str">
        <f>IF($V8="","",IF(COUNTIF(choice!$D:$D,CONCATENATE($V8,"@",DO$7))=0,"",VLOOKUP(CONCATENATE($V8,"@",DO$7),choice!$D:$E,2,0)))</f>
        <v/>
      </c>
      <c r="DP8" s="78" t="str">
        <f>IF($V8="","",IF(COUNTIF(choice!$D:$D,CONCATENATE($V8,"@",DP$7))=0,"",VLOOKUP(CONCATENATE($V8,"@",DP$7),choice!$D:$E,2,0)))</f>
        <v/>
      </c>
      <c r="DQ8" s="78" t="str">
        <f>IF($V8="","",IF(COUNTIF(choice!$D:$D,CONCATENATE($V8,"@",DQ$7))=0,"",VLOOKUP(CONCATENATE($V8,"@",DQ$7),choice!$D:$E,2,0)))</f>
        <v/>
      </c>
      <c r="DR8" s="78" t="str">
        <f>IF($V8="","",IF(COUNTIF(choice!$D:$D,CONCATENATE($V8,"@",DR$7))=0,"",VLOOKUP(CONCATENATE($V8,"@",DR$7),choice!$D:$E,2,0)))</f>
        <v/>
      </c>
      <c r="DS8" s="78" t="str">
        <f>IF($V8="","",IF(COUNTIF(choice!$D:$D,CONCATENATE($V8,"@",DS$7))=0,"",VLOOKUP(CONCATENATE($V8,"@",DS$7),choice!$D:$E,2,0)))</f>
        <v/>
      </c>
      <c r="DT8" s="78" t="str">
        <f>IF($V8="","",IF(COUNTIF(choice!$D:$D,CONCATENATE($V8,"@",DT$7))=0,"",VLOOKUP(CONCATENATE($V8,"@",DT$7),choice!$D:$E,2,0)))</f>
        <v/>
      </c>
      <c r="DU8" s="78" t="str">
        <f>IF($V8="","",IF(COUNTIF(choice!$D:$D,CONCATENATE($V8,"@",DU$7))=0,"",VLOOKUP(CONCATENATE($V8,"@",DU$7),choice!$D:$E,2,0)))</f>
        <v/>
      </c>
      <c r="DV8" s="78" t="str">
        <f>IF($V8="","",IF(COUNTIF(choice!$D:$D,CONCATENATE($V8,"@",DV$7))=0,"",VLOOKUP(CONCATENATE($V8,"@",DV$7),choice!$D:$E,2,0)))</f>
        <v/>
      </c>
      <c r="DW8" s="78" t="str">
        <f>IF($V8="","",IF(COUNTIF(choice!$D:$D,CONCATENATE($V8,"@",DW$7))=0,"",VLOOKUP(CONCATENATE($V8,"@",DW$7),choice!$D:$E,2,0)))</f>
        <v/>
      </c>
      <c r="DX8" s="78" t="str">
        <f>IF($V8="","",IF(COUNTIF(choice!$D:$D,CONCATENATE($V8,"@",DX$7))=0,"",VLOOKUP(CONCATENATE($V8,"@",DX$7),choice!$D:$E,2,0)))</f>
        <v/>
      </c>
      <c r="DY8" s="78" t="str">
        <f>IF($V8="","",IF(COUNTIF(choice!$D:$D,CONCATENATE($V8,"@",DY$7))=0,"",VLOOKUP(CONCATENATE($V8,"@",DY$7),choice!$D:$E,2,0)))</f>
        <v/>
      </c>
      <c r="DZ8" s="78" t="str">
        <f>IF($V8="","",IF(COUNTIF(choice!$D:$D,CONCATENATE($V8,"@",DZ$7))=0,"",VLOOKUP(CONCATENATE($V8,"@",DZ$7),choice!$D:$E,2,0)))</f>
        <v/>
      </c>
      <c r="EA8" s="78" t="str">
        <f>IF($V8="","",IF(COUNTIF(choice!$D:$D,CONCATENATE($V8,"@",EA$7))=0,"",VLOOKUP(CONCATENATE($V8,"@",EA$7),choice!$D:$E,2,0)))</f>
        <v/>
      </c>
      <c r="EB8" s="78" t="str">
        <f>IF($V8="","",IF(COUNTIF(choice!$D:$D,CONCATENATE($V8,"@",EB$7))=0,"",VLOOKUP(CONCATENATE($V8,"@",EB$7),choice!$D:$E,2,0)))</f>
        <v/>
      </c>
      <c r="EC8" s="79" t="str">
        <f>IF($V8="","",IF(COUNTIF(choice!$D:$D,CONCATENATE($V8,"@",EC$7))=0,"",VLOOKUP(CONCATENATE($V8,"@",EC$7),choice!$D:$E,2,0)))</f>
        <v/>
      </c>
      <c r="ED8" s="77" t="str">
        <f>IF($W8="","",IF(COUNTIF(choice!$D:$D,CONCATENATE($W8,"@",ED$7))=0,"",VLOOKUP(CONCATENATE($W8,"@",ED$7),choice!$D:$E,2,0)))</f>
        <v/>
      </c>
      <c r="EE8" s="78" t="str">
        <f>IF($W8="","",IF(COUNTIF(choice!$D:$D,CONCATENATE($W8,"@",EE$7))=0,"",VLOOKUP(CONCATENATE($W8,"@",EE$7),choice!$D:$E,2,0)))</f>
        <v/>
      </c>
      <c r="EF8" s="78" t="str">
        <f>IF($W8="","",IF(COUNTIF(choice!$D:$D,CONCATENATE($W8,"@",EF$7))=0,"",VLOOKUP(CONCATENATE($W8,"@",EF$7),choice!$D:$E,2,0)))</f>
        <v/>
      </c>
      <c r="EG8" s="78" t="str">
        <f>IF($W8="","",IF(COUNTIF(choice!$D:$D,CONCATENATE($W8,"@",EG$7))=0,"",VLOOKUP(CONCATENATE($W8,"@",EG$7),choice!$D:$E,2,0)))</f>
        <v/>
      </c>
      <c r="EH8" s="78" t="str">
        <f>IF($W8="","",IF(COUNTIF(choice!$D:$D,CONCATENATE($W8,"@",EH$7))=0,"",VLOOKUP(CONCATENATE($W8,"@",EH$7),choice!$D:$E,2,0)))</f>
        <v/>
      </c>
      <c r="EI8" s="78" t="str">
        <f>IF($W8="","",IF(COUNTIF(choice!$D:$D,CONCATENATE($W8,"@",EI$7))=0,"",VLOOKUP(CONCATENATE($W8,"@",EI$7),choice!$D:$E,2,0)))</f>
        <v/>
      </c>
      <c r="EJ8" s="78" t="str">
        <f>IF($W8="","",IF(COUNTIF(choice!$D:$D,CONCATENATE($W8,"@",EJ$7))=0,"",VLOOKUP(CONCATENATE($W8,"@",EJ$7),choice!$D:$E,2,0)))</f>
        <v/>
      </c>
      <c r="EK8" s="78" t="str">
        <f>IF($W8="","",IF(COUNTIF(choice!$D:$D,CONCATENATE($W8,"@",EK$7))=0,"",VLOOKUP(CONCATENATE($W8,"@",EK$7),choice!$D:$E,2,0)))</f>
        <v/>
      </c>
      <c r="EL8" s="78" t="str">
        <f>IF($W8="","",IF(COUNTIF(choice!$D:$D,CONCATENATE($W8,"@",EL$7))=0,"",VLOOKUP(CONCATENATE($W8,"@",EL$7),choice!$D:$E,2,0)))</f>
        <v/>
      </c>
      <c r="EM8" s="78" t="str">
        <f>IF($W8="","",IF(COUNTIF(choice!$D:$D,CONCATENATE($W8,"@",EM$7))=0,"",VLOOKUP(CONCATENATE($W8,"@",EM$7),choice!$D:$E,2,0)))</f>
        <v/>
      </c>
      <c r="EN8" s="78" t="str">
        <f>IF($W8="","",IF(COUNTIF(choice!$D:$D,CONCATENATE($W8,"@",EN$7))=0,"",VLOOKUP(CONCATENATE($W8,"@",EN$7),choice!$D:$E,2,0)))</f>
        <v/>
      </c>
      <c r="EO8" s="78" t="str">
        <f>IF($W8="","",IF(COUNTIF(choice!$D:$D,CONCATENATE($W8,"@",EO$7))=0,"",VLOOKUP(CONCATENATE($W8,"@",EO$7),choice!$D:$E,2,0)))</f>
        <v/>
      </c>
      <c r="EP8" s="78" t="str">
        <f>IF($W8="","",IF(COUNTIF(choice!$D:$D,CONCATENATE($W8,"@",EP$7))=0,"",VLOOKUP(CONCATENATE($W8,"@",EP$7),choice!$D:$E,2,0)))</f>
        <v/>
      </c>
      <c r="EQ8" s="78" t="str">
        <f>IF($W8="","",IF(COUNTIF(choice!$D:$D,CONCATENATE($W8,"@",EQ$7))=0,"",VLOOKUP(CONCATENATE($W8,"@",EQ$7),choice!$D:$E,2,0)))</f>
        <v/>
      </c>
      <c r="ER8" s="78" t="str">
        <f>IF($W8="","",IF(COUNTIF(choice!$D:$D,CONCATENATE($W8,"@",ER$7))=0,"",VLOOKUP(CONCATENATE($W8,"@",ER$7),choice!$D:$E,2,0)))</f>
        <v/>
      </c>
      <c r="ES8" s="78" t="str">
        <f>IF($W8="","",IF(COUNTIF(choice!$D:$D,CONCATENATE($W8,"@",ES$7))=0,"",VLOOKUP(CONCATENATE($W8,"@",ES$7),choice!$D:$E,2,0)))</f>
        <v/>
      </c>
      <c r="ET8" s="78" t="str">
        <f>IF($W8="","",IF(COUNTIF(choice!$D:$D,CONCATENATE($W8,"@",ET$7))=0,"",VLOOKUP(CONCATENATE($W8,"@",ET$7),choice!$D:$E,2,0)))</f>
        <v/>
      </c>
      <c r="EU8" s="78" t="str">
        <f>IF($W8="","",IF(COUNTIF(choice!$D:$D,CONCATENATE($W8,"@",EU$7))=0,"",VLOOKUP(CONCATENATE($W8,"@",EU$7),choice!$D:$E,2,0)))</f>
        <v/>
      </c>
      <c r="EV8" s="78" t="str">
        <f>IF($W8="","",IF(COUNTIF(choice!$D:$D,CONCATENATE($W8,"@",EV$7))=0,"",VLOOKUP(CONCATENATE($W8,"@",EV$7),choice!$D:$E,2,0)))</f>
        <v/>
      </c>
      <c r="EW8" s="78" t="str">
        <f>IF($W8="","",IF(COUNTIF(choice!$D:$D,CONCATENATE($W8,"@",EW$7))=0,"",VLOOKUP(CONCATENATE($W8,"@",EW$7),choice!$D:$E,2,0)))</f>
        <v/>
      </c>
      <c r="EX8" s="78" t="str">
        <f>IF($W8="","",IF(COUNTIF(choice!$D:$D,CONCATENATE($W8,"@",EX$7))=0,"",VLOOKUP(CONCATENATE($W8,"@",EX$7),choice!$D:$E,2,0)))</f>
        <v/>
      </c>
      <c r="EY8" s="78" t="str">
        <f>IF($W8="","",IF(COUNTIF(choice!$D:$D,CONCATENATE($W8,"@",EY$7))=0,"",VLOOKUP(CONCATENATE($W8,"@",EY$7),choice!$D:$E,2,0)))</f>
        <v/>
      </c>
      <c r="EZ8" s="78" t="str">
        <f>IF($W8="","",IF(COUNTIF(choice!$D:$D,CONCATENATE($W8,"@",EZ$7))=0,"",VLOOKUP(CONCATENATE($W8,"@",EZ$7),choice!$D:$E,2,0)))</f>
        <v/>
      </c>
      <c r="FA8" s="78" t="str">
        <f>IF($W8="","",IF(COUNTIF(choice!$D:$D,CONCATENATE($W8,"@",FA$7))=0,"",VLOOKUP(CONCATENATE($W8,"@",FA$7),choice!$D:$E,2,0)))</f>
        <v/>
      </c>
      <c r="FB8" s="78" t="str">
        <f>IF($W8="","",IF(COUNTIF(choice!$D:$D,CONCATENATE($W8,"@",FB$7))=0,"",VLOOKUP(CONCATENATE($W8,"@",FB$7),choice!$D:$E,2,0)))</f>
        <v/>
      </c>
      <c r="FC8" s="78" t="str">
        <f>IF($W8="","",IF(COUNTIF(choice!$D:$D,CONCATENATE($W8,"@",FC$7))=0,"",VLOOKUP(CONCATENATE($W8,"@",FC$7),choice!$D:$E,2,0)))</f>
        <v/>
      </c>
      <c r="FD8" s="78" t="str">
        <f>IF($W8="","",IF(COUNTIF(choice!$D:$D,CONCATENATE($W8,"@",FD$7))=0,"",VLOOKUP(CONCATENATE($W8,"@",FD$7),choice!$D:$E,2,0)))</f>
        <v/>
      </c>
      <c r="FE8" s="78" t="str">
        <f>IF($W8="","",IF(COUNTIF(choice!$D:$D,CONCATENATE($W8,"@",FE$7))=0,"",VLOOKUP(CONCATENATE($W8,"@",FE$7),choice!$D:$E,2,0)))</f>
        <v/>
      </c>
      <c r="FF8" s="78" t="str">
        <f>IF($W8="","",IF(COUNTIF(choice!$D:$D,CONCATENATE($W8,"@",FF$7))=0,"",VLOOKUP(CONCATENATE($W8,"@",FF$7),choice!$D:$E,2,0)))</f>
        <v/>
      </c>
      <c r="FG8" s="78" t="str">
        <f>IF($W8="","",IF(COUNTIF(choice!$D:$D,CONCATENATE($W8,"@",FG$7))=0,"",VLOOKUP(CONCATENATE($W8,"@",FG$7),choice!$D:$E,2,0)))</f>
        <v/>
      </c>
      <c r="FH8" s="78" t="str">
        <f>IF($W8="","",IF(COUNTIF(choice!$D:$D,CONCATENATE($W8,"@",FH$7))=0,"",VLOOKUP(CONCATENATE($W8,"@",FH$7),choice!$D:$E,2,0)))</f>
        <v/>
      </c>
      <c r="FI8" s="78" t="str">
        <f>IF($W8="","",IF(COUNTIF(choice!$D:$D,CONCATENATE($W8,"@",FI$7))=0,"",VLOOKUP(CONCATENATE($W8,"@",FI$7),choice!$D:$E,2,0)))</f>
        <v/>
      </c>
      <c r="FJ8" s="78" t="str">
        <f>IF($W8="","",IF(COUNTIF(choice!$D:$D,CONCATENATE($W8,"@",FJ$7))=0,"",VLOOKUP(CONCATENATE($W8,"@",FJ$7),choice!$D:$E,2,0)))</f>
        <v/>
      </c>
      <c r="FK8" s="78" t="str">
        <f>IF($W8="","",IF(COUNTIF(choice!$D:$D,CONCATENATE($W8,"@",FK$7))=0,"",VLOOKUP(CONCATENATE($W8,"@",FK$7),choice!$D:$E,2,0)))</f>
        <v/>
      </c>
      <c r="FL8" s="78" t="str">
        <f>IF($W8="","",IF(COUNTIF(choice!$D:$D,CONCATENATE($W8,"@",FL$7))=0,"",VLOOKUP(CONCATENATE($W8,"@",FL$7),choice!$D:$E,2,0)))</f>
        <v/>
      </c>
      <c r="FM8" s="78" t="str">
        <f>IF($W8="","",IF(COUNTIF(choice!$D:$D,CONCATENATE($W8,"@",FM$7))=0,"",VLOOKUP(CONCATENATE($W8,"@",FM$7),choice!$D:$E,2,0)))</f>
        <v/>
      </c>
      <c r="FN8" s="78" t="str">
        <f>IF($W8="","",IF(COUNTIF(choice!$D:$D,CONCATENATE($W8,"@",FN$7))=0,"",VLOOKUP(CONCATENATE($W8,"@",FN$7),choice!$D:$E,2,0)))</f>
        <v/>
      </c>
      <c r="FO8" s="78" t="str">
        <f>IF($W8="","",IF(COUNTIF(choice!$D:$D,CONCATENATE($W8,"@",FO$7))=0,"",VLOOKUP(CONCATENATE($W8,"@",FO$7),choice!$D:$E,2,0)))</f>
        <v/>
      </c>
      <c r="FP8" s="78" t="str">
        <f>IF($W8="","",IF(COUNTIF(choice!$D:$D,CONCATENATE($W8,"@",FP$7))=0,"",VLOOKUP(CONCATENATE($W8,"@",FP$7),choice!$D:$E,2,0)))</f>
        <v/>
      </c>
      <c r="FQ8" s="78" t="str">
        <f>IF($W8="","",IF(COUNTIF(choice!$D:$D,CONCATENATE($W8,"@",FQ$7))=0,"",VLOOKUP(CONCATENATE($W8,"@",FQ$7),choice!$D:$E,2,0)))</f>
        <v/>
      </c>
      <c r="FR8" s="78" t="str">
        <f>IF($W8="","",IF(COUNTIF(choice!$D:$D,CONCATENATE($W8,"@",FR$7))=0,"",VLOOKUP(CONCATENATE($W8,"@",FR$7),choice!$D:$E,2,0)))</f>
        <v/>
      </c>
      <c r="FS8" s="78" t="str">
        <f>IF($W8="","",IF(COUNTIF(choice!$D:$D,CONCATENATE($W8,"@",FS$7))=0,"",VLOOKUP(CONCATENATE($W8,"@",FS$7),choice!$D:$E,2,0)))</f>
        <v/>
      </c>
      <c r="FT8" s="78" t="str">
        <f>IF($W8="","",IF(COUNTIF(choice!$D:$D,CONCATENATE($W8,"@",FT$7))=0,"",VLOOKUP(CONCATENATE($W8,"@",FT$7),choice!$D:$E,2,0)))</f>
        <v/>
      </c>
      <c r="FU8" s="78" t="str">
        <f>IF($W8="","",IF(COUNTIF(choice!$D:$D,CONCATENATE($W8,"@",FU$7))=0,"",VLOOKUP(CONCATENATE($W8,"@",FU$7),choice!$D:$E,2,0)))</f>
        <v/>
      </c>
      <c r="FV8" s="79" t="str">
        <f>IF($W8="","",IF(COUNTIF(choice!$D:$D,CONCATENATE($W8,"@",FV$7))=0,"",VLOOKUP(CONCATENATE($W8,"@",FV$7),choice!$D:$E,2,0)))</f>
        <v/>
      </c>
      <c r="FW8" s="77" t="str">
        <f>IF($X8="","",IF(COUNTIF(choice!$D:$D,CONCATENATE($X8,"@",FW$7))=0,"",VLOOKUP(CONCATENATE($X8,"@",FW$7),choice!$D:$E,2,0)))</f>
        <v/>
      </c>
      <c r="FX8" s="78" t="str">
        <f>IF($X8="","",IF(COUNTIF(choice!$D:$D,CONCATENATE($X8,"@",FX$7))=0,"",VLOOKUP(CONCATENATE($X8,"@",FX$7),choice!$D:$E,2,0)))</f>
        <v/>
      </c>
      <c r="FY8" s="78" t="str">
        <f>IF($X8="","",IF(COUNTIF(choice!$D:$D,CONCATENATE($X8,"@",FY$7))=0,"",VLOOKUP(CONCATENATE($X8,"@",FY$7),choice!$D:$E,2,0)))</f>
        <v/>
      </c>
      <c r="FZ8" s="78" t="str">
        <f>IF($X8="","",IF(COUNTIF(choice!$D:$D,CONCATENATE($X8,"@",FZ$7))=0,"",VLOOKUP(CONCATENATE($X8,"@",FZ$7),choice!$D:$E,2,0)))</f>
        <v/>
      </c>
      <c r="GA8" s="78" t="str">
        <f>IF($X8="","",IF(COUNTIF(choice!$D:$D,CONCATENATE($X8,"@",GA$7))=0,"",VLOOKUP(CONCATENATE($X8,"@",GA$7),choice!$D:$E,2,0)))</f>
        <v/>
      </c>
      <c r="GB8" s="78" t="str">
        <f>IF($X8="","",IF(COUNTIF(choice!$D:$D,CONCATENATE($X8,"@",GB$7))=0,"",VLOOKUP(CONCATENATE($X8,"@",GB$7),choice!$D:$E,2,0)))</f>
        <v/>
      </c>
      <c r="GC8" s="78" t="str">
        <f>IF($X8="","",IF(COUNTIF(choice!$D:$D,CONCATENATE($X8,"@",GC$7))=0,"",VLOOKUP(CONCATENATE($X8,"@",GC$7),choice!$D:$E,2,0)))</f>
        <v/>
      </c>
      <c r="GD8" s="78" t="str">
        <f>IF($X8="","",IF(COUNTIF(choice!$D:$D,CONCATENATE($X8,"@",GD$7))=0,"",VLOOKUP(CONCATENATE($X8,"@",GD$7),choice!$D:$E,2,0)))</f>
        <v/>
      </c>
      <c r="GE8" s="78" t="str">
        <f>IF($X8="","",IF(COUNTIF(choice!$D:$D,CONCATENATE($X8,"@",GE$7))=0,"",VLOOKUP(CONCATENATE($X8,"@",GE$7),choice!$D:$E,2,0)))</f>
        <v/>
      </c>
      <c r="GF8" s="78" t="str">
        <f>IF($X8="","",IF(COUNTIF(choice!$D:$D,CONCATENATE($X8,"@",GF$7))=0,"",VLOOKUP(CONCATENATE($X8,"@",GF$7),choice!$D:$E,2,0)))</f>
        <v/>
      </c>
      <c r="GG8" s="78" t="str">
        <f>IF($X8="","",IF(COUNTIF(choice!$D:$D,CONCATENATE($X8,"@",GG$7))=0,"",VLOOKUP(CONCATENATE($X8,"@",GG$7),choice!$D:$E,2,0)))</f>
        <v/>
      </c>
      <c r="GH8" s="78" t="str">
        <f>IF($X8="","",IF(COUNTIF(choice!$D:$D,CONCATENATE($X8,"@",GH$7))=0,"",VLOOKUP(CONCATENATE($X8,"@",GH$7),choice!$D:$E,2,0)))</f>
        <v/>
      </c>
      <c r="GI8" s="78" t="str">
        <f>IF($X8="","",IF(COUNTIF(choice!$D:$D,CONCATENATE($X8,"@",GI$7))=0,"",VLOOKUP(CONCATENATE($X8,"@",GI$7),choice!$D:$E,2,0)))</f>
        <v/>
      </c>
      <c r="GJ8" s="78" t="str">
        <f>IF($X8="","",IF(COUNTIF(choice!$D:$D,CONCATENATE($X8,"@",GJ$7))=0,"",VLOOKUP(CONCATENATE($X8,"@",GJ$7),choice!$D:$E,2,0)))</f>
        <v/>
      </c>
      <c r="GK8" s="78" t="str">
        <f>IF($X8="","",IF(COUNTIF(choice!$D:$D,CONCATENATE($X8,"@",GK$7))=0,"",VLOOKUP(CONCATENATE($X8,"@",GK$7),choice!$D:$E,2,0)))</f>
        <v/>
      </c>
      <c r="GL8" s="78" t="str">
        <f>IF($X8="","",IF(COUNTIF(choice!$D:$D,CONCATENATE($X8,"@",GL$7))=0,"",VLOOKUP(CONCATENATE($X8,"@",GL$7),choice!$D:$E,2,0)))</f>
        <v/>
      </c>
      <c r="GM8" s="78" t="str">
        <f>IF($X8="","",IF(COUNTIF(choice!$D:$D,CONCATENATE($X8,"@",GM$7))=0,"",VLOOKUP(CONCATENATE($X8,"@",GM$7),choice!$D:$E,2,0)))</f>
        <v/>
      </c>
      <c r="GN8" s="78" t="str">
        <f>IF($X8="","",IF(COUNTIF(choice!$D:$D,CONCATENATE($X8,"@",GN$7))=0,"",VLOOKUP(CONCATENATE($X8,"@",GN$7),choice!$D:$E,2,0)))</f>
        <v/>
      </c>
      <c r="GO8" s="78" t="str">
        <f>IF($X8="","",IF(COUNTIF(choice!$D:$D,CONCATENATE($X8,"@",GO$7))=0,"",VLOOKUP(CONCATENATE($X8,"@",GO$7),choice!$D:$E,2,0)))</f>
        <v/>
      </c>
      <c r="GP8" s="78" t="str">
        <f>IF($X8="","",IF(COUNTIF(choice!$D:$D,CONCATENATE($X8,"@",GP$7))=0,"",VLOOKUP(CONCATENATE($X8,"@",GP$7),choice!$D:$E,2,0)))</f>
        <v/>
      </c>
      <c r="GQ8" s="78" t="str">
        <f>IF($X8="","",IF(COUNTIF(choice!$D:$D,CONCATENATE($X8,"@",GQ$7))=0,"",VLOOKUP(CONCATENATE($X8,"@",GQ$7),choice!$D:$E,2,0)))</f>
        <v/>
      </c>
      <c r="GR8" s="78" t="str">
        <f>IF($X8="","",IF(COUNTIF(choice!$D:$D,CONCATENATE($X8,"@",GR$7))=0,"",VLOOKUP(CONCATENATE($X8,"@",GR$7),choice!$D:$E,2,0)))</f>
        <v/>
      </c>
      <c r="GS8" s="78" t="str">
        <f>IF($X8="","",IF(COUNTIF(choice!$D:$D,CONCATENATE($X8,"@",GS$7))=0,"",VLOOKUP(CONCATENATE($X8,"@",GS$7),choice!$D:$E,2,0)))</f>
        <v/>
      </c>
      <c r="GT8" s="78" t="str">
        <f>IF($X8="","",IF(COUNTIF(choice!$D:$D,CONCATENATE($X8,"@",GT$7))=0,"",VLOOKUP(CONCATENATE($X8,"@",GT$7),choice!$D:$E,2,0)))</f>
        <v/>
      </c>
      <c r="GU8" s="78" t="str">
        <f>IF($X8="","",IF(COUNTIF(choice!$D:$D,CONCATENATE($X8,"@",GU$7))=0,"",VLOOKUP(CONCATENATE($X8,"@",GU$7),choice!$D:$E,2,0)))</f>
        <v/>
      </c>
      <c r="GV8" s="78" t="str">
        <f>IF($X8="","",IF(COUNTIF(choice!$D:$D,CONCATENATE($X8,"@",GV$7))=0,"",VLOOKUP(CONCATENATE($X8,"@",GV$7),choice!$D:$E,2,0)))</f>
        <v/>
      </c>
      <c r="GW8" s="78" t="str">
        <f>IF($X8="","",IF(COUNTIF(choice!$D:$D,CONCATENATE($X8,"@",GW$7))=0,"",VLOOKUP(CONCATENATE($X8,"@",GW$7),choice!$D:$E,2,0)))</f>
        <v/>
      </c>
      <c r="GX8" s="78" t="str">
        <f>IF($X8="","",IF(COUNTIF(choice!$D:$D,CONCATENATE($X8,"@",GX$7))=0,"",VLOOKUP(CONCATENATE($X8,"@",GX$7),choice!$D:$E,2,0)))</f>
        <v/>
      </c>
      <c r="GY8" s="78" t="str">
        <f>IF($X8="","",IF(COUNTIF(choice!$D:$D,CONCATENATE($X8,"@",GY$7))=0,"",VLOOKUP(CONCATENATE($X8,"@",GY$7),choice!$D:$E,2,0)))</f>
        <v/>
      </c>
      <c r="GZ8" s="78" t="str">
        <f>IF($X8="","",IF(COUNTIF(choice!$D:$D,CONCATENATE($X8,"@",GZ$7))=0,"",VLOOKUP(CONCATENATE($X8,"@",GZ$7),choice!$D:$E,2,0)))</f>
        <v/>
      </c>
      <c r="HA8" s="78" t="str">
        <f>IF($X8="","",IF(COUNTIF(choice!$D:$D,CONCATENATE($X8,"@",HA$7))=0,"",VLOOKUP(CONCATENATE($X8,"@",HA$7),choice!$D:$E,2,0)))</f>
        <v/>
      </c>
      <c r="HB8" s="78" t="str">
        <f>IF($X8="","",IF(COUNTIF(choice!$D:$D,CONCATENATE($X8,"@",HB$7))=0,"",VLOOKUP(CONCATENATE($X8,"@",HB$7),choice!$D:$E,2,0)))</f>
        <v/>
      </c>
      <c r="HC8" s="78" t="str">
        <f>IF($X8="","",IF(COUNTIF(choice!$D:$D,CONCATENATE($X8,"@",HC$7))=0,"",VLOOKUP(CONCATENATE($X8,"@",HC$7),choice!$D:$E,2,0)))</f>
        <v/>
      </c>
      <c r="HD8" s="78" t="str">
        <f>IF($X8="","",IF(COUNTIF(choice!$D:$D,CONCATENATE($X8,"@",HD$7))=0,"",VLOOKUP(CONCATENATE($X8,"@",HD$7),choice!$D:$E,2,0)))</f>
        <v/>
      </c>
      <c r="HE8" s="78" t="str">
        <f>IF($X8="","",IF(COUNTIF(choice!$D:$D,CONCATENATE($X8,"@",HE$7))=0,"",VLOOKUP(CONCATENATE($X8,"@",HE$7),choice!$D:$E,2,0)))</f>
        <v/>
      </c>
      <c r="HF8" s="78" t="str">
        <f>IF($X8="","",IF(COUNTIF(choice!$D:$D,CONCATENATE($X8,"@",HF$7))=0,"",VLOOKUP(CONCATENATE($X8,"@",HF$7),choice!$D:$E,2,0)))</f>
        <v/>
      </c>
      <c r="HG8" s="78" t="str">
        <f>IF($X8="","",IF(COUNTIF(choice!$D:$D,CONCATENATE($X8,"@",HG$7))=0,"",VLOOKUP(CONCATENATE($X8,"@",HG$7),choice!$D:$E,2,0)))</f>
        <v/>
      </c>
      <c r="HH8" s="78" t="str">
        <f>IF($X8="","",IF(COUNTIF(choice!$D:$D,CONCATENATE($X8,"@",HH$7))=0,"",VLOOKUP(CONCATENATE($X8,"@",HH$7),choice!$D:$E,2,0)))</f>
        <v/>
      </c>
      <c r="HI8" s="78" t="str">
        <f>IF($X8="","",IF(COUNTIF(choice!$D:$D,CONCATENATE($X8,"@",HI$7))=0,"",VLOOKUP(CONCATENATE($X8,"@",HI$7),choice!$D:$E,2,0)))</f>
        <v/>
      </c>
      <c r="HJ8" s="78" t="str">
        <f>IF($X8="","",IF(COUNTIF(choice!$D:$D,CONCATENATE($X8,"@",HJ$7))=0,"",VLOOKUP(CONCATENATE($X8,"@",HJ$7),choice!$D:$E,2,0)))</f>
        <v/>
      </c>
      <c r="HK8" s="78" t="str">
        <f>IF($X8="","",IF(COUNTIF(choice!$D:$D,CONCATENATE($X8,"@",HK$7))=0,"",VLOOKUP(CONCATENATE($X8,"@",HK$7),choice!$D:$E,2,0)))</f>
        <v/>
      </c>
      <c r="HL8" s="78" t="str">
        <f>IF($X8="","",IF(COUNTIF(choice!$D:$D,CONCATENATE($X8,"@",HL$7))=0,"",VLOOKUP(CONCATENATE($X8,"@",HL$7),choice!$D:$E,2,0)))</f>
        <v/>
      </c>
      <c r="HM8" s="78" t="str">
        <f>IF($X8="","",IF(COUNTIF(choice!$D:$D,CONCATENATE($X8,"@",HM$7))=0,"",VLOOKUP(CONCATENATE($X8,"@",HM$7),choice!$D:$E,2,0)))</f>
        <v/>
      </c>
      <c r="HN8" s="78" t="str">
        <f>IF($X8="","",IF(COUNTIF(choice!$D:$D,CONCATENATE($X8,"@",HN$7))=0,"",VLOOKUP(CONCATENATE($X8,"@",HN$7),choice!$D:$E,2,0)))</f>
        <v/>
      </c>
      <c r="HO8" s="79" t="str">
        <f>IF($X8="","",IF(COUNTIF(choice!$D:$D,CONCATENATE($X8,"@",HO$7))=0,"",VLOOKUP(CONCATENATE($X8,"@",HO$7),choice!$D:$E,2,0)))</f>
        <v/>
      </c>
      <c r="HP8" s="20" t="s">
        <v>52</v>
      </c>
      <c r="HQ8" s="20" t="s">
        <v>53</v>
      </c>
      <c r="HU8" s="74" t="s">
        <v>6</v>
      </c>
      <c r="HV8" s="74">
        <f>IF(RIGHT(I8,4)="E AV",LEN(IC8)-LEN(SUBSTITUTE(IC8,"+",""))+1,0)</f>
        <v>0</v>
      </c>
      <c r="HW8" s="74">
        <f>IF(RIGHT(I8,4)="E DT",LEN(IC8)-LEN(SUBSTITUTE(IC8,"+",""))+1,0)</f>
        <v>0</v>
      </c>
      <c r="HX8" s="74">
        <f>IF(LEFT(I8,4)="E AV",LEN(IC8)-LEN(SUBSTITUTE(IC8,"+",""))+1,0)</f>
        <v>0</v>
      </c>
      <c r="HY8" s="74">
        <f>IF(LEFT(I8,4)="E DT",LEN(IC8)-LEN(SUBSTITUTE(IC8,"+",""))+1,0)</f>
        <v>0</v>
      </c>
      <c r="HZ8" s="74">
        <f>HV8-HX8</f>
        <v>0</v>
      </c>
      <c r="IA8" s="74">
        <f>HW8-HY8</f>
        <v>0</v>
      </c>
      <c r="IB8" s="74"/>
      <c r="IC8" s="74" t="str">
        <f>IF(D8="","",D8)</f>
        <v/>
      </c>
      <c r="ID8" s="74"/>
      <c r="IE8" s="74">
        <f>IF(B8="","",B8)</f>
        <v>1</v>
      </c>
      <c r="IF8" s="74">
        <f>COUNTIFS(ID$8:ID8,"BLUE")</f>
        <v>0</v>
      </c>
      <c r="IG8" s="74" t="str">
        <f>IF(ID8="","",IF(IF8=1,IE8,IF(IF8=0,"",CONCATENATE(", ",IE8))))</f>
        <v/>
      </c>
      <c r="IH8" s="74" t="str">
        <f>IF(COUNTIFS($AQ8,"*02*")=0,"",COUNTIFS(IJ$8:IJ8,"BLUE"))</f>
        <v/>
      </c>
      <c r="II8" s="74" t="str">
        <f>IF(COUNTIFS($AQ8,"*04*")=0,"",COUNTIFS(IK$8:IK8,"BLUE"))</f>
        <v/>
      </c>
      <c r="IJ8" s="74"/>
      <c r="IK8" s="74"/>
      <c r="IL8" s="74" t="str">
        <f>IF(IJ8="","",IF(IH8=1,$IE8,CONCATENATE(", ",$IE8)))</f>
        <v/>
      </c>
      <c r="IM8" s="74" t="str">
        <f>IF(IK8="","",IF(II8=1,$IE8,CONCATENATE(", ",$IE8)))</f>
        <v/>
      </c>
      <c r="IN8" s="74">
        <f>COUNTIFS(IJ$8:IJ8,"BLUE")</f>
        <v>0</v>
      </c>
      <c r="IO8" s="74">
        <f>COUNTIFS(IK$8:IK8,"BLUE")</f>
        <v>0</v>
      </c>
    </row>
    <row r="9" spans="1:249" s="20" customFormat="1" ht="32.25" customHeight="1">
      <c r="A9" s="33"/>
      <c r="B9" s="39">
        <v>2</v>
      </c>
      <c r="C9" s="157"/>
      <c r="D9" s="174"/>
      <c r="E9" s="88" t="e">
        <f>VLOOKUP(F9,'Radio Call Sign'!A:B,2)</f>
        <v>#N/A</v>
      </c>
      <c r="F9" s="88"/>
      <c r="G9" s="88" t="e">
        <f>VLOOKUP(H9,'Radio Call Sign'!A:B,2)</f>
        <v>#N/A</v>
      </c>
      <c r="H9" s="89"/>
      <c r="I9" s="89"/>
      <c r="J9" s="90"/>
      <c r="K9" s="86"/>
      <c r="L9" s="157"/>
      <c r="M9" s="190" t="str">
        <f t="shared" ref="M9:M20" si="9">IF(J9="","",IF(J9=0,"*",""))</f>
        <v/>
      </c>
      <c r="N9" s="21"/>
      <c r="O9" s="21"/>
      <c r="P9" s="52"/>
      <c r="Q9" s="161" t="str">
        <f>IF(AA9="","",IF(COUNTIFS('overhead line area'!$D$3:$D$100,AA9)+COUNTIFS('overhead line area'!$D$3:$D$100,AB9)+COUNTIFS('overhead line area'!$D$3:$D$100,AC9)+COUNTIFS('overhead line area'!$D$3:$D$100,AD9)=0,"","*               "))</f>
        <v/>
      </c>
      <c r="R9" s="53"/>
      <c r="S9" s="24"/>
      <c r="U9" s="74"/>
      <c r="V9" s="74"/>
      <c r="W9" s="74"/>
      <c r="X9" s="74"/>
      <c r="Y9" s="74"/>
      <c r="AA9" s="74" t="str">
        <f t="shared" si="4"/>
        <v/>
      </c>
      <c r="AB9" s="74" t="str">
        <f t="shared" si="5"/>
        <v/>
      </c>
      <c r="AC9" s="74" t="str">
        <f t="shared" si="6"/>
        <v/>
      </c>
      <c r="AD9" s="74" t="str">
        <f t="shared" si="6"/>
        <v/>
      </c>
      <c r="AF9" s="74" t="str">
        <f>IF(AA9="","",IF(COUNTIF(Route!$AM:$AM,'Train Movement Log (page.1)'!AA9)=0,"未有資料",VLOOKUP('Train Movement Log (page.1)'!AA9,Route!$AM:$AP,3,0)))</f>
        <v/>
      </c>
      <c r="AG9" s="74" t="str">
        <f>IF(AB9="","",IF(COUNTIF(Route!$AM:$AM,'Train Movement Log (page.1)'!AB9)=0,"未有資料",VLOOKUP('Train Movement Log (page.1)'!AB9,Route!$AM:$AP,3,0)))</f>
        <v/>
      </c>
      <c r="AH9" s="74" t="str">
        <f>IF(AC9="","",IF(COUNTIF(Route!$AM:$AM,'Train Movement Log (page.1)'!AC9)=0,"未有資料",VLOOKUP('Train Movement Log (page.1)'!AC9,Route!$AM:$AP,3,0)))</f>
        <v/>
      </c>
      <c r="AI9" s="74" t="str">
        <f>IF(AD9="","",IF(COUNTIF(Route!$AM:$AM,'Train Movement Log (page.1)'!AD9)=0,"未有資料",VLOOKUP('Train Movement Log (page.1)'!AD9,Route!$AM:$AP,3,0)))</f>
        <v/>
      </c>
      <c r="AK9" s="74" t="str">
        <f>IF(AA9="","",IF(COUNTIF(Route!$AM:$AM,'Train Movement Log (page.1)'!AA9)=0,"未有資料",VLOOKUP('Train Movement Log (page.1)'!AA9,Route!$AM:$AP,4,0)))</f>
        <v/>
      </c>
      <c r="AL9" s="74" t="str">
        <f>IF(AB9="","",IF(COUNTIF(Route!$AM:$AM,'Train Movement Log (page.1)'!AB9)=0,"未有資料",VLOOKUP('Train Movement Log (page.1)'!AB9,Route!$AM:$AP,4,0)))</f>
        <v/>
      </c>
      <c r="AM9" s="74" t="str">
        <f>IF(AC9="","",IF(COUNTIF(Route!$AM:$AM,'Train Movement Log (page.1)'!AC9)=0,"未有資料",VLOOKUP('Train Movement Log (page.1)'!AC9,Route!$AM:$AP,4,0)))</f>
        <v/>
      </c>
      <c r="AN9" s="74" t="str">
        <f>IF(AD9="","",IF(COUNTIF(Route!$AM:$AM,'Train Movement Log (page.1)'!AD9)=0,"未有資料",VLOOKUP('Train Movement Log (page.1)'!AD9,Route!$AM:$AP,4,0)))</f>
        <v/>
      </c>
      <c r="AP9" s="74" t="str">
        <f t="shared" si="7"/>
        <v/>
      </c>
      <c r="AQ9" s="76" t="str">
        <f t="shared" si="8"/>
        <v/>
      </c>
      <c r="AR9" s="80" t="str">
        <f>IF($U9="","",IF(COUNTIF(choice!$D:$D,CONCATENATE($U9,"@",AR$7))=0,"",VLOOKUP(CONCATENATE($U9,"@",AR$7),choice!$D:$E,2,0)))</f>
        <v/>
      </c>
      <c r="AS9" s="74" t="str">
        <f>IF($U9="","",IF(COUNTIF(choice!$D:$D,CONCATENATE($U9,"@",AS$7))=0,"",VLOOKUP(CONCATENATE($U9,"@",AS$7),choice!$D:$E,2,0)))</f>
        <v/>
      </c>
      <c r="AT9" s="74" t="str">
        <f>IF($U9="","",IF(COUNTIF(choice!$D:$D,CONCATENATE($U9,"@",AT$7))=0,"",VLOOKUP(CONCATENATE($U9,"@",AT$7),choice!$D:$E,2,0)))</f>
        <v/>
      </c>
      <c r="AU9" s="74" t="str">
        <f>IF($U9="","",IF(COUNTIF(choice!$D:$D,CONCATENATE($U9,"@",AU$7))=0,"",VLOOKUP(CONCATENATE($U9,"@",AU$7),choice!$D:$E,2,0)))</f>
        <v/>
      </c>
      <c r="AV9" s="74" t="str">
        <f>IF($U9="","",IF(COUNTIF(choice!$D:$D,CONCATENATE($U9,"@",AV$7))=0,"",VLOOKUP(CONCATENATE($U9,"@",AV$7),choice!$D:$E,2,0)))</f>
        <v/>
      </c>
      <c r="AW9" s="74" t="str">
        <f>IF($U9="","",IF(COUNTIF(choice!$D:$D,CONCATENATE($U9,"@",AW$7))=0,"",VLOOKUP(CONCATENATE($U9,"@",AW$7),choice!$D:$E,2,0)))</f>
        <v/>
      </c>
      <c r="AX9" s="74" t="str">
        <f>IF($U9="","",IF(COUNTIF(choice!$D:$D,CONCATENATE($U9,"@",AX$7))=0,"",VLOOKUP(CONCATENATE($U9,"@",AX$7),choice!$D:$E,2,0)))</f>
        <v/>
      </c>
      <c r="AY9" s="74" t="str">
        <f>IF($U9="","",IF(COUNTIF(choice!$D:$D,CONCATENATE($U9,"@",AY$7))=0,"",VLOOKUP(CONCATENATE($U9,"@",AY$7),choice!$D:$E,2,0)))</f>
        <v/>
      </c>
      <c r="AZ9" s="74" t="str">
        <f>IF($U9="","",IF(COUNTIF(choice!$D:$D,CONCATENATE($U9,"@",AZ$7))=0,"",VLOOKUP(CONCATENATE($U9,"@",AZ$7),choice!$D:$E,2,0)))</f>
        <v/>
      </c>
      <c r="BA9" s="74" t="str">
        <f>IF($U9="","",IF(COUNTIF(choice!$D:$D,CONCATENATE($U9,"@",BA$7))=0,"",VLOOKUP(CONCATENATE($U9,"@",BA$7),choice!$D:$E,2,0)))</f>
        <v/>
      </c>
      <c r="BB9" s="74" t="str">
        <f>IF($U9="","",IF(COUNTIF(choice!$D:$D,CONCATENATE($U9,"@",BB$7))=0,"",VLOOKUP(CONCATENATE($U9,"@",BB$7),choice!$D:$E,2,0)))</f>
        <v/>
      </c>
      <c r="BC9" s="74" t="str">
        <f>IF($U9="","",IF(COUNTIF(choice!$D:$D,CONCATENATE($U9,"@",BC$7))=0,"",VLOOKUP(CONCATENATE($U9,"@",BC$7),choice!$D:$E,2,0)))</f>
        <v/>
      </c>
      <c r="BD9" s="74" t="str">
        <f>IF($U9="","",IF(COUNTIF(choice!$D:$D,CONCATENATE($U9,"@",BD$7))=0,"",VLOOKUP(CONCATENATE($U9,"@",BD$7),choice!$D:$E,2,0)))</f>
        <v/>
      </c>
      <c r="BE9" s="74" t="str">
        <f>IF($U9="","",IF(COUNTIF(choice!$D:$D,CONCATENATE($U9,"@",BE$7))=0,"",VLOOKUP(CONCATENATE($U9,"@",BE$7),choice!$D:$E,2,0)))</f>
        <v/>
      </c>
      <c r="BF9" s="74" t="str">
        <f>IF($U9="","",IF(COUNTIF(choice!$D:$D,CONCATENATE($U9,"@",BF$7))=0,"",VLOOKUP(CONCATENATE($U9,"@",BF$7),choice!$D:$E,2,0)))</f>
        <v/>
      </c>
      <c r="BG9" s="74" t="str">
        <f>IF($U9="","",IF(COUNTIF(choice!$D:$D,CONCATENATE($U9,"@",BG$7))=0,"",VLOOKUP(CONCATENATE($U9,"@",BG$7),choice!$D:$E,2,0)))</f>
        <v/>
      </c>
      <c r="BH9" s="74" t="str">
        <f>IF($U9="","",IF(COUNTIF(choice!$D:$D,CONCATENATE($U9,"@",BH$7))=0,"",VLOOKUP(CONCATENATE($U9,"@",BH$7),choice!$D:$E,2,0)))</f>
        <v/>
      </c>
      <c r="BI9" s="74" t="str">
        <f>IF($U9="","",IF(COUNTIF(choice!$D:$D,CONCATENATE($U9,"@",BI$7))=0,"",VLOOKUP(CONCATENATE($U9,"@",BI$7),choice!$D:$E,2,0)))</f>
        <v/>
      </c>
      <c r="BJ9" s="74" t="str">
        <f>IF($U9="","",IF(COUNTIF(choice!$D:$D,CONCATENATE($U9,"@",BJ$7))=0,"",VLOOKUP(CONCATENATE($U9,"@",BJ$7),choice!$D:$E,2,0)))</f>
        <v/>
      </c>
      <c r="BK9" s="74" t="str">
        <f>IF($U9="","",IF(COUNTIF(choice!$D:$D,CONCATENATE($U9,"@",BK$7))=0,"",VLOOKUP(CONCATENATE($U9,"@",BK$7),choice!$D:$E,2,0)))</f>
        <v/>
      </c>
      <c r="BL9" s="74" t="str">
        <f>IF($U9="","",IF(COUNTIF(choice!$D:$D,CONCATENATE($U9,"@",BL$7))=0,"",VLOOKUP(CONCATENATE($U9,"@",BL$7),choice!$D:$E,2,0)))</f>
        <v/>
      </c>
      <c r="BM9" s="74" t="str">
        <f>IF($U9="","",IF(COUNTIF(choice!$D:$D,CONCATENATE($U9,"@",BM$7))=0,"",VLOOKUP(CONCATENATE($U9,"@",BM$7),choice!$D:$E,2,0)))</f>
        <v/>
      </c>
      <c r="BN9" s="74" t="str">
        <f>IF($U9="","",IF(COUNTIF(choice!$D:$D,CONCATENATE($U9,"@",BN$7))=0,"",VLOOKUP(CONCATENATE($U9,"@",BN$7),choice!$D:$E,2,0)))</f>
        <v/>
      </c>
      <c r="BO9" s="74" t="str">
        <f>IF($U9="","",IF(COUNTIF(choice!$D:$D,CONCATENATE($U9,"@",BO$7))=0,"",VLOOKUP(CONCATENATE($U9,"@",BO$7),choice!$D:$E,2,0)))</f>
        <v/>
      </c>
      <c r="BP9" s="74" t="str">
        <f>IF($U9="","",IF(COUNTIF(choice!$D:$D,CONCATENATE($U9,"@",BP$7))=0,"",VLOOKUP(CONCATENATE($U9,"@",BP$7),choice!$D:$E,2,0)))</f>
        <v/>
      </c>
      <c r="BQ9" s="74" t="str">
        <f>IF($U9="","",IF(COUNTIF(choice!$D:$D,CONCATENATE($U9,"@",BQ$7))=0,"",VLOOKUP(CONCATENATE($U9,"@",BQ$7),choice!$D:$E,2,0)))</f>
        <v/>
      </c>
      <c r="BR9" s="74" t="str">
        <f>IF($U9="","",IF(COUNTIF(choice!$D:$D,CONCATENATE($U9,"@",BR$7))=0,"",VLOOKUP(CONCATENATE($U9,"@",BR$7),choice!$D:$E,2,0)))</f>
        <v/>
      </c>
      <c r="BS9" s="74" t="str">
        <f>IF($U9="","",IF(COUNTIF(choice!$D:$D,CONCATENATE($U9,"@",BS$7))=0,"",VLOOKUP(CONCATENATE($U9,"@",BS$7),choice!$D:$E,2,0)))</f>
        <v/>
      </c>
      <c r="BT9" s="74" t="str">
        <f>IF($U9="","",IF(COUNTIF(choice!$D:$D,CONCATENATE($U9,"@",BT$7))=0,"",VLOOKUP(CONCATENATE($U9,"@",BT$7),choice!$D:$E,2,0)))</f>
        <v/>
      </c>
      <c r="BU9" s="74" t="str">
        <f>IF($U9="","",IF(COUNTIF(choice!$D:$D,CONCATENATE($U9,"@",BU$7))=0,"",VLOOKUP(CONCATENATE($U9,"@",BU$7),choice!$D:$E,2,0)))</f>
        <v/>
      </c>
      <c r="BV9" s="74" t="str">
        <f>IF($U9="","",IF(COUNTIF(choice!$D:$D,CONCATENATE($U9,"@",BV$7))=0,"",VLOOKUP(CONCATENATE($U9,"@",BV$7),choice!$D:$E,2,0)))</f>
        <v/>
      </c>
      <c r="BW9" s="74" t="str">
        <f>IF($U9="","",IF(COUNTIF(choice!$D:$D,CONCATENATE($U9,"@",BW$7))=0,"",VLOOKUP(CONCATENATE($U9,"@",BW$7),choice!$D:$E,2,0)))</f>
        <v/>
      </c>
      <c r="BX9" s="74" t="str">
        <f>IF($U9="","",IF(COUNTIF(choice!$D:$D,CONCATENATE($U9,"@",BX$7))=0,"",VLOOKUP(CONCATENATE($U9,"@",BX$7),choice!$D:$E,2,0)))</f>
        <v/>
      </c>
      <c r="BY9" s="74" t="str">
        <f>IF($U9="","",IF(COUNTIF(choice!$D:$D,CONCATENATE($U9,"@",BY$7))=0,"",VLOOKUP(CONCATENATE($U9,"@",BY$7),choice!$D:$E,2,0)))</f>
        <v/>
      </c>
      <c r="BZ9" s="74" t="str">
        <f>IF($U9="","",IF(COUNTIF(choice!$D:$D,CONCATENATE($U9,"@",BZ$7))=0,"",VLOOKUP(CONCATENATE($U9,"@",BZ$7),choice!$D:$E,2,0)))</f>
        <v/>
      </c>
      <c r="CA9" s="74" t="str">
        <f>IF($U9="","",IF(COUNTIF(choice!$D:$D,CONCATENATE($U9,"@",CA$7))=0,"",VLOOKUP(CONCATENATE($U9,"@",CA$7),choice!$D:$E,2,0)))</f>
        <v/>
      </c>
      <c r="CB9" s="74" t="str">
        <f>IF($U9="","",IF(COUNTIF(choice!$D:$D,CONCATENATE($U9,"@",CB$7))=0,"",VLOOKUP(CONCATENATE($U9,"@",CB$7),choice!$D:$E,2,0)))</f>
        <v/>
      </c>
      <c r="CC9" s="74" t="str">
        <f>IF($U9="","",IF(COUNTIF(choice!$D:$D,CONCATENATE($U9,"@",CC$7))=0,"",VLOOKUP(CONCATENATE($U9,"@",CC$7),choice!$D:$E,2,0)))</f>
        <v/>
      </c>
      <c r="CD9" s="74" t="str">
        <f>IF($U9="","",IF(COUNTIF(choice!$D:$D,CONCATENATE($U9,"@",CD$7))=0,"",VLOOKUP(CONCATENATE($U9,"@",CD$7),choice!$D:$E,2,0)))</f>
        <v/>
      </c>
      <c r="CE9" s="74" t="str">
        <f>IF($U9="","",IF(COUNTIF(choice!$D:$D,CONCATENATE($U9,"@",CE$7))=0,"",VLOOKUP(CONCATENATE($U9,"@",CE$7),choice!$D:$E,2,0)))</f>
        <v/>
      </c>
      <c r="CF9" s="74" t="str">
        <f>IF($U9="","",IF(COUNTIF(choice!$D:$D,CONCATENATE($U9,"@",CF$7))=0,"",VLOOKUP(CONCATENATE($U9,"@",CF$7),choice!$D:$E,2,0)))</f>
        <v/>
      </c>
      <c r="CG9" s="74" t="str">
        <f>IF($U9="","",IF(COUNTIF(choice!$D:$D,CONCATENATE($U9,"@",CG$7))=0,"",VLOOKUP(CONCATENATE($U9,"@",CG$7),choice!$D:$E,2,0)))</f>
        <v/>
      </c>
      <c r="CH9" s="74" t="str">
        <f>IF($U9="","",IF(COUNTIF(choice!$D:$D,CONCATENATE($U9,"@",CH$7))=0,"",VLOOKUP(CONCATENATE($U9,"@",CH$7),choice!$D:$E,2,0)))</f>
        <v/>
      </c>
      <c r="CI9" s="74" t="str">
        <f>IF($U9="","",IF(COUNTIF(choice!$D:$D,CONCATENATE($U9,"@",CI$7))=0,"",VLOOKUP(CONCATENATE($U9,"@",CI$7),choice!$D:$E,2,0)))</f>
        <v/>
      </c>
      <c r="CJ9" s="81" t="str">
        <f>IF($U9="","",IF(COUNTIF(choice!$D:$D,CONCATENATE($U9,"@",CJ$7))=0,"",VLOOKUP(CONCATENATE($U9,"@",CJ$7),choice!$D:$E,2,0)))</f>
        <v/>
      </c>
      <c r="CK9" s="80" t="str">
        <f>IF($V9="","",IF(COUNTIF(choice!$D:$D,CONCATENATE($V9,"@",CK$7))=0,"",VLOOKUP(CONCATENATE($V9,"@",CK$7),choice!$D:$E,2,0)))</f>
        <v/>
      </c>
      <c r="CL9" s="74" t="str">
        <f>IF($V9="","",IF(COUNTIF(choice!$D:$D,CONCATENATE($V9,"@",CL$7))=0,"",VLOOKUP(CONCATENATE($V9,"@",CL$7),choice!$D:$E,2,0)))</f>
        <v/>
      </c>
      <c r="CM9" s="74" t="str">
        <f>IF($V9="","",IF(COUNTIF(choice!$D:$D,CONCATENATE($V9,"@",CM$7))=0,"",VLOOKUP(CONCATENATE($V9,"@",CM$7),choice!$D:$E,2,0)))</f>
        <v/>
      </c>
      <c r="CN9" s="74" t="str">
        <f>IF($V9="","",IF(COUNTIF(choice!$D:$D,CONCATENATE($V9,"@",CN$7))=0,"",VLOOKUP(CONCATENATE($V9,"@",CN$7),choice!$D:$E,2,0)))</f>
        <v/>
      </c>
      <c r="CO9" s="74" t="str">
        <f>IF($V9="","",IF(COUNTIF(choice!$D:$D,CONCATENATE($V9,"@",CO$7))=0,"",VLOOKUP(CONCATENATE($V9,"@",CO$7),choice!$D:$E,2,0)))</f>
        <v/>
      </c>
      <c r="CP9" s="74" t="str">
        <f>IF($V9="","",IF(COUNTIF(choice!$D:$D,CONCATENATE($V9,"@",CP$7))=0,"",VLOOKUP(CONCATENATE($V9,"@",CP$7),choice!$D:$E,2,0)))</f>
        <v/>
      </c>
      <c r="CQ9" s="74" t="str">
        <f>IF($V9="","",IF(COUNTIF(choice!$D:$D,CONCATENATE($V9,"@",CQ$7))=0,"",VLOOKUP(CONCATENATE($V9,"@",CQ$7),choice!$D:$E,2,0)))</f>
        <v/>
      </c>
      <c r="CR9" s="74" t="str">
        <f>IF($V9="","",IF(COUNTIF(choice!$D:$D,CONCATENATE($V9,"@",CR$7))=0,"",VLOOKUP(CONCATENATE($V9,"@",CR$7),choice!$D:$E,2,0)))</f>
        <v/>
      </c>
      <c r="CS9" s="74" t="str">
        <f>IF($V9="","",IF(COUNTIF(choice!$D:$D,CONCATENATE($V9,"@",CS$7))=0,"",VLOOKUP(CONCATENATE($V9,"@",CS$7),choice!$D:$E,2,0)))</f>
        <v/>
      </c>
      <c r="CT9" s="74" t="str">
        <f>IF($V9="","",IF(COUNTIF(choice!$D:$D,CONCATENATE($V9,"@",CT$7))=0,"",VLOOKUP(CONCATENATE($V9,"@",CT$7),choice!$D:$E,2,0)))</f>
        <v/>
      </c>
      <c r="CU9" s="74" t="str">
        <f>IF($V9="","",IF(COUNTIF(choice!$D:$D,CONCATENATE($V9,"@",CU$7))=0,"",VLOOKUP(CONCATENATE($V9,"@",CU$7),choice!$D:$E,2,0)))</f>
        <v/>
      </c>
      <c r="CV9" s="74" t="str">
        <f>IF($V9="","",IF(COUNTIF(choice!$D:$D,CONCATENATE($V9,"@",CV$7))=0,"",VLOOKUP(CONCATENATE($V9,"@",CV$7),choice!$D:$E,2,0)))</f>
        <v/>
      </c>
      <c r="CW9" s="74" t="str">
        <f>IF($V9="","",IF(COUNTIF(choice!$D:$D,CONCATENATE($V9,"@",CW$7))=0,"",VLOOKUP(CONCATENATE($V9,"@",CW$7),choice!$D:$E,2,0)))</f>
        <v/>
      </c>
      <c r="CX9" s="74" t="str">
        <f>IF($V9="","",IF(COUNTIF(choice!$D:$D,CONCATENATE($V9,"@",CX$7))=0,"",VLOOKUP(CONCATENATE($V9,"@",CX$7),choice!$D:$E,2,0)))</f>
        <v/>
      </c>
      <c r="CY9" s="74" t="str">
        <f>IF($V9="","",IF(COUNTIF(choice!$D:$D,CONCATENATE($V9,"@",CY$7))=0,"",VLOOKUP(CONCATENATE($V9,"@",CY$7),choice!$D:$E,2,0)))</f>
        <v/>
      </c>
      <c r="CZ9" s="74" t="str">
        <f>IF($V9="","",IF(COUNTIF(choice!$D:$D,CONCATENATE($V9,"@",CZ$7))=0,"",VLOOKUP(CONCATENATE($V9,"@",CZ$7),choice!$D:$E,2,0)))</f>
        <v/>
      </c>
      <c r="DA9" s="74" t="str">
        <f>IF($V9="","",IF(COUNTIF(choice!$D:$D,CONCATENATE($V9,"@",DA$7))=0,"",VLOOKUP(CONCATENATE($V9,"@",DA$7),choice!$D:$E,2,0)))</f>
        <v/>
      </c>
      <c r="DB9" s="74" t="str">
        <f>IF($V9="","",IF(COUNTIF(choice!$D:$D,CONCATENATE($V9,"@",DB$7))=0,"",VLOOKUP(CONCATENATE($V9,"@",DB$7),choice!$D:$E,2,0)))</f>
        <v/>
      </c>
      <c r="DC9" s="74" t="str">
        <f>IF($V9="","",IF(COUNTIF(choice!$D:$D,CONCATENATE($V9,"@",DC$7))=0,"",VLOOKUP(CONCATENATE($V9,"@",DC$7),choice!$D:$E,2,0)))</f>
        <v/>
      </c>
      <c r="DD9" s="74" t="str">
        <f>IF($V9="","",IF(COUNTIF(choice!$D:$D,CONCATENATE($V9,"@",DD$7))=0,"",VLOOKUP(CONCATENATE($V9,"@",DD$7),choice!$D:$E,2,0)))</f>
        <v/>
      </c>
      <c r="DE9" s="74" t="str">
        <f>IF($V9="","",IF(COUNTIF(choice!$D:$D,CONCATENATE($V9,"@",DE$7))=0,"",VLOOKUP(CONCATENATE($V9,"@",DE$7),choice!$D:$E,2,0)))</f>
        <v/>
      </c>
      <c r="DF9" s="74" t="str">
        <f>IF($V9="","",IF(COUNTIF(choice!$D:$D,CONCATENATE($V9,"@",DF$7))=0,"",VLOOKUP(CONCATENATE($V9,"@",DF$7),choice!$D:$E,2,0)))</f>
        <v/>
      </c>
      <c r="DG9" s="74" t="str">
        <f>IF($V9="","",IF(COUNTIF(choice!$D:$D,CONCATENATE($V9,"@",DG$7))=0,"",VLOOKUP(CONCATENATE($V9,"@",DG$7),choice!$D:$E,2,0)))</f>
        <v/>
      </c>
      <c r="DH9" s="74" t="str">
        <f>IF($V9="","",IF(COUNTIF(choice!$D:$D,CONCATENATE($V9,"@",DH$7))=0,"",VLOOKUP(CONCATENATE($V9,"@",DH$7),choice!$D:$E,2,0)))</f>
        <v/>
      </c>
      <c r="DI9" s="74" t="str">
        <f>IF($V9="","",IF(COUNTIF(choice!$D:$D,CONCATENATE($V9,"@",DI$7))=0,"",VLOOKUP(CONCATENATE($V9,"@",DI$7),choice!$D:$E,2,0)))</f>
        <v/>
      </c>
      <c r="DJ9" s="74" t="str">
        <f>IF($V9="","",IF(COUNTIF(choice!$D:$D,CONCATENATE($V9,"@",DJ$7))=0,"",VLOOKUP(CONCATENATE($V9,"@",DJ$7),choice!$D:$E,2,0)))</f>
        <v/>
      </c>
      <c r="DK9" s="74" t="str">
        <f>IF($V9="","",IF(COUNTIF(choice!$D:$D,CONCATENATE($V9,"@",DK$7))=0,"",VLOOKUP(CONCATENATE($V9,"@",DK$7),choice!$D:$E,2,0)))</f>
        <v/>
      </c>
      <c r="DL9" s="74" t="str">
        <f>IF($V9="","",IF(COUNTIF(choice!$D:$D,CONCATENATE($V9,"@",DL$7))=0,"",VLOOKUP(CONCATENATE($V9,"@",DL$7),choice!$D:$E,2,0)))</f>
        <v/>
      </c>
      <c r="DM9" s="74" t="str">
        <f>IF($V9="","",IF(COUNTIF(choice!$D:$D,CONCATENATE($V9,"@",DM$7))=0,"",VLOOKUP(CONCATENATE($V9,"@",DM$7),choice!$D:$E,2,0)))</f>
        <v/>
      </c>
      <c r="DN9" s="74" t="str">
        <f>IF($V9="","",IF(COUNTIF(choice!$D:$D,CONCATENATE($V9,"@",DN$7))=0,"",VLOOKUP(CONCATENATE($V9,"@",DN$7),choice!$D:$E,2,0)))</f>
        <v/>
      </c>
      <c r="DO9" s="74" t="str">
        <f>IF($V9="","",IF(COUNTIF(choice!$D:$D,CONCATENATE($V9,"@",DO$7))=0,"",VLOOKUP(CONCATENATE($V9,"@",DO$7),choice!$D:$E,2,0)))</f>
        <v/>
      </c>
      <c r="DP9" s="74" t="str">
        <f>IF($V9="","",IF(COUNTIF(choice!$D:$D,CONCATENATE($V9,"@",DP$7))=0,"",VLOOKUP(CONCATENATE($V9,"@",DP$7),choice!$D:$E,2,0)))</f>
        <v/>
      </c>
      <c r="DQ9" s="74" t="str">
        <f>IF($V9="","",IF(COUNTIF(choice!$D:$D,CONCATENATE($V9,"@",DQ$7))=0,"",VLOOKUP(CONCATENATE($V9,"@",DQ$7),choice!$D:$E,2,0)))</f>
        <v/>
      </c>
      <c r="DR9" s="74" t="str">
        <f>IF($V9="","",IF(COUNTIF(choice!$D:$D,CONCATENATE($V9,"@",DR$7))=0,"",VLOOKUP(CONCATENATE($V9,"@",DR$7),choice!$D:$E,2,0)))</f>
        <v/>
      </c>
      <c r="DS9" s="74" t="str">
        <f>IF($V9="","",IF(COUNTIF(choice!$D:$D,CONCATENATE($V9,"@",DS$7))=0,"",VLOOKUP(CONCATENATE($V9,"@",DS$7),choice!$D:$E,2,0)))</f>
        <v/>
      </c>
      <c r="DT9" s="74" t="str">
        <f>IF($V9="","",IF(COUNTIF(choice!$D:$D,CONCATENATE($V9,"@",DT$7))=0,"",VLOOKUP(CONCATENATE($V9,"@",DT$7),choice!$D:$E,2,0)))</f>
        <v/>
      </c>
      <c r="DU9" s="74" t="str">
        <f>IF($V9="","",IF(COUNTIF(choice!$D:$D,CONCATENATE($V9,"@",DU$7))=0,"",VLOOKUP(CONCATENATE($V9,"@",DU$7),choice!$D:$E,2,0)))</f>
        <v/>
      </c>
      <c r="DV9" s="74" t="str">
        <f>IF($V9="","",IF(COUNTIF(choice!$D:$D,CONCATENATE($V9,"@",DV$7))=0,"",VLOOKUP(CONCATENATE($V9,"@",DV$7),choice!$D:$E,2,0)))</f>
        <v/>
      </c>
      <c r="DW9" s="74" t="str">
        <f>IF($V9="","",IF(COUNTIF(choice!$D:$D,CONCATENATE($V9,"@",DW$7))=0,"",VLOOKUP(CONCATENATE($V9,"@",DW$7),choice!$D:$E,2,0)))</f>
        <v/>
      </c>
      <c r="DX9" s="74" t="str">
        <f>IF($V9="","",IF(COUNTIF(choice!$D:$D,CONCATENATE($V9,"@",DX$7))=0,"",VLOOKUP(CONCATENATE($V9,"@",DX$7),choice!$D:$E,2,0)))</f>
        <v/>
      </c>
      <c r="DY9" s="74" t="str">
        <f>IF($V9="","",IF(COUNTIF(choice!$D:$D,CONCATENATE($V9,"@",DY$7))=0,"",VLOOKUP(CONCATENATE($V9,"@",DY$7),choice!$D:$E,2,0)))</f>
        <v/>
      </c>
      <c r="DZ9" s="74" t="str">
        <f>IF($V9="","",IF(COUNTIF(choice!$D:$D,CONCATENATE($V9,"@",DZ$7))=0,"",VLOOKUP(CONCATENATE($V9,"@",DZ$7),choice!$D:$E,2,0)))</f>
        <v/>
      </c>
      <c r="EA9" s="74" t="str">
        <f>IF($V9="","",IF(COUNTIF(choice!$D:$D,CONCATENATE($V9,"@",EA$7))=0,"",VLOOKUP(CONCATENATE($V9,"@",EA$7),choice!$D:$E,2,0)))</f>
        <v/>
      </c>
      <c r="EB9" s="74" t="str">
        <f>IF($V9="","",IF(COUNTIF(choice!$D:$D,CONCATENATE($V9,"@",EB$7))=0,"",VLOOKUP(CONCATENATE($V9,"@",EB$7),choice!$D:$E,2,0)))</f>
        <v/>
      </c>
      <c r="EC9" s="81" t="str">
        <f>IF($V9="","",IF(COUNTIF(choice!$D:$D,CONCATENATE($V9,"@",EC$7))=0,"",VLOOKUP(CONCATENATE($V9,"@",EC$7),choice!$D:$E,2,0)))</f>
        <v/>
      </c>
      <c r="ED9" s="80" t="str">
        <f>IF($W9="","",IF(COUNTIF(choice!$D:$D,CONCATENATE($W9,"@",ED$7))=0,"",VLOOKUP(CONCATENATE($W9,"@",ED$7),choice!$D:$E,2,0)))</f>
        <v/>
      </c>
      <c r="EE9" s="74" t="str">
        <f>IF($W9="","",IF(COUNTIF(choice!$D:$D,CONCATENATE($W9,"@",EE$7))=0,"",VLOOKUP(CONCATENATE($W9,"@",EE$7),choice!$D:$E,2,0)))</f>
        <v/>
      </c>
      <c r="EF9" s="74" t="str">
        <f>IF($W9="","",IF(COUNTIF(choice!$D:$D,CONCATENATE($W9,"@",EF$7))=0,"",VLOOKUP(CONCATENATE($W9,"@",EF$7),choice!$D:$E,2,0)))</f>
        <v/>
      </c>
      <c r="EG9" s="74" t="str">
        <f>IF($W9="","",IF(COUNTIF(choice!$D:$D,CONCATENATE($W9,"@",EG$7))=0,"",VLOOKUP(CONCATENATE($W9,"@",EG$7),choice!$D:$E,2,0)))</f>
        <v/>
      </c>
      <c r="EH9" s="74" t="str">
        <f>IF($W9="","",IF(COUNTIF(choice!$D:$D,CONCATENATE($W9,"@",EH$7))=0,"",VLOOKUP(CONCATENATE($W9,"@",EH$7),choice!$D:$E,2,0)))</f>
        <v/>
      </c>
      <c r="EI9" s="74" t="str">
        <f>IF($W9="","",IF(COUNTIF(choice!$D:$D,CONCATENATE($W9,"@",EI$7))=0,"",VLOOKUP(CONCATENATE($W9,"@",EI$7),choice!$D:$E,2,0)))</f>
        <v/>
      </c>
      <c r="EJ9" s="74" t="str">
        <f>IF($W9="","",IF(COUNTIF(choice!$D:$D,CONCATENATE($W9,"@",EJ$7))=0,"",VLOOKUP(CONCATENATE($W9,"@",EJ$7),choice!$D:$E,2,0)))</f>
        <v/>
      </c>
      <c r="EK9" s="74" t="str">
        <f>IF($W9="","",IF(COUNTIF(choice!$D:$D,CONCATENATE($W9,"@",EK$7))=0,"",VLOOKUP(CONCATENATE($W9,"@",EK$7),choice!$D:$E,2,0)))</f>
        <v/>
      </c>
      <c r="EL9" s="74" t="str">
        <f>IF($W9="","",IF(COUNTIF(choice!$D:$D,CONCATENATE($W9,"@",EL$7))=0,"",VLOOKUP(CONCATENATE($W9,"@",EL$7),choice!$D:$E,2,0)))</f>
        <v/>
      </c>
      <c r="EM9" s="74" t="str">
        <f>IF($W9="","",IF(COUNTIF(choice!$D:$D,CONCATENATE($W9,"@",EM$7))=0,"",VLOOKUP(CONCATENATE($W9,"@",EM$7),choice!$D:$E,2,0)))</f>
        <v/>
      </c>
      <c r="EN9" s="74" t="str">
        <f>IF($W9="","",IF(COUNTIF(choice!$D:$D,CONCATENATE($W9,"@",EN$7))=0,"",VLOOKUP(CONCATENATE($W9,"@",EN$7),choice!$D:$E,2,0)))</f>
        <v/>
      </c>
      <c r="EO9" s="74" t="str">
        <f>IF($W9="","",IF(COUNTIF(choice!$D:$D,CONCATENATE($W9,"@",EO$7))=0,"",VLOOKUP(CONCATENATE($W9,"@",EO$7),choice!$D:$E,2,0)))</f>
        <v/>
      </c>
      <c r="EP9" s="74" t="str">
        <f>IF($W9="","",IF(COUNTIF(choice!$D:$D,CONCATENATE($W9,"@",EP$7))=0,"",VLOOKUP(CONCATENATE($W9,"@",EP$7),choice!$D:$E,2,0)))</f>
        <v/>
      </c>
      <c r="EQ9" s="74" t="str">
        <f>IF($W9="","",IF(COUNTIF(choice!$D:$D,CONCATENATE($W9,"@",EQ$7))=0,"",VLOOKUP(CONCATENATE($W9,"@",EQ$7),choice!$D:$E,2,0)))</f>
        <v/>
      </c>
      <c r="ER9" s="74" t="str">
        <f>IF($W9="","",IF(COUNTIF(choice!$D:$D,CONCATENATE($W9,"@",ER$7))=0,"",VLOOKUP(CONCATENATE($W9,"@",ER$7),choice!$D:$E,2,0)))</f>
        <v/>
      </c>
      <c r="ES9" s="74" t="str">
        <f>IF($W9="","",IF(COUNTIF(choice!$D:$D,CONCATENATE($W9,"@",ES$7))=0,"",VLOOKUP(CONCATENATE($W9,"@",ES$7),choice!$D:$E,2,0)))</f>
        <v/>
      </c>
      <c r="ET9" s="74" t="str">
        <f>IF($W9="","",IF(COUNTIF(choice!$D:$D,CONCATENATE($W9,"@",ET$7))=0,"",VLOOKUP(CONCATENATE($W9,"@",ET$7),choice!$D:$E,2,0)))</f>
        <v/>
      </c>
      <c r="EU9" s="74" t="str">
        <f>IF($W9="","",IF(COUNTIF(choice!$D:$D,CONCATENATE($W9,"@",EU$7))=0,"",VLOOKUP(CONCATENATE($W9,"@",EU$7),choice!$D:$E,2,0)))</f>
        <v/>
      </c>
      <c r="EV9" s="74" t="str">
        <f>IF($W9="","",IF(COUNTIF(choice!$D:$D,CONCATENATE($W9,"@",EV$7))=0,"",VLOOKUP(CONCATENATE($W9,"@",EV$7),choice!$D:$E,2,0)))</f>
        <v/>
      </c>
      <c r="EW9" s="74" t="str">
        <f>IF($W9="","",IF(COUNTIF(choice!$D:$D,CONCATENATE($W9,"@",EW$7))=0,"",VLOOKUP(CONCATENATE($W9,"@",EW$7),choice!$D:$E,2,0)))</f>
        <v/>
      </c>
      <c r="EX9" s="74" t="str">
        <f>IF($W9="","",IF(COUNTIF(choice!$D:$D,CONCATENATE($W9,"@",EX$7))=0,"",VLOOKUP(CONCATENATE($W9,"@",EX$7),choice!$D:$E,2,0)))</f>
        <v/>
      </c>
      <c r="EY9" s="74" t="str">
        <f>IF($W9="","",IF(COUNTIF(choice!$D:$D,CONCATENATE($W9,"@",EY$7))=0,"",VLOOKUP(CONCATENATE($W9,"@",EY$7),choice!$D:$E,2,0)))</f>
        <v/>
      </c>
      <c r="EZ9" s="74" t="str">
        <f>IF($W9="","",IF(COUNTIF(choice!$D:$D,CONCATENATE($W9,"@",EZ$7))=0,"",VLOOKUP(CONCATENATE($W9,"@",EZ$7),choice!$D:$E,2,0)))</f>
        <v/>
      </c>
      <c r="FA9" s="74" t="str">
        <f>IF($W9="","",IF(COUNTIF(choice!$D:$D,CONCATENATE($W9,"@",FA$7))=0,"",VLOOKUP(CONCATENATE($W9,"@",FA$7),choice!$D:$E,2,0)))</f>
        <v/>
      </c>
      <c r="FB9" s="74" t="str">
        <f>IF($W9="","",IF(COUNTIF(choice!$D:$D,CONCATENATE($W9,"@",FB$7))=0,"",VLOOKUP(CONCATENATE($W9,"@",FB$7),choice!$D:$E,2,0)))</f>
        <v/>
      </c>
      <c r="FC9" s="74" t="str">
        <f>IF($W9="","",IF(COUNTIF(choice!$D:$D,CONCATENATE($W9,"@",FC$7))=0,"",VLOOKUP(CONCATENATE($W9,"@",FC$7),choice!$D:$E,2,0)))</f>
        <v/>
      </c>
      <c r="FD9" s="74" t="str">
        <f>IF($W9="","",IF(COUNTIF(choice!$D:$D,CONCATENATE($W9,"@",FD$7))=0,"",VLOOKUP(CONCATENATE($W9,"@",FD$7),choice!$D:$E,2,0)))</f>
        <v/>
      </c>
      <c r="FE9" s="74" t="str">
        <f>IF($W9="","",IF(COUNTIF(choice!$D:$D,CONCATENATE($W9,"@",FE$7))=0,"",VLOOKUP(CONCATENATE($W9,"@",FE$7),choice!$D:$E,2,0)))</f>
        <v/>
      </c>
      <c r="FF9" s="74" t="str">
        <f>IF($W9="","",IF(COUNTIF(choice!$D:$D,CONCATENATE($W9,"@",FF$7))=0,"",VLOOKUP(CONCATENATE($W9,"@",FF$7),choice!$D:$E,2,0)))</f>
        <v/>
      </c>
      <c r="FG9" s="74" t="str">
        <f>IF($W9="","",IF(COUNTIF(choice!$D:$D,CONCATENATE($W9,"@",FG$7))=0,"",VLOOKUP(CONCATENATE($W9,"@",FG$7),choice!$D:$E,2,0)))</f>
        <v/>
      </c>
      <c r="FH9" s="74" t="str">
        <f>IF($W9="","",IF(COUNTIF(choice!$D:$D,CONCATENATE($W9,"@",FH$7))=0,"",VLOOKUP(CONCATENATE($W9,"@",FH$7),choice!$D:$E,2,0)))</f>
        <v/>
      </c>
      <c r="FI9" s="74" t="str">
        <f>IF($W9="","",IF(COUNTIF(choice!$D:$D,CONCATENATE($W9,"@",FI$7))=0,"",VLOOKUP(CONCATENATE($W9,"@",FI$7),choice!$D:$E,2,0)))</f>
        <v/>
      </c>
      <c r="FJ9" s="74" t="str">
        <f>IF($W9="","",IF(COUNTIF(choice!$D:$D,CONCATENATE($W9,"@",FJ$7))=0,"",VLOOKUP(CONCATENATE($W9,"@",FJ$7),choice!$D:$E,2,0)))</f>
        <v/>
      </c>
      <c r="FK9" s="74" t="str">
        <f>IF($W9="","",IF(COUNTIF(choice!$D:$D,CONCATENATE($W9,"@",FK$7))=0,"",VLOOKUP(CONCATENATE($W9,"@",FK$7),choice!$D:$E,2,0)))</f>
        <v/>
      </c>
      <c r="FL9" s="74" t="str">
        <f>IF($W9="","",IF(COUNTIF(choice!$D:$D,CONCATENATE($W9,"@",FL$7))=0,"",VLOOKUP(CONCATENATE($W9,"@",FL$7),choice!$D:$E,2,0)))</f>
        <v/>
      </c>
      <c r="FM9" s="74" t="str">
        <f>IF($W9="","",IF(COUNTIF(choice!$D:$D,CONCATENATE($W9,"@",FM$7))=0,"",VLOOKUP(CONCATENATE($W9,"@",FM$7),choice!$D:$E,2,0)))</f>
        <v/>
      </c>
      <c r="FN9" s="74" t="str">
        <f>IF($W9="","",IF(COUNTIF(choice!$D:$D,CONCATENATE($W9,"@",FN$7))=0,"",VLOOKUP(CONCATENATE($W9,"@",FN$7),choice!$D:$E,2,0)))</f>
        <v/>
      </c>
      <c r="FO9" s="74" t="str">
        <f>IF($W9="","",IF(COUNTIF(choice!$D:$D,CONCATENATE($W9,"@",FO$7))=0,"",VLOOKUP(CONCATENATE($W9,"@",FO$7),choice!$D:$E,2,0)))</f>
        <v/>
      </c>
      <c r="FP9" s="74" t="str">
        <f>IF($W9="","",IF(COUNTIF(choice!$D:$D,CONCATENATE($W9,"@",FP$7))=0,"",VLOOKUP(CONCATENATE($W9,"@",FP$7),choice!$D:$E,2,0)))</f>
        <v/>
      </c>
      <c r="FQ9" s="74" t="str">
        <f>IF($W9="","",IF(COUNTIF(choice!$D:$D,CONCATENATE($W9,"@",FQ$7))=0,"",VLOOKUP(CONCATENATE($W9,"@",FQ$7),choice!$D:$E,2,0)))</f>
        <v/>
      </c>
      <c r="FR9" s="74" t="str">
        <f>IF($W9="","",IF(COUNTIF(choice!$D:$D,CONCATENATE($W9,"@",FR$7))=0,"",VLOOKUP(CONCATENATE($W9,"@",FR$7),choice!$D:$E,2,0)))</f>
        <v/>
      </c>
      <c r="FS9" s="74" t="str">
        <f>IF($W9="","",IF(COUNTIF(choice!$D:$D,CONCATENATE($W9,"@",FS$7))=0,"",VLOOKUP(CONCATENATE($W9,"@",FS$7),choice!$D:$E,2,0)))</f>
        <v/>
      </c>
      <c r="FT9" s="74" t="str">
        <f>IF($W9="","",IF(COUNTIF(choice!$D:$D,CONCATENATE($W9,"@",FT$7))=0,"",VLOOKUP(CONCATENATE($W9,"@",FT$7),choice!$D:$E,2,0)))</f>
        <v/>
      </c>
      <c r="FU9" s="74" t="str">
        <f>IF($W9="","",IF(COUNTIF(choice!$D:$D,CONCATENATE($W9,"@",FU$7))=0,"",VLOOKUP(CONCATENATE($W9,"@",FU$7),choice!$D:$E,2,0)))</f>
        <v/>
      </c>
      <c r="FV9" s="81" t="str">
        <f>IF($W9="","",IF(COUNTIF(choice!$D:$D,CONCATENATE($W9,"@",FV$7))=0,"",VLOOKUP(CONCATENATE($W9,"@",FV$7),choice!$D:$E,2,0)))</f>
        <v/>
      </c>
      <c r="FW9" s="80" t="str">
        <f>IF($X9="","",IF(COUNTIF(choice!$D:$D,CONCATENATE($X9,"@",FW$7))=0,"",VLOOKUP(CONCATENATE($X9,"@",FW$7),choice!$D:$E,2,0)))</f>
        <v/>
      </c>
      <c r="FX9" s="74" t="str">
        <f>IF($X9="","",IF(COUNTIF(choice!$D:$D,CONCATENATE($X9,"@",FX$7))=0,"",VLOOKUP(CONCATENATE($X9,"@",FX$7),choice!$D:$E,2,0)))</f>
        <v/>
      </c>
      <c r="FY9" s="74" t="str">
        <f>IF($X9="","",IF(COUNTIF(choice!$D:$D,CONCATENATE($X9,"@",FY$7))=0,"",VLOOKUP(CONCATENATE($X9,"@",FY$7),choice!$D:$E,2,0)))</f>
        <v/>
      </c>
      <c r="FZ9" s="74" t="str">
        <f>IF($X9="","",IF(COUNTIF(choice!$D:$D,CONCATENATE($X9,"@",FZ$7))=0,"",VLOOKUP(CONCATENATE($X9,"@",FZ$7),choice!$D:$E,2,0)))</f>
        <v/>
      </c>
      <c r="GA9" s="74" t="str">
        <f>IF($X9="","",IF(COUNTIF(choice!$D:$D,CONCATENATE($X9,"@",GA$7))=0,"",VLOOKUP(CONCATENATE($X9,"@",GA$7),choice!$D:$E,2,0)))</f>
        <v/>
      </c>
      <c r="GB9" s="74" t="str">
        <f>IF($X9="","",IF(COUNTIF(choice!$D:$D,CONCATENATE($X9,"@",GB$7))=0,"",VLOOKUP(CONCATENATE($X9,"@",GB$7),choice!$D:$E,2,0)))</f>
        <v/>
      </c>
      <c r="GC9" s="74" t="str">
        <f>IF($X9="","",IF(COUNTIF(choice!$D:$D,CONCATENATE($X9,"@",GC$7))=0,"",VLOOKUP(CONCATENATE($X9,"@",GC$7),choice!$D:$E,2,0)))</f>
        <v/>
      </c>
      <c r="GD9" s="74" t="str">
        <f>IF($X9="","",IF(COUNTIF(choice!$D:$D,CONCATENATE($X9,"@",GD$7))=0,"",VLOOKUP(CONCATENATE($X9,"@",GD$7),choice!$D:$E,2,0)))</f>
        <v/>
      </c>
      <c r="GE9" s="74" t="str">
        <f>IF($X9="","",IF(COUNTIF(choice!$D:$D,CONCATENATE($X9,"@",GE$7))=0,"",VLOOKUP(CONCATENATE($X9,"@",GE$7),choice!$D:$E,2,0)))</f>
        <v/>
      </c>
      <c r="GF9" s="74" t="str">
        <f>IF($X9="","",IF(COUNTIF(choice!$D:$D,CONCATENATE($X9,"@",GF$7))=0,"",VLOOKUP(CONCATENATE($X9,"@",GF$7),choice!$D:$E,2,0)))</f>
        <v/>
      </c>
      <c r="GG9" s="74" t="str">
        <f>IF($X9="","",IF(COUNTIF(choice!$D:$D,CONCATENATE($X9,"@",GG$7))=0,"",VLOOKUP(CONCATENATE($X9,"@",GG$7),choice!$D:$E,2,0)))</f>
        <v/>
      </c>
      <c r="GH9" s="74" t="str">
        <f>IF($X9="","",IF(COUNTIF(choice!$D:$D,CONCATENATE($X9,"@",GH$7))=0,"",VLOOKUP(CONCATENATE($X9,"@",GH$7),choice!$D:$E,2,0)))</f>
        <v/>
      </c>
      <c r="GI9" s="74" t="str">
        <f>IF($X9="","",IF(COUNTIF(choice!$D:$D,CONCATENATE($X9,"@",GI$7))=0,"",VLOOKUP(CONCATENATE($X9,"@",GI$7),choice!$D:$E,2,0)))</f>
        <v/>
      </c>
      <c r="GJ9" s="74" t="str">
        <f>IF($X9="","",IF(COUNTIF(choice!$D:$D,CONCATENATE($X9,"@",GJ$7))=0,"",VLOOKUP(CONCATENATE($X9,"@",GJ$7),choice!$D:$E,2,0)))</f>
        <v/>
      </c>
      <c r="GK9" s="74" t="str">
        <f>IF($X9="","",IF(COUNTIF(choice!$D:$D,CONCATENATE($X9,"@",GK$7))=0,"",VLOOKUP(CONCATENATE($X9,"@",GK$7),choice!$D:$E,2,0)))</f>
        <v/>
      </c>
      <c r="GL9" s="74" t="str">
        <f>IF($X9="","",IF(COUNTIF(choice!$D:$D,CONCATENATE($X9,"@",GL$7))=0,"",VLOOKUP(CONCATENATE($X9,"@",GL$7),choice!$D:$E,2,0)))</f>
        <v/>
      </c>
      <c r="GM9" s="74" t="str">
        <f>IF($X9="","",IF(COUNTIF(choice!$D:$D,CONCATENATE($X9,"@",GM$7))=0,"",VLOOKUP(CONCATENATE($X9,"@",GM$7),choice!$D:$E,2,0)))</f>
        <v/>
      </c>
      <c r="GN9" s="74" t="str">
        <f>IF($X9="","",IF(COUNTIF(choice!$D:$D,CONCATENATE($X9,"@",GN$7))=0,"",VLOOKUP(CONCATENATE($X9,"@",GN$7),choice!$D:$E,2,0)))</f>
        <v/>
      </c>
      <c r="GO9" s="74" t="str">
        <f>IF($X9="","",IF(COUNTIF(choice!$D:$D,CONCATENATE($X9,"@",GO$7))=0,"",VLOOKUP(CONCATENATE($X9,"@",GO$7),choice!$D:$E,2,0)))</f>
        <v/>
      </c>
      <c r="GP9" s="74" t="str">
        <f>IF($X9="","",IF(COUNTIF(choice!$D:$D,CONCATENATE($X9,"@",GP$7))=0,"",VLOOKUP(CONCATENATE($X9,"@",GP$7),choice!$D:$E,2,0)))</f>
        <v/>
      </c>
      <c r="GQ9" s="74" t="str">
        <f>IF($X9="","",IF(COUNTIF(choice!$D:$D,CONCATENATE($X9,"@",GQ$7))=0,"",VLOOKUP(CONCATENATE($X9,"@",GQ$7),choice!$D:$E,2,0)))</f>
        <v/>
      </c>
      <c r="GR9" s="74" t="str">
        <f>IF($X9="","",IF(COUNTIF(choice!$D:$D,CONCATENATE($X9,"@",GR$7))=0,"",VLOOKUP(CONCATENATE($X9,"@",GR$7),choice!$D:$E,2,0)))</f>
        <v/>
      </c>
      <c r="GS9" s="74" t="str">
        <f>IF($X9="","",IF(COUNTIF(choice!$D:$D,CONCATENATE($X9,"@",GS$7))=0,"",VLOOKUP(CONCATENATE($X9,"@",GS$7),choice!$D:$E,2,0)))</f>
        <v/>
      </c>
      <c r="GT9" s="74" t="str">
        <f>IF($X9="","",IF(COUNTIF(choice!$D:$D,CONCATENATE($X9,"@",GT$7))=0,"",VLOOKUP(CONCATENATE($X9,"@",GT$7),choice!$D:$E,2,0)))</f>
        <v/>
      </c>
      <c r="GU9" s="74" t="str">
        <f>IF($X9="","",IF(COUNTIF(choice!$D:$D,CONCATENATE($X9,"@",GU$7))=0,"",VLOOKUP(CONCATENATE($X9,"@",GU$7),choice!$D:$E,2,0)))</f>
        <v/>
      </c>
      <c r="GV9" s="74" t="str">
        <f>IF($X9="","",IF(COUNTIF(choice!$D:$D,CONCATENATE($X9,"@",GV$7))=0,"",VLOOKUP(CONCATENATE($X9,"@",GV$7),choice!$D:$E,2,0)))</f>
        <v/>
      </c>
      <c r="GW9" s="74" t="str">
        <f>IF($X9="","",IF(COUNTIF(choice!$D:$D,CONCATENATE($X9,"@",GW$7))=0,"",VLOOKUP(CONCATENATE($X9,"@",GW$7),choice!$D:$E,2,0)))</f>
        <v/>
      </c>
      <c r="GX9" s="74" t="str">
        <f>IF($X9="","",IF(COUNTIF(choice!$D:$D,CONCATENATE($X9,"@",GX$7))=0,"",VLOOKUP(CONCATENATE($X9,"@",GX$7),choice!$D:$E,2,0)))</f>
        <v/>
      </c>
      <c r="GY9" s="74" t="str">
        <f>IF($X9="","",IF(COUNTIF(choice!$D:$D,CONCATENATE($X9,"@",GY$7))=0,"",VLOOKUP(CONCATENATE($X9,"@",GY$7),choice!$D:$E,2,0)))</f>
        <v/>
      </c>
      <c r="GZ9" s="74" t="str">
        <f>IF($X9="","",IF(COUNTIF(choice!$D:$D,CONCATENATE($X9,"@",GZ$7))=0,"",VLOOKUP(CONCATENATE($X9,"@",GZ$7),choice!$D:$E,2,0)))</f>
        <v/>
      </c>
      <c r="HA9" s="74" t="str">
        <f>IF($X9="","",IF(COUNTIF(choice!$D:$D,CONCATENATE($X9,"@",HA$7))=0,"",VLOOKUP(CONCATENATE($X9,"@",HA$7),choice!$D:$E,2,0)))</f>
        <v/>
      </c>
      <c r="HB9" s="74" t="str">
        <f>IF($X9="","",IF(COUNTIF(choice!$D:$D,CONCATENATE($X9,"@",HB$7))=0,"",VLOOKUP(CONCATENATE($X9,"@",HB$7),choice!$D:$E,2,0)))</f>
        <v/>
      </c>
      <c r="HC9" s="74" t="str">
        <f>IF($X9="","",IF(COUNTIF(choice!$D:$D,CONCATENATE($X9,"@",HC$7))=0,"",VLOOKUP(CONCATENATE($X9,"@",HC$7),choice!$D:$E,2,0)))</f>
        <v/>
      </c>
      <c r="HD9" s="74" t="str">
        <f>IF($X9="","",IF(COUNTIF(choice!$D:$D,CONCATENATE($X9,"@",HD$7))=0,"",VLOOKUP(CONCATENATE($X9,"@",HD$7),choice!$D:$E,2,0)))</f>
        <v/>
      </c>
      <c r="HE9" s="74" t="str">
        <f>IF($X9="","",IF(COUNTIF(choice!$D:$D,CONCATENATE($X9,"@",HE$7))=0,"",VLOOKUP(CONCATENATE($X9,"@",HE$7),choice!$D:$E,2,0)))</f>
        <v/>
      </c>
      <c r="HF9" s="74" t="str">
        <f>IF($X9="","",IF(COUNTIF(choice!$D:$D,CONCATENATE($X9,"@",HF$7))=0,"",VLOOKUP(CONCATENATE($X9,"@",HF$7),choice!$D:$E,2,0)))</f>
        <v/>
      </c>
      <c r="HG9" s="74" t="str">
        <f>IF($X9="","",IF(COUNTIF(choice!$D:$D,CONCATENATE($X9,"@",HG$7))=0,"",VLOOKUP(CONCATENATE($X9,"@",HG$7),choice!$D:$E,2,0)))</f>
        <v/>
      </c>
      <c r="HH9" s="74" t="str">
        <f>IF($X9="","",IF(COUNTIF(choice!$D:$D,CONCATENATE($X9,"@",HH$7))=0,"",VLOOKUP(CONCATENATE($X9,"@",HH$7),choice!$D:$E,2,0)))</f>
        <v/>
      </c>
      <c r="HI9" s="74" t="str">
        <f>IF($X9="","",IF(COUNTIF(choice!$D:$D,CONCATENATE($X9,"@",HI$7))=0,"",VLOOKUP(CONCATENATE($X9,"@",HI$7),choice!$D:$E,2,0)))</f>
        <v/>
      </c>
      <c r="HJ9" s="74" t="str">
        <f>IF($X9="","",IF(COUNTIF(choice!$D:$D,CONCATENATE($X9,"@",HJ$7))=0,"",VLOOKUP(CONCATENATE($X9,"@",HJ$7),choice!$D:$E,2,0)))</f>
        <v/>
      </c>
      <c r="HK9" s="74" t="str">
        <f>IF($X9="","",IF(COUNTIF(choice!$D:$D,CONCATENATE($X9,"@",HK$7))=0,"",VLOOKUP(CONCATENATE($X9,"@",HK$7),choice!$D:$E,2,0)))</f>
        <v/>
      </c>
      <c r="HL9" s="74" t="str">
        <f>IF($X9="","",IF(COUNTIF(choice!$D:$D,CONCATENATE($X9,"@",HL$7))=0,"",VLOOKUP(CONCATENATE($X9,"@",HL$7),choice!$D:$E,2,0)))</f>
        <v/>
      </c>
      <c r="HM9" s="74" t="str">
        <f>IF($X9="","",IF(COUNTIF(choice!$D:$D,CONCATENATE($X9,"@",HM$7))=0,"",VLOOKUP(CONCATENATE($X9,"@",HM$7),choice!$D:$E,2,0)))</f>
        <v/>
      </c>
      <c r="HN9" s="74" t="str">
        <f>IF($X9="","",IF(COUNTIF(choice!$D:$D,CONCATENATE($X9,"@",HN$7))=0,"",VLOOKUP(CONCATENATE($X9,"@",HN$7),choice!$D:$E,2,0)))</f>
        <v/>
      </c>
      <c r="HO9" s="81" t="str">
        <f>IF($X9="","",IF(COUNTIF(choice!$D:$D,CONCATENATE($X9,"@",HO$7))=0,"",VLOOKUP(CONCATENATE($X9,"@",HO$7),choice!$D:$E,2,0)))</f>
        <v/>
      </c>
      <c r="HP9" s="20" t="s">
        <v>54</v>
      </c>
      <c r="HQ9" s="20" t="s">
        <v>55</v>
      </c>
      <c r="HU9" s="74" t="s">
        <v>6</v>
      </c>
      <c r="HV9" s="74">
        <f t="shared" ref="HV9:HV21" si="10">IF(RIGHT(I9,4)="E AV",LEN(IC9)-LEN(SUBSTITUTE(IC9,"+",""))+1,0)</f>
        <v>0</v>
      </c>
      <c r="HW9" s="74">
        <f t="shared" ref="HW9:HW21" si="11">IF(RIGHT(I9,4)="E DT",LEN(IC9)-LEN(SUBSTITUTE(IC9,"+",""))+1,0)</f>
        <v>0</v>
      </c>
      <c r="HX9" s="74">
        <f t="shared" ref="HX9:HX21" si="12">IF(LEFT(I9,4)="E AV",LEN(IC9)-LEN(SUBSTITUTE(IC9,"+",""))+1,0)</f>
        <v>0</v>
      </c>
      <c r="HY9" s="74">
        <f t="shared" ref="HY9:HY21" si="13">IF(LEFT(I9,4)="E DT",LEN(IC9)-LEN(SUBSTITUTE(IC9,"+",""))+1,0)</f>
        <v>0</v>
      </c>
      <c r="HZ9" s="74">
        <f>HV9-HX9+HZ8</f>
        <v>0</v>
      </c>
      <c r="IA9" s="74">
        <f>HW9-HY9+IA8</f>
        <v>0</v>
      </c>
      <c r="IB9" s="74" t="str">
        <f>IF(COUNTIF(AQ9,"*02*")=0,"",IF(COUNTIF(AQ9,"*04*")=0,"",IF(RIGHT(I9,4)="E AV",IF(HZ8=0,"","BLUE"),IF(RIGHT(I9,4)="E DT",IF(IA8=0,"","BLUE"),""))))</f>
        <v/>
      </c>
      <c r="IC9" s="74" t="str">
        <f>IF(D9="","",IF(COUNTIFS(D9,"*'")++COUNTIFS(D9,"*""")=0,D9,IC8))</f>
        <v/>
      </c>
      <c r="ID9" s="74" t="str">
        <f t="shared" ref="ID9:ID20" si="14">IF(COUNTIFS(AQ9,"*04*")+COUNTIFS(AQ9,"*02*")&gt;0,IF(RIGHT(I9,4)="E AV",IF(HZ8=0,"","BLUE"),IF(RIGHT(I9,4)="E DT",IF(IA8=0,"","BLUE"),"")),"")</f>
        <v/>
      </c>
      <c r="IE9" s="74">
        <f t="shared" ref="IE9:IE20" si="15">IF(B9="","",B9)</f>
        <v>2</v>
      </c>
      <c r="IF9" s="74">
        <f>COUNTIFS(ID$8:ID9,"BLUE")</f>
        <v>0</v>
      </c>
      <c r="IG9" s="74" t="str">
        <f t="shared" ref="IG9:IG20" si="16">IF(ID9="","",IF(IF9=1,IE9,IF(IF9=0,"",CONCATENATE(", ",IE9))))</f>
        <v/>
      </c>
      <c r="IH9" s="74" t="str">
        <f>IF(COUNTIFS($AQ9,"*02*")=0,"",COUNTIFS(IJ$8:IJ9,"BLUE"))</f>
        <v/>
      </c>
      <c r="II9" s="74" t="str">
        <f>IF(COUNTIFS($AQ9,"*04*")=0,"",COUNTIFS(IK$8:IK9,"BLUE"))</f>
        <v/>
      </c>
      <c r="IJ9" s="74" t="str">
        <f>IF(COUNTIFS(AQ9,"*02*")&gt;0,IF(RIGHT(I9,4)="E AV",IF(HZ8=0,"","BLUE"),IF(RIGHT(I9,4)="E DT",IF(IA8=0,"","BLUE"),"")),"")</f>
        <v/>
      </c>
      <c r="IK9" s="74" t="str">
        <f>IF(COUNTIFS(AQ9,"*04*")&gt;0,IF(RIGHT(I9,4)="E AV",IF(HZ8=0,"","BLUE"),IF(RIGHT(I9,4)="E DT",IF(IA8=0,"","BLUE"),"")),"")</f>
        <v/>
      </c>
      <c r="IL9" s="74" t="str">
        <f t="shared" ref="IL9:IL20" si="17">IF(IJ9="","",IF(IH9=1,IE9,CONCATENATE(", ",IE9)))</f>
        <v/>
      </c>
      <c r="IM9" s="74" t="str">
        <f t="shared" ref="IM9:IM20" si="18">IF(IK9="","",IF(II9=1,$IE9,CONCATENATE(", ",$IE9)))</f>
        <v/>
      </c>
      <c r="IN9" s="74">
        <f>COUNTIFS(IJ$8:IJ9,"BLUE")</f>
        <v>0</v>
      </c>
      <c r="IO9" s="74">
        <f>COUNTIFS(IK$8:IK9,"BLUE")</f>
        <v>0</v>
      </c>
    </row>
    <row r="10" spans="1:249" s="20" customFormat="1" ht="25.5" customHeight="1">
      <c r="A10" s="33"/>
      <c r="B10" s="30">
        <v>3</v>
      </c>
      <c r="C10" s="155"/>
      <c r="D10" s="174"/>
      <c r="E10" s="88" t="e">
        <f>VLOOKUP(F10,'Radio Call Sign'!A:B,2)</f>
        <v>#N/A</v>
      </c>
      <c r="F10" s="88"/>
      <c r="G10" s="88" t="e">
        <f>VLOOKUP(H10,'Radio Call Sign'!A:B,2)</f>
        <v>#N/A</v>
      </c>
      <c r="H10" s="89"/>
      <c r="I10" s="89"/>
      <c r="J10" s="90"/>
      <c r="K10" s="86"/>
      <c r="L10" s="155"/>
      <c r="M10" s="190" t="str">
        <f t="shared" si="9"/>
        <v/>
      </c>
      <c r="N10" s="21"/>
      <c r="O10" s="21"/>
      <c r="P10" s="52"/>
      <c r="Q10" s="161" t="str">
        <f>IF(AA10="","",IF(COUNTIFS('overhead line area'!$D$3:$D$100,AA10)+COUNTIFS('overhead line area'!$D$3:$D$100,AB10)+COUNTIFS('overhead line area'!$D$3:$D$100,AC10)+COUNTIFS('overhead line area'!$D$3:$D$100,AD10)=0,"","*               "))</f>
        <v/>
      </c>
      <c r="R10" s="53"/>
      <c r="S10" s="24"/>
      <c r="U10" s="74"/>
      <c r="V10" s="74"/>
      <c r="W10" s="74"/>
      <c r="X10" s="74"/>
      <c r="Y10" s="74"/>
      <c r="AA10" s="74" t="str">
        <f t="shared" si="4"/>
        <v/>
      </c>
      <c r="AB10" s="74" t="str">
        <f t="shared" si="5"/>
        <v/>
      </c>
      <c r="AC10" s="74" t="str">
        <f>IF(X10="","",CONCATENATE(W10,"-",X10))</f>
        <v/>
      </c>
      <c r="AD10" s="74" t="str">
        <f>IF(Y10="","",CONCATENATE(X10,"-",Y10))</f>
        <v/>
      </c>
      <c r="AF10" s="74" t="str">
        <f>IF(AA10="","",IF(COUNTIF(Route!$AM:$AM,'Train Movement Log (page.1)'!AA10)=0,"未有資料",VLOOKUP('Train Movement Log (page.1)'!AA10,Route!$AM:$AP,3,0)))</f>
        <v/>
      </c>
      <c r="AG10" s="74" t="str">
        <f>IF(AB10="","",IF(COUNTIF(Route!$AM:$AM,'Train Movement Log (page.1)'!AB10)=0,"未有資料",VLOOKUP('Train Movement Log (page.1)'!AB10,Route!$AM:$AP,3,0)))</f>
        <v/>
      </c>
      <c r="AH10" s="74" t="str">
        <f>IF(AC10="","",IF(COUNTIF(Route!$AM:$AM,'Train Movement Log (page.1)'!AC10)=0,"未有資料",VLOOKUP('Train Movement Log (page.1)'!AC10,Route!$AM:$AP,3,0)))</f>
        <v/>
      </c>
      <c r="AI10" s="74" t="str">
        <f>IF(AD10="","",IF(COUNTIF(Route!$AM:$AM,'Train Movement Log (page.1)'!AD10)=0,"未有資料",VLOOKUP('Train Movement Log (page.1)'!AD10,Route!$AM:$AP,3,0)))</f>
        <v/>
      </c>
      <c r="AK10" s="74" t="str">
        <f>IF(AA10="","",IF(COUNTIF(Route!$AM:$AM,'Train Movement Log (page.1)'!AA10)=0,"未有資料",VLOOKUP('Train Movement Log (page.1)'!AA10,Route!$AM:$AP,4,0)))</f>
        <v/>
      </c>
      <c r="AL10" s="74" t="str">
        <f>IF(AB10="","",IF(COUNTIF(Route!$AM:$AM,'Train Movement Log (page.1)'!AB10)=0,"未有資料",VLOOKUP('Train Movement Log (page.1)'!AB10,Route!$AM:$AP,4,0)))</f>
        <v/>
      </c>
      <c r="AM10" s="74" t="str">
        <f>IF(AC10="","",IF(COUNTIF(Route!$AM:$AM,'Train Movement Log (page.1)'!AC10)=0,"未有資料",VLOOKUP('Train Movement Log (page.1)'!AC10,Route!$AM:$AP,4,0)))</f>
        <v/>
      </c>
      <c r="AN10" s="74" t="str">
        <f>IF(AD10="","",IF(COUNTIF(Route!$AM:$AM,'Train Movement Log (page.1)'!AD10)=0,"未有資料",VLOOKUP('Train Movement Log (page.1)'!AD10,Route!$AM:$AP,4,0)))</f>
        <v/>
      </c>
      <c r="AP10" s="74" t="str">
        <f t="shared" si="7"/>
        <v/>
      </c>
      <c r="AQ10" s="76" t="str">
        <f t="shared" si="8"/>
        <v/>
      </c>
      <c r="AR10" s="80" t="str">
        <f>IF($U10="","",IF(COUNTIF(choice!$D:$D,CONCATENATE($U10,"@",AR$7))=0,"",VLOOKUP(CONCATENATE($U10,"@",AR$7),choice!$D:$E,2,0)))</f>
        <v/>
      </c>
      <c r="AS10" s="74" t="str">
        <f>IF($U10="","",IF(COUNTIF(choice!$D:$D,CONCATENATE($U10,"@",AS$7))=0,"",VLOOKUP(CONCATENATE($U10,"@",AS$7),choice!$D:$E,2,0)))</f>
        <v/>
      </c>
      <c r="AT10" s="74" t="str">
        <f>IF($U10="","",IF(COUNTIF(choice!$D:$D,CONCATENATE($U10,"@",AT$7))=0,"",VLOOKUP(CONCATENATE($U10,"@",AT$7),choice!$D:$E,2,0)))</f>
        <v/>
      </c>
      <c r="AU10" s="74" t="str">
        <f>IF($U10="","",IF(COUNTIF(choice!$D:$D,CONCATENATE($U10,"@",AU$7))=0,"",VLOOKUP(CONCATENATE($U10,"@",AU$7),choice!$D:$E,2,0)))</f>
        <v/>
      </c>
      <c r="AV10" s="74" t="str">
        <f>IF($U10="","",IF(COUNTIF(choice!$D:$D,CONCATENATE($U10,"@",AV$7))=0,"",VLOOKUP(CONCATENATE($U10,"@",AV$7),choice!$D:$E,2,0)))</f>
        <v/>
      </c>
      <c r="AW10" s="74" t="str">
        <f>IF($U10="","",IF(COUNTIF(choice!$D:$D,CONCATENATE($U10,"@",AW$7))=0,"",VLOOKUP(CONCATENATE($U10,"@",AW$7),choice!$D:$E,2,0)))</f>
        <v/>
      </c>
      <c r="AX10" s="74" t="str">
        <f>IF($U10="","",IF(COUNTIF(choice!$D:$D,CONCATENATE($U10,"@",AX$7))=0,"",VLOOKUP(CONCATENATE($U10,"@",AX$7),choice!$D:$E,2,0)))</f>
        <v/>
      </c>
      <c r="AY10" s="74" t="str">
        <f>IF($U10="","",IF(COUNTIF(choice!$D:$D,CONCATENATE($U10,"@",AY$7))=0,"",VLOOKUP(CONCATENATE($U10,"@",AY$7),choice!$D:$E,2,0)))</f>
        <v/>
      </c>
      <c r="AZ10" s="74" t="str">
        <f>IF($U10="","",IF(COUNTIF(choice!$D:$D,CONCATENATE($U10,"@",AZ$7))=0,"",VLOOKUP(CONCATENATE($U10,"@",AZ$7),choice!$D:$E,2,0)))</f>
        <v/>
      </c>
      <c r="BA10" s="74" t="str">
        <f>IF($U10="","",IF(COUNTIF(choice!$D:$D,CONCATENATE($U10,"@",BA$7))=0,"",VLOOKUP(CONCATENATE($U10,"@",BA$7),choice!$D:$E,2,0)))</f>
        <v/>
      </c>
      <c r="BB10" s="74" t="str">
        <f>IF($U10="","",IF(COUNTIF(choice!$D:$D,CONCATENATE($U10,"@",BB$7))=0,"",VLOOKUP(CONCATENATE($U10,"@",BB$7),choice!$D:$E,2,0)))</f>
        <v/>
      </c>
      <c r="BC10" s="74" t="str">
        <f>IF($U10="","",IF(COUNTIF(choice!$D:$D,CONCATENATE($U10,"@",BC$7))=0,"",VLOOKUP(CONCATENATE($U10,"@",BC$7),choice!$D:$E,2,0)))</f>
        <v/>
      </c>
      <c r="BD10" s="74" t="str">
        <f>IF($U10="","",IF(COUNTIF(choice!$D:$D,CONCATENATE($U10,"@",BD$7))=0,"",VLOOKUP(CONCATENATE($U10,"@",BD$7),choice!$D:$E,2,0)))</f>
        <v/>
      </c>
      <c r="BE10" s="74" t="str">
        <f>IF($U10="","",IF(COUNTIF(choice!$D:$D,CONCATENATE($U10,"@",BE$7))=0,"",VLOOKUP(CONCATENATE($U10,"@",BE$7),choice!$D:$E,2,0)))</f>
        <v/>
      </c>
      <c r="BF10" s="74" t="str">
        <f>IF($U10="","",IF(COUNTIF(choice!$D:$D,CONCATENATE($U10,"@",BF$7))=0,"",VLOOKUP(CONCATENATE($U10,"@",BF$7),choice!$D:$E,2,0)))</f>
        <v/>
      </c>
      <c r="BG10" s="74" t="str">
        <f>IF($U10="","",IF(COUNTIF(choice!$D:$D,CONCATENATE($U10,"@",BG$7))=0,"",VLOOKUP(CONCATENATE($U10,"@",BG$7),choice!$D:$E,2,0)))</f>
        <v/>
      </c>
      <c r="BH10" s="74" t="str">
        <f>IF($U10="","",IF(COUNTIF(choice!$D:$D,CONCATENATE($U10,"@",BH$7))=0,"",VLOOKUP(CONCATENATE($U10,"@",BH$7),choice!$D:$E,2,0)))</f>
        <v/>
      </c>
      <c r="BI10" s="74" t="str">
        <f>IF($U10="","",IF(COUNTIF(choice!$D:$D,CONCATENATE($U10,"@",BI$7))=0,"",VLOOKUP(CONCATENATE($U10,"@",BI$7),choice!$D:$E,2,0)))</f>
        <v/>
      </c>
      <c r="BJ10" s="74" t="str">
        <f>IF($U10="","",IF(COUNTIF(choice!$D:$D,CONCATENATE($U10,"@",BJ$7))=0,"",VLOOKUP(CONCATENATE($U10,"@",BJ$7),choice!$D:$E,2,0)))</f>
        <v/>
      </c>
      <c r="BK10" s="74" t="str">
        <f>IF($U10="","",IF(COUNTIF(choice!$D:$D,CONCATENATE($U10,"@",BK$7))=0,"",VLOOKUP(CONCATENATE($U10,"@",BK$7),choice!$D:$E,2,0)))</f>
        <v/>
      </c>
      <c r="BL10" s="74" t="str">
        <f>IF($U10="","",IF(COUNTIF(choice!$D:$D,CONCATENATE($U10,"@",BL$7))=0,"",VLOOKUP(CONCATENATE($U10,"@",BL$7),choice!$D:$E,2,0)))</f>
        <v/>
      </c>
      <c r="BM10" s="74" t="str">
        <f>IF($U10="","",IF(COUNTIF(choice!$D:$D,CONCATENATE($U10,"@",BM$7))=0,"",VLOOKUP(CONCATENATE($U10,"@",BM$7),choice!$D:$E,2,0)))</f>
        <v/>
      </c>
      <c r="BN10" s="74" t="str">
        <f>IF($U10="","",IF(COUNTIF(choice!$D:$D,CONCATENATE($U10,"@",BN$7))=0,"",VLOOKUP(CONCATENATE($U10,"@",BN$7),choice!$D:$E,2,0)))</f>
        <v/>
      </c>
      <c r="BO10" s="74" t="str">
        <f>IF($U10="","",IF(COUNTIF(choice!$D:$D,CONCATENATE($U10,"@",BO$7))=0,"",VLOOKUP(CONCATENATE($U10,"@",BO$7),choice!$D:$E,2,0)))</f>
        <v/>
      </c>
      <c r="BP10" s="74" t="str">
        <f>IF($U10="","",IF(COUNTIF(choice!$D:$D,CONCATENATE($U10,"@",BP$7))=0,"",VLOOKUP(CONCATENATE($U10,"@",BP$7),choice!$D:$E,2,0)))</f>
        <v/>
      </c>
      <c r="BQ10" s="74" t="str">
        <f>IF($U10="","",IF(COUNTIF(choice!$D:$D,CONCATENATE($U10,"@",BQ$7))=0,"",VLOOKUP(CONCATENATE($U10,"@",BQ$7),choice!$D:$E,2,0)))</f>
        <v/>
      </c>
      <c r="BR10" s="74" t="str">
        <f>IF($U10="","",IF(COUNTIF(choice!$D:$D,CONCATENATE($U10,"@",BR$7))=0,"",VLOOKUP(CONCATENATE($U10,"@",BR$7),choice!$D:$E,2,0)))</f>
        <v/>
      </c>
      <c r="BS10" s="74" t="str">
        <f>IF($U10="","",IF(COUNTIF(choice!$D:$D,CONCATENATE($U10,"@",BS$7))=0,"",VLOOKUP(CONCATENATE($U10,"@",BS$7),choice!$D:$E,2,0)))</f>
        <v/>
      </c>
      <c r="BT10" s="74" t="str">
        <f>IF($U10="","",IF(COUNTIF(choice!$D:$D,CONCATENATE($U10,"@",BT$7))=0,"",VLOOKUP(CONCATENATE($U10,"@",BT$7),choice!$D:$E,2,0)))</f>
        <v/>
      </c>
      <c r="BU10" s="74" t="str">
        <f>IF($U10="","",IF(COUNTIF(choice!$D:$D,CONCATENATE($U10,"@",BU$7))=0,"",VLOOKUP(CONCATENATE($U10,"@",BU$7),choice!$D:$E,2,0)))</f>
        <v/>
      </c>
      <c r="BV10" s="74" t="str">
        <f>IF($U10="","",IF(COUNTIF(choice!$D:$D,CONCATENATE($U10,"@",BV$7))=0,"",VLOOKUP(CONCATENATE($U10,"@",BV$7),choice!$D:$E,2,0)))</f>
        <v/>
      </c>
      <c r="BW10" s="74" t="str">
        <f>IF($U10="","",IF(COUNTIF(choice!$D:$D,CONCATENATE($U10,"@",BW$7))=0,"",VLOOKUP(CONCATENATE($U10,"@",BW$7),choice!$D:$E,2,0)))</f>
        <v/>
      </c>
      <c r="BX10" s="74" t="str">
        <f>IF($U10="","",IF(COUNTIF(choice!$D:$D,CONCATENATE($U10,"@",BX$7))=0,"",VLOOKUP(CONCATENATE($U10,"@",BX$7),choice!$D:$E,2,0)))</f>
        <v/>
      </c>
      <c r="BY10" s="74" t="str">
        <f>IF($U10="","",IF(COUNTIF(choice!$D:$D,CONCATENATE($U10,"@",BY$7))=0,"",VLOOKUP(CONCATENATE($U10,"@",BY$7),choice!$D:$E,2,0)))</f>
        <v/>
      </c>
      <c r="BZ10" s="74" t="str">
        <f>IF($U10="","",IF(COUNTIF(choice!$D:$D,CONCATENATE($U10,"@",BZ$7))=0,"",VLOOKUP(CONCATENATE($U10,"@",BZ$7),choice!$D:$E,2,0)))</f>
        <v/>
      </c>
      <c r="CA10" s="74" t="str">
        <f>IF($U10="","",IF(COUNTIF(choice!$D:$D,CONCATENATE($U10,"@",CA$7))=0,"",VLOOKUP(CONCATENATE($U10,"@",CA$7),choice!$D:$E,2,0)))</f>
        <v/>
      </c>
      <c r="CB10" s="74" t="str">
        <f>IF($U10="","",IF(COUNTIF(choice!$D:$D,CONCATENATE($U10,"@",CB$7))=0,"",VLOOKUP(CONCATENATE($U10,"@",CB$7),choice!$D:$E,2,0)))</f>
        <v/>
      </c>
      <c r="CC10" s="74" t="str">
        <f>IF($U10="","",IF(COUNTIF(choice!$D:$D,CONCATENATE($U10,"@",CC$7))=0,"",VLOOKUP(CONCATENATE($U10,"@",CC$7),choice!$D:$E,2,0)))</f>
        <v/>
      </c>
      <c r="CD10" s="74" t="str">
        <f>IF($U10="","",IF(COUNTIF(choice!$D:$D,CONCATENATE($U10,"@",CD$7))=0,"",VLOOKUP(CONCATENATE($U10,"@",CD$7),choice!$D:$E,2,0)))</f>
        <v/>
      </c>
      <c r="CE10" s="74" t="str">
        <f>IF($U10="","",IF(COUNTIF(choice!$D:$D,CONCATENATE($U10,"@",CE$7))=0,"",VLOOKUP(CONCATENATE($U10,"@",CE$7),choice!$D:$E,2,0)))</f>
        <v/>
      </c>
      <c r="CF10" s="74" t="str">
        <f>IF($U10="","",IF(COUNTIF(choice!$D:$D,CONCATENATE($U10,"@",CF$7))=0,"",VLOOKUP(CONCATENATE($U10,"@",CF$7),choice!$D:$E,2,0)))</f>
        <v/>
      </c>
      <c r="CG10" s="74" t="str">
        <f>IF($U10="","",IF(COUNTIF(choice!$D:$D,CONCATENATE($U10,"@",CG$7))=0,"",VLOOKUP(CONCATENATE($U10,"@",CG$7),choice!$D:$E,2,0)))</f>
        <v/>
      </c>
      <c r="CH10" s="74" t="str">
        <f>IF($U10="","",IF(COUNTIF(choice!$D:$D,CONCATENATE($U10,"@",CH$7))=0,"",VLOOKUP(CONCATENATE($U10,"@",CH$7),choice!$D:$E,2,0)))</f>
        <v/>
      </c>
      <c r="CI10" s="74" t="str">
        <f>IF($U10="","",IF(COUNTIF(choice!$D:$D,CONCATENATE($U10,"@",CI$7))=0,"",VLOOKUP(CONCATENATE($U10,"@",CI$7),choice!$D:$E,2,0)))</f>
        <v/>
      </c>
      <c r="CJ10" s="81" t="str">
        <f>IF($U10="","",IF(COUNTIF(choice!$D:$D,CONCATENATE($U10,"@",CJ$7))=0,"",VLOOKUP(CONCATENATE($U10,"@",CJ$7),choice!$D:$E,2,0)))</f>
        <v/>
      </c>
      <c r="CK10" s="80" t="str">
        <f>IF($V10="","",IF(COUNTIF(choice!$D:$D,CONCATENATE($V10,"@",CK$7))=0,"",VLOOKUP(CONCATENATE($V10,"@",CK$7),choice!$D:$E,2,0)))</f>
        <v/>
      </c>
      <c r="CL10" s="74" t="str">
        <f>IF($V10="","",IF(COUNTIF(choice!$D:$D,CONCATENATE($V10,"@",CL$7))=0,"",VLOOKUP(CONCATENATE($V10,"@",CL$7),choice!$D:$E,2,0)))</f>
        <v/>
      </c>
      <c r="CM10" s="74" t="str">
        <f>IF($V10="","",IF(COUNTIF(choice!$D:$D,CONCATENATE($V10,"@",CM$7))=0,"",VLOOKUP(CONCATENATE($V10,"@",CM$7),choice!$D:$E,2,0)))</f>
        <v/>
      </c>
      <c r="CN10" s="74" t="str">
        <f>IF($V10="","",IF(COUNTIF(choice!$D:$D,CONCATENATE($V10,"@",CN$7))=0,"",VLOOKUP(CONCATENATE($V10,"@",CN$7),choice!$D:$E,2,0)))</f>
        <v/>
      </c>
      <c r="CO10" s="74" t="str">
        <f>IF($V10="","",IF(COUNTIF(choice!$D:$D,CONCATENATE($V10,"@",CO$7))=0,"",VLOOKUP(CONCATENATE($V10,"@",CO$7),choice!$D:$E,2,0)))</f>
        <v/>
      </c>
      <c r="CP10" s="74" t="str">
        <f>IF($V10="","",IF(COUNTIF(choice!$D:$D,CONCATENATE($V10,"@",CP$7))=0,"",VLOOKUP(CONCATENATE($V10,"@",CP$7),choice!$D:$E,2,0)))</f>
        <v/>
      </c>
      <c r="CQ10" s="74" t="str">
        <f>IF($V10="","",IF(COUNTIF(choice!$D:$D,CONCATENATE($V10,"@",CQ$7))=0,"",VLOOKUP(CONCATENATE($V10,"@",CQ$7),choice!$D:$E,2,0)))</f>
        <v/>
      </c>
      <c r="CR10" s="74" t="str">
        <f>IF($V10="","",IF(COUNTIF(choice!$D:$D,CONCATENATE($V10,"@",CR$7))=0,"",VLOOKUP(CONCATENATE($V10,"@",CR$7),choice!$D:$E,2,0)))</f>
        <v/>
      </c>
      <c r="CS10" s="74" t="str">
        <f>IF($V10="","",IF(COUNTIF(choice!$D:$D,CONCATENATE($V10,"@",CS$7))=0,"",VLOOKUP(CONCATENATE($V10,"@",CS$7),choice!$D:$E,2,0)))</f>
        <v/>
      </c>
      <c r="CT10" s="74" t="str">
        <f>IF($V10="","",IF(COUNTIF(choice!$D:$D,CONCATENATE($V10,"@",CT$7))=0,"",VLOOKUP(CONCATENATE($V10,"@",CT$7),choice!$D:$E,2,0)))</f>
        <v/>
      </c>
      <c r="CU10" s="74" t="str">
        <f>IF($V10="","",IF(COUNTIF(choice!$D:$D,CONCATENATE($V10,"@",CU$7))=0,"",VLOOKUP(CONCATENATE($V10,"@",CU$7),choice!$D:$E,2,0)))</f>
        <v/>
      </c>
      <c r="CV10" s="74" t="str">
        <f>IF($V10="","",IF(COUNTIF(choice!$D:$D,CONCATENATE($V10,"@",CV$7))=0,"",VLOOKUP(CONCATENATE($V10,"@",CV$7),choice!$D:$E,2,0)))</f>
        <v/>
      </c>
      <c r="CW10" s="74" t="str">
        <f>IF($V10="","",IF(COUNTIF(choice!$D:$D,CONCATENATE($V10,"@",CW$7))=0,"",VLOOKUP(CONCATENATE($V10,"@",CW$7),choice!$D:$E,2,0)))</f>
        <v/>
      </c>
      <c r="CX10" s="74" t="str">
        <f>IF($V10="","",IF(COUNTIF(choice!$D:$D,CONCATENATE($V10,"@",CX$7))=0,"",VLOOKUP(CONCATENATE($V10,"@",CX$7),choice!$D:$E,2,0)))</f>
        <v/>
      </c>
      <c r="CY10" s="74" t="str">
        <f>IF($V10="","",IF(COUNTIF(choice!$D:$D,CONCATENATE($V10,"@",CY$7))=0,"",VLOOKUP(CONCATENATE($V10,"@",CY$7),choice!$D:$E,2,0)))</f>
        <v/>
      </c>
      <c r="CZ10" s="74" t="str">
        <f>IF($V10="","",IF(COUNTIF(choice!$D:$D,CONCATENATE($V10,"@",CZ$7))=0,"",VLOOKUP(CONCATENATE($V10,"@",CZ$7),choice!$D:$E,2,0)))</f>
        <v/>
      </c>
      <c r="DA10" s="74" t="str">
        <f>IF($V10="","",IF(COUNTIF(choice!$D:$D,CONCATENATE($V10,"@",DA$7))=0,"",VLOOKUP(CONCATENATE($V10,"@",DA$7),choice!$D:$E,2,0)))</f>
        <v/>
      </c>
      <c r="DB10" s="74" t="str">
        <f>IF($V10="","",IF(COUNTIF(choice!$D:$D,CONCATENATE($V10,"@",DB$7))=0,"",VLOOKUP(CONCATENATE($V10,"@",DB$7),choice!$D:$E,2,0)))</f>
        <v/>
      </c>
      <c r="DC10" s="74" t="str">
        <f>IF($V10="","",IF(COUNTIF(choice!$D:$D,CONCATENATE($V10,"@",DC$7))=0,"",VLOOKUP(CONCATENATE($V10,"@",DC$7),choice!$D:$E,2,0)))</f>
        <v/>
      </c>
      <c r="DD10" s="74" t="str">
        <f>IF($V10="","",IF(COUNTIF(choice!$D:$D,CONCATENATE($V10,"@",DD$7))=0,"",VLOOKUP(CONCATENATE($V10,"@",DD$7),choice!$D:$E,2,0)))</f>
        <v/>
      </c>
      <c r="DE10" s="74" t="str">
        <f>IF($V10="","",IF(COUNTIF(choice!$D:$D,CONCATENATE($V10,"@",DE$7))=0,"",VLOOKUP(CONCATENATE($V10,"@",DE$7),choice!$D:$E,2,0)))</f>
        <v/>
      </c>
      <c r="DF10" s="74" t="str">
        <f>IF($V10="","",IF(COUNTIF(choice!$D:$D,CONCATENATE($V10,"@",DF$7))=0,"",VLOOKUP(CONCATENATE($V10,"@",DF$7),choice!$D:$E,2,0)))</f>
        <v/>
      </c>
      <c r="DG10" s="74" t="str">
        <f>IF($V10="","",IF(COUNTIF(choice!$D:$D,CONCATENATE($V10,"@",DG$7))=0,"",VLOOKUP(CONCATENATE($V10,"@",DG$7),choice!$D:$E,2,0)))</f>
        <v/>
      </c>
      <c r="DH10" s="74" t="str">
        <f>IF($V10="","",IF(COUNTIF(choice!$D:$D,CONCATENATE($V10,"@",DH$7))=0,"",VLOOKUP(CONCATENATE($V10,"@",DH$7),choice!$D:$E,2,0)))</f>
        <v/>
      </c>
      <c r="DI10" s="74" t="str">
        <f>IF($V10="","",IF(COUNTIF(choice!$D:$D,CONCATENATE($V10,"@",DI$7))=0,"",VLOOKUP(CONCATENATE($V10,"@",DI$7),choice!$D:$E,2,0)))</f>
        <v/>
      </c>
      <c r="DJ10" s="74" t="str">
        <f>IF($V10="","",IF(COUNTIF(choice!$D:$D,CONCATENATE($V10,"@",DJ$7))=0,"",VLOOKUP(CONCATENATE($V10,"@",DJ$7),choice!$D:$E,2,0)))</f>
        <v/>
      </c>
      <c r="DK10" s="74" t="str">
        <f>IF($V10="","",IF(COUNTIF(choice!$D:$D,CONCATENATE($V10,"@",DK$7))=0,"",VLOOKUP(CONCATENATE($V10,"@",DK$7),choice!$D:$E,2,0)))</f>
        <v/>
      </c>
      <c r="DL10" s="74" t="str">
        <f>IF($V10="","",IF(COUNTIF(choice!$D:$D,CONCATENATE($V10,"@",DL$7))=0,"",VLOOKUP(CONCATENATE($V10,"@",DL$7),choice!$D:$E,2,0)))</f>
        <v/>
      </c>
      <c r="DM10" s="74" t="str">
        <f>IF($V10="","",IF(COUNTIF(choice!$D:$D,CONCATENATE($V10,"@",DM$7))=0,"",VLOOKUP(CONCATENATE($V10,"@",DM$7),choice!$D:$E,2,0)))</f>
        <v/>
      </c>
      <c r="DN10" s="74" t="str">
        <f>IF($V10="","",IF(COUNTIF(choice!$D:$D,CONCATENATE($V10,"@",DN$7))=0,"",VLOOKUP(CONCATENATE($V10,"@",DN$7),choice!$D:$E,2,0)))</f>
        <v/>
      </c>
      <c r="DO10" s="74" t="str">
        <f>IF($V10="","",IF(COUNTIF(choice!$D:$D,CONCATENATE($V10,"@",DO$7))=0,"",VLOOKUP(CONCATENATE($V10,"@",DO$7),choice!$D:$E,2,0)))</f>
        <v/>
      </c>
      <c r="DP10" s="74" t="str">
        <f>IF($V10="","",IF(COUNTIF(choice!$D:$D,CONCATENATE($V10,"@",DP$7))=0,"",VLOOKUP(CONCATENATE($V10,"@",DP$7),choice!$D:$E,2,0)))</f>
        <v/>
      </c>
      <c r="DQ10" s="74" t="str">
        <f>IF($V10="","",IF(COUNTIF(choice!$D:$D,CONCATENATE($V10,"@",DQ$7))=0,"",VLOOKUP(CONCATENATE($V10,"@",DQ$7),choice!$D:$E,2,0)))</f>
        <v/>
      </c>
      <c r="DR10" s="74" t="str">
        <f>IF($V10="","",IF(COUNTIF(choice!$D:$D,CONCATENATE($V10,"@",DR$7))=0,"",VLOOKUP(CONCATENATE($V10,"@",DR$7),choice!$D:$E,2,0)))</f>
        <v/>
      </c>
      <c r="DS10" s="74" t="str">
        <f>IF($V10="","",IF(COUNTIF(choice!$D:$D,CONCATENATE($V10,"@",DS$7))=0,"",VLOOKUP(CONCATENATE($V10,"@",DS$7),choice!$D:$E,2,0)))</f>
        <v/>
      </c>
      <c r="DT10" s="74" t="str">
        <f>IF($V10="","",IF(COUNTIF(choice!$D:$D,CONCATENATE($V10,"@",DT$7))=0,"",VLOOKUP(CONCATENATE($V10,"@",DT$7),choice!$D:$E,2,0)))</f>
        <v/>
      </c>
      <c r="DU10" s="74" t="str">
        <f>IF($V10="","",IF(COUNTIF(choice!$D:$D,CONCATENATE($V10,"@",DU$7))=0,"",VLOOKUP(CONCATENATE($V10,"@",DU$7),choice!$D:$E,2,0)))</f>
        <v/>
      </c>
      <c r="DV10" s="74" t="str">
        <f>IF($V10="","",IF(COUNTIF(choice!$D:$D,CONCATENATE($V10,"@",DV$7))=0,"",VLOOKUP(CONCATENATE($V10,"@",DV$7),choice!$D:$E,2,0)))</f>
        <v/>
      </c>
      <c r="DW10" s="74" t="str">
        <f>IF($V10="","",IF(COUNTIF(choice!$D:$D,CONCATENATE($V10,"@",DW$7))=0,"",VLOOKUP(CONCATENATE($V10,"@",DW$7),choice!$D:$E,2,0)))</f>
        <v/>
      </c>
      <c r="DX10" s="74" t="str">
        <f>IF($V10="","",IF(COUNTIF(choice!$D:$D,CONCATENATE($V10,"@",DX$7))=0,"",VLOOKUP(CONCATENATE($V10,"@",DX$7),choice!$D:$E,2,0)))</f>
        <v/>
      </c>
      <c r="DY10" s="74" t="str">
        <f>IF($V10="","",IF(COUNTIF(choice!$D:$D,CONCATENATE($V10,"@",DY$7))=0,"",VLOOKUP(CONCATENATE($V10,"@",DY$7),choice!$D:$E,2,0)))</f>
        <v/>
      </c>
      <c r="DZ10" s="74" t="str">
        <f>IF($V10="","",IF(COUNTIF(choice!$D:$D,CONCATENATE($V10,"@",DZ$7))=0,"",VLOOKUP(CONCATENATE($V10,"@",DZ$7),choice!$D:$E,2,0)))</f>
        <v/>
      </c>
      <c r="EA10" s="74" t="str">
        <f>IF($V10="","",IF(COUNTIF(choice!$D:$D,CONCATENATE($V10,"@",EA$7))=0,"",VLOOKUP(CONCATENATE($V10,"@",EA$7),choice!$D:$E,2,0)))</f>
        <v/>
      </c>
      <c r="EB10" s="74" t="str">
        <f>IF($V10="","",IF(COUNTIF(choice!$D:$D,CONCATENATE($V10,"@",EB$7))=0,"",VLOOKUP(CONCATENATE($V10,"@",EB$7),choice!$D:$E,2,0)))</f>
        <v/>
      </c>
      <c r="EC10" s="81" t="str">
        <f>IF($V10="","",IF(COUNTIF(choice!$D:$D,CONCATENATE($V10,"@",EC$7))=0,"",VLOOKUP(CONCATENATE($V10,"@",EC$7),choice!$D:$E,2,0)))</f>
        <v/>
      </c>
      <c r="ED10" s="80" t="str">
        <f>IF($W10="","",IF(COUNTIF(choice!$D:$D,CONCATENATE($W10,"@",ED$7))=0,"",VLOOKUP(CONCATENATE($W10,"@",ED$7),choice!$D:$E,2,0)))</f>
        <v/>
      </c>
      <c r="EE10" s="74" t="str">
        <f>IF($W10="","",IF(COUNTIF(choice!$D:$D,CONCATENATE($W10,"@",EE$7))=0,"",VLOOKUP(CONCATENATE($W10,"@",EE$7),choice!$D:$E,2,0)))</f>
        <v/>
      </c>
      <c r="EF10" s="74" t="str">
        <f>IF($W10="","",IF(COUNTIF(choice!$D:$D,CONCATENATE($W10,"@",EF$7))=0,"",VLOOKUP(CONCATENATE($W10,"@",EF$7),choice!$D:$E,2,0)))</f>
        <v/>
      </c>
      <c r="EG10" s="74" t="str">
        <f>IF($W10="","",IF(COUNTIF(choice!$D:$D,CONCATENATE($W10,"@",EG$7))=0,"",VLOOKUP(CONCATENATE($W10,"@",EG$7),choice!$D:$E,2,0)))</f>
        <v/>
      </c>
      <c r="EH10" s="74" t="str">
        <f>IF($W10="","",IF(COUNTIF(choice!$D:$D,CONCATENATE($W10,"@",EH$7))=0,"",VLOOKUP(CONCATENATE($W10,"@",EH$7),choice!$D:$E,2,0)))</f>
        <v/>
      </c>
      <c r="EI10" s="74" t="str">
        <f>IF($W10="","",IF(COUNTIF(choice!$D:$D,CONCATENATE($W10,"@",EI$7))=0,"",VLOOKUP(CONCATENATE($W10,"@",EI$7),choice!$D:$E,2,0)))</f>
        <v/>
      </c>
      <c r="EJ10" s="74" t="str">
        <f>IF($W10="","",IF(COUNTIF(choice!$D:$D,CONCATENATE($W10,"@",EJ$7))=0,"",VLOOKUP(CONCATENATE($W10,"@",EJ$7),choice!$D:$E,2,0)))</f>
        <v/>
      </c>
      <c r="EK10" s="74" t="str">
        <f>IF($W10="","",IF(COUNTIF(choice!$D:$D,CONCATENATE($W10,"@",EK$7))=0,"",VLOOKUP(CONCATENATE($W10,"@",EK$7),choice!$D:$E,2,0)))</f>
        <v/>
      </c>
      <c r="EL10" s="74" t="str">
        <f>IF($W10="","",IF(COUNTIF(choice!$D:$D,CONCATENATE($W10,"@",EL$7))=0,"",VLOOKUP(CONCATENATE($W10,"@",EL$7),choice!$D:$E,2,0)))</f>
        <v/>
      </c>
      <c r="EM10" s="74" t="str">
        <f>IF($W10="","",IF(COUNTIF(choice!$D:$D,CONCATENATE($W10,"@",EM$7))=0,"",VLOOKUP(CONCATENATE($W10,"@",EM$7),choice!$D:$E,2,0)))</f>
        <v/>
      </c>
      <c r="EN10" s="74" t="str">
        <f>IF($W10="","",IF(COUNTIF(choice!$D:$D,CONCATENATE($W10,"@",EN$7))=0,"",VLOOKUP(CONCATENATE($W10,"@",EN$7),choice!$D:$E,2,0)))</f>
        <v/>
      </c>
      <c r="EO10" s="74" t="str">
        <f>IF($W10="","",IF(COUNTIF(choice!$D:$D,CONCATENATE($W10,"@",EO$7))=0,"",VLOOKUP(CONCATENATE($W10,"@",EO$7),choice!$D:$E,2,0)))</f>
        <v/>
      </c>
      <c r="EP10" s="74" t="str">
        <f>IF($W10="","",IF(COUNTIF(choice!$D:$D,CONCATENATE($W10,"@",EP$7))=0,"",VLOOKUP(CONCATENATE($W10,"@",EP$7),choice!$D:$E,2,0)))</f>
        <v/>
      </c>
      <c r="EQ10" s="74" t="str">
        <f>IF($W10="","",IF(COUNTIF(choice!$D:$D,CONCATENATE($W10,"@",EQ$7))=0,"",VLOOKUP(CONCATENATE($W10,"@",EQ$7),choice!$D:$E,2,0)))</f>
        <v/>
      </c>
      <c r="ER10" s="74" t="str">
        <f>IF($W10="","",IF(COUNTIF(choice!$D:$D,CONCATENATE($W10,"@",ER$7))=0,"",VLOOKUP(CONCATENATE($W10,"@",ER$7),choice!$D:$E,2,0)))</f>
        <v/>
      </c>
      <c r="ES10" s="74" t="str">
        <f>IF($W10="","",IF(COUNTIF(choice!$D:$D,CONCATENATE($W10,"@",ES$7))=0,"",VLOOKUP(CONCATENATE($W10,"@",ES$7),choice!$D:$E,2,0)))</f>
        <v/>
      </c>
      <c r="ET10" s="74" t="str">
        <f>IF($W10="","",IF(COUNTIF(choice!$D:$D,CONCATENATE($W10,"@",ET$7))=0,"",VLOOKUP(CONCATENATE($W10,"@",ET$7),choice!$D:$E,2,0)))</f>
        <v/>
      </c>
      <c r="EU10" s="74" t="str">
        <f>IF($W10="","",IF(COUNTIF(choice!$D:$D,CONCATENATE($W10,"@",EU$7))=0,"",VLOOKUP(CONCATENATE($W10,"@",EU$7),choice!$D:$E,2,0)))</f>
        <v/>
      </c>
      <c r="EV10" s="74" t="str">
        <f>IF($W10="","",IF(COUNTIF(choice!$D:$D,CONCATENATE($W10,"@",EV$7))=0,"",VLOOKUP(CONCATENATE($W10,"@",EV$7),choice!$D:$E,2,0)))</f>
        <v/>
      </c>
      <c r="EW10" s="74" t="str">
        <f>IF($W10="","",IF(COUNTIF(choice!$D:$D,CONCATENATE($W10,"@",EW$7))=0,"",VLOOKUP(CONCATENATE($W10,"@",EW$7),choice!$D:$E,2,0)))</f>
        <v/>
      </c>
      <c r="EX10" s="74" t="str">
        <f>IF($W10="","",IF(COUNTIF(choice!$D:$D,CONCATENATE($W10,"@",EX$7))=0,"",VLOOKUP(CONCATENATE($W10,"@",EX$7),choice!$D:$E,2,0)))</f>
        <v/>
      </c>
      <c r="EY10" s="74" t="str">
        <f>IF($W10="","",IF(COUNTIF(choice!$D:$D,CONCATENATE($W10,"@",EY$7))=0,"",VLOOKUP(CONCATENATE($W10,"@",EY$7),choice!$D:$E,2,0)))</f>
        <v/>
      </c>
      <c r="EZ10" s="74" t="str">
        <f>IF($W10="","",IF(COUNTIF(choice!$D:$D,CONCATENATE($W10,"@",EZ$7))=0,"",VLOOKUP(CONCATENATE($W10,"@",EZ$7),choice!$D:$E,2,0)))</f>
        <v/>
      </c>
      <c r="FA10" s="74" t="str">
        <f>IF($W10="","",IF(COUNTIF(choice!$D:$D,CONCATENATE($W10,"@",FA$7))=0,"",VLOOKUP(CONCATENATE($W10,"@",FA$7),choice!$D:$E,2,0)))</f>
        <v/>
      </c>
      <c r="FB10" s="74" t="str">
        <f>IF($W10="","",IF(COUNTIF(choice!$D:$D,CONCATENATE($W10,"@",FB$7))=0,"",VLOOKUP(CONCATENATE($W10,"@",FB$7),choice!$D:$E,2,0)))</f>
        <v/>
      </c>
      <c r="FC10" s="74" t="str">
        <f>IF($W10="","",IF(COUNTIF(choice!$D:$D,CONCATENATE($W10,"@",FC$7))=0,"",VLOOKUP(CONCATENATE($W10,"@",FC$7),choice!$D:$E,2,0)))</f>
        <v/>
      </c>
      <c r="FD10" s="74" t="str">
        <f>IF($W10="","",IF(COUNTIF(choice!$D:$D,CONCATENATE($W10,"@",FD$7))=0,"",VLOOKUP(CONCATENATE($W10,"@",FD$7),choice!$D:$E,2,0)))</f>
        <v/>
      </c>
      <c r="FE10" s="74" t="str">
        <f>IF($W10="","",IF(COUNTIF(choice!$D:$D,CONCATENATE($W10,"@",FE$7))=0,"",VLOOKUP(CONCATENATE($W10,"@",FE$7),choice!$D:$E,2,0)))</f>
        <v/>
      </c>
      <c r="FF10" s="74" t="str">
        <f>IF($W10="","",IF(COUNTIF(choice!$D:$D,CONCATENATE($W10,"@",FF$7))=0,"",VLOOKUP(CONCATENATE($W10,"@",FF$7),choice!$D:$E,2,0)))</f>
        <v/>
      </c>
      <c r="FG10" s="74" t="str">
        <f>IF($W10="","",IF(COUNTIF(choice!$D:$D,CONCATENATE($W10,"@",FG$7))=0,"",VLOOKUP(CONCATENATE($W10,"@",FG$7),choice!$D:$E,2,0)))</f>
        <v/>
      </c>
      <c r="FH10" s="74" t="str">
        <f>IF($W10="","",IF(COUNTIF(choice!$D:$D,CONCATENATE($W10,"@",FH$7))=0,"",VLOOKUP(CONCATENATE($W10,"@",FH$7),choice!$D:$E,2,0)))</f>
        <v/>
      </c>
      <c r="FI10" s="74" t="str">
        <f>IF($W10="","",IF(COUNTIF(choice!$D:$D,CONCATENATE($W10,"@",FI$7))=0,"",VLOOKUP(CONCATENATE($W10,"@",FI$7),choice!$D:$E,2,0)))</f>
        <v/>
      </c>
      <c r="FJ10" s="74" t="str">
        <f>IF($W10="","",IF(COUNTIF(choice!$D:$D,CONCATENATE($W10,"@",FJ$7))=0,"",VLOOKUP(CONCATENATE($W10,"@",FJ$7),choice!$D:$E,2,0)))</f>
        <v/>
      </c>
      <c r="FK10" s="74" t="str">
        <f>IF($W10="","",IF(COUNTIF(choice!$D:$D,CONCATENATE($W10,"@",FK$7))=0,"",VLOOKUP(CONCATENATE($W10,"@",FK$7),choice!$D:$E,2,0)))</f>
        <v/>
      </c>
      <c r="FL10" s="74" t="str">
        <f>IF($W10="","",IF(COUNTIF(choice!$D:$D,CONCATENATE($W10,"@",FL$7))=0,"",VLOOKUP(CONCATENATE($W10,"@",FL$7),choice!$D:$E,2,0)))</f>
        <v/>
      </c>
      <c r="FM10" s="74" t="str">
        <f>IF($W10="","",IF(COUNTIF(choice!$D:$D,CONCATENATE($W10,"@",FM$7))=0,"",VLOOKUP(CONCATENATE($W10,"@",FM$7),choice!$D:$E,2,0)))</f>
        <v/>
      </c>
      <c r="FN10" s="74" t="str">
        <f>IF($W10="","",IF(COUNTIF(choice!$D:$D,CONCATENATE($W10,"@",FN$7))=0,"",VLOOKUP(CONCATENATE($W10,"@",FN$7),choice!$D:$E,2,0)))</f>
        <v/>
      </c>
      <c r="FO10" s="74" t="str">
        <f>IF($W10="","",IF(COUNTIF(choice!$D:$D,CONCATENATE($W10,"@",FO$7))=0,"",VLOOKUP(CONCATENATE($W10,"@",FO$7),choice!$D:$E,2,0)))</f>
        <v/>
      </c>
      <c r="FP10" s="74" t="str">
        <f>IF($W10="","",IF(COUNTIF(choice!$D:$D,CONCATENATE($W10,"@",FP$7))=0,"",VLOOKUP(CONCATENATE($W10,"@",FP$7),choice!$D:$E,2,0)))</f>
        <v/>
      </c>
      <c r="FQ10" s="74" t="str">
        <f>IF($W10="","",IF(COUNTIF(choice!$D:$D,CONCATENATE($W10,"@",FQ$7))=0,"",VLOOKUP(CONCATENATE($W10,"@",FQ$7),choice!$D:$E,2,0)))</f>
        <v/>
      </c>
      <c r="FR10" s="74" t="str">
        <f>IF($W10="","",IF(COUNTIF(choice!$D:$D,CONCATENATE($W10,"@",FR$7))=0,"",VLOOKUP(CONCATENATE($W10,"@",FR$7),choice!$D:$E,2,0)))</f>
        <v/>
      </c>
      <c r="FS10" s="74" t="str">
        <f>IF($W10="","",IF(COUNTIF(choice!$D:$D,CONCATENATE($W10,"@",FS$7))=0,"",VLOOKUP(CONCATENATE($W10,"@",FS$7),choice!$D:$E,2,0)))</f>
        <v/>
      </c>
      <c r="FT10" s="74" t="str">
        <f>IF($W10="","",IF(COUNTIF(choice!$D:$D,CONCATENATE($W10,"@",FT$7))=0,"",VLOOKUP(CONCATENATE($W10,"@",FT$7),choice!$D:$E,2,0)))</f>
        <v/>
      </c>
      <c r="FU10" s="74" t="str">
        <f>IF($W10="","",IF(COUNTIF(choice!$D:$D,CONCATENATE($W10,"@",FU$7))=0,"",VLOOKUP(CONCATENATE($W10,"@",FU$7),choice!$D:$E,2,0)))</f>
        <v/>
      </c>
      <c r="FV10" s="81" t="str">
        <f>IF($W10="","",IF(COUNTIF(choice!$D:$D,CONCATENATE($W10,"@",FV$7))=0,"",VLOOKUP(CONCATENATE($W10,"@",FV$7),choice!$D:$E,2,0)))</f>
        <v/>
      </c>
      <c r="FW10" s="80" t="str">
        <f>IF($X10="","",IF(COUNTIF(choice!$D:$D,CONCATENATE($X10,"@",FW$7))=0,"",VLOOKUP(CONCATENATE($X10,"@",FW$7),choice!$D:$E,2,0)))</f>
        <v/>
      </c>
      <c r="FX10" s="74" t="str">
        <f>IF($X10="","",IF(COUNTIF(choice!$D:$D,CONCATENATE($X10,"@",FX$7))=0,"",VLOOKUP(CONCATENATE($X10,"@",FX$7),choice!$D:$E,2,0)))</f>
        <v/>
      </c>
      <c r="FY10" s="74" t="str">
        <f>IF($X10="","",IF(COUNTIF(choice!$D:$D,CONCATENATE($X10,"@",FY$7))=0,"",VLOOKUP(CONCATENATE($X10,"@",FY$7),choice!$D:$E,2,0)))</f>
        <v/>
      </c>
      <c r="FZ10" s="74" t="str">
        <f>IF($X10="","",IF(COUNTIF(choice!$D:$D,CONCATENATE($X10,"@",FZ$7))=0,"",VLOOKUP(CONCATENATE($X10,"@",FZ$7),choice!$D:$E,2,0)))</f>
        <v/>
      </c>
      <c r="GA10" s="74" t="str">
        <f>IF($X10="","",IF(COUNTIF(choice!$D:$D,CONCATENATE($X10,"@",GA$7))=0,"",VLOOKUP(CONCATENATE($X10,"@",GA$7),choice!$D:$E,2,0)))</f>
        <v/>
      </c>
      <c r="GB10" s="74" t="str">
        <f>IF($X10="","",IF(COUNTIF(choice!$D:$D,CONCATENATE($X10,"@",GB$7))=0,"",VLOOKUP(CONCATENATE($X10,"@",GB$7),choice!$D:$E,2,0)))</f>
        <v/>
      </c>
      <c r="GC10" s="74" t="str">
        <f>IF($X10="","",IF(COUNTIF(choice!$D:$D,CONCATENATE($X10,"@",GC$7))=0,"",VLOOKUP(CONCATENATE($X10,"@",GC$7),choice!$D:$E,2,0)))</f>
        <v/>
      </c>
      <c r="GD10" s="74" t="str">
        <f>IF($X10="","",IF(COUNTIF(choice!$D:$D,CONCATENATE($X10,"@",GD$7))=0,"",VLOOKUP(CONCATENATE($X10,"@",GD$7),choice!$D:$E,2,0)))</f>
        <v/>
      </c>
      <c r="GE10" s="74" t="str">
        <f>IF($X10="","",IF(COUNTIF(choice!$D:$D,CONCATENATE($X10,"@",GE$7))=0,"",VLOOKUP(CONCATENATE($X10,"@",GE$7),choice!$D:$E,2,0)))</f>
        <v/>
      </c>
      <c r="GF10" s="74" t="str">
        <f>IF($X10="","",IF(COUNTIF(choice!$D:$D,CONCATENATE($X10,"@",GF$7))=0,"",VLOOKUP(CONCATENATE($X10,"@",GF$7),choice!$D:$E,2,0)))</f>
        <v/>
      </c>
      <c r="GG10" s="74" t="str">
        <f>IF($X10="","",IF(COUNTIF(choice!$D:$D,CONCATENATE($X10,"@",GG$7))=0,"",VLOOKUP(CONCATENATE($X10,"@",GG$7),choice!$D:$E,2,0)))</f>
        <v/>
      </c>
      <c r="GH10" s="74" t="str">
        <f>IF($X10="","",IF(COUNTIF(choice!$D:$D,CONCATENATE($X10,"@",GH$7))=0,"",VLOOKUP(CONCATENATE($X10,"@",GH$7),choice!$D:$E,2,0)))</f>
        <v/>
      </c>
      <c r="GI10" s="74" t="str">
        <f>IF($X10="","",IF(COUNTIF(choice!$D:$D,CONCATENATE($X10,"@",GI$7))=0,"",VLOOKUP(CONCATENATE($X10,"@",GI$7),choice!$D:$E,2,0)))</f>
        <v/>
      </c>
      <c r="GJ10" s="74" t="str">
        <f>IF($X10="","",IF(COUNTIF(choice!$D:$D,CONCATENATE($X10,"@",GJ$7))=0,"",VLOOKUP(CONCATENATE($X10,"@",GJ$7),choice!$D:$E,2,0)))</f>
        <v/>
      </c>
      <c r="GK10" s="74" t="str">
        <f>IF($X10="","",IF(COUNTIF(choice!$D:$D,CONCATENATE($X10,"@",GK$7))=0,"",VLOOKUP(CONCATENATE($X10,"@",GK$7),choice!$D:$E,2,0)))</f>
        <v/>
      </c>
      <c r="GL10" s="74" t="str">
        <f>IF($X10="","",IF(COUNTIF(choice!$D:$D,CONCATENATE($X10,"@",GL$7))=0,"",VLOOKUP(CONCATENATE($X10,"@",GL$7),choice!$D:$E,2,0)))</f>
        <v/>
      </c>
      <c r="GM10" s="74" t="str">
        <f>IF($X10="","",IF(COUNTIF(choice!$D:$D,CONCATENATE($X10,"@",GM$7))=0,"",VLOOKUP(CONCATENATE($X10,"@",GM$7),choice!$D:$E,2,0)))</f>
        <v/>
      </c>
      <c r="GN10" s="74" t="str">
        <f>IF($X10="","",IF(COUNTIF(choice!$D:$D,CONCATENATE($X10,"@",GN$7))=0,"",VLOOKUP(CONCATENATE($X10,"@",GN$7),choice!$D:$E,2,0)))</f>
        <v/>
      </c>
      <c r="GO10" s="74" t="str">
        <f>IF($X10="","",IF(COUNTIF(choice!$D:$D,CONCATENATE($X10,"@",GO$7))=0,"",VLOOKUP(CONCATENATE($X10,"@",GO$7),choice!$D:$E,2,0)))</f>
        <v/>
      </c>
      <c r="GP10" s="74" t="str">
        <f>IF($X10="","",IF(COUNTIF(choice!$D:$D,CONCATENATE($X10,"@",GP$7))=0,"",VLOOKUP(CONCATENATE($X10,"@",GP$7),choice!$D:$E,2,0)))</f>
        <v/>
      </c>
      <c r="GQ10" s="74" t="str">
        <f>IF($X10="","",IF(COUNTIF(choice!$D:$D,CONCATENATE($X10,"@",GQ$7))=0,"",VLOOKUP(CONCATENATE($X10,"@",GQ$7),choice!$D:$E,2,0)))</f>
        <v/>
      </c>
      <c r="GR10" s="74" t="str">
        <f>IF($X10="","",IF(COUNTIF(choice!$D:$D,CONCATENATE($X10,"@",GR$7))=0,"",VLOOKUP(CONCATENATE($X10,"@",GR$7),choice!$D:$E,2,0)))</f>
        <v/>
      </c>
      <c r="GS10" s="74" t="str">
        <f>IF($X10="","",IF(COUNTIF(choice!$D:$D,CONCATENATE($X10,"@",GS$7))=0,"",VLOOKUP(CONCATENATE($X10,"@",GS$7),choice!$D:$E,2,0)))</f>
        <v/>
      </c>
      <c r="GT10" s="74" t="str">
        <f>IF($X10="","",IF(COUNTIF(choice!$D:$D,CONCATENATE($X10,"@",GT$7))=0,"",VLOOKUP(CONCATENATE($X10,"@",GT$7),choice!$D:$E,2,0)))</f>
        <v/>
      </c>
      <c r="GU10" s="74" t="str">
        <f>IF($X10="","",IF(COUNTIF(choice!$D:$D,CONCATENATE($X10,"@",GU$7))=0,"",VLOOKUP(CONCATENATE($X10,"@",GU$7),choice!$D:$E,2,0)))</f>
        <v/>
      </c>
      <c r="GV10" s="74" t="str">
        <f>IF($X10="","",IF(COUNTIF(choice!$D:$D,CONCATENATE($X10,"@",GV$7))=0,"",VLOOKUP(CONCATENATE($X10,"@",GV$7),choice!$D:$E,2,0)))</f>
        <v/>
      </c>
      <c r="GW10" s="74" t="str">
        <f>IF($X10="","",IF(COUNTIF(choice!$D:$D,CONCATENATE($X10,"@",GW$7))=0,"",VLOOKUP(CONCATENATE($X10,"@",GW$7),choice!$D:$E,2,0)))</f>
        <v/>
      </c>
      <c r="GX10" s="74" t="str">
        <f>IF($X10="","",IF(COUNTIF(choice!$D:$D,CONCATENATE($X10,"@",GX$7))=0,"",VLOOKUP(CONCATENATE($X10,"@",GX$7),choice!$D:$E,2,0)))</f>
        <v/>
      </c>
      <c r="GY10" s="74" t="str">
        <f>IF($X10="","",IF(COUNTIF(choice!$D:$D,CONCATENATE($X10,"@",GY$7))=0,"",VLOOKUP(CONCATENATE($X10,"@",GY$7),choice!$D:$E,2,0)))</f>
        <v/>
      </c>
      <c r="GZ10" s="74" t="str">
        <f>IF($X10="","",IF(COUNTIF(choice!$D:$D,CONCATENATE($X10,"@",GZ$7))=0,"",VLOOKUP(CONCATENATE($X10,"@",GZ$7),choice!$D:$E,2,0)))</f>
        <v/>
      </c>
      <c r="HA10" s="74" t="str">
        <f>IF($X10="","",IF(COUNTIF(choice!$D:$D,CONCATENATE($X10,"@",HA$7))=0,"",VLOOKUP(CONCATENATE($X10,"@",HA$7),choice!$D:$E,2,0)))</f>
        <v/>
      </c>
      <c r="HB10" s="74" t="str">
        <f>IF($X10="","",IF(COUNTIF(choice!$D:$D,CONCATENATE($X10,"@",HB$7))=0,"",VLOOKUP(CONCATENATE($X10,"@",HB$7),choice!$D:$E,2,0)))</f>
        <v/>
      </c>
      <c r="HC10" s="74" t="str">
        <f>IF($X10="","",IF(COUNTIF(choice!$D:$D,CONCATENATE($X10,"@",HC$7))=0,"",VLOOKUP(CONCATENATE($X10,"@",HC$7),choice!$D:$E,2,0)))</f>
        <v/>
      </c>
      <c r="HD10" s="74" t="str">
        <f>IF($X10="","",IF(COUNTIF(choice!$D:$D,CONCATENATE($X10,"@",HD$7))=0,"",VLOOKUP(CONCATENATE($X10,"@",HD$7),choice!$D:$E,2,0)))</f>
        <v/>
      </c>
      <c r="HE10" s="74" t="str">
        <f>IF($X10="","",IF(COUNTIF(choice!$D:$D,CONCATENATE($X10,"@",HE$7))=0,"",VLOOKUP(CONCATENATE($X10,"@",HE$7),choice!$D:$E,2,0)))</f>
        <v/>
      </c>
      <c r="HF10" s="74" t="str">
        <f>IF($X10="","",IF(COUNTIF(choice!$D:$D,CONCATENATE($X10,"@",HF$7))=0,"",VLOOKUP(CONCATENATE($X10,"@",HF$7),choice!$D:$E,2,0)))</f>
        <v/>
      </c>
      <c r="HG10" s="74" t="str">
        <f>IF($X10="","",IF(COUNTIF(choice!$D:$D,CONCATENATE($X10,"@",HG$7))=0,"",VLOOKUP(CONCATENATE($X10,"@",HG$7),choice!$D:$E,2,0)))</f>
        <v/>
      </c>
      <c r="HH10" s="74" t="str">
        <f>IF($X10="","",IF(COUNTIF(choice!$D:$D,CONCATENATE($X10,"@",HH$7))=0,"",VLOOKUP(CONCATENATE($X10,"@",HH$7),choice!$D:$E,2,0)))</f>
        <v/>
      </c>
      <c r="HI10" s="74" t="str">
        <f>IF($X10="","",IF(COUNTIF(choice!$D:$D,CONCATENATE($X10,"@",HI$7))=0,"",VLOOKUP(CONCATENATE($X10,"@",HI$7),choice!$D:$E,2,0)))</f>
        <v/>
      </c>
      <c r="HJ10" s="74" t="str">
        <f>IF($X10="","",IF(COUNTIF(choice!$D:$D,CONCATENATE($X10,"@",HJ$7))=0,"",VLOOKUP(CONCATENATE($X10,"@",HJ$7),choice!$D:$E,2,0)))</f>
        <v/>
      </c>
      <c r="HK10" s="74" t="str">
        <f>IF($X10="","",IF(COUNTIF(choice!$D:$D,CONCATENATE($X10,"@",HK$7))=0,"",VLOOKUP(CONCATENATE($X10,"@",HK$7),choice!$D:$E,2,0)))</f>
        <v/>
      </c>
      <c r="HL10" s="74" t="str">
        <f>IF($X10="","",IF(COUNTIF(choice!$D:$D,CONCATENATE($X10,"@",HL$7))=0,"",VLOOKUP(CONCATENATE($X10,"@",HL$7),choice!$D:$E,2,0)))</f>
        <v/>
      </c>
      <c r="HM10" s="74" t="str">
        <f>IF($X10="","",IF(COUNTIF(choice!$D:$D,CONCATENATE($X10,"@",HM$7))=0,"",VLOOKUP(CONCATENATE($X10,"@",HM$7),choice!$D:$E,2,0)))</f>
        <v/>
      </c>
      <c r="HN10" s="74" t="str">
        <f>IF($X10="","",IF(COUNTIF(choice!$D:$D,CONCATENATE($X10,"@",HN$7))=0,"",VLOOKUP(CONCATENATE($X10,"@",HN$7),choice!$D:$E,2,0)))</f>
        <v/>
      </c>
      <c r="HO10" s="81" t="str">
        <f>IF($X10="","",IF(COUNTIF(choice!$D:$D,CONCATENATE($X10,"@",HO$7))=0,"",VLOOKUP(CONCATENATE($X10,"@",HO$7),choice!$D:$E,2,0)))</f>
        <v/>
      </c>
      <c r="HP10" s="20" t="s">
        <v>56</v>
      </c>
      <c r="HQ10" s="20" t="s">
        <v>57</v>
      </c>
      <c r="HU10" s="74" t="s">
        <v>6</v>
      </c>
      <c r="HV10" s="74">
        <f t="shared" si="10"/>
        <v>0</v>
      </c>
      <c r="HW10" s="74">
        <f t="shared" si="11"/>
        <v>0</v>
      </c>
      <c r="HX10" s="74">
        <f t="shared" si="12"/>
        <v>0</v>
      </c>
      <c r="HY10" s="74">
        <f t="shared" si="13"/>
        <v>0</v>
      </c>
      <c r="HZ10" s="74">
        <f t="shared" ref="HZ10:HZ20" si="19">HV10-HX10+HZ9</f>
        <v>0</v>
      </c>
      <c r="IA10" s="74">
        <f t="shared" ref="IA10:IA20" si="20">HW10-HY10+IA9</f>
        <v>0</v>
      </c>
      <c r="IB10" s="74" t="str">
        <f t="shared" ref="IB10:IB20" si="21">IF(COUNTIF(AQ10,"*02*")=0,"",IF(COUNTIF(AQ10,"*04*")=0,"",IF(RIGHT(I10,4)="E AV",IF(HZ9=0,"","BLUE"),IF(RIGHT(I10,4)="E DT",IF(IA9=0,"","BLUE"),""))))</f>
        <v/>
      </c>
      <c r="IC10" s="74" t="str">
        <f t="shared" ref="IC10:IC20" si="22">IF(D10="","",IF(COUNTIFS(D10,"*'")++COUNTIFS(D10,"*""")=0,D10,IC9))</f>
        <v/>
      </c>
      <c r="ID10" s="74" t="str">
        <f t="shared" si="14"/>
        <v/>
      </c>
      <c r="IE10" s="74">
        <f t="shared" si="15"/>
        <v>3</v>
      </c>
      <c r="IF10" s="74">
        <f>COUNTIFS(ID$8:ID10,"BLUE")</f>
        <v>0</v>
      </c>
      <c r="IG10" s="74" t="str">
        <f t="shared" si="16"/>
        <v/>
      </c>
      <c r="IH10" s="74" t="str">
        <f>IF(COUNTIFS($AQ10,"*02*")=0,"",COUNTIFS(IJ$8:IJ10,"BLUE"))</f>
        <v/>
      </c>
      <c r="II10" s="74" t="str">
        <f>IF(COUNTIFS($AQ10,"*04*")=0,"",COUNTIFS(IK$8:IK10,"BLUE"))</f>
        <v/>
      </c>
      <c r="IJ10" s="74" t="str">
        <f t="shared" ref="IJ10:IJ20" si="23">IF(COUNTIFS(AQ10,"*02*")&gt;0,IF(RIGHT(I10,4)="E AV",IF(HZ9=0,"","BLUE"),IF(RIGHT(I10,4)="E DT",IF(IA9=0,"","BLUE"),"")),"")</f>
        <v/>
      </c>
      <c r="IK10" s="74" t="str">
        <f t="shared" ref="IK10:IK20" si="24">IF(COUNTIFS(AQ10,"*04*")&gt;0,IF(RIGHT(I10,4)="E AV",IF(HZ9=0,"","BLUE"),IF(RIGHT(I10,4)="E DT",IF(IA9=0,"","BLUE"),"")),"")</f>
        <v/>
      </c>
      <c r="IL10" s="74" t="str">
        <f t="shared" si="17"/>
        <v/>
      </c>
      <c r="IM10" s="74" t="str">
        <f t="shared" si="18"/>
        <v/>
      </c>
      <c r="IN10" s="74">
        <f>COUNTIFS(IJ$8:IJ10,"BLUE")</f>
        <v>0</v>
      </c>
      <c r="IO10" s="74">
        <f>COUNTIFS(IK$8:IK10,"BLUE")</f>
        <v>0</v>
      </c>
    </row>
    <row r="11" spans="1:249" s="20" customFormat="1" ht="25.5" customHeight="1">
      <c r="A11" s="33"/>
      <c r="B11" s="30">
        <v>4</v>
      </c>
      <c r="C11" s="155"/>
      <c r="D11" s="174"/>
      <c r="E11" s="88" t="e">
        <f>VLOOKUP(F11,'Radio Call Sign'!A:B,2)</f>
        <v>#N/A</v>
      </c>
      <c r="F11" s="88"/>
      <c r="G11" s="88" t="e">
        <f>VLOOKUP(H11,'Radio Call Sign'!A:B,2)</f>
        <v>#N/A</v>
      </c>
      <c r="H11" s="88"/>
      <c r="I11" s="89"/>
      <c r="J11" s="90"/>
      <c r="K11" s="86"/>
      <c r="L11" s="155"/>
      <c r="M11" s="190" t="str">
        <f t="shared" si="9"/>
        <v/>
      </c>
      <c r="N11" s="21"/>
      <c r="O11" s="21"/>
      <c r="P11" s="52"/>
      <c r="Q11" s="161" t="str">
        <f>IF(AA11="","",IF(COUNTIFS('overhead line area'!$D$3:$D$100,AA11)+COUNTIFS('overhead line area'!$D$3:$D$100,AB11)+COUNTIFS('overhead line area'!$D$3:$D$100,AC11)+COUNTIFS('overhead line area'!$D$3:$D$100,AD11)=0,"","*               "))</f>
        <v/>
      </c>
      <c r="R11" s="53"/>
      <c r="S11" s="24"/>
      <c r="U11" s="74"/>
      <c r="V11" s="74"/>
      <c r="W11" s="74"/>
      <c r="X11" s="74"/>
      <c r="Y11" s="74"/>
      <c r="AA11" s="74" t="str">
        <f t="shared" si="4"/>
        <v/>
      </c>
      <c r="AB11" s="74" t="str">
        <f t="shared" si="5"/>
        <v/>
      </c>
      <c r="AC11" s="74" t="str">
        <f t="shared" si="6"/>
        <v/>
      </c>
      <c r="AD11" s="74" t="str">
        <f t="shared" si="6"/>
        <v/>
      </c>
      <c r="AF11" s="74" t="str">
        <f>IF(AA11="","",IF(COUNTIF(Route!$AM:$AM,'Train Movement Log (page.1)'!AA11)=0,"未有資料",VLOOKUP('Train Movement Log (page.1)'!AA11,Route!$AM:$AP,3,0)))</f>
        <v/>
      </c>
      <c r="AG11" s="74" t="str">
        <f>IF(AB11="","",IF(COUNTIF(Route!$AM:$AM,'Train Movement Log (page.1)'!AB11)=0,"未有資料",VLOOKUP('Train Movement Log (page.1)'!AB11,Route!$AM:$AP,3,0)))</f>
        <v/>
      </c>
      <c r="AH11" s="74" t="str">
        <f>IF(AC11="","",IF(COUNTIF(Route!$AM:$AM,'Train Movement Log (page.1)'!AC11)=0,"未有資料",VLOOKUP('Train Movement Log (page.1)'!AC11,Route!$AM:$AP,3,0)))</f>
        <v/>
      </c>
      <c r="AI11" s="74" t="str">
        <f>IF(AD11="","",IF(COUNTIF(Route!$AM:$AM,'Train Movement Log (page.1)'!AD11)=0,"未有資料",VLOOKUP('Train Movement Log (page.1)'!AD11,Route!$AM:$AP,3,0)))</f>
        <v/>
      </c>
      <c r="AK11" s="74" t="str">
        <f>IF(AA11="","",IF(COUNTIF(Route!$AM:$AM,'Train Movement Log (page.1)'!AA11)=0,"未有資料",VLOOKUP('Train Movement Log (page.1)'!AA11,Route!$AM:$AP,4,0)))</f>
        <v/>
      </c>
      <c r="AL11" s="74" t="str">
        <f>IF(AB11="","",IF(COUNTIF(Route!$AM:$AM,'Train Movement Log (page.1)'!AB11)=0,"未有資料",VLOOKUP('Train Movement Log (page.1)'!AB11,Route!$AM:$AP,4,0)))</f>
        <v/>
      </c>
      <c r="AM11" s="74" t="str">
        <f>IF(AC11="","",IF(COUNTIF(Route!$AM:$AM,'Train Movement Log (page.1)'!AC11)=0,"未有資料",VLOOKUP('Train Movement Log (page.1)'!AC11,Route!$AM:$AP,4,0)))</f>
        <v/>
      </c>
      <c r="AN11" s="74" t="str">
        <f>IF(AD11="","",IF(COUNTIF(Route!$AM:$AM,'Train Movement Log (page.1)'!AD11)=0,"未有資料",VLOOKUP('Train Movement Log (page.1)'!AD11,Route!$AM:$AP,4,0)))</f>
        <v/>
      </c>
      <c r="AP11" s="74" t="str">
        <f t="shared" si="7"/>
        <v/>
      </c>
      <c r="AQ11" s="76" t="str">
        <f t="shared" si="8"/>
        <v/>
      </c>
      <c r="AR11" s="80" t="str">
        <f>IF($U11="","",IF(COUNTIF(choice!$D:$D,CONCATENATE($U11,"@",AR$7))=0,"",VLOOKUP(CONCATENATE($U11,"@",AR$7),choice!$D:$E,2,0)))</f>
        <v/>
      </c>
      <c r="AS11" s="74" t="str">
        <f>IF($U11="","",IF(COUNTIF(choice!$D:$D,CONCATENATE($U11,"@",AS$7))=0,"",VLOOKUP(CONCATENATE($U11,"@",AS$7),choice!$D:$E,2,0)))</f>
        <v/>
      </c>
      <c r="AT11" s="74" t="str">
        <f>IF($U11="","",IF(COUNTIF(choice!$D:$D,CONCATENATE($U11,"@",AT$7))=0,"",VLOOKUP(CONCATENATE($U11,"@",AT$7),choice!$D:$E,2,0)))</f>
        <v/>
      </c>
      <c r="AU11" s="74" t="str">
        <f>IF($U11="","",IF(COUNTIF(choice!$D:$D,CONCATENATE($U11,"@",AU$7))=0,"",VLOOKUP(CONCATENATE($U11,"@",AU$7),choice!$D:$E,2,0)))</f>
        <v/>
      </c>
      <c r="AV11" s="74" t="str">
        <f>IF($U11="","",IF(COUNTIF(choice!$D:$D,CONCATENATE($U11,"@",AV$7))=0,"",VLOOKUP(CONCATENATE($U11,"@",AV$7),choice!$D:$E,2,0)))</f>
        <v/>
      </c>
      <c r="AW11" s="74" t="str">
        <f>IF($U11="","",IF(COUNTIF(choice!$D:$D,CONCATENATE($U11,"@",AW$7))=0,"",VLOOKUP(CONCATENATE($U11,"@",AW$7),choice!$D:$E,2,0)))</f>
        <v/>
      </c>
      <c r="AX11" s="74" t="str">
        <f>IF($U11="","",IF(COUNTIF(choice!$D:$D,CONCATENATE($U11,"@",AX$7))=0,"",VLOOKUP(CONCATENATE($U11,"@",AX$7),choice!$D:$E,2,0)))</f>
        <v/>
      </c>
      <c r="AY11" s="74" t="str">
        <f>IF($U11="","",IF(COUNTIF(choice!$D:$D,CONCATENATE($U11,"@",AY$7))=0,"",VLOOKUP(CONCATENATE($U11,"@",AY$7),choice!$D:$E,2,0)))</f>
        <v/>
      </c>
      <c r="AZ11" s="74" t="str">
        <f>IF($U11="","",IF(COUNTIF(choice!$D:$D,CONCATENATE($U11,"@",AZ$7))=0,"",VLOOKUP(CONCATENATE($U11,"@",AZ$7),choice!$D:$E,2,0)))</f>
        <v/>
      </c>
      <c r="BA11" s="74" t="str">
        <f>IF($U11="","",IF(COUNTIF(choice!$D:$D,CONCATENATE($U11,"@",BA$7))=0,"",VLOOKUP(CONCATENATE($U11,"@",BA$7),choice!$D:$E,2,0)))</f>
        <v/>
      </c>
      <c r="BB11" s="74" t="str">
        <f>IF($U11="","",IF(COUNTIF(choice!$D:$D,CONCATENATE($U11,"@",BB$7))=0,"",VLOOKUP(CONCATENATE($U11,"@",BB$7),choice!$D:$E,2,0)))</f>
        <v/>
      </c>
      <c r="BC11" s="74" t="str">
        <f>IF($U11="","",IF(COUNTIF(choice!$D:$D,CONCATENATE($U11,"@",BC$7))=0,"",VLOOKUP(CONCATENATE($U11,"@",BC$7),choice!$D:$E,2,0)))</f>
        <v/>
      </c>
      <c r="BD11" s="74" t="str">
        <f>IF($U11="","",IF(COUNTIF(choice!$D:$D,CONCATENATE($U11,"@",BD$7))=0,"",VLOOKUP(CONCATENATE($U11,"@",BD$7),choice!$D:$E,2,0)))</f>
        <v/>
      </c>
      <c r="BE11" s="74" t="str">
        <f>IF($U11="","",IF(COUNTIF(choice!$D:$D,CONCATENATE($U11,"@",BE$7))=0,"",VLOOKUP(CONCATENATE($U11,"@",BE$7),choice!$D:$E,2,0)))</f>
        <v/>
      </c>
      <c r="BF11" s="74" t="str">
        <f>IF($U11="","",IF(COUNTIF(choice!$D:$D,CONCATENATE($U11,"@",BF$7))=0,"",VLOOKUP(CONCATENATE($U11,"@",BF$7),choice!$D:$E,2,0)))</f>
        <v/>
      </c>
      <c r="BG11" s="74" t="str">
        <f>IF($U11="","",IF(COUNTIF(choice!$D:$D,CONCATENATE($U11,"@",BG$7))=0,"",VLOOKUP(CONCATENATE($U11,"@",BG$7),choice!$D:$E,2,0)))</f>
        <v/>
      </c>
      <c r="BH11" s="74" t="str">
        <f>IF($U11="","",IF(COUNTIF(choice!$D:$D,CONCATENATE($U11,"@",BH$7))=0,"",VLOOKUP(CONCATENATE($U11,"@",BH$7),choice!$D:$E,2,0)))</f>
        <v/>
      </c>
      <c r="BI11" s="74" t="str">
        <f>IF($U11="","",IF(COUNTIF(choice!$D:$D,CONCATENATE($U11,"@",BI$7))=0,"",VLOOKUP(CONCATENATE($U11,"@",BI$7),choice!$D:$E,2,0)))</f>
        <v/>
      </c>
      <c r="BJ11" s="74" t="str">
        <f>IF($U11="","",IF(COUNTIF(choice!$D:$D,CONCATENATE($U11,"@",BJ$7))=0,"",VLOOKUP(CONCATENATE($U11,"@",BJ$7),choice!$D:$E,2,0)))</f>
        <v/>
      </c>
      <c r="BK11" s="74" t="str">
        <f>IF($U11="","",IF(COUNTIF(choice!$D:$D,CONCATENATE($U11,"@",BK$7))=0,"",VLOOKUP(CONCATENATE($U11,"@",BK$7),choice!$D:$E,2,0)))</f>
        <v/>
      </c>
      <c r="BL11" s="74" t="str">
        <f>IF($U11="","",IF(COUNTIF(choice!$D:$D,CONCATENATE($U11,"@",BL$7))=0,"",VLOOKUP(CONCATENATE($U11,"@",BL$7),choice!$D:$E,2,0)))</f>
        <v/>
      </c>
      <c r="BM11" s="74" t="str">
        <f>IF($U11="","",IF(COUNTIF(choice!$D:$D,CONCATENATE($U11,"@",BM$7))=0,"",VLOOKUP(CONCATENATE($U11,"@",BM$7),choice!$D:$E,2,0)))</f>
        <v/>
      </c>
      <c r="BN11" s="74" t="str">
        <f>IF($U11="","",IF(COUNTIF(choice!$D:$D,CONCATENATE($U11,"@",BN$7))=0,"",VLOOKUP(CONCATENATE($U11,"@",BN$7),choice!$D:$E,2,0)))</f>
        <v/>
      </c>
      <c r="BO11" s="74" t="str">
        <f>IF($U11="","",IF(COUNTIF(choice!$D:$D,CONCATENATE($U11,"@",BO$7))=0,"",VLOOKUP(CONCATENATE($U11,"@",BO$7),choice!$D:$E,2,0)))</f>
        <v/>
      </c>
      <c r="BP11" s="74" t="str">
        <f>IF($U11="","",IF(COUNTIF(choice!$D:$D,CONCATENATE($U11,"@",BP$7))=0,"",VLOOKUP(CONCATENATE($U11,"@",BP$7),choice!$D:$E,2,0)))</f>
        <v/>
      </c>
      <c r="BQ11" s="74" t="str">
        <f>IF($U11="","",IF(COUNTIF(choice!$D:$D,CONCATENATE($U11,"@",BQ$7))=0,"",VLOOKUP(CONCATENATE($U11,"@",BQ$7),choice!$D:$E,2,0)))</f>
        <v/>
      </c>
      <c r="BR11" s="74" t="str">
        <f>IF($U11="","",IF(COUNTIF(choice!$D:$D,CONCATENATE($U11,"@",BR$7))=0,"",VLOOKUP(CONCATENATE($U11,"@",BR$7),choice!$D:$E,2,0)))</f>
        <v/>
      </c>
      <c r="BS11" s="74" t="str">
        <f>IF($U11="","",IF(COUNTIF(choice!$D:$D,CONCATENATE($U11,"@",BS$7))=0,"",VLOOKUP(CONCATENATE($U11,"@",BS$7),choice!$D:$E,2,0)))</f>
        <v/>
      </c>
      <c r="BT11" s="74" t="str">
        <f>IF($U11="","",IF(COUNTIF(choice!$D:$D,CONCATENATE($U11,"@",BT$7))=0,"",VLOOKUP(CONCATENATE($U11,"@",BT$7),choice!$D:$E,2,0)))</f>
        <v/>
      </c>
      <c r="BU11" s="74" t="str">
        <f>IF($U11="","",IF(COUNTIF(choice!$D:$D,CONCATENATE($U11,"@",BU$7))=0,"",VLOOKUP(CONCATENATE($U11,"@",BU$7),choice!$D:$E,2,0)))</f>
        <v/>
      </c>
      <c r="BV11" s="74" t="str">
        <f>IF($U11="","",IF(COUNTIF(choice!$D:$D,CONCATENATE($U11,"@",BV$7))=0,"",VLOOKUP(CONCATENATE($U11,"@",BV$7),choice!$D:$E,2,0)))</f>
        <v/>
      </c>
      <c r="BW11" s="74" t="str">
        <f>IF($U11="","",IF(COUNTIF(choice!$D:$D,CONCATENATE($U11,"@",BW$7))=0,"",VLOOKUP(CONCATENATE($U11,"@",BW$7),choice!$D:$E,2,0)))</f>
        <v/>
      </c>
      <c r="BX11" s="74" t="str">
        <f>IF($U11="","",IF(COUNTIF(choice!$D:$D,CONCATENATE($U11,"@",BX$7))=0,"",VLOOKUP(CONCATENATE($U11,"@",BX$7),choice!$D:$E,2,0)))</f>
        <v/>
      </c>
      <c r="BY11" s="74" t="str">
        <f>IF($U11="","",IF(COUNTIF(choice!$D:$D,CONCATENATE($U11,"@",BY$7))=0,"",VLOOKUP(CONCATENATE($U11,"@",BY$7),choice!$D:$E,2,0)))</f>
        <v/>
      </c>
      <c r="BZ11" s="74" t="str">
        <f>IF($U11="","",IF(COUNTIF(choice!$D:$D,CONCATENATE($U11,"@",BZ$7))=0,"",VLOOKUP(CONCATENATE($U11,"@",BZ$7),choice!$D:$E,2,0)))</f>
        <v/>
      </c>
      <c r="CA11" s="74" t="str">
        <f>IF($U11="","",IF(COUNTIF(choice!$D:$D,CONCATENATE($U11,"@",CA$7))=0,"",VLOOKUP(CONCATENATE($U11,"@",CA$7),choice!$D:$E,2,0)))</f>
        <v/>
      </c>
      <c r="CB11" s="74" t="str">
        <f>IF($U11="","",IF(COUNTIF(choice!$D:$D,CONCATENATE($U11,"@",CB$7))=0,"",VLOOKUP(CONCATENATE($U11,"@",CB$7),choice!$D:$E,2,0)))</f>
        <v/>
      </c>
      <c r="CC11" s="74" t="str">
        <f>IF($U11="","",IF(COUNTIF(choice!$D:$D,CONCATENATE($U11,"@",CC$7))=0,"",VLOOKUP(CONCATENATE($U11,"@",CC$7),choice!$D:$E,2,0)))</f>
        <v/>
      </c>
      <c r="CD11" s="74" t="str">
        <f>IF($U11="","",IF(COUNTIF(choice!$D:$D,CONCATENATE($U11,"@",CD$7))=0,"",VLOOKUP(CONCATENATE($U11,"@",CD$7),choice!$D:$E,2,0)))</f>
        <v/>
      </c>
      <c r="CE11" s="74" t="str">
        <f>IF($U11="","",IF(COUNTIF(choice!$D:$D,CONCATENATE($U11,"@",CE$7))=0,"",VLOOKUP(CONCATENATE($U11,"@",CE$7),choice!$D:$E,2,0)))</f>
        <v/>
      </c>
      <c r="CF11" s="74" t="str">
        <f>IF($U11="","",IF(COUNTIF(choice!$D:$D,CONCATENATE($U11,"@",CF$7))=0,"",VLOOKUP(CONCATENATE($U11,"@",CF$7),choice!$D:$E,2,0)))</f>
        <v/>
      </c>
      <c r="CG11" s="74" t="str">
        <f>IF($U11="","",IF(COUNTIF(choice!$D:$D,CONCATENATE($U11,"@",CG$7))=0,"",VLOOKUP(CONCATENATE($U11,"@",CG$7),choice!$D:$E,2,0)))</f>
        <v/>
      </c>
      <c r="CH11" s="74" t="str">
        <f>IF($U11="","",IF(COUNTIF(choice!$D:$D,CONCATENATE($U11,"@",CH$7))=0,"",VLOOKUP(CONCATENATE($U11,"@",CH$7),choice!$D:$E,2,0)))</f>
        <v/>
      </c>
      <c r="CI11" s="74" t="str">
        <f>IF($U11="","",IF(COUNTIF(choice!$D:$D,CONCATENATE($U11,"@",CI$7))=0,"",VLOOKUP(CONCATENATE($U11,"@",CI$7),choice!$D:$E,2,0)))</f>
        <v/>
      </c>
      <c r="CJ11" s="81" t="str">
        <f>IF($U11="","",IF(COUNTIF(choice!$D:$D,CONCATENATE($U11,"@",CJ$7))=0,"",VLOOKUP(CONCATENATE($U11,"@",CJ$7),choice!$D:$E,2,0)))</f>
        <v/>
      </c>
      <c r="CK11" s="80" t="str">
        <f>IF($V11="","",IF(COUNTIF(choice!$D:$D,CONCATENATE($V11,"@",CK$7))=0,"",VLOOKUP(CONCATENATE($V11,"@",CK$7),choice!$D:$E,2,0)))</f>
        <v/>
      </c>
      <c r="CL11" s="74" t="str">
        <f>IF($V11="","",IF(COUNTIF(choice!$D:$D,CONCATENATE($V11,"@",CL$7))=0,"",VLOOKUP(CONCATENATE($V11,"@",CL$7),choice!$D:$E,2,0)))</f>
        <v/>
      </c>
      <c r="CM11" s="74" t="str">
        <f>IF($V11="","",IF(COUNTIF(choice!$D:$D,CONCATENATE($V11,"@",CM$7))=0,"",VLOOKUP(CONCATENATE($V11,"@",CM$7),choice!$D:$E,2,0)))</f>
        <v/>
      </c>
      <c r="CN11" s="74" t="str">
        <f>IF($V11="","",IF(COUNTIF(choice!$D:$D,CONCATENATE($V11,"@",CN$7))=0,"",VLOOKUP(CONCATENATE($V11,"@",CN$7),choice!$D:$E,2,0)))</f>
        <v/>
      </c>
      <c r="CO11" s="74" t="str">
        <f>IF($V11="","",IF(COUNTIF(choice!$D:$D,CONCATENATE($V11,"@",CO$7))=0,"",VLOOKUP(CONCATENATE($V11,"@",CO$7),choice!$D:$E,2,0)))</f>
        <v/>
      </c>
      <c r="CP11" s="74" t="str">
        <f>IF($V11="","",IF(COUNTIF(choice!$D:$D,CONCATENATE($V11,"@",CP$7))=0,"",VLOOKUP(CONCATENATE($V11,"@",CP$7),choice!$D:$E,2,0)))</f>
        <v/>
      </c>
      <c r="CQ11" s="74" t="str">
        <f>IF($V11="","",IF(COUNTIF(choice!$D:$D,CONCATENATE($V11,"@",CQ$7))=0,"",VLOOKUP(CONCATENATE($V11,"@",CQ$7),choice!$D:$E,2,0)))</f>
        <v/>
      </c>
      <c r="CR11" s="74" t="str">
        <f>IF($V11="","",IF(COUNTIF(choice!$D:$D,CONCATENATE($V11,"@",CR$7))=0,"",VLOOKUP(CONCATENATE($V11,"@",CR$7),choice!$D:$E,2,0)))</f>
        <v/>
      </c>
      <c r="CS11" s="74" t="str">
        <f>IF($V11="","",IF(COUNTIF(choice!$D:$D,CONCATENATE($V11,"@",CS$7))=0,"",VLOOKUP(CONCATENATE($V11,"@",CS$7),choice!$D:$E,2,0)))</f>
        <v/>
      </c>
      <c r="CT11" s="74" t="str">
        <f>IF($V11="","",IF(COUNTIF(choice!$D:$D,CONCATENATE($V11,"@",CT$7))=0,"",VLOOKUP(CONCATENATE($V11,"@",CT$7),choice!$D:$E,2,0)))</f>
        <v/>
      </c>
      <c r="CU11" s="74" t="str">
        <f>IF($V11="","",IF(COUNTIF(choice!$D:$D,CONCATENATE($V11,"@",CU$7))=0,"",VLOOKUP(CONCATENATE($V11,"@",CU$7),choice!$D:$E,2,0)))</f>
        <v/>
      </c>
      <c r="CV11" s="74" t="str">
        <f>IF($V11="","",IF(COUNTIF(choice!$D:$D,CONCATENATE($V11,"@",CV$7))=0,"",VLOOKUP(CONCATENATE($V11,"@",CV$7),choice!$D:$E,2,0)))</f>
        <v/>
      </c>
      <c r="CW11" s="74" t="str">
        <f>IF($V11="","",IF(COUNTIF(choice!$D:$D,CONCATENATE($V11,"@",CW$7))=0,"",VLOOKUP(CONCATENATE($V11,"@",CW$7),choice!$D:$E,2,0)))</f>
        <v/>
      </c>
      <c r="CX11" s="74" t="str">
        <f>IF($V11="","",IF(COUNTIF(choice!$D:$D,CONCATENATE($V11,"@",CX$7))=0,"",VLOOKUP(CONCATENATE($V11,"@",CX$7),choice!$D:$E,2,0)))</f>
        <v/>
      </c>
      <c r="CY11" s="74" t="str">
        <f>IF($V11="","",IF(COUNTIF(choice!$D:$D,CONCATENATE($V11,"@",CY$7))=0,"",VLOOKUP(CONCATENATE($V11,"@",CY$7),choice!$D:$E,2,0)))</f>
        <v/>
      </c>
      <c r="CZ11" s="74" t="str">
        <f>IF($V11="","",IF(COUNTIF(choice!$D:$D,CONCATENATE($V11,"@",CZ$7))=0,"",VLOOKUP(CONCATENATE($V11,"@",CZ$7),choice!$D:$E,2,0)))</f>
        <v/>
      </c>
      <c r="DA11" s="74" t="str">
        <f>IF($V11="","",IF(COUNTIF(choice!$D:$D,CONCATENATE($V11,"@",DA$7))=0,"",VLOOKUP(CONCATENATE($V11,"@",DA$7),choice!$D:$E,2,0)))</f>
        <v/>
      </c>
      <c r="DB11" s="74" t="str">
        <f>IF($V11="","",IF(COUNTIF(choice!$D:$D,CONCATENATE($V11,"@",DB$7))=0,"",VLOOKUP(CONCATENATE($V11,"@",DB$7),choice!$D:$E,2,0)))</f>
        <v/>
      </c>
      <c r="DC11" s="74" t="str">
        <f>IF($V11="","",IF(COUNTIF(choice!$D:$D,CONCATENATE($V11,"@",DC$7))=0,"",VLOOKUP(CONCATENATE($V11,"@",DC$7),choice!$D:$E,2,0)))</f>
        <v/>
      </c>
      <c r="DD11" s="74" t="str">
        <f>IF($V11="","",IF(COUNTIF(choice!$D:$D,CONCATENATE($V11,"@",DD$7))=0,"",VLOOKUP(CONCATENATE($V11,"@",DD$7),choice!$D:$E,2,0)))</f>
        <v/>
      </c>
      <c r="DE11" s="74" t="str">
        <f>IF($V11="","",IF(COUNTIF(choice!$D:$D,CONCATENATE($V11,"@",DE$7))=0,"",VLOOKUP(CONCATENATE($V11,"@",DE$7),choice!$D:$E,2,0)))</f>
        <v/>
      </c>
      <c r="DF11" s="74" t="str">
        <f>IF($V11="","",IF(COUNTIF(choice!$D:$D,CONCATENATE($V11,"@",DF$7))=0,"",VLOOKUP(CONCATENATE($V11,"@",DF$7),choice!$D:$E,2,0)))</f>
        <v/>
      </c>
      <c r="DG11" s="74" t="str">
        <f>IF($V11="","",IF(COUNTIF(choice!$D:$D,CONCATENATE($V11,"@",DG$7))=0,"",VLOOKUP(CONCATENATE($V11,"@",DG$7),choice!$D:$E,2,0)))</f>
        <v/>
      </c>
      <c r="DH11" s="74" t="str">
        <f>IF($V11="","",IF(COUNTIF(choice!$D:$D,CONCATENATE($V11,"@",DH$7))=0,"",VLOOKUP(CONCATENATE($V11,"@",DH$7),choice!$D:$E,2,0)))</f>
        <v/>
      </c>
      <c r="DI11" s="74" t="str">
        <f>IF($V11="","",IF(COUNTIF(choice!$D:$D,CONCATENATE($V11,"@",DI$7))=0,"",VLOOKUP(CONCATENATE($V11,"@",DI$7),choice!$D:$E,2,0)))</f>
        <v/>
      </c>
      <c r="DJ11" s="74" t="str">
        <f>IF($V11="","",IF(COUNTIF(choice!$D:$D,CONCATENATE($V11,"@",DJ$7))=0,"",VLOOKUP(CONCATENATE($V11,"@",DJ$7),choice!$D:$E,2,0)))</f>
        <v/>
      </c>
      <c r="DK11" s="74" t="str">
        <f>IF($V11="","",IF(COUNTIF(choice!$D:$D,CONCATENATE($V11,"@",DK$7))=0,"",VLOOKUP(CONCATENATE($V11,"@",DK$7),choice!$D:$E,2,0)))</f>
        <v/>
      </c>
      <c r="DL11" s="74" t="str">
        <f>IF($V11="","",IF(COUNTIF(choice!$D:$D,CONCATENATE($V11,"@",DL$7))=0,"",VLOOKUP(CONCATENATE($V11,"@",DL$7),choice!$D:$E,2,0)))</f>
        <v/>
      </c>
      <c r="DM11" s="74" t="str">
        <f>IF($V11="","",IF(COUNTIF(choice!$D:$D,CONCATENATE($V11,"@",DM$7))=0,"",VLOOKUP(CONCATENATE($V11,"@",DM$7),choice!$D:$E,2,0)))</f>
        <v/>
      </c>
      <c r="DN11" s="74" t="str">
        <f>IF($V11="","",IF(COUNTIF(choice!$D:$D,CONCATENATE($V11,"@",DN$7))=0,"",VLOOKUP(CONCATENATE($V11,"@",DN$7),choice!$D:$E,2,0)))</f>
        <v/>
      </c>
      <c r="DO11" s="74" t="str">
        <f>IF($V11="","",IF(COUNTIF(choice!$D:$D,CONCATENATE($V11,"@",DO$7))=0,"",VLOOKUP(CONCATENATE($V11,"@",DO$7),choice!$D:$E,2,0)))</f>
        <v/>
      </c>
      <c r="DP11" s="74" t="str">
        <f>IF($V11="","",IF(COUNTIF(choice!$D:$D,CONCATENATE($V11,"@",DP$7))=0,"",VLOOKUP(CONCATENATE($V11,"@",DP$7),choice!$D:$E,2,0)))</f>
        <v/>
      </c>
      <c r="DQ11" s="74" t="str">
        <f>IF($V11="","",IF(COUNTIF(choice!$D:$D,CONCATENATE($V11,"@",DQ$7))=0,"",VLOOKUP(CONCATENATE($V11,"@",DQ$7),choice!$D:$E,2,0)))</f>
        <v/>
      </c>
      <c r="DR11" s="74" t="str">
        <f>IF($V11="","",IF(COUNTIF(choice!$D:$D,CONCATENATE($V11,"@",DR$7))=0,"",VLOOKUP(CONCATENATE($V11,"@",DR$7),choice!$D:$E,2,0)))</f>
        <v/>
      </c>
      <c r="DS11" s="74" t="str">
        <f>IF($V11="","",IF(COUNTIF(choice!$D:$D,CONCATENATE($V11,"@",DS$7))=0,"",VLOOKUP(CONCATENATE($V11,"@",DS$7),choice!$D:$E,2,0)))</f>
        <v/>
      </c>
      <c r="DT11" s="74" t="str">
        <f>IF($V11="","",IF(COUNTIF(choice!$D:$D,CONCATENATE($V11,"@",DT$7))=0,"",VLOOKUP(CONCATENATE($V11,"@",DT$7),choice!$D:$E,2,0)))</f>
        <v/>
      </c>
      <c r="DU11" s="74" t="str">
        <f>IF($V11="","",IF(COUNTIF(choice!$D:$D,CONCATENATE($V11,"@",DU$7))=0,"",VLOOKUP(CONCATENATE($V11,"@",DU$7),choice!$D:$E,2,0)))</f>
        <v/>
      </c>
      <c r="DV11" s="74" t="str">
        <f>IF($V11="","",IF(COUNTIF(choice!$D:$D,CONCATENATE($V11,"@",DV$7))=0,"",VLOOKUP(CONCATENATE($V11,"@",DV$7),choice!$D:$E,2,0)))</f>
        <v/>
      </c>
      <c r="DW11" s="74" t="str">
        <f>IF($V11="","",IF(COUNTIF(choice!$D:$D,CONCATENATE($V11,"@",DW$7))=0,"",VLOOKUP(CONCATENATE($V11,"@",DW$7),choice!$D:$E,2,0)))</f>
        <v/>
      </c>
      <c r="DX11" s="74" t="str">
        <f>IF($V11="","",IF(COUNTIF(choice!$D:$D,CONCATENATE($V11,"@",DX$7))=0,"",VLOOKUP(CONCATENATE($V11,"@",DX$7),choice!$D:$E,2,0)))</f>
        <v/>
      </c>
      <c r="DY11" s="74" t="str">
        <f>IF($V11="","",IF(COUNTIF(choice!$D:$D,CONCATENATE($V11,"@",DY$7))=0,"",VLOOKUP(CONCATENATE($V11,"@",DY$7),choice!$D:$E,2,0)))</f>
        <v/>
      </c>
      <c r="DZ11" s="74" t="str">
        <f>IF($V11="","",IF(COUNTIF(choice!$D:$D,CONCATENATE($V11,"@",DZ$7))=0,"",VLOOKUP(CONCATENATE($V11,"@",DZ$7),choice!$D:$E,2,0)))</f>
        <v/>
      </c>
      <c r="EA11" s="74" t="str">
        <f>IF($V11="","",IF(COUNTIF(choice!$D:$D,CONCATENATE($V11,"@",EA$7))=0,"",VLOOKUP(CONCATENATE($V11,"@",EA$7),choice!$D:$E,2,0)))</f>
        <v/>
      </c>
      <c r="EB11" s="74" t="str">
        <f>IF($V11="","",IF(COUNTIF(choice!$D:$D,CONCATENATE($V11,"@",EB$7))=0,"",VLOOKUP(CONCATENATE($V11,"@",EB$7),choice!$D:$E,2,0)))</f>
        <v/>
      </c>
      <c r="EC11" s="81" t="str">
        <f>IF($V11="","",IF(COUNTIF(choice!$D:$D,CONCATENATE($V11,"@",EC$7))=0,"",VLOOKUP(CONCATENATE($V11,"@",EC$7),choice!$D:$E,2,0)))</f>
        <v/>
      </c>
      <c r="ED11" s="80" t="str">
        <f>IF($W11="","",IF(COUNTIF(choice!$D:$D,CONCATENATE($W11,"@",ED$7))=0,"",VLOOKUP(CONCATENATE($W11,"@",ED$7),choice!$D:$E,2,0)))</f>
        <v/>
      </c>
      <c r="EE11" s="74" t="str">
        <f>IF($W11="","",IF(COUNTIF(choice!$D:$D,CONCATENATE($W11,"@",EE$7))=0,"",VLOOKUP(CONCATENATE($W11,"@",EE$7),choice!$D:$E,2,0)))</f>
        <v/>
      </c>
      <c r="EF11" s="74" t="str">
        <f>IF($W11="","",IF(COUNTIF(choice!$D:$D,CONCATENATE($W11,"@",EF$7))=0,"",VLOOKUP(CONCATENATE($W11,"@",EF$7),choice!$D:$E,2,0)))</f>
        <v/>
      </c>
      <c r="EG11" s="74" t="str">
        <f>IF($W11="","",IF(COUNTIF(choice!$D:$D,CONCATENATE($W11,"@",EG$7))=0,"",VLOOKUP(CONCATENATE($W11,"@",EG$7),choice!$D:$E,2,0)))</f>
        <v/>
      </c>
      <c r="EH11" s="74" t="str">
        <f>IF($W11="","",IF(COUNTIF(choice!$D:$D,CONCATENATE($W11,"@",EH$7))=0,"",VLOOKUP(CONCATENATE($W11,"@",EH$7),choice!$D:$E,2,0)))</f>
        <v/>
      </c>
      <c r="EI11" s="74" t="str">
        <f>IF($W11="","",IF(COUNTIF(choice!$D:$D,CONCATENATE($W11,"@",EI$7))=0,"",VLOOKUP(CONCATENATE($W11,"@",EI$7),choice!$D:$E,2,0)))</f>
        <v/>
      </c>
      <c r="EJ11" s="74" t="str">
        <f>IF($W11="","",IF(COUNTIF(choice!$D:$D,CONCATENATE($W11,"@",EJ$7))=0,"",VLOOKUP(CONCATENATE($W11,"@",EJ$7),choice!$D:$E,2,0)))</f>
        <v/>
      </c>
      <c r="EK11" s="74" t="str">
        <f>IF($W11="","",IF(COUNTIF(choice!$D:$D,CONCATENATE($W11,"@",EK$7))=0,"",VLOOKUP(CONCATENATE($W11,"@",EK$7),choice!$D:$E,2,0)))</f>
        <v/>
      </c>
      <c r="EL11" s="74" t="str">
        <f>IF($W11="","",IF(COUNTIF(choice!$D:$D,CONCATENATE($W11,"@",EL$7))=0,"",VLOOKUP(CONCATENATE($W11,"@",EL$7),choice!$D:$E,2,0)))</f>
        <v/>
      </c>
      <c r="EM11" s="74" t="str">
        <f>IF($W11="","",IF(COUNTIF(choice!$D:$D,CONCATENATE($W11,"@",EM$7))=0,"",VLOOKUP(CONCATENATE($W11,"@",EM$7),choice!$D:$E,2,0)))</f>
        <v/>
      </c>
      <c r="EN11" s="74" t="str">
        <f>IF($W11="","",IF(COUNTIF(choice!$D:$D,CONCATENATE($W11,"@",EN$7))=0,"",VLOOKUP(CONCATENATE($W11,"@",EN$7),choice!$D:$E,2,0)))</f>
        <v/>
      </c>
      <c r="EO11" s="74" t="str">
        <f>IF($W11="","",IF(COUNTIF(choice!$D:$D,CONCATENATE($W11,"@",EO$7))=0,"",VLOOKUP(CONCATENATE($W11,"@",EO$7),choice!$D:$E,2,0)))</f>
        <v/>
      </c>
      <c r="EP11" s="74" t="str">
        <f>IF($W11="","",IF(COUNTIF(choice!$D:$D,CONCATENATE($W11,"@",EP$7))=0,"",VLOOKUP(CONCATENATE($W11,"@",EP$7),choice!$D:$E,2,0)))</f>
        <v/>
      </c>
      <c r="EQ11" s="74" t="str">
        <f>IF($W11="","",IF(COUNTIF(choice!$D:$D,CONCATENATE($W11,"@",EQ$7))=0,"",VLOOKUP(CONCATENATE($W11,"@",EQ$7),choice!$D:$E,2,0)))</f>
        <v/>
      </c>
      <c r="ER11" s="74" t="str">
        <f>IF($W11="","",IF(COUNTIF(choice!$D:$D,CONCATENATE($W11,"@",ER$7))=0,"",VLOOKUP(CONCATENATE($W11,"@",ER$7),choice!$D:$E,2,0)))</f>
        <v/>
      </c>
      <c r="ES11" s="74" t="str">
        <f>IF($W11="","",IF(COUNTIF(choice!$D:$D,CONCATENATE($W11,"@",ES$7))=0,"",VLOOKUP(CONCATENATE($W11,"@",ES$7),choice!$D:$E,2,0)))</f>
        <v/>
      </c>
      <c r="ET11" s="74" t="str">
        <f>IF($W11="","",IF(COUNTIF(choice!$D:$D,CONCATENATE($W11,"@",ET$7))=0,"",VLOOKUP(CONCATENATE($W11,"@",ET$7),choice!$D:$E,2,0)))</f>
        <v/>
      </c>
      <c r="EU11" s="74" t="str">
        <f>IF($W11="","",IF(COUNTIF(choice!$D:$D,CONCATENATE($W11,"@",EU$7))=0,"",VLOOKUP(CONCATENATE($W11,"@",EU$7),choice!$D:$E,2,0)))</f>
        <v/>
      </c>
      <c r="EV11" s="74" t="str">
        <f>IF($W11="","",IF(COUNTIF(choice!$D:$D,CONCATENATE($W11,"@",EV$7))=0,"",VLOOKUP(CONCATENATE($W11,"@",EV$7),choice!$D:$E,2,0)))</f>
        <v/>
      </c>
      <c r="EW11" s="74" t="str">
        <f>IF($W11="","",IF(COUNTIF(choice!$D:$D,CONCATENATE($W11,"@",EW$7))=0,"",VLOOKUP(CONCATENATE($W11,"@",EW$7),choice!$D:$E,2,0)))</f>
        <v/>
      </c>
      <c r="EX11" s="74" t="str">
        <f>IF($W11="","",IF(COUNTIF(choice!$D:$D,CONCATENATE($W11,"@",EX$7))=0,"",VLOOKUP(CONCATENATE($W11,"@",EX$7),choice!$D:$E,2,0)))</f>
        <v/>
      </c>
      <c r="EY11" s="74" t="str">
        <f>IF($W11="","",IF(COUNTIF(choice!$D:$D,CONCATENATE($W11,"@",EY$7))=0,"",VLOOKUP(CONCATENATE($W11,"@",EY$7),choice!$D:$E,2,0)))</f>
        <v/>
      </c>
      <c r="EZ11" s="74" t="str">
        <f>IF($W11="","",IF(COUNTIF(choice!$D:$D,CONCATENATE($W11,"@",EZ$7))=0,"",VLOOKUP(CONCATENATE($W11,"@",EZ$7),choice!$D:$E,2,0)))</f>
        <v/>
      </c>
      <c r="FA11" s="74" t="str">
        <f>IF($W11="","",IF(COUNTIF(choice!$D:$D,CONCATENATE($W11,"@",FA$7))=0,"",VLOOKUP(CONCATENATE($W11,"@",FA$7),choice!$D:$E,2,0)))</f>
        <v/>
      </c>
      <c r="FB11" s="74" t="str">
        <f>IF($W11="","",IF(COUNTIF(choice!$D:$D,CONCATENATE($W11,"@",FB$7))=0,"",VLOOKUP(CONCATENATE($W11,"@",FB$7),choice!$D:$E,2,0)))</f>
        <v/>
      </c>
      <c r="FC11" s="74" t="str">
        <f>IF($W11="","",IF(COUNTIF(choice!$D:$D,CONCATENATE($W11,"@",FC$7))=0,"",VLOOKUP(CONCATENATE($W11,"@",FC$7),choice!$D:$E,2,0)))</f>
        <v/>
      </c>
      <c r="FD11" s="74" t="str">
        <f>IF($W11="","",IF(COUNTIF(choice!$D:$D,CONCATENATE($W11,"@",FD$7))=0,"",VLOOKUP(CONCATENATE($W11,"@",FD$7),choice!$D:$E,2,0)))</f>
        <v/>
      </c>
      <c r="FE11" s="74" t="str">
        <f>IF($W11="","",IF(COUNTIF(choice!$D:$D,CONCATENATE($W11,"@",FE$7))=0,"",VLOOKUP(CONCATENATE($W11,"@",FE$7),choice!$D:$E,2,0)))</f>
        <v/>
      </c>
      <c r="FF11" s="74" t="str">
        <f>IF($W11="","",IF(COUNTIF(choice!$D:$D,CONCATENATE($W11,"@",FF$7))=0,"",VLOOKUP(CONCATENATE($W11,"@",FF$7),choice!$D:$E,2,0)))</f>
        <v/>
      </c>
      <c r="FG11" s="74" t="str">
        <f>IF($W11="","",IF(COUNTIF(choice!$D:$D,CONCATENATE($W11,"@",FG$7))=0,"",VLOOKUP(CONCATENATE($W11,"@",FG$7),choice!$D:$E,2,0)))</f>
        <v/>
      </c>
      <c r="FH11" s="74" t="str">
        <f>IF($W11="","",IF(COUNTIF(choice!$D:$D,CONCATENATE($W11,"@",FH$7))=0,"",VLOOKUP(CONCATENATE($W11,"@",FH$7),choice!$D:$E,2,0)))</f>
        <v/>
      </c>
      <c r="FI11" s="74" t="str">
        <f>IF($W11="","",IF(COUNTIF(choice!$D:$D,CONCATENATE($W11,"@",FI$7))=0,"",VLOOKUP(CONCATENATE($W11,"@",FI$7),choice!$D:$E,2,0)))</f>
        <v/>
      </c>
      <c r="FJ11" s="74" t="str">
        <f>IF($W11="","",IF(COUNTIF(choice!$D:$D,CONCATENATE($W11,"@",FJ$7))=0,"",VLOOKUP(CONCATENATE($W11,"@",FJ$7),choice!$D:$E,2,0)))</f>
        <v/>
      </c>
      <c r="FK11" s="74" t="str">
        <f>IF($W11="","",IF(COUNTIF(choice!$D:$D,CONCATENATE($W11,"@",FK$7))=0,"",VLOOKUP(CONCATENATE($W11,"@",FK$7),choice!$D:$E,2,0)))</f>
        <v/>
      </c>
      <c r="FL11" s="74" t="str">
        <f>IF($W11="","",IF(COUNTIF(choice!$D:$D,CONCATENATE($W11,"@",FL$7))=0,"",VLOOKUP(CONCATENATE($W11,"@",FL$7),choice!$D:$E,2,0)))</f>
        <v/>
      </c>
      <c r="FM11" s="74" t="str">
        <f>IF($W11="","",IF(COUNTIF(choice!$D:$D,CONCATENATE($W11,"@",FM$7))=0,"",VLOOKUP(CONCATENATE($W11,"@",FM$7),choice!$D:$E,2,0)))</f>
        <v/>
      </c>
      <c r="FN11" s="74" t="str">
        <f>IF($W11="","",IF(COUNTIF(choice!$D:$D,CONCATENATE($W11,"@",FN$7))=0,"",VLOOKUP(CONCATENATE($W11,"@",FN$7),choice!$D:$E,2,0)))</f>
        <v/>
      </c>
      <c r="FO11" s="74" t="str">
        <f>IF($W11="","",IF(COUNTIF(choice!$D:$D,CONCATENATE($W11,"@",FO$7))=0,"",VLOOKUP(CONCATENATE($W11,"@",FO$7),choice!$D:$E,2,0)))</f>
        <v/>
      </c>
      <c r="FP11" s="74" t="str">
        <f>IF($W11="","",IF(COUNTIF(choice!$D:$D,CONCATENATE($W11,"@",FP$7))=0,"",VLOOKUP(CONCATENATE($W11,"@",FP$7),choice!$D:$E,2,0)))</f>
        <v/>
      </c>
      <c r="FQ11" s="74" t="str">
        <f>IF($W11="","",IF(COUNTIF(choice!$D:$D,CONCATENATE($W11,"@",FQ$7))=0,"",VLOOKUP(CONCATENATE($W11,"@",FQ$7),choice!$D:$E,2,0)))</f>
        <v/>
      </c>
      <c r="FR11" s="74" t="str">
        <f>IF($W11="","",IF(COUNTIF(choice!$D:$D,CONCATENATE($W11,"@",FR$7))=0,"",VLOOKUP(CONCATENATE($W11,"@",FR$7),choice!$D:$E,2,0)))</f>
        <v/>
      </c>
      <c r="FS11" s="74" t="str">
        <f>IF($W11="","",IF(COUNTIF(choice!$D:$D,CONCATENATE($W11,"@",FS$7))=0,"",VLOOKUP(CONCATENATE($W11,"@",FS$7),choice!$D:$E,2,0)))</f>
        <v/>
      </c>
      <c r="FT11" s="74" t="str">
        <f>IF($W11="","",IF(COUNTIF(choice!$D:$D,CONCATENATE($W11,"@",FT$7))=0,"",VLOOKUP(CONCATENATE($W11,"@",FT$7),choice!$D:$E,2,0)))</f>
        <v/>
      </c>
      <c r="FU11" s="74" t="str">
        <f>IF($W11="","",IF(COUNTIF(choice!$D:$D,CONCATENATE($W11,"@",FU$7))=0,"",VLOOKUP(CONCATENATE($W11,"@",FU$7),choice!$D:$E,2,0)))</f>
        <v/>
      </c>
      <c r="FV11" s="81" t="str">
        <f>IF($W11="","",IF(COUNTIF(choice!$D:$D,CONCATENATE($W11,"@",FV$7))=0,"",VLOOKUP(CONCATENATE($W11,"@",FV$7),choice!$D:$E,2,0)))</f>
        <v/>
      </c>
      <c r="FW11" s="80" t="str">
        <f>IF($X11="","",IF(COUNTIF(choice!$D:$D,CONCATENATE($X11,"@",FW$7))=0,"",VLOOKUP(CONCATENATE($X11,"@",FW$7),choice!$D:$E,2,0)))</f>
        <v/>
      </c>
      <c r="FX11" s="74" t="str">
        <f>IF($X11="","",IF(COUNTIF(choice!$D:$D,CONCATENATE($X11,"@",FX$7))=0,"",VLOOKUP(CONCATENATE($X11,"@",FX$7),choice!$D:$E,2,0)))</f>
        <v/>
      </c>
      <c r="FY11" s="74" t="str">
        <f>IF($X11="","",IF(COUNTIF(choice!$D:$D,CONCATENATE($X11,"@",FY$7))=0,"",VLOOKUP(CONCATENATE($X11,"@",FY$7),choice!$D:$E,2,0)))</f>
        <v/>
      </c>
      <c r="FZ11" s="74" t="str">
        <f>IF($X11="","",IF(COUNTIF(choice!$D:$D,CONCATENATE($X11,"@",FZ$7))=0,"",VLOOKUP(CONCATENATE($X11,"@",FZ$7),choice!$D:$E,2,0)))</f>
        <v/>
      </c>
      <c r="GA11" s="74" t="str">
        <f>IF($X11="","",IF(COUNTIF(choice!$D:$D,CONCATENATE($X11,"@",GA$7))=0,"",VLOOKUP(CONCATENATE($X11,"@",GA$7),choice!$D:$E,2,0)))</f>
        <v/>
      </c>
      <c r="GB11" s="74" t="str">
        <f>IF($X11="","",IF(COUNTIF(choice!$D:$D,CONCATENATE($X11,"@",GB$7))=0,"",VLOOKUP(CONCATENATE($X11,"@",GB$7),choice!$D:$E,2,0)))</f>
        <v/>
      </c>
      <c r="GC11" s="74" t="str">
        <f>IF($X11="","",IF(COUNTIF(choice!$D:$D,CONCATENATE($X11,"@",GC$7))=0,"",VLOOKUP(CONCATENATE($X11,"@",GC$7),choice!$D:$E,2,0)))</f>
        <v/>
      </c>
      <c r="GD11" s="74" t="str">
        <f>IF($X11="","",IF(COUNTIF(choice!$D:$D,CONCATENATE($X11,"@",GD$7))=0,"",VLOOKUP(CONCATENATE($X11,"@",GD$7),choice!$D:$E,2,0)))</f>
        <v/>
      </c>
      <c r="GE11" s="74" t="str">
        <f>IF($X11="","",IF(COUNTIF(choice!$D:$D,CONCATENATE($X11,"@",GE$7))=0,"",VLOOKUP(CONCATENATE($X11,"@",GE$7),choice!$D:$E,2,0)))</f>
        <v/>
      </c>
      <c r="GF11" s="74" t="str">
        <f>IF($X11="","",IF(COUNTIF(choice!$D:$D,CONCATENATE($X11,"@",GF$7))=0,"",VLOOKUP(CONCATENATE($X11,"@",GF$7),choice!$D:$E,2,0)))</f>
        <v/>
      </c>
      <c r="GG11" s="74" t="str">
        <f>IF($X11="","",IF(COUNTIF(choice!$D:$D,CONCATENATE($X11,"@",GG$7))=0,"",VLOOKUP(CONCATENATE($X11,"@",GG$7),choice!$D:$E,2,0)))</f>
        <v/>
      </c>
      <c r="GH11" s="74" t="str">
        <f>IF($X11="","",IF(COUNTIF(choice!$D:$D,CONCATENATE($X11,"@",GH$7))=0,"",VLOOKUP(CONCATENATE($X11,"@",GH$7),choice!$D:$E,2,0)))</f>
        <v/>
      </c>
      <c r="GI11" s="74" t="str">
        <f>IF($X11="","",IF(COUNTIF(choice!$D:$D,CONCATENATE($X11,"@",GI$7))=0,"",VLOOKUP(CONCATENATE($X11,"@",GI$7),choice!$D:$E,2,0)))</f>
        <v/>
      </c>
      <c r="GJ11" s="74" t="str">
        <f>IF($X11="","",IF(COUNTIF(choice!$D:$D,CONCATENATE($X11,"@",GJ$7))=0,"",VLOOKUP(CONCATENATE($X11,"@",GJ$7),choice!$D:$E,2,0)))</f>
        <v/>
      </c>
      <c r="GK11" s="74" t="str">
        <f>IF($X11="","",IF(COUNTIF(choice!$D:$D,CONCATENATE($X11,"@",GK$7))=0,"",VLOOKUP(CONCATENATE($X11,"@",GK$7),choice!$D:$E,2,0)))</f>
        <v/>
      </c>
      <c r="GL11" s="74" t="str">
        <f>IF($X11="","",IF(COUNTIF(choice!$D:$D,CONCATENATE($X11,"@",GL$7))=0,"",VLOOKUP(CONCATENATE($X11,"@",GL$7),choice!$D:$E,2,0)))</f>
        <v/>
      </c>
      <c r="GM11" s="74" t="str">
        <f>IF($X11="","",IF(COUNTIF(choice!$D:$D,CONCATENATE($X11,"@",GM$7))=0,"",VLOOKUP(CONCATENATE($X11,"@",GM$7),choice!$D:$E,2,0)))</f>
        <v/>
      </c>
      <c r="GN11" s="74" t="str">
        <f>IF($X11="","",IF(COUNTIF(choice!$D:$D,CONCATENATE($X11,"@",GN$7))=0,"",VLOOKUP(CONCATENATE($X11,"@",GN$7),choice!$D:$E,2,0)))</f>
        <v/>
      </c>
      <c r="GO11" s="74" t="str">
        <f>IF($X11="","",IF(COUNTIF(choice!$D:$D,CONCATENATE($X11,"@",GO$7))=0,"",VLOOKUP(CONCATENATE($X11,"@",GO$7),choice!$D:$E,2,0)))</f>
        <v/>
      </c>
      <c r="GP11" s="74" t="str">
        <f>IF($X11="","",IF(COUNTIF(choice!$D:$D,CONCATENATE($X11,"@",GP$7))=0,"",VLOOKUP(CONCATENATE($X11,"@",GP$7),choice!$D:$E,2,0)))</f>
        <v/>
      </c>
      <c r="GQ11" s="74" t="str">
        <f>IF($X11="","",IF(COUNTIF(choice!$D:$D,CONCATENATE($X11,"@",GQ$7))=0,"",VLOOKUP(CONCATENATE($X11,"@",GQ$7),choice!$D:$E,2,0)))</f>
        <v/>
      </c>
      <c r="GR11" s="74" t="str">
        <f>IF($X11="","",IF(COUNTIF(choice!$D:$D,CONCATENATE($X11,"@",GR$7))=0,"",VLOOKUP(CONCATENATE($X11,"@",GR$7),choice!$D:$E,2,0)))</f>
        <v/>
      </c>
      <c r="GS11" s="74" t="str">
        <f>IF($X11="","",IF(COUNTIF(choice!$D:$D,CONCATENATE($X11,"@",GS$7))=0,"",VLOOKUP(CONCATENATE($X11,"@",GS$7),choice!$D:$E,2,0)))</f>
        <v/>
      </c>
      <c r="GT11" s="74" t="str">
        <f>IF($X11="","",IF(COUNTIF(choice!$D:$D,CONCATENATE($X11,"@",GT$7))=0,"",VLOOKUP(CONCATENATE($X11,"@",GT$7),choice!$D:$E,2,0)))</f>
        <v/>
      </c>
      <c r="GU11" s="74" t="str">
        <f>IF($X11="","",IF(COUNTIF(choice!$D:$D,CONCATENATE($X11,"@",GU$7))=0,"",VLOOKUP(CONCATENATE($X11,"@",GU$7),choice!$D:$E,2,0)))</f>
        <v/>
      </c>
      <c r="GV11" s="74" t="str">
        <f>IF($X11="","",IF(COUNTIF(choice!$D:$D,CONCATENATE($X11,"@",GV$7))=0,"",VLOOKUP(CONCATENATE($X11,"@",GV$7),choice!$D:$E,2,0)))</f>
        <v/>
      </c>
      <c r="GW11" s="74" t="str">
        <f>IF($X11="","",IF(COUNTIF(choice!$D:$D,CONCATENATE($X11,"@",GW$7))=0,"",VLOOKUP(CONCATENATE($X11,"@",GW$7),choice!$D:$E,2,0)))</f>
        <v/>
      </c>
      <c r="GX11" s="74" t="str">
        <f>IF($X11="","",IF(COUNTIF(choice!$D:$D,CONCATENATE($X11,"@",GX$7))=0,"",VLOOKUP(CONCATENATE($X11,"@",GX$7),choice!$D:$E,2,0)))</f>
        <v/>
      </c>
      <c r="GY11" s="74" t="str">
        <f>IF($X11="","",IF(COUNTIF(choice!$D:$D,CONCATENATE($X11,"@",GY$7))=0,"",VLOOKUP(CONCATENATE($X11,"@",GY$7),choice!$D:$E,2,0)))</f>
        <v/>
      </c>
      <c r="GZ11" s="74" t="str">
        <f>IF($X11="","",IF(COUNTIF(choice!$D:$D,CONCATENATE($X11,"@",GZ$7))=0,"",VLOOKUP(CONCATENATE($X11,"@",GZ$7),choice!$D:$E,2,0)))</f>
        <v/>
      </c>
      <c r="HA11" s="74" t="str">
        <f>IF($X11="","",IF(COUNTIF(choice!$D:$D,CONCATENATE($X11,"@",HA$7))=0,"",VLOOKUP(CONCATENATE($X11,"@",HA$7),choice!$D:$E,2,0)))</f>
        <v/>
      </c>
      <c r="HB11" s="74" t="str">
        <f>IF($X11="","",IF(COUNTIF(choice!$D:$D,CONCATENATE($X11,"@",HB$7))=0,"",VLOOKUP(CONCATENATE($X11,"@",HB$7),choice!$D:$E,2,0)))</f>
        <v/>
      </c>
      <c r="HC11" s="74" t="str">
        <f>IF($X11="","",IF(COUNTIF(choice!$D:$D,CONCATENATE($X11,"@",HC$7))=0,"",VLOOKUP(CONCATENATE($X11,"@",HC$7),choice!$D:$E,2,0)))</f>
        <v/>
      </c>
      <c r="HD11" s="74" t="str">
        <f>IF($X11="","",IF(COUNTIF(choice!$D:$D,CONCATENATE($X11,"@",HD$7))=0,"",VLOOKUP(CONCATENATE($X11,"@",HD$7),choice!$D:$E,2,0)))</f>
        <v/>
      </c>
      <c r="HE11" s="74" t="str">
        <f>IF($X11="","",IF(COUNTIF(choice!$D:$D,CONCATENATE($X11,"@",HE$7))=0,"",VLOOKUP(CONCATENATE($X11,"@",HE$7),choice!$D:$E,2,0)))</f>
        <v/>
      </c>
      <c r="HF11" s="74" t="str">
        <f>IF($X11="","",IF(COUNTIF(choice!$D:$D,CONCATENATE($X11,"@",HF$7))=0,"",VLOOKUP(CONCATENATE($X11,"@",HF$7),choice!$D:$E,2,0)))</f>
        <v/>
      </c>
      <c r="HG11" s="74" t="str">
        <f>IF($X11="","",IF(COUNTIF(choice!$D:$D,CONCATENATE($X11,"@",HG$7))=0,"",VLOOKUP(CONCATENATE($X11,"@",HG$7),choice!$D:$E,2,0)))</f>
        <v/>
      </c>
      <c r="HH11" s="74" t="str">
        <f>IF($X11="","",IF(COUNTIF(choice!$D:$D,CONCATENATE($X11,"@",HH$7))=0,"",VLOOKUP(CONCATENATE($X11,"@",HH$7),choice!$D:$E,2,0)))</f>
        <v/>
      </c>
      <c r="HI11" s="74" t="str">
        <f>IF($X11="","",IF(COUNTIF(choice!$D:$D,CONCATENATE($X11,"@",HI$7))=0,"",VLOOKUP(CONCATENATE($X11,"@",HI$7),choice!$D:$E,2,0)))</f>
        <v/>
      </c>
      <c r="HJ11" s="74" t="str">
        <f>IF($X11="","",IF(COUNTIF(choice!$D:$D,CONCATENATE($X11,"@",HJ$7))=0,"",VLOOKUP(CONCATENATE($X11,"@",HJ$7),choice!$D:$E,2,0)))</f>
        <v/>
      </c>
      <c r="HK11" s="74" t="str">
        <f>IF($X11="","",IF(COUNTIF(choice!$D:$D,CONCATENATE($X11,"@",HK$7))=0,"",VLOOKUP(CONCATENATE($X11,"@",HK$7),choice!$D:$E,2,0)))</f>
        <v/>
      </c>
      <c r="HL11" s="74" t="str">
        <f>IF($X11="","",IF(COUNTIF(choice!$D:$D,CONCATENATE($X11,"@",HL$7))=0,"",VLOOKUP(CONCATENATE($X11,"@",HL$7),choice!$D:$E,2,0)))</f>
        <v/>
      </c>
      <c r="HM11" s="74" t="str">
        <f>IF($X11="","",IF(COUNTIF(choice!$D:$D,CONCATENATE($X11,"@",HM$7))=0,"",VLOOKUP(CONCATENATE($X11,"@",HM$7),choice!$D:$E,2,0)))</f>
        <v/>
      </c>
      <c r="HN11" s="74" t="str">
        <f>IF($X11="","",IF(COUNTIF(choice!$D:$D,CONCATENATE($X11,"@",HN$7))=0,"",VLOOKUP(CONCATENATE($X11,"@",HN$7),choice!$D:$E,2,0)))</f>
        <v/>
      </c>
      <c r="HO11" s="81" t="str">
        <f>IF($X11="","",IF(COUNTIF(choice!$D:$D,CONCATENATE($X11,"@",HO$7))=0,"",VLOOKUP(CONCATENATE($X11,"@",HO$7),choice!$D:$E,2,0)))</f>
        <v/>
      </c>
      <c r="HP11" s="20" t="s">
        <v>58</v>
      </c>
      <c r="HQ11" s="20" t="s">
        <v>59</v>
      </c>
      <c r="HU11" s="74" t="s">
        <v>6</v>
      </c>
      <c r="HV11" s="74">
        <f t="shared" si="10"/>
        <v>0</v>
      </c>
      <c r="HW11" s="74">
        <f t="shared" si="11"/>
        <v>0</v>
      </c>
      <c r="HX11" s="74">
        <f t="shared" si="12"/>
        <v>0</v>
      </c>
      <c r="HY11" s="74">
        <f t="shared" si="13"/>
        <v>0</v>
      </c>
      <c r="HZ11" s="74">
        <f t="shared" si="19"/>
        <v>0</v>
      </c>
      <c r="IA11" s="74">
        <f t="shared" si="20"/>
        <v>0</v>
      </c>
      <c r="IB11" s="74" t="str">
        <f t="shared" si="21"/>
        <v/>
      </c>
      <c r="IC11" s="74" t="str">
        <f t="shared" si="22"/>
        <v/>
      </c>
      <c r="ID11" s="74" t="str">
        <f t="shared" si="14"/>
        <v/>
      </c>
      <c r="IE11" s="74">
        <f t="shared" si="15"/>
        <v>4</v>
      </c>
      <c r="IF11" s="74">
        <f>COUNTIFS(ID$8:ID11,"BLUE")</f>
        <v>0</v>
      </c>
      <c r="IG11" s="74" t="str">
        <f t="shared" si="16"/>
        <v/>
      </c>
      <c r="IH11" s="74" t="str">
        <f>IF(COUNTIFS($AQ11,"*02*")=0,"",COUNTIFS(IJ$8:IJ11,"BLUE"))</f>
        <v/>
      </c>
      <c r="II11" s="74" t="str">
        <f>IF(COUNTIFS($AQ11,"*04*")=0,"",COUNTIFS(IK$8:IK11,"BLUE"))</f>
        <v/>
      </c>
      <c r="IJ11" s="74" t="str">
        <f t="shared" si="23"/>
        <v/>
      </c>
      <c r="IK11" s="74" t="str">
        <f t="shared" si="24"/>
        <v/>
      </c>
      <c r="IL11" s="74" t="str">
        <f t="shared" si="17"/>
        <v/>
      </c>
      <c r="IM11" s="74" t="str">
        <f t="shared" si="18"/>
        <v/>
      </c>
      <c r="IN11" s="74">
        <f>COUNTIFS(IJ$8:IJ11,"BLUE")</f>
        <v>0</v>
      </c>
      <c r="IO11" s="74">
        <f>COUNTIFS(IK$8:IK11,"BLUE")</f>
        <v>0</v>
      </c>
    </row>
    <row r="12" spans="1:249" s="20" customFormat="1" ht="25.5" customHeight="1">
      <c r="A12" s="33"/>
      <c r="B12" s="30">
        <v>5</v>
      </c>
      <c r="C12" s="155"/>
      <c r="D12" s="174"/>
      <c r="E12" s="88" t="e">
        <f>VLOOKUP(F12,'Radio Call Sign'!A:B,2)</f>
        <v>#N/A</v>
      </c>
      <c r="F12" s="88"/>
      <c r="G12" s="88" t="e">
        <f>VLOOKUP(H12,'Radio Call Sign'!A:B,2)</f>
        <v>#N/A</v>
      </c>
      <c r="H12" s="89"/>
      <c r="I12" s="89"/>
      <c r="J12" s="90"/>
      <c r="K12" s="86"/>
      <c r="L12" s="155"/>
      <c r="M12" s="190" t="str">
        <f t="shared" si="9"/>
        <v/>
      </c>
      <c r="N12" s="21"/>
      <c r="O12" s="21"/>
      <c r="P12" s="52"/>
      <c r="Q12" s="161"/>
      <c r="R12" s="53"/>
      <c r="S12" s="24"/>
      <c r="U12" s="74"/>
      <c r="V12" s="74"/>
      <c r="W12" s="74"/>
      <c r="X12" s="74"/>
      <c r="Y12" s="74"/>
      <c r="AA12" s="74" t="str">
        <f t="shared" si="4"/>
        <v/>
      </c>
      <c r="AB12" s="74" t="str">
        <f t="shared" si="5"/>
        <v/>
      </c>
      <c r="AC12" s="74" t="str">
        <f t="shared" si="6"/>
        <v/>
      </c>
      <c r="AD12" s="74" t="str">
        <f t="shared" si="6"/>
        <v/>
      </c>
      <c r="AF12" s="74" t="str">
        <f>IF(AA12="","",IF(COUNTIF(Route!$AM:$AM,'Train Movement Log (page.1)'!AA12)=0,"未有資料",VLOOKUP('Train Movement Log (page.1)'!AA12,Route!$AM:$AP,3,0)))</f>
        <v/>
      </c>
      <c r="AG12" s="74" t="str">
        <f>IF(AB12="","",IF(COUNTIF(Route!$AM:$AM,'Train Movement Log (page.1)'!AB12)=0,"未有資料",VLOOKUP('Train Movement Log (page.1)'!AB12,Route!$AM:$AP,3,0)))</f>
        <v/>
      </c>
      <c r="AH12" s="74" t="str">
        <f>IF(AC12="","",IF(COUNTIF(Route!$AM:$AM,'Train Movement Log (page.1)'!AC12)=0,"未有資料",VLOOKUP('Train Movement Log (page.1)'!AC12,Route!$AM:$AP,3,0)))</f>
        <v/>
      </c>
      <c r="AI12" s="74" t="str">
        <f>IF(AD12="","",IF(COUNTIF(Route!$AM:$AM,'Train Movement Log (page.1)'!AD12)=0,"未有資料",VLOOKUP('Train Movement Log (page.1)'!AD12,Route!$AM:$AP,3,0)))</f>
        <v/>
      </c>
      <c r="AK12" s="74" t="str">
        <f>IF(AA12="","",IF(COUNTIF(Route!$AM:$AM,'Train Movement Log (page.1)'!AA12)=0,"未有資料",VLOOKUP('Train Movement Log (page.1)'!AA12,Route!$AM:$AP,4,0)))</f>
        <v/>
      </c>
      <c r="AL12" s="74" t="str">
        <f>IF(AB12="","",IF(COUNTIF(Route!$AM:$AM,'Train Movement Log (page.1)'!AB12)=0,"未有資料",VLOOKUP('Train Movement Log (page.1)'!AB12,Route!$AM:$AP,4,0)))</f>
        <v/>
      </c>
      <c r="AM12" s="74" t="str">
        <f>IF(AC12="","",IF(COUNTIF(Route!$AM:$AM,'Train Movement Log (page.1)'!AC12)=0,"未有資料",VLOOKUP('Train Movement Log (page.1)'!AC12,Route!$AM:$AP,4,0)))</f>
        <v/>
      </c>
      <c r="AN12" s="74" t="str">
        <f>IF(AD12="","",IF(COUNTIF(Route!$AM:$AM,'Train Movement Log (page.1)'!AD12)=0,"未有資料",VLOOKUP('Train Movement Log (page.1)'!AD12,Route!$AM:$AP,4,0)))</f>
        <v/>
      </c>
      <c r="AP12" s="74" t="str">
        <f t="shared" si="7"/>
        <v/>
      </c>
      <c r="AQ12" s="76" t="str">
        <f t="shared" si="8"/>
        <v/>
      </c>
      <c r="AR12" s="80" t="str">
        <f>IF($U12="","",IF(COUNTIF(choice!$D:$D,CONCATENATE($U12,"@",AR$7))=0,"",VLOOKUP(CONCATENATE($U12,"@",AR$7),choice!$D:$E,2,0)))</f>
        <v/>
      </c>
      <c r="AS12" s="74" t="str">
        <f>IF($U12="","",IF(COUNTIF(choice!$D:$D,CONCATENATE($U12,"@",AS$7))=0,"",VLOOKUP(CONCATENATE($U12,"@",AS$7),choice!$D:$E,2,0)))</f>
        <v/>
      </c>
      <c r="AT12" s="74" t="str">
        <f>IF($U12="","",IF(COUNTIF(choice!$D:$D,CONCATENATE($U12,"@",AT$7))=0,"",VLOOKUP(CONCATENATE($U12,"@",AT$7),choice!$D:$E,2,0)))</f>
        <v/>
      </c>
      <c r="AU12" s="74" t="str">
        <f>IF($U12="","",IF(COUNTIF(choice!$D:$D,CONCATENATE($U12,"@",AU$7))=0,"",VLOOKUP(CONCATENATE($U12,"@",AU$7),choice!$D:$E,2,0)))</f>
        <v/>
      </c>
      <c r="AV12" s="74" t="str">
        <f>IF($U12="","",IF(COUNTIF(choice!$D:$D,CONCATENATE($U12,"@",AV$7))=0,"",VLOOKUP(CONCATENATE($U12,"@",AV$7),choice!$D:$E,2,0)))</f>
        <v/>
      </c>
      <c r="AW12" s="74" t="str">
        <f>IF($U12="","",IF(COUNTIF(choice!$D:$D,CONCATENATE($U12,"@",AW$7))=0,"",VLOOKUP(CONCATENATE($U12,"@",AW$7),choice!$D:$E,2,0)))</f>
        <v/>
      </c>
      <c r="AX12" s="74" t="str">
        <f>IF($U12="","",IF(COUNTIF(choice!$D:$D,CONCATENATE($U12,"@",AX$7))=0,"",VLOOKUP(CONCATENATE($U12,"@",AX$7),choice!$D:$E,2,0)))</f>
        <v/>
      </c>
      <c r="AY12" s="74" t="str">
        <f>IF($U12="","",IF(COUNTIF(choice!$D:$D,CONCATENATE($U12,"@",AY$7))=0,"",VLOOKUP(CONCATENATE($U12,"@",AY$7),choice!$D:$E,2,0)))</f>
        <v/>
      </c>
      <c r="AZ12" s="74" t="str">
        <f>IF($U12="","",IF(COUNTIF(choice!$D:$D,CONCATENATE($U12,"@",AZ$7))=0,"",VLOOKUP(CONCATENATE($U12,"@",AZ$7),choice!$D:$E,2,0)))</f>
        <v/>
      </c>
      <c r="BA12" s="74" t="str">
        <f>IF($U12="","",IF(COUNTIF(choice!$D:$D,CONCATENATE($U12,"@",BA$7))=0,"",VLOOKUP(CONCATENATE($U12,"@",BA$7),choice!$D:$E,2,0)))</f>
        <v/>
      </c>
      <c r="BB12" s="74" t="str">
        <f>IF($U12="","",IF(COUNTIF(choice!$D:$D,CONCATENATE($U12,"@",BB$7))=0,"",VLOOKUP(CONCATENATE($U12,"@",BB$7),choice!$D:$E,2,0)))</f>
        <v/>
      </c>
      <c r="BC12" s="74" t="str">
        <f>IF($U12="","",IF(COUNTIF(choice!$D:$D,CONCATENATE($U12,"@",BC$7))=0,"",VLOOKUP(CONCATENATE($U12,"@",BC$7),choice!$D:$E,2,0)))</f>
        <v/>
      </c>
      <c r="BD12" s="74" t="str">
        <f>IF($U12="","",IF(COUNTIF(choice!$D:$D,CONCATENATE($U12,"@",BD$7))=0,"",VLOOKUP(CONCATENATE($U12,"@",BD$7),choice!$D:$E,2,0)))</f>
        <v/>
      </c>
      <c r="BE12" s="74" t="str">
        <f>IF($U12="","",IF(COUNTIF(choice!$D:$D,CONCATENATE($U12,"@",BE$7))=0,"",VLOOKUP(CONCATENATE($U12,"@",BE$7),choice!$D:$E,2,0)))</f>
        <v/>
      </c>
      <c r="BF12" s="74" t="str">
        <f>IF($U12="","",IF(COUNTIF(choice!$D:$D,CONCATENATE($U12,"@",BF$7))=0,"",VLOOKUP(CONCATENATE($U12,"@",BF$7),choice!$D:$E,2,0)))</f>
        <v/>
      </c>
      <c r="BG12" s="74" t="str">
        <f>IF($U12="","",IF(COUNTIF(choice!$D:$D,CONCATENATE($U12,"@",BG$7))=0,"",VLOOKUP(CONCATENATE($U12,"@",BG$7),choice!$D:$E,2,0)))</f>
        <v/>
      </c>
      <c r="BH12" s="74" t="str">
        <f>IF($U12="","",IF(COUNTIF(choice!$D:$D,CONCATENATE($U12,"@",BH$7))=0,"",VLOOKUP(CONCATENATE($U12,"@",BH$7),choice!$D:$E,2,0)))</f>
        <v/>
      </c>
      <c r="BI12" s="74" t="str">
        <f>IF($U12="","",IF(COUNTIF(choice!$D:$D,CONCATENATE($U12,"@",BI$7))=0,"",VLOOKUP(CONCATENATE($U12,"@",BI$7),choice!$D:$E,2,0)))</f>
        <v/>
      </c>
      <c r="BJ12" s="74" t="str">
        <f>IF($U12="","",IF(COUNTIF(choice!$D:$D,CONCATENATE($U12,"@",BJ$7))=0,"",VLOOKUP(CONCATENATE($U12,"@",BJ$7),choice!$D:$E,2,0)))</f>
        <v/>
      </c>
      <c r="BK12" s="74" t="str">
        <f>IF($U12="","",IF(COUNTIF(choice!$D:$D,CONCATENATE($U12,"@",BK$7))=0,"",VLOOKUP(CONCATENATE($U12,"@",BK$7),choice!$D:$E,2,0)))</f>
        <v/>
      </c>
      <c r="BL12" s="74" t="str">
        <f>IF($U12="","",IF(COUNTIF(choice!$D:$D,CONCATENATE($U12,"@",BL$7))=0,"",VLOOKUP(CONCATENATE($U12,"@",BL$7),choice!$D:$E,2,0)))</f>
        <v/>
      </c>
      <c r="BM12" s="74" t="str">
        <f>IF($U12="","",IF(COUNTIF(choice!$D:$D,CONCATENATE($U12,"@",BM$7))=0,"",VLOOKUP(CONCATENATE($U12,"@",BM$7),choice!$D:$E,2,0)))</f>
        <v/>
      </c>
      <c r="BN12" s="74" t="str">
        <f>IF($U12="","",IF(COUNTIF(choice!$D:$D,CONCATENATE($U12,"@",BN$7))=0,"",VLOOKUP(CONCATENATE($U12,"@",BN$7),choice!$D:$E,2,0)))</f>
        <v/>
      </c>
      <c r="BO12" s="74" t="str">
        <f>IF($U12="","",IF(COUNTIF(choice!$D:$D,CONCATENATE($U12,"@",BO$7))=0,"",VLOOKUP(CONCATENATE($U12,"@",BO$7),choice!$D:$E,2,0)))</f>
        <v/>
      </c>
      <c r="BP12" s="74" t="str">
        <f>IF($U12="","",IF(COUNTIF(choice!$D:$D,CONCATENATE($U12,"@",BP$7))=0,"",VLOOKUP(CONCATENATE($U12,"@",BP$7),choice!$D:$E,2,0)))</f>
        <v/>
      </c>
      <c r="BQ12" s="74" t="str">
        <f>IF($U12="","",IF(COUNTIF(choice!$D:$D,CONCATENATE($U12,"@",BQ$7))=0,"",VLOOKUP(CONCATENATE($U12,"@",BQ$7),choice!$D:$E,2,0)))</f>
        <v/>
      </c>
      <c r="BR12" s="74" t="str">
        <f>IF($U12="","",IF(COUNTIF(choice!$D:$D,CONCATENATE($U12,"@",BR$7))=0,"",VLOOKUP(CONCATENATE($U12,"@",BR$7),choice!$D:$E,2,0)))</f>
        <v/>
      </c>
      <c r="BS12" s="74" t="str">
        <f>IF($U12="","",IF(COUNTIF(choice!$D:$D,CONCATENATE($U12,"@",BS$7))=0,"",VLOOKUP(CONCATENATE($U12,"@",BS$7),choice!$D:$E,2,0)))</f>
        <v/>
      </c>
      <c r="BT12" s="74" t="str">
        <f>IF($U12="","",IF(COUNTIF(choice!$D:$D,CONCATENATE($U12,"@",BT$7))=0,"",VLOOKUP(CONCATENATE($U12,"@",BT$7),choice!$D:$E,2,0)))</f>
        <v/>
      </c>
      <c r="BU12" s="74" t="str">
        <f>IF($U12="","",IF(COUNTIF(choice!$D:$D,CONCATENATE($U12,"@",BU$7))=0,"",VLOOKUP(CONCATENATE($U12,"@",BU$7),choice!$D:$E,2,0)))</f>
        <v/>
      </c>
      <c r="BV12" s="74" t="str">
        <f>IF($U12="","",IF(COUNTIF(choice!$D:$D,CONCATENATE($U12,"@",BV$7))=0,"",VLOOKUP(CONCATENATE($U12,"@",BV$7),choice!$D:$E,2,0)))</f>
        <v/>
      </c>
      <c r="BW12" s="74" t="str">
        <f>IF($U12="","",IF(COUNTIF(choice!$D:$D,CONCATENATE($U12,"@",BW$7))=0,"",VLOOKUP(CONCATENATE($U12,"@",BW$7),choice!$D:$E,2,0)))</f>
        <v/>
      </c>
      <c r="BX12" s="74" t="str">
        <f>IF($U12="","",IF(COUNTIF(choice!$D:$D,CONCATENATE($U12,"@",BX$7))=0,"",VLOOKUP(CONCATENATE($U12,"@",BX$7),choice!$D:$E,2,0)))</f>
        <v/>
      </c>
      <c r="BY12" s="74" t="str">
        <f>IF($U12="","",IF(COUNTIF(choice!$D:$D,CONCATENATE($U12,"@",BY$7))=0,"",VLOOKUP(CONCATENATE($U12,"@",BY$7),choice!$D:$E,2,0)))</f>
        <v/>
      </c>
      <c r="BZ12" s="74" t="str">
        <f>IF($U12="","",IF(COUNTIF(choice!$D:$D,CONCATENATE($U12,"@",BZ$7))=0,"",VLOOKUP(CONCATENATE($U12,"@",BZ$7),choice!$D:$E,2,0)))</f>
        <v/>
      </c>
      <c r="CA12" s="74" t="str">
        <f>IF($U12="","",IF(COUNTIF(choice!$D:$D,CONCATENATE($U12,"@",CA$7))=0,"",VLOOKUP(CONCATENATE($U12,"@",CA$7),choice!$D:$E,2,0)))</f>
        <v/>
      </c>
      <c r="CB12" s="74" t="str">
        <f>IF($U12="","",IF(COUNTIF(choice!$D:$D,CONCATENATE($U12,"@",CB$7))=0,"",VLOOKUP(CONCATENATE($U12,"@",CB$7),choice!$D:$E,2,0)))</f>
        <v/>
      </c>
      <c r="CC12" s="74" t="str">
        <f>IF($U12="","",IF(COUNTIF(choice!$D:$D,CONCATENATE($U12,"@",CC$7))=0,"",VLOOKUP(CONCATENATE($U12,"@",CC$7),choice!$D:$E,2,0)))</f>
        <v/>
      </c>
      <c r="CD12" s="74" t="str">
        <f>IF($U12="","",IF(COUNTIF(choice!$D:$D,CONCATENATE($U12,"@",CD$7))=0,"",VLOOKUP(CONCATENATE($U12,"@",CD$7),choice!$D:$E,2,0)))</f>
        <v/>
      </c>
      <c r="CE12" s="74" t="str">
        <f>IF($U12="","",IF(COUNTIF(choice!$D:$D,CONCATENATE($U12,"@",CE$7))=0,"",VLOOKUP(CONCATENATE($U12,"@",CE$7),choice!$D:$E,2,0)))</f>
        <v/>
      </c>
      <c r="CF12" s="74" t="str">
        <f>IF($U12="","",IF(COUNTIF(choice!$D:$D,CONCATENATE($U12,"@",CF$7))=0,"",VLOOKUP(CONCATENATE($U12,"@",CF$7),choice!$D:$E,2,0)))</f>
        <v/>
      </c>
      <c r="CG12" s="74" t="str">
        <f>IF($U12="","",IF(COUNTIF(choice!$D:$D,CONCATENATE($U12,"@",CG$7))=0,"",VLOOKUP(CONCATENATE($U12,"@",CG$7),choice!$D:$E,2,0)))</f>
        <v/>
      </c>
      <c r="CH12" s="74" t="str">
        <f>IF($U12="","",IF(COUNTIF(choice!$D:$D,CONCATENATE($U12,"@",CH$7))=0,"",VLOOKUP(CONCATENATE($U12,"@",CH$7),choice!$D:$E,2,0)))</f>
        <v/>
      </c>
      <c r="CI12" s="74" t="str">
        <f>IF($U12="","",IF(COUNTIF(choice!$D:$D,CONCATENATE($U12,"@",CI$7))=0,"",VLOOKUP(CONCATENATE($U12,"@",CI$7),choice!$D:$E,2,0)))</f>
        <v/>
      </c>
      <c r="CJ12" s="81" t="str">
        <f>IF($U12="","",IF(COUNTIF(choice!$D:$D,CONCATENATE($U12,"@",CJ$7))=0,"",VLOOKUP(CONCATENATE($U12,"@",CJ$7),choice!$D:$E,2,0)))</f>
        <v/>
      </c>
      <c r="CK12" s="80" t="str">
        <f>IF($V12="","",IF(COUNTIF(choice!$D:$D,CONCATENATE($V12,"@",CK$7))=0,"",VLOOKUP(CONCATENATE($V12,"@",CK$7),choice!$D:$E,2,0)))</f>
        <v/>
      </c>
      <c r="CL12" s="74" t="str">
        <f>IF($V12="","",IF(COUNTIF(choice!$D:$D,CONCATENATE($V12,"@",CL$7))=0,"",VLOOKUP(CONCATENATE($V12,"@",CL$7),choice!$D:$E,2,0)))</f>
        <v/>
      </c>
      <c r="CM12" s="74" t="str">
        <f>IF($V12="","",IF(COUNTIF(choice!$D:$D,CONCATENATE($V12,"@",CM$7))=0,"",VLOOKUP(CONCATENATE($V12,"@",CM$7),choice!$D:$E,2,0)))</f>
        <v/>
      </c>
      <c r="CN12" s="74" t="str">
        <f>IF($V12="","",IF(COUNTIF(choice!$D:$D,CONCATENATE($V12,"@",CN$7))=0,"",VLOOKUP(CONCATENATE($V12,"@",CN$7),choice!$D:$E,2,0)))</f>
        <v/>
      </c>
      <c r="CO12" s="74" t="str">
        <f>IF($V12="","",IF(COUNTIF(choice!$D:$D,CONCATENATE($V12,"@",CO$7))=0,"",VLOOKUP(CONCATENATE($V12,"@",CO$7),choice!$D:$E,2,0)))</f>
        <v/>
      </c>
      <c r="CP12" s="74" t="str">
        <f>IF($V12="","",IF(COUNTIF(choice!$D:$D,CONCATENATE($V12,"@",CP$7))=0,"",VLOOKUP(CONCATENATE($V12,"@",CP$7),choice!$D:$E,2,0)))</f>
        <v/>
      </c>
      <c r="CQ12" s="74" t="str">
        <f>IF($V12="","",IF(COUNTIF(choice!$D:$D,CONCATENATE($V12,"@",CQ$7))=0,"",VLOOKUP(CONCATENATE($V12,"@",CQ$7),choice!$D:$E,2,0)))</f>
        <v/>
      </c>
      <c r="CR12" s="74" t="str">
        <f>IF($V12="","",IF(COUNTIF(choice!$D:$D,CONCATENATE($V12,"@",CR$7))=0,"",VLOOKUP(CONCATENATE($V12,"@",CR$7),choice!$D:$E,2,0)))</f>
        <v/>
      </c>
      <c r="CS12" s="74" t="str">
        <f>IF($V12="","",IF(COUNTIF(choice!$D:$D,CONCATENATE($V12,"@",CS$7))=0,"",VLOOKUP(CONCATENATE($V12,"@",CS$7),choice!$D:$E,2,0)))</f>
        <v/>
      </c>
      <c r="CT12" s="74" t="str">
        <f>IF($V12="","",IF(COUNTIF(choice!$D:$D,CONCATENATE($V12,"@",CT$7))=0,"",VLOOKUP(CONCATENATE($V12,"@",CT$7),choice!$D:$E,2,0)))</f>
        <v/>
      </c>
      <c r="CU12" s="74" t="str">
        <f>IF($V12="","",IF(COUNTIF(choice!$D:$D,CONCATENATE($V12,"@",CU$7))=0,"",VLOOKUP(CONCATENATE($V12,"@",CU$7),choice!$D:$E,2,0)))</f>
        <v/>
      </c>
      <c r="CV12" s="74" t="str">
        <f>IF($V12="","",IF(COUNTIF(choice!$D:$D,CONCATENATE($V12,"@",CV$7))=0,"",VLOOKUP(CONCATENATE($V12,"@",CV$7),choice!$D:$E,2,0)))</f>
        <v/>
      </c>
      <c r="CW12" s="74" t="str">
        <f>IF($V12="","",IF(COUNTIF(choice!$D:$D,CONCATENATE($V12,"@",CW$7))=0,"",VLOOKUP(CONCATENATE($V12,"@",CW$7),choice!$D:$E,2,0)))</f>
        <v/>
      </c>
      <c r="CX12" s="74" t="str">
        <f>IF($V12="","",IF(COUNTIF(choice!$D:$D,CONCATENATE($V12,"@",CX$7))=0,"",VLOOKUP(CONCATENATE($V12,"@",CX$7),choice!$D:$E,2,0)))</f>
        <v/>
      </c>
      <c r="CY12" s="74" t="str">
        <f>IF($V12="","",IF(COUNTIF(choice!$D:$D,CONCATENATE($V12,"@",CY$7))=0,"",VLOOKUP(CONCATENATE($V12,"@",CY$7),choice!$D:$E,2,0)))</f>
        <v/>
      </c>
      <c r="CZ12" s="74" t="str">
        <f>IF($V12="","",IF(COUNTIF(choice!$D:$D,CONCATENATE($V12,"@",CZ$7))=0,"",VLOOKUP(CONCATENATE($V12,"@",CZ$7),choice!$D:$E,2,0)))</f>
        <v/>
      </c>
      <c r="DA12" s="74" t="str">
        <f>IF($V12="","",IF(COUNTIF(choice!$D:$D,CONCATENATE($V12,"@",DA$7))=0,"",VLOOKUP(CONCATENATE($V12,"@",DA$7),choice!$D:$E,2,0)))</f>
        <v/>
      </c>
      <c r="DB12" s="74" t="str">
        <f>IF($V12="","",IF(COUNTIF(choice!$D:$D,CONCATENATE($V12,"@",DB$7))=0,"",VLOOKUP(CONCATENATE($V12,"@",DB$7),choice!$D:$E,2,0)))</f>
        <v/>
      </c>
      <c r="DC12" s="74" t="str">
        <f>IF($V12="","",IF(COUNTIF(choice!$D:$D,CONCATENATE($V12,"@",DC$7))=0,"",VLOOKUP(CONCATENATE($V12,"@",DC$7),choice!$D:$E,2,0)))</f>
        <v/>
      </c>
      <c r="DD12" s="74" t="str">
        <f>IF($V12="","",IF(COUNTIF(choice!$D:$D,CONCATENATE($V12,"@",DD$7))=0,"",VLOOKUP(CONCATENATE($V12,"@",DD$7),choice!$D:$E,2,0)))</f>
        <v/>
      </c>
      <c r="DE12" s="74" t="str">
        <f>IF($V12="","",IF(COUNTIF(choice!$D:$D,CONCATENATE($V12,"@",DE$7))=0,"",VLOOKUP(CONCATENATE($V12,"@",DE$7),choice!$D:$E,2,0)))</f>
        <v/>
      </c>
      <c r="DF12" s="74" t="str">
        <f>IF($V12="","",IF(COUNTIF(choice!$D:$D,CONCATENATE($V12,"@",DF$7))=0,"",VLOOKUP(CONCATENATE($V12,"@",DF$7),choice!$D:$E,2,0)))</f>
        <v/>
      </c>
      <c r="DG12" s="74" t="str">
        <f>IF($V12="","",IF(COUNTIF(choice!$D:$D,CONCATENATE($V12,"@",DG$7))=0,"",VLOOKUP(CONCATENATE($V12,"@",DG$7),choice!$D:$E,2,0)))</f>
        <v/>
      </c>
      <c r="DH12" s="74" t="str">
        <f>IF($V12="","",IF(COUNTIF(choice!$D:$D,CONCATENATE($V12,"@",DH$7))=0,"",VLOOKUP(CONCATENATE($V12,"@",DH$7),choice!$D:$E,2,0)))</f>
        <v/>
      </c>
      <c r="DI12" s="74" t="str">
        <f>IF($V12="","",IF(COUNTIF(choice!$D:$D,CONCATENATE($V12,"@",DI$7))=0,"",VLOOKUP(CONCATENATE($V12,"@",DI$7),choice!$D:$E,2,0)))</f>
        <v/>
      </c>
      <c r="DJ12" s="74" t="str">
        <f>IF($V12="","",IF(COUNTIF(choice!$D:$D,CONCATENATE($V12,"@",DJ$7))=0,"",VLOOKUP(CONCATENATE($V12,"@",DJ$7),choice!$D:$E,2,0)))</f>
        <v/>
      </c>
      <c r="DK12" s="74" t="str">
        <f>IF($V12="","",IF(COUNTIF(choice!$D:$D,CONCATENATE($V12,"@",DK$7))=0,"",VLOOKUP(CONCATENATE($V12,"@",DK$7),choice!$D:$E,2,0)))</f>
        <v/>
      </c>
      <c r="DL12" s="74" t="str">
        <f>IF($V12="","",IF(COUNTIF(choice!$D:$D,CONCATENATE($V12,"@",DL$7))=0,"",VLOOKUP(CONCATENATE($V12,"@",DL$7),choice!$D:$E,2,0)))</f>
        <v/>
      </c>
      <c r="DM12" s="74" t="str">
        <f>IF($V12="","",IF(COUNTIF(choice!$D:$D,CONCATENATE($V12,"@",DM$7))=0,"",VLOOKUP(CONCATENATE($V12,"@",DM$7),choice!$D:$E,2,0)))</f>
        <v/>
      </c>
      <c r="DN12" s="74" t="str">
        <f>IF($V12="","",IF(COUNTIF(choice!$D:$D,CONCATENATE($V12,"@",DN$7))=0,"",VLOOKUP(CONCATENATE($V12,"@",DN$7),choice!$D:$E,2,0)))</f>
        <v/>
      </c>
      <c r="DO12" s="74" t="str">
        <f>IF($V12="","",IF(COUNTIF(choice!$D:$D,CONCATENATE($V12,"@",DO$7))=0,"",VLOOKUP(CONCATENATE($V12,"@",DO$7),choice!$D:$E,2,0)))</f>
        <v/>
      </c>
      <c r="DP12" s="74" t="str">
        <f>IF($V12="","",IF(COUNTIF(choice!$D:$D,CONCATENATE($V12,"@",DP$7))=0,"",VLOOKUP(CONCATENATE($V12,"@",DP$7),choice!$D:$E,2,0)))</f>
        <v/>
      </c>
      <c r="DQ12" s="74" t="str">
        <f>IF($V12="","",IF(COUNTIF(choice!$D:$D,CONCATENATE($V12,"@",DQ$7))=0,"",VLOOKUP(CONCATENATE($V12,"@",DQ$7),choice!$D:$E,2,0)))</f>
        <v/>
      </c>
      <c r="DR12" s="74" t="str">
        <f>IF($V12="","",IF(COUNTIF(choice!$D:$D,CONCATENATE($V12,"@",DR$7))=0,"",VLOOKUP(CONCATENATE($V12,"@",DR$7),choice!$D:$E,2,0)))</f>
        <v/>
      </c>
      <c r="DS12" s="74" t="str">
        <f>IF($V12="","",IF(COUNTIF(choice!$D:$D,CONCATENATE($V12,"@",DS$7))=0,"",VLOOKUP(CONCATENATE($V12,"@",DS$7),choice!$D:$E,2,0)))</f>
        <v/>
      </c>
      <c r="DT12" s="74" t="str">
        <f>IF($V12="","",IF(COUNTIF(choice!$D:$D,CONCATENATE($V12,"@",DT$7))=0,"",VLOOKUP(CONCATENATE($V12,"@",DT$7),choice!$D:$E,2,0)))</f>
        <v/>
      </c>
      <c r="DU12" s="74" t="str">
        <f>IF($V12="","",IF(COUNTIF(choice!$D:$D,CONCATENATE($V12,"@",DU$7))=0,"",VLOOKUP(CONCATENATE($V12,"@",DU$7),choice!$D:$E,2,0)))</f>
        <v/>
      </c>
      <c r="DV12" s="74" t="str">
        <f>IF($V12="","",IF(COUNTIF(choice!$D:$D,CONCATENATE($V12,"@",DV$7))=0,"",VLOOKUP(CONCATENATE($V12,"@",DV$7),choice!$D:$E,2,0)))</f>
        <v/>
      </c>
      <c r="DW12" s="74" t="str">
        <f>IF($V12="","",IF(COUNTIF(choice!$D:$D,CONCATENATE($V12,"@",DW$7))=0,"",VLOOKUP(CONCATENATE($V12,"@",DW$7),choice!$D:$E,2,0)))</f>
        <v/>
      </c>
      <c r="DX12" s="74" t="str">
        <f>IF($V12="","",IF(COUNTIF(choice!$D:$D,CONCATENATE($V12,"@",DX$7))=0,"",VLOOKUP(CONCATENATE($V12,"@",DX$7),choice!$D:$E,2,0)))</f>
        <v/>
      </c>
      <c r="DY12" s="74" t="str">
        <f>IF($V12="","",IF(COUNTIF(choice!$D:$D,CONCATENATE($V12,"@",DY$7))=0,"",VLOOKUP(CONCATENATE($V12,"@",DY$7),choice!$D:$E,2,0)))</f>
        <v/>
      </c>
      <c r="DZ12" s="74" t="str">
        <f>IF($V12="","",IF(COUNTIF(choice!$D:$D,CONCATENATE($V12,"@",DZ$7))=0,"",VLOOKUP(CONCATENATE($V12,"@",DZ$7),choice!$D:$E,2,0)))</f>
        <v/>
      </c>
      <c r="EA12" s="74" t="str">
        <f>IF($V12="","",IF(COUNTIF(choice!$D:$D,CONCATENATE($V12,"@",EA$7))=0,"",VLOOKUP(CONCATENATE($V12,"@",EA$7),choice!$D:$E,2,0)))</f>
        <v/>
      </c>
      <c r="EB12" s="74" t="str">
        <f>IF($V12="","",IF(COUNTIF(choice!$D:$D,CONCATENATE($V12,"@",EB$7))=0,"",VLOOKUP(CONCATENATE($V12,"@",EB$7),choice!$D:$E,2,0)))</f>
        <v/>
      </c>
      <c r="EC12" s="81" t="str">
        <f>IF($V12="","",IF(COUNTIF(choice!$D:$D,CONCATENATE($V12,"@",EC$7))=0,"",VLOOKUP(CONCATENATE($V12,"@",EC$7),choice!$D:$E,2,0)))</f>
        <v/>
      </c>
      <c r="ED12" s="80" t="str">
        <f>IF($W12="","",IF(COUNTIF(choice!$D:$D,CONCATENATE($W12,"@",ED$7))=0,"",VLOOKUP(CONCATENATE($W12,"@",ED$7),choice!$D:$E,2,0)))</f>
        <v/>
      </c>
      <c r="EE12" s="74" t="str">
        <f>IF($W12="","",IF(COUNTIF(choice!$D:$D,CONCATENATE($W12,"@",EE$7))=0,"",VLOOKUP(CONCATENATE($W12,"@",EE$7),choice!$D:$E,2,0)))</f>
        <v/>
      </c>
      <c r="EF12" s="74" t="str">
        <f>IF($W12="","",IF(COUNTIF(choice!$D:$D,CONCATENATE($W12,"@",EF$7))=0,"",VLOOKUP(CONCATENATE($W12,"@",EF$7),choice!$D:$E,2,0)))</f>
        <v/>
      </c>
      <c r="EG12" s="74" t="str">
        <f>IF($W12="","",IF(COUNTIF(choice!$D:$D,CONCATENATE($W12,"@",EG$7))=0,"",VLOOKUP(CONCATENATE($W12,"@",EG$7),choice!$D:$E,2,0)))</f>
        <v/>
      </c>
      <c r="EH12" s="74" t="str">
        <f>IF($W12="","",IF(COUNTIF(choice!$D:$D,CONCATENATE($W12,"@",EH$7))=0,"",VLOOKUP(CONCATENATE($W12,"@",EH$7),choice!$D:$E,2,0)))</f>
        <v/>
      </c>
      <c r="EI12" s="74" t="str">
        <f>IF($W12="","",IF(COUNTIF(choice!$D:$D,CONCATENATE($W12,"@",EI$7))=0,"",VLOOKUP(CONCATENATE($W12,"@",EI$7),choice!$D:$E,2,0)))</f>
        <v/>
      </c>
      <c r="EJ12" s="74" t="str">
        <f>IF($W12="","",IF(COUNTIF(choice!$D:$D,CONCATENATE($W12,"@",EJ$7))=0,"",VLOOKUP(CONCATENATE($W12,"@",EJ$7),choice!$D:$E,2,0)))</f>
        <v/>
      </c>
      <c r="EK12" s="74" t="str">
        <f>IF($W12="","",IF(COUNTIF(choice!$D:$D,CONCATENATE($W12,"@",EK$7))=0,"",VLOOKUP(CONCATENATE($W12,"@",EK$7),choice!$D:$E,2,0)))</f>
        <v/>
      </c>
      <c r="EL12" s="74" t="str">
        <f>IF($W12="","",IF(COUNTIF(choice!$D:$D,CONCATENATE($W12,"@",EL$7))=0,"",VLOOKUP(CONCATENATE($W12,"@",EL$7),choice!$D:$E,2,0)))</f>
        <v/>
      </c>
      <c r="EM12" s="74" t="str">
        <f>IF($W12="","",IF(COUNTIF(choice!$D:$D,CONCATENATE($W12,"@",EM$7))=0,"",VLOOKUP(CONCATENATE($W12,"@",EM$7),choice!$D:$E,2,0)))</f>
        <v/>
      </c>
      <c r="EN12" s="74" t="str">
        <f>IF($W12="","",IF(COUNTIF(choice!$D:$D,CONCATENATE($W12,"@",EN$7))=0,"",VLOOKUP(CONCATENATE($W12,"@",EN$7),choice!$D:$E,2,0)))</f>
        <v/>
      </c>
      <c r="EO12" s="74" t="str">
        <f>IF($W12="","",IF(COUNTIF(choice!$D:$D,CONCATENATE($W12,"@",EO$7))=0,"",VLOOKUP(CONCATENATE($W12,"@",EO$7),choice!$D:$E,2,0)))</f>
        <v/>
      </c>
      <c r="EP12" s="74" t="str">
        <f>IF($W12="","",IF(COUNTIF(choice!$D:$D,CONCATENATE($W12,"@",EP$7))=0,"",VLOOKUP(CONCATENATE($W12,"@",EP$7),choice!$D:$E,2,0)))</f>
        <v/>
      </c>
      <c r="EQ12" s="74" t="str">
        <f>IF($W12="","",IF(COUNTIF(choice!$D:$D,CONCATENATE($W12,"@",EQ$7))=0,"",VLOOKUP(CONCATENATE($W12,"@",EQ$7),choice!$D:$E,2,0)))</f>
        <v/>
      </c>
      <c r="ER12" s="74" t="str">
        <f>IF($W12="","",IF(COUNTIF(choice!$D:$D,CONCATENATE($W12,"@",ER$7))=0,"",VLOOKUP(CONCATENATE($W12,"@",ER$7),choice!$D:$E,2,0)))</f>
        <v/>
      </c>
      <c r="ES12" s="74" t="str">
        <f>IF($W12="","",IF(COUNTIF(choice!$D:$D,CONCATENATE($W12,"@",ES$7))=0,"",VLOOKUP(CONCATENATE($W12,"@",ES$7),choice!$D:$E,2,0)))</f>
        <v/>
      </c>
      <c r="ET12" s="74" t="str">
        <f>IF($W12="","",IF(COUNTIF(choice!$D:$D,CONCATENATE($W12,"@",ET$7))=0,"",VLOOKUP(CONCATENATE($W12,"@",ET$7),choice!$D:$E,2,0)))</f>
        <v/>
      </c>
      <c r="EU12" s="74" t="str">
        <f>IF($W12="","",IF(COUNTIF(choice!$D:$D,CONCATENATE($W12,"@",EU$7))=0,"",VLOOKUP(CONCATENATE($W12,"@",EU$7),choice!$D:$E,2,0)))</f>
        <v/>
      </c>
      <c r="EV12" s="74" t="str">
        <f>IF($W12="","",IF(COUNTIF(choice!$D:$D,CONCATENATE($W12,"@",EV$7))=0,"",VLOOKUP(CONCATENATE($W12,"@",EV$7),choice!$D:$E,2,0)))</f>
        <v/>
      </c>
      <c r="EW12" s="74" t="str">
        <f>IF($W12="","",IF(COUNTIF(choice!$D:$D,CONCATENATE($W12,"@",EW$7))=0,"",VLOOKUP(CONCATENATE($W12,"@",EW$7),choice!$D:$E,2,0)))</f>
        <v/>
      </c>
      <c r="EX12" s="74" t="str">
        <f>IF($W12="","",IF(COUNTIF(choice!$D:$D,CONCATENATE($W12,"@",EX$7))=0,"",VLOOKUP(CONCATENATE($W12,"@",EX$7),choice!$D:$E,2,0)))</f>
        <v/>
      </c>
      <c r="EY12" s="74" t="str">
        <f>IF($W12="","",IF(COUNTIF(choice!$D:$D,CONCATENATE($W12,"@",EY$7))=0,"",VLOOKUP(CONCATENATE($W12,"@",EY$7),choice!$D:$E,2,0)))</f>
        <v/>
      </c>
      <c r="EZ12" s="74" t="str">
        <f>IF($W12="","",IF(COUNTIF(choice!$D:$D,CONCATENATE($W12,"@",EZ$7))=0,"",VLOOKUP(CONCATENATE($W12,"@",EZ$7),choice!$D:$E,2,0)))</f>
        <v/>
      </c>
      <c r="FA12" s="74" t="str">
        <f>IF($W12="","",IF(COUNTIF(choice!$D:$D,CONCATENATE($W12,"@",FA$7))=0,"",VLOOKUP(CONCATENATE($W12,"@",FA$7),choice!$D:$E,2,0)))</f>
        <v/>
      </c>
      <c r="FB12" s="74" t="str">
        <f>IF($W12="","",IF(COUNTIF(choice!$D:$D,CONCATENATE($W12,"@",FB$7))=0,"",VLOOKUP(CONCATENATE($W12,"@",FB$7),choice!$D:$E,2,0)))</f>
        <v/>
      </c>
      <c r="FC12" s="74" t="str">
        <f>IF($W12="","",IF(COUNTIF(choice!$D:$D,CONCATENATE($W12,"@",FC$7))=0,"",VLOOKUP(CONCATENATE($W12,"@",FC$7),choice!$D:$E,2,0)))</f>
        <v/>
      </c>
      <c r="FD12" s="74" t="str">
        <f>IF($W12="","",IF(COUNTIF(choice!$D:$D,CONCATENATE($W12,"@",FD$7))=0,"",VLOOKUP(CONCATENATE($W12,"@",FD$7),choice!$D:$E,2,0)))</f>
        <v/>
      </c>
      <c r="FE12" s="74" t="str">
        <f>IF($W12="","",IF(COUNTIF(choice!$D:$D,CONCATENATE($W12,"@",FE$7))=0,"",VLOOKUP(CONCATENATE($W12,"@",FE$7),choice!$D:$E,2,0)))</f>
        <v/>
      </c>
      <c r="FF12" s="74" t="str">
        <f>IF($W12="","",IF(COUNTIF(choice!$D:$D,CONCATENATE($W12,"@",FF$7))=0,"",VLOOKUP(CONCATENATE($W12,"@",FF$7),choice!$D:$E,2,0)))</f>
        <v/>
      </c>
      <c r="FG12" s="74" t="str">
        <f>IF($W12="","",IF(COUNTIF(choice!$D:$D,CONCATENATE($W12,"@",FG$7))=0,"",VLOOKUP(CONCATENATE($W12,"@",FG$7),choice!$D:$E,2,0)))</f>
        <v/>
      </c>
      <c r="FH12" s="74" t="str">
        <f>IF($W12="","",IF(COUNTIF(choice!$D:$D,CONCATENATE($W12,"@",FH$7))=0,"",VLOOKUP(CONCATENATE($W12,"@",FH$7),choice!$D:$E,2,0)))</f>
        <v/>
      </c>
      <c r="FI12" s="74" t="str">
        <f>IF($W12="","",IF(COUNTIF(choice!$D:$D,CONCATENATE($W12,"@",FI$7))=0,"",VLOOKUP(CONCATENATE($W12,"@",FI$7),choice!$D:$E,2,0)))</f>
        <v/>
      </c>
      <c r="FJ12" s="74" t="str">
        <f>IF($W12="","",IF(COUNTIF(choice!$D:$D,CONCATENATE($W12,"@",FJ$7))=0,"",VLOOKUP(CONCATENATE($W12,"@",FJ$7),choice!$D:$E,2,0)))</f>
        <v/>
      </c>
      <c r="FK12" s="74" t="str">
        <f>IF($W12="","",IF(COUNTIF(choice!$D:$D,CONCATENATE($W12,"@",FK$7))=0,"",VLOOKUP(CONCATENATE($W12,"@",FK$7),choice!$D:$E,2,0)))</f>
        <v/>
      </c>
      <c r="FL12" s="74" t="str">
        <f>IF($W12="","",IF(COUNTIF(choice!$D:$D,CONCATENATE($W12,"@",FL$7))=0,"",VLOOKUP(CONCATENATE($W12,"@",FL$7),choice!$D:$E,2,0)))</f>
        <v/>
      </c>
      <c r="FM12" s="74" t="str">
        <f>IF($W12="","",IF(COUNTIF(choice!$D:$D,CONCATENATE($W12,"@",FM$7))=0,"",VLOOKUP(CONCATENATE($W12,"@",FM$7),choice!$D:$E,2,0)))</f>
        <v/>
      </c>
      <c r="FN12" s="74" t="str">
        <f>IF($W12="","",IF(COUNTIF(choice!$D:$D,CONCATENATE($W12,"@",FN$7))=0,"",VLOOKUP(CONCATENATE($W12,"@",FN$7),choice!$D:$E,2,0)))</f>
        <v/>
      </c>
      <c r="FO12" s="74" t="str">
        <f>IF($W12="","",IF(COUNTIF(choice!$D:$D,CONCATENATE($W12,"@",FO$7))=0,"",VLOOKUP(CONCATENATE($W12,"@",FO$7),choice!$D:$E,2,0)))</f>
        <v/>
      </c>
      <c r="FP12" s="74" t="str">
        <f>IF($W12="","",IF(COUNTIF(choice!$D:$D,CONCATENATE($W12,"@",FP$7))=0,"",VLOOKUP(CONCATENATE($W12,"@",FP$7),choice!$D:$E,2,0)))</f>
        <v/>
      </c>
      <c r="FQ12" s="74" t="str">
        <f>IF($W12="","",IF(COUNTIF(choice!$D:$D,CONCATENATE($W12,"@",FQ$7))=0,"",VLOOKUP(CONCATENATE($W12,"@",FQ$7),choice!$D:$E,2,0)))</f>
        <v/>
      </c>
      <c r="FR12" s="74" t="str">
        <f>IF($W12="","",IF(COUNTIF(choice!$D:$D,CONCATENATE($W12,"@",FR$7))=0,"",VLOOKUP(CONCATENATE($W12,"@",FR$7),choice!$D:$E,2,0)))</f>
        <v/>
      </c>
      <c r="FS12" s="74" t="str">
        <f>IF($W12="","",IF(COUNTIF(choice!$D:$D,CONCATENATE($W12,"@",FS$7))=0,"",VLOOKUP(CONCATENATE($W12,"@",FS$7),choice!$D:$E,2,0)))</f>
        <v/>
      </c>
      <c r="FT12" s="74" t="str">
        <f>IF($W12="","",IF(COUNTIF(choice!$D:$D,CONCATENATE($W12,"@",FT$7))=0,"",VLOOKUP(CONCATENATE($W12,"@",FT$7),choice!$D:$E,2,0)))</f>
        <v/>
      </c>
      <c r="FU12" s="74" t="str">
        <f>IF($W12="","",IF(COUNTIF(choice!$D:$D,CONCATENATE($W12,"@",FU$7))=0,"",VLOOKUP(CONCATENATE($W12,"@",FU$7),choice!$D:$E,2,0)))</f>
        <v/>
      </c>
      <c r="FV12" s="81" t="str">
        <f>IF($W12="","",IF(COUNTIF(choice!$D:$D,CONCATENATE($W12,"@",FV$7))=0,"",VLOOKUP(CONCATENATE($W12,"@",FV$7),choice!$D:$E,2,0)))</f>
        <v/>
      </c>
      <c r="FW12" s="80" t="str">
        <f>IF($X12="","",IF(COUNTIF(choice!$D:$D,CONCATENATE($X12,"@",FW$7))=0,"",VLOOKUP(CONCATENATE($X12,"@",FW$7),choice!$D:$E,2,0)))</f>
        <v/>
      </c>
      <c r="FX12" s="74" t="str">
        <f>IF($X12="","",IF(COUNTIF(choice!$D:$D,CONCATENATE($X12,"@",FX$7))=0,"",VLOOKUP(CONCATENATE($X12,"@",FX$7),choice!$D:$E,2,0)))</f>
        <v/>
      </c>
      <c r="FY12" s="74" t="str">
        <f>IF($X12="","",IF(COUNTIF(choice!$D:$D,CONCATENATE($X12,"@",FY$7))=0,"",VLOOKUP(CONCATENATE($X12,"@",FY$7),choice!$D:$E,2,0)))</f>
        <v/>
      </c>
      <c r="FZ12" s="74" t="str">
        <f>IF($X12="","",IF(COUNTIF(choice!$D:$D,CONCATENATE($X12,"@",FZ$7))=0,"",VLOOKUP(CONCATENATE($X12,"@",FZ$7),choice!$D:$E,2,0)))</f>
        <v/>
      </c>
      <c r="GA12" s="74" t="str">
        <f>IF($X12="","",IF(COUNTIF(choice!$D:$D,CONCATENATE($X12,"@",GA$7))=0,"",VLOOKUP(CONCATENATE($X12,"@",GA$7),choice!$D:$E,2,0)))</f>
        <v/>
      </c>
      <c r="GB12" s="74" t="str">
        <f>IF($X12="","",IF(COUNTIF(choice!$D:$D,CONCATENATE($X12,"@",GB$7))=0,"",VLOOKUP(CONCATENATE($X12,"@",GB$7),choice!$D:$E,2,0)))</f>
        <v/>
      </c>
      <c r="GC12" s="74" t="str">
        <f>IF($X12="","",IF(COUNTIF(choice!$D:$D,CONCATENATE($X12,"@",GC$7))=0,"",VLOOKUP(CONCATENATE($X12,"@",GC$7),choice!$D:$E,2,0)))</f>
        <v/>
      </c>
      <c r="GD12" s="74" t="str">
        <f>IF($X12="","",IF(COUNTIF(choice!$D:$D,CONCATENATE($X12,"@",GD$7))=0,"",VLOOKUP(CONCATENATE($X12,"@",GD$7),choice!$D:$E,2,0)))</f>
        <v/>
      </c>
      <c r="GE12" s="74" t="str">
        <f>IF($X12="","",IF(COUNTIF(choice!$D:$D,CONCATENATE($X12,"@",GE$7))=0,"",VLOOKUP(CONCATENATE($X12,"@",GE$7),choice!$D:$E,2,0)))</f>
        <v/>
      </c>
      <c r="GF12" s="74" t="str">
        <f>IF($X12="","",IF(COUNTIF(choice!$D:$D,CONCATENATE($X12,"@",GF$7))=0,"",VLOOKUP(CONCATENATE($X12,"@",GF$7),choice!$D:$E,2,0)))</f>
        <v/>
      </c>
      <c r="GG12" s="74" t="str">
        <f>IF($X12="","",IF(COUNTIF(choice!$D:$D,CONCATENATE($X12,"@",GG$7))=0,"",VLOOKUP(CONCATENATE($X12,"@",GG$7),choice!$D:$E,2,0)))</f>
        <v/>
      </c>
      <c r="GH12" s="74" t="str">
        <f>IF($X12="","",IF(COUNTIF(choice!$D:$D,CONCATENATE($X12,"@",GH$7))=0,"",VLOOKUP(CONCATENATE($X12,"@",GH$7),choice!$D:$E,2,0)))</f>
        <v/>
      </c>
      <c r="GI12" s="74" t="str">
        <f>IF($X12="","",IF(COUNTIF(choice!$D:$D,CONCATENATE($X12,"@",GI$7))=0,"",VLOOKUP(CONCATENATE($X12,"@",GI$7),choice!$D:$E,2,0)))</f>
        <v/>
      </c>
      <c r="GJ12" s="74" t="str">
        <f>IF($X12="","",IF(COUNTIF(choice!$D:$D,CONCATENATE($X12,"@",GJ$7))=0,"",VLOOKUP(CONCATENATE($X12,"@",GJ$7),choice!$D:$E,2,0)))</f>
        <v/>
      </c>
      <c r="GK12" s="74" t="str">
        <f>IF($X12="","",IF(COUNTIF(choice!$D:$D,CONCATENATE($X12,"@",GK$7))=0,"",VLOOKUP(CONCATENATE($X12,"@",GK$7),choice!$D:$E,2,0)))</f>
        <v/>
      </c>
      <c r="GL12" s="74" t="str">
        <f>IF($X12="","",IF(COUNTIF(choice!$D:$D,CONCATENATE($X12,"@",GL$7))=0,"",VLOOKUP(CONCATENATE($X12,"@",GL$7),choice!$D:$E,2,0)))</f>
        <v/>
      </c>
      <c r="GM12" s="74" t="str">
        <f>IF($X12="","",IF(COUNTIF(choice!$D:$D,CONCATENATE($X12,"@",GM$7))=0,"",VLOOKUP(CONCATENATE($X12,"@",GM$7),choice!$D:$E,2,0)))</f>
        <v/>
      </c>
      <c r="GN12" s="74" t="str">
        <f>IF($X12="","",IF(COUNTIF(choice!$D:$D,CONCATENATE($X12,"@",GN$7))=0,"",VLOOKUP(CONCATENATE($X12,"@",GN$7),choice!$D:$E,2,0)))</f>
        <v/>
      </c>
      <c r="GO12" s="74" t="str">
        <f>IF($X12="","",IF(COUNTIF(choice!$D:$D,CONCATENATE($X12,"@",GO$7))=0,"",VLOOKUP(CONCATENATE($X12,"@",GO$7),choice!$D:$E,2,0)))</f>
        <v/>
      </c>
      <c r="GP12" s="74" t="str">
        <f>IF($X12="","",IF(COUNTIF(choice!$D:$D,CONCATENATE($X12,"@",GP$7))=0,"",VLOOKUP(CONCATENATE($X12,"@",GP$7),choice!$D:$E,2,0)))</f>
        <v/>
      </c>
      <c r="GQ12" s="74" t="str">
        <f>IF($X12="","",IF(COUNTIF(choice!$D:$D,CONCATENATE($X12,"@",GQ$7))=0,"",VLOOKUP(CONCATENATE($X12,"@",GQ$7),choice!$D:$E,2,0)))</f>
        <v/>
      </c>
      <c r="GR12" s="74" t="str">
        <f>IF($X12="","",IF(COUNTIF(choice!$D:$D,CONCATENATE($X12,"@",GR$7))=0,"",VLOOKUP(CONCATENATE($X12,"@",GR$7),choice!$D:$E,2,0)))</f>
        <v/>
      </c>
      <c r="GS12" s="74" t="str">
        <f>IF($X12="","",IF(COUNTIF(choice!$D:$D,CONCATENATE($X12,"@",GS$7))=0,"",VLOOKUP(CONCATENATE($X12,"@",GS$7),choice!$D:$E,2,0)))</f>
        <v/>
      </c>
      <c r="GT12" s="74" t="str">
        <f>IF($X12="","",IF(COUNTIF(choice!$D:$D,CONCATENATE($X12,"@",GT$7))=0,"",VLOOKUP(CONCATENATE($X12,"@",GT$7),choice!$D:$E,2,0)))</f>
        <v/>
      </c>
      <c r="GU12" s="74" t="str">
        <f>IF($X12="","",IF(COUNTIF(choice!$D:$D,CONCATENATE($X12,"@",GU$7))=0,"",VLOOKUP(CONCATENATE($X12,"@",GU$7),choice!$D:$E,2,0)))</f>
        <v/>
      </c>
      <c r="GV12" s="74" t="str">
        <f>IF($X12="","",IF(COUNTIF(choice!$D:$D,CONCATENATE($X12,"@",GV$7))=0,"",VLOOKUP(CONCATENATE($X12,"@",GV$7),choice!$D:$E,2,0)))</f>
        <v/>
      </c>
      <c r="GW12" s="74" t="str">
        <f>IF($X12="","",IF(COUNTIF(choice!$D:$D,CONCATENATE($X12,"@",GW$7))=0,"",VLOOKUP(CONCATENATE($X12,"@",GW$7),choice!$D:$E,2,0)))</f>
        <v/>
      </c>
      <c r="GX12" s="74" t="str">
        <f>IF($X12="","",IF(COUNTIF(choice!$D:$D,CONCATENATE($X12,"@",GX$7))=0,"",VLOOKUP(CONCATENATE($X12,"@",GX$7),choice!$D:$E,2,0)))</f>
        <v/>
      </c>
      <c r="GY12" s="74" t="str">
        <f>IF($X12="","",IF(COUNTIF(choice!$D:$D,CONCATENATE($X12,"@",GY$7))=0,"",VLOOKUP(CONCATENATE($X12,"@",GY$7),choice!$D:$E,2,0)))</f>
        <v/>
      </c>
      <c r="GZ12" s="74" t="str">
        <f>IF($X12="","",IF(COUNTIF(choice!$D:$D,CONCATENATE($X12,"@",GZ$7))=0,"",VLOOKUP(CONCATENATE($X12,"@",GZ$7),choice!$D:$E,2,0)))</f>
        <v/>
      </c>
      <c r="HA12" s="74" t="str">
        <f>IF($X12="","",IF(COUNTIF(choice!$D:$D,CONCATENATE($X12,"@",HA$7))=0,"",VLOOKUP(CONCATENATE($X12,"@",HA$7),choice!$D:$E,2,0)))</f>
        <v/>
      </c>
      <c r="HB12" s="74" t="str">
        <f>IF($X12="","",IF(COUNTIF(choice!$D:$D,CONCATENATE($X12,"@",HB$7))=0,"",VLOOKUP(CONCATENATE($X12,"@",HB$7),choice!$D:$E,2,0)))</f>
        <v/>
      </c>
      <c r="HC12" s="74" t="str">
        <f>IF($X12="","",IF(COUNTIF(choice!$D:$D,CONCATENATE($X12,"@",HC$7))=0,"",VLOOKUP(CONCATENATE($X12,"@",HC$7),choice!$D:$E,2,0)))</f>
        <v/>
      </c>
      <c r="HD12" s="74" t="str">
        <f>IF($X12="","",IF(COUNTIF(choice!$D:$D,CONCATENATE($X12,"@",HD$7))=0,"",VLOOKUP(CONCATENATE($X12,"@",HD$7),choice!$D:$E,2,0)))</f>
        <v/>
      </c>
      <c r="HE12" s="74" t="str">
        <f>IF($X12="","",IF(COUNTIF(choice!$D:$D,CONCATENATE($X12,"@",HE$7))=0,"",VLOOKUP(CONCATENATE($X12,"@",HE$7),choice!$D:$E,2,0)))</f>
        <v/>
      </c>
      <c r="HF12" s="74" t="str">
        <f>IF($X12="","",IF(COUNTIF(choice!$D:$D,CONCATENATE($X12,"@",HF$7))=0,"",VLOOKUP(CONCATENATE($X12,"@",HF$7),choice!$D:$E,2,0)))</f>
        <v/>
      </c>
      <c r="HG12" s="74" t="str">
        <f>IF($X12="","",IF(COUNTIF(choice!$D:$D,CONCATENATE($X12,"@",HG$7))=0,"",VLOOKUP(CONCATENATE($X12,"@",HG$7),choice!$D:$E,2,0)))</f>
        <v/>
      </c>
      <c r="HH12" s="74" t="str">
        <f>IF($X12="","",IF(COUNTIF(choice!$D:$D,CONCATENATE($X12,"@",HH$7))=0,"",VLOOKUP(CONCATENATE($X12,"@",HH$7),choice!$D:$E,2,0)))</f>
        <v/>
      </c>
      <c r="HI12" s="74" t="str">
        <f>IF($X12="","",IF(COUNTIF(choice!$D:$D,CONCATENATE($X12,"@",HI$7))=0,"",VLOOKUP(CONCATENATE($X12,"@",HI$7),choice!$D:$E,2,0)))</f>
        <v/>
      </c>
      <c r="HJ12" s="74" t="str">
        <f>IF($X12="","",IF(COUNTIF(choice!$D:$D,CONCATENATE($X12,"@",HJ$7))=0,"",VLOOKUP(CONCATENATE($X12,"@",HJ$7),choice!$D:$E,2,0)))</f>
        <v/>
      </c>
      <c r="HK12" s="74" t="str">
        <f>IF($X12="","",IF(COUNTIF(choice!$D:$D,CONCATENATE($X12,"@",HK$7))=0,"",VLOOKUP(CONCATENATE($X12,"@",HK$7),choice!$D:$E,2,0)))</f>
        <v/>
      </c>
      <c r="HL12" s="74" t="str">
        <f>IF($X12="","",IF(COUNTIF(choice!$D:$D,CONCATENATE($X12,"@",HL$7))=0,"",VLOOKUP(CONCATENATE($X12,"@",HL$7),choice!$D:$E,2,0)))</f>
        <v/>
      </c>
      <c r="HM12" s="74" t="str">
        <f>IF($X12="","",IF(COUNTIF(choice!$D:$D,CONCATENATE($X12,"@",HM$7))=0,"",VLOOKUP(CONCATENATE($X12,"@",HM$7),choice!$D:$E,2,0)))</f>
        <v/>
      </c>
      <c r="HN12" s="74" t="str">
        <f>IF($X12="","",IF(COUNTIF(choice!$D:$D,CONCATENATE($X12,"@",HN$7))=0,"",VLOOKUP(CONCATENATE($X12,"@",HN$7),choice!$D:$E,2,0)))</f>
        <v/>
      </c>
      <c r="HO12" s="81" t="str">
        <f>IF($X12="","",IF(COUNTIF(choice!$D:$D,CONCATENATE($X12,"@",HO$7))=0,"",VLOOKUP(CONCATENATE($X12,"@",HO$7),choice!$D:$E,2,0)))</f>
        <v/>
      </c>
      <c r="HP12" s="20" t="s">
        <v>60</v>
      </c>
      <c r="HQ12" s="20" t="s">
        <v>61</v>
      </c>
      <c r="HU12" s="74" t="s">
        <v>6</v>
      </c>
      <c r="HV12" s="74">
        <f t="shared" si="10"/>
        <v>0</v>
      </c>
      <c r="HW12" s="74">
        <f t="shared" si="11"/>
        <v>0</v>
      </c>
      <c r="HX12" s="74">
        <f t="shared" si="12"/>
        <v>0</v>
      </c>
      <c r="HY12" s="74">
        <f t="shared" si="13"/>
        <v>0</v>
      </c>
      <c r="HZ12" s="74">
        <f t="shared" si="19"/>
        <v>0</v>
      </c>
      <c r="IA12" s="74">
        <f t="shared" si="20"/>
        <v>0</v>
      </c>
      <c r="IB12" s="74" t="str">
        <f t="shared" si="21"/>
        <v/>
      </c>
      <c r="IC12" s="74" t="str">
        <f t="shared" si="22"/>
        <v/>
      </c>
      <c r="ID12" s="74" t="str">
        <f t="shared" si="14"/>
        <v/>
      </c>
      <c r="IE12" s="74">
        <f t="shared" si="15"/>
        <v>5</v>
      </c>
      <c r="IF12" s="74">
        <f>COUNTIFS(ID$8:ID12,"BLUE")</f>
        <v>0</v>
      </c>
      <c r="IG12" s="74" t="str">
        <f t="shared" si="16"/>
        <v/>
      </c>
      <c r="IH12" s="74" t="str">
        <f>IF(COUNTIFS($AQ12,"*02*")=0,"",COUNTIFS(IJ$8:IJ12,"BLUE"))</f>
        <v/>
      </c>
      <c r="II12" s="74" t="str">
        <f>IF(COUNTIFS($AQ12,"*04*")=0,"",COUNTIFS(IK$8:IK12,"BLUE"))</f>
        <v/>
      </c>
      <c r="IJ12" s="74" t="str">
        <f t="shared" si="23"/>
        <v/>
      </c>
      <c r="IK12" s="74" t="str">
        <f t="shared" si="24"/>
        <v/>
      </c>
      <c r="IL12" s="74" t="str">
        <f t="shared" si="17"/>
        <v/>
      </c>
      <c r="IM12" s="74" t="str">
        <f t="shared" si="18"/>
        <v/>
      </c>
      <c r="IN12" s="74">
        <f>COUNTIFS(IJ$8:IJ12,"BLUE")</f>
        <v>0</v>
      </c>
      <c r="IO12" s="74">
        <f>COUNTIFS(IK$8:IK12,"BLUE")</f>
        <v>0</v>
      </c>
    </row>
    <row r="13" spans="1:249" s="20" customFormat="1" ht="25.5" customHeight="1">
      <c r="A13" s="33"/>
      <c r="B13" s="30">
        <v>6</v>
      </c>
      <c r="C13" s="155"/>
      <c r="D13" s="174"/>
      <c r="E13" s="91" t="e">
        <f>VLOOKUP(F13,'Radio Call Sign'!A:B,2)</f>
        <v>#N/A</v>
      </c>
      <c r="F13" s="88"/>
      <c r="G13" s="91" t="e">
        <f>VLOOKUP(H13,'Radio Call Sign'!A:B,2)</f>
        <v>#N/A</v>
      </c>
      <c r="H13" s="89"/>
      <c r="I13" s="89"/>
      <c r="J13" s="90"/>
      <c r="K13" s="86"/>
      <c r="L13" s="155"/>
      <c r="M13" s="190" t="str">
        <f t="shared" si="9"/>
        <v/>
      </c>
      <c r="N13" s="21"/>
      <c r="O13" s="21"/>
      <c r="P13" s="52"/>
      <c r="Q13" s="161" t="str">
        <f>IF(AA13="","",IF(COUNTIFS('overhead line area'!$D$3:$D$100,AA13)+COUNTIFS('overhead line area'!$D$3:$D$100,AB13)+COUNTIFS('overhead line area'!$D$3:$D$100,AC13)+COUNTIFS('overhead line area'!$D$3:$D$100,AD13)=0,"","*               "))</f>
        <v/>
      </c>
      <c r="R13" s="53"/>
      <c r="S13" s="24"/>
      <c r="U13" s="74"/>
      <c r="V13" s="74"/>
      <c r="W13" s="74"/>
      <c r="X13" s="74"/>
      <c r="Y13" s="74"/>
      <c r="AA13" s="74" t="str">
        <f t="shared" si="4"/>
        <v/>
      </c>
      <c r="AB13" s="74" t="str">
        <f t="shared" si="5"/>
        <v/>
      </c>
      <c r="AC13" s="74" t="str">
        <f t="shared" si="6"/>
        <v/>
      </c>
      <c r="AD13" s="74" t="str">
        <f t="shared" si="6"/>
        <v/>
      </c>
      <c r="AF13" s="74" t="str">
        <f>IF(AA13="","",IF(COUNTIF(Route!$AM:$AM,'Train Movement Log (page.1)'!AA13)=0,"未有資料",VLOOKUP('Train Movement Log (page.1)'!AA13,Route!$AM:$AP,3,0)))</f>
        <v/>
      </c>
      <c r="AG13" s="74" t="str">
        <f>IF(AB13="","",IF(COUNTIF(Route!$AM:$AM,'Train Movement Log (page.1)'!AB13)=0,"未有資料",VLOOKUP('Train Movement Log (page.1)'!AB13,Route!$AM:$AP,3,0)))</f>
        <v/>
      </c>
      <c r="AH13" s="74" t="str">
        <f>IF(AC13="","",IF(COUNTIF(Route!$AM:$AM,'Train Movement Log (page.1)'!AC13)=0,"未有資料",VLOOKUP('Train Movement Log (page.1)'!AC13,Route!$AM:$AP,3,0)))</f>
        <v/>
      </c>
      <c r="AI13" s="74" t="str">
        <f>IF(AD13="","",IF(COUNTIF(Route!$AM:$AM,'Train Movement Log (page.1)'!AD13)=0,"未有資料",VLOOKUP('Train Movement Log (page.1)'!AD13,Route!$AM:$AP,3,0)))</f>
        <v/>
      </c>
      <c r="AK13" s="74" t="str">
        <f>IF(AA13="","",IF(COUNTIF(Route!$AM:$AM,'Train Movement Log (page.1)'!AA13)=0,"未有資料",VLOOKUP('Train Movement Log (page.1)'!AA13,Route!$AM:$AP,4,0)))</f>
        <v/>
      </c>
      <c r="AL13" s="74" t="str">
        <f>IF(AB13="","",IF(COUNTIF(Route!$AM:$AM,'Train Movement Log (page.1)'!AB13)=0,"未有資料",VLOOKUP('Train Movement Log (page.1)'!AB13,Route!$AM:$AP,4,0)))</f>
        <v/>
      </c>
      <c r="AM13" s="74" t="str">
        <f>IF(AC13="","",IF(COUNTIF(Route!$AM:$AM,'Train Movement Log (page.1)'!AC13)=0,"未有資料",VLOOKUP('Train Movement Log (page.1)'!AC13,Route!$AM:$AP,4,0)))</f>
        <v/>
      </c>
      <c r="AN13" s="74" t="str">
        <f>IF(AD13="","",IF(COUNTIF(Route!$AM:$AM,'Train Movement Log (page.1)'!AD13)=0,"未有資料",VLOOKUP('Train Movement Log (page.1)'!AD13,Route!$AM:$AP,4,0)))</f>
        <v/>
      </c>
      <c r="AP13" s="74" t="str">
        <f t="shared" si="7"/>
        <v/>
      </c>
      <c r="AQ13" s="76" t="str">
        <f t="shared" si="8"/>
        <v/>
      </c>
      <c r="AR13" s="80" t="str">
        <f>IF($U13="","",IF(COUNTIF(choice!$D:$D,CONCATENATE($U13,"@",AR$7))=0,"",VLOOKUP(CONCATENATE($U13,"@",AR$7),choice!$D:$E,2,0)))</f>
        <v/>
      </c>
      <c r="AS13" s="74" t="str">
        <f>IF($U13="","",IF(COUNTIF(choice!$D:$D,CONCATENATE($U13,"@",AS$7))=0,"",VLOOKUP(CONCATENATE($U13,"@",AS$7),choice!$D:$E,2,0)))</f>
        <v/>
      </c>
      <c r="AT13" s="74" t="str">
        <f>IF($U13="","",IF(COUNTIF(choice!$D:$D,CONCATENATE($U13,"@",AT$7))=0,"",VLOOKUP(CONCATENATE($U13,"@",AT$7),choice!$D:$E,2,0)))</f>
        <v/>
      </c>
      <c r="AU13" s="74" t="str">
        <f>IF($U13="","",IF(COUNTIF(choice!$D:$D,CONCATENATE($U13,"@",AU$7))=0,"",VLOOKUP(CONCATENATE($U13,"@",AU$7),choice!$D:$E,2,0)))</f>
        <v/>
      </c>
      <c r="AV13" s="74" t="str">
        <f>IF($U13="","",IF(COUNTIF(choice!$D:$D,CONCATENATE($U13,"@",AV$7))=0,"",VLOOKUP(CONCATENATE($U13,"@",AV$7),choice!$D:$E,2,0)))</f>
        <v/>
      </c>
      <c r="AW13" s="74" t="str">
        <f>IF($U13="","",IF(COUNTIF(choice!$D:$D,CONCATENATE($U13,"@",AW$7))=0,"",VLOOKUP(CONCATENATE($U13,"@",AW$7),choice!$D:$E,2,0)))</f>
        <v/>
      </c>
      <c r="AX13" s="74" t="str">
        <f>IF($U13="","",IF(COUNTIF(choice!$D:$D,CONCATENATE($U13,"@",AX$7))=0,"",VLOOKUP(CONCATENATE($U13,"@",AX$7),choice!$D:$E,2,0)))</f>
        <v/>
      </c>
      <c r="AY13" s="74" t="str">
        <f>IF($U13="","",IF(COUNTIF(choice!$D:$D,CONCATENATE($U13,"@",AY$7))=0,"",VLOOKUP(CONCATENATE($U13,"@",AY$7),choice!$D:$E,2,0)))</f>
        <v/>
      </c>
      <c r="AZ13" s="74" t="str">
        <f>IF($U13="","",IF(COUNTIF(choice!$D:$D,CONCATENATE($U13,"@",AZ$7))=0,"",VLOOKUP(CONCATENATE($U13,"@",AZ$7),choice!$D:$E,2,0)))</f>
        <v/>
      </c>
      <c r="BA13" s="74" t="str">
        <f>IF($U13="","",IF(COUNTIF(choice!$D:$D,CONCATENATE($U13,"@",BA$7))=0,"",VLOOKUP(CONCATENATE($U13,"@",BA$7),choice!$D:$E,2,0)))</f>
        <v/>
      </c>
      <c r="BB13" s="74" t="str">
        <f>IF($U13="","",IF(COUNTIF(choice!$D:$D,CONCATENATE($U13,"@",BB$7))=0,"",VLOOKUP(CONCATENATE($U13,"@",BB$7),choice!$D:$E,2,0)))</f>
        <v/>
      </c>
      <c r="BC13" s="74" t="str">
        <f>IF($U13="","",IF(COUNTIF(choice!$D:$D,CONCATENATE($U13,"@",BC$7))=0,"",VLOOKUP(CONCATENATE($U13,"@",BC$7),choice!$D:$E,2,0)))</f>
        <v/>
      </c>
      <c r="BD13" s="74" t="str">
        <f>IF($U13="","",IF(COUNTIF(choice!$D:$D,CONCATENATE($U13,"@",BD$7))=0,"",VLOOKUP(CONCATENATE($U13,"@",BD$7),choice!$D:$E,2,0)))</f>
        <v/>
      </c>
      <c r="BE13" s="74" t="str">
        <f>IF($U13="","",IF(COUNTIF(choice!$D:$D,CONCATENATE($U13,"@",BE$7))=0,"",VLOOKUP(CONCATENATE($U13,"@",BE$7),choice!$D:$E,2,0)))</f>
        <v/>
      </c>
      <c r="BF13" s="74" t="str">
        <f>IF($U13="","",IF(COUNTIF(choice!$D:$D,CONCATENATE($U13,"@",BF$7))=0,"",VLOOKUP(CONCATENATE($U13,"@",BF$7),choice!$D:$E,2,0)))</f>
        <v/>
      </c>
      <c r="BG13" s="74" t="str">
        <f>IF($U13="","",IF(COUNTIF(choice!$D:$D,CONCATENATE($U13,"@",BG$7))=0,"",VLOOKUP(CONCATENATE($U13,"@",BG$7),choice!$D:$E,2,0)))</f>
        <v/>
      </c>
      <c r="BH13" s="74" t="str">
        <f>IF($U13="","",IF(COUNTIF(choice!$D:$D,CONCATENATE($U13,"@",BH$7))=0,"",VLOOKUP(CONCATENATE($U13,"@",BH$7),choice!$D:$E,2,0)))</f>
        <v/>
      </c>
      <c r="BI13" s="74" t="str">
        <f>IF($U13="","",IF(COUNTIF(choice!$D:$D,CONCATENATE($U13,"@",BI$7))=0,"",VLOOKUP(CONCATENATE($U13,"@",BI$7),choice!$D:$E,2,0)))</f>
        <v/>
      </c>
      <c r="BJ13" s="74" t="str">
        <f>IF($U13="","",IF(COUNTIF(choice!$D:$D,CONCATENATE($U13,"@",BJ$7))=0,"",VLOOKUP(CONCATENATE($U13,"@",BJ$7),choice!$D:$E,2,0)))</f>
        <v/>
      </c>
      <c r="BK13" s="74" t="str">
        <f>IF($U13="","",IF(COUNTIF(choice!$D:$D,CONCATENATE($U13,"@",BK$7))=0,"",VLOOKUP(CONCATENATE($U13,"@",BK$7),choice!$D:$E,2,0)))</f>
        <v/>
      </c>
      <c r="BL13" s="74" t="str">
        <f>IF($U13="","",IF(COUNTIF(choice!$D:$D,CONCATENATE($U13,"@",BL$7))=0,"",VLOOKUP(CONCATENATE($U13,"@",BL$7),choice!$D:$E,2,0)))</f>
        <v/>
      </c>
      <c r="BM13" s="74" t="str">
        <f>IF($U13="","",IF(COUNTIF(choice!$D:$D,CONCATENATE($U13,"@",BM$7))=0,"",VLOOKUP(CONCATENATE($U13,"@",BM$7),choice!$D:$E,2,0)))</f>
        <v/>
      </c>
      <c r="BN13" s="74" t="str">
        <f>IF($U13="","",IF(COUNTIF(choice!$D:$D,CONCATENATE($U13,"@",BN$7))=0,"",VLOOKUP(CONCATENATE($U13,"@",BN$7),choice!$D:$E,2,0)))</f>
        <v/>
      </c>
      <c r="BO13" s="74" t="str">
        <f>IF($U13="","",IF(COUNTIF(choice!$D:$D,CONCATENATE($U13,"@",BO$7))=0,"",VLOOKUP(CONCATENATE($U13,"@",BO$7),choice!$D:$E,2,0)))</f>
        <v/>
      </c>
      <c r="BP13" s="74" t="str">
        <f>IF($U13="","",IF(COUNTIF(choice!$D:$D,CONCATENATE($U13,"@",BP$7))=0,"",VLOOKUP(CONCATENATE($U13,"@",BP$7),choice!$D:$E,2,0)))</f>
        <v/>
      </c>
      <c r="BQ13" s="74" t="str">
        <f>IF($U13="","",IF(COUNTIF(choice!$D:$D,CONCATENATE($U13,"@",BQ$7))=0,"",VLOOKUP(CONCATENATE($U13,"@",BQ$7),choice!$D:$E,2,0)))</f>
        <v/>
      </c>
      <c r="BR13" s="74" t="str">
        <f>IF($U13="","",IF(COUNTIF(choice!$D:$D,CONCATENATE($U13,"@",BR$7))=0,"",VLOOKUP(CONCATENATE($U13,"@",BR$7),choice!$D:$E,2,0)))</f>
        <v/>
      </c>
      <c r="BS13" s="74" t="str">
        <f>IF($U13="","",IF(COUNTIF(choice!$D:$D,CONCATENATE($U13,"@",BS$7))=0,"",VLOOKUP(CONCATENATE($U13,"@",BS$7),choice!$D:$E,2,0)))</f>
        <v/>
      </c>
      <c r="BT13" s="74" t="str">
        <f>IF($U13="","",IF(COUNTIF(choice!$D:$D,CONCATENATE($U13,"@",BT$7))=0,"",VLOOKUP(CONCATENATE($U13,"@",BT$7),choice!$D:$E,2,0)))</f>
        <v/>
      </c>
      <c r="BU13" s="74" t="str">
        <f>IF($U13="","",IF(COUNTIF(choice!$D:$D,CONCATENATE($U13,"@",BU$7))=0,"",VLOOKUP(CONCATENATE($U13,"@",BU$7),choice!$D:$E,2,0)))</f>
        <v/>
      </c>
      <c r="BV13" s="74" t="str">
        <f>IF($U13="","",IF(COUNTIF(choice!$D:$D,CONCATENATE($U13,"@",BV$7))=0,"",VLOOKUP(CONCATENATE($U13,"@",BV$7),choice!$D:$E,2,0)))</f>
        <v/>
      </c>
      <c r="BW13" s="74" t="str">
        <f>IF($U13="","",IF(COUNTIF(choice!$D:$D,CONCATENATE($U13,"@",BW$7))=0,"",VLOOKUP(CONCATENATE($U13,"@",BW$7),choice!$D:$E,2,0)))</f>
        <v/>
      </c>
      <c r="BX13" s="74" t="str">
        <f>IF($U13="","",IF(COUNTIF(choice!$D:$D,CONCATENATE($U13,"@",BX$7))=0,"",VLOOKUP(CONCATENATE($U13,"@",BX$7),choice!$D:$E,2,0)))</f>
        <v/>
      </c>
      <c r="BY13" s="74" t="str">
        <f>IF($U13="","",IF(COUNTIF(choice!$D:$D,CONCATENATE($U13,"@",BY$7))=0,"",VLOOKUP(CONCATENATE($U13,"@",BY$7),choice!$D:$E,2,0)))</f>
        <v/>
      </c>
      <c r="BZ13" s="74" t="str">
        <f>IF($U13="","",IF(COUNTIF(choice!$D:$D,CONCATENATE($U13,"@",BZ$7))=0,"",VLOOKUP(CONCATENATE($U13,"@",BZ$7),choice!$D:$E,2,0)))</f>
        <v/>
      </c>
      <c r="CA13" s="74" t="str">
        <f>IF($U13="","",IF(COUNTIF(choice!$D:$D,CONCATENATE($U13,"@",CA$7))=0,"",VLOOKUP(CONCATENATE($U13,"@",CA$7),choice!$D:$E,2,0)))</f>
        <v/>
      </c>
      <c r="CB13" s="74" t="str">
        <f>IF($U13="","",IF(COUNTIF(choice!$D:$D,CONCATENATE($U13,"@",CB$7))=0,"",VLOOKUP(CONCATENATE($U13,"@",CB$7),choice!$D:$E,2,0)))</f>
        <v/>
      </c>
      <c r="CC13" s="74" t="str">
        <f>IF($U13="","",IF(COUNTIF(choice!$D:$D,CONCATENATE($U13,"@",CC$7))=0,"",VLOOKUP(CONCATENATE($U13,"@",CC$7),choice!$D:$E,2,0)))</f>
        <v/>
      </c>
      <c r="CD13" s="74" t="str">
        <f>IF($U13="","",IF(COUNTIF(choice!$D:$D,CONCATENATE($U13,"@",CD$7))=0,"",VLOOKUP(CONCATENATE($U13,"@",CD$7),choice!$D:$E,2,0)))</f>
        <v/>
      </c>
      <c r="CE13" s="74" t="str">
        <f>IF($U13="","",IF(COUNTIF(choice!$D:$D,CONCATENATE($U13,"@",CE$7))=0,"",VLOOKUP(CONCATENATE($U13,"@",CE$7),choice!$D:$E,2,0)))</f>
        <v/>
      </c>
      <c r="CF13" s="74" t="str">
        <f>IF($U13="","",IF(COUNTIF(choice!$D:$D,CONCATENATE($U13,"@",CF$7))=0,"",VLOOKUP(CONCATENATE($U13,"@",CF$7),choice!$D:$E,2,0)))</f>
        <v/>
      </c>
      <c r="CG13" s="74" t="str">
        <f>IF($U13="","",IF(COUNTIF(choice!$D:$D,CONCATENATE($U13,"@",CG$7))=0,"",VLOOKUP(CONCATENATE($U13,"@",CG$7),choice!$D:$E,2,0)))</f>
        <v/>
      </c>
      <c r="CH13" s="74" t="str">
        <f>IF($U13="","",IF(COUNTIF(choice!$D:$D,CONCATENATE($U13,"@",CH$7))=0,"",VLOOKUP(CONCATENATE($U13,"@",CH$7),choice!$D:$E,2,0)))</f>
        <v/>
      </c>
      <c r="CI13" s="74" t="str">
        <f>IF($U13="","",IF(COUNTIF(choice!$D:$D,CONCATENATE($U13,"@",CI$7))=0,"",VLOOKUP(CONCATENATE($U13,"@",CI$7),choice!$D:$E,2,0)))</f>
        <v/>
      </c>
      <c r="CJ13" s="81" t="str">
        <f>IF($U13="","",IF(COUNTIF(choice!$D:$D,CONCATENATE($U13,"@",CJ$7))=0,"",VLOOKUP(CONCATENATE($U13,"@",CJ$7),choice!$D:$E,2,0)))</f>
        <v/>
      </c>
      <c r="CK13" s="80" t="str">
        <f>IF($V13="","",IF(COUNTIF(choice!$D:$D,CONCATENATE($V13,"@",CK$7))=0,"",VLOOKUP(CONCATENATE($V13,"@",CK$7),choice!$D:$E,2,0)))</f>
        <v/>
      </c>
      <c r="CL13" s="74" t="str">
        <f>IF($V13="","",IF(COUNTIF(choice!$D:$D,CONCATENATE($V13,"@",CL$7))=0,"",VLOOKUP(CONCATENATE($V13,"@",CL$7),choice!$D:$E,2,0)))</f>
        <v/>
      </c>
      <c r="CM13" s="74" t="str">
        <f>IF($V13="","",IF(COUNTIF(choice!$D:$D,CONCATENATE($V13,"@",CM$7))=0,"",VLOOKUP(CONCATENATE($V13,"@",CM$7),choice!$D:$E,2,0)))</f>
        <v/>
      </c>
      <c r="CN13" s="74" t="str">
        <f>IF($V13="","",IF(COUNTIF(choice!$D:$D,CONCATENATE($V13,"@",CN$7))=0,"",VLOOKUP(CONCATENATE($V13,"@",CN$7),choice!$D:$E,2,0)))</f>
        <v/>
      </c>
      <c r="CO13" s="74" t="str">
        <f>IF($V13="","",IF(COUNTIF(choice!$D:$D,CONCATENATE($V13,"@",CO$7))=0,"",VLOOKUP(CONCATENATE($V13,"@",CO$7),choice!$D:$E,2,0)))</f>
        <v/>
      </c>
      <c r="CP13" s="74" t="str">
        <f>IF($V13="","",IF(COUNTIF(choice!$D:$D,CONCATENATE($V13,"@",CP$7))=0,"",VLOOKUP(CONCATENATE($V13,"@",CP$7),choice!$D:$E,2,0)))</f>
        <v/>
      </c>
      <c r="CQ13" s="74" t="str">
        <f>IF($V13="","",IF(COUNTIF(choice!$D:$D,CONCATENATE($V13,"@",CQ$7))=0,"",VLOOKUP(CONCATENATE($V13,"@",CQ$7),choice!$D:$E,2,0)))</f>
        <v/>
      </c>
      <c r="CR13" s="74" t="str">
        <f>IF($V13="","",IF(COUNTIF(choice!$D:$D,CONCATENATE($V13,"@",CR$7))=0,"",VLOOKUP(CONCATENATE($V13,"@",CR$7),choice!$D:$E,2,0)))</f>
        <v/>
      </c>
      <c r="CS13" s="74" t="str">
        <f>IF($V13="","",IF(COUNTIF(choice!$D:$D,CONCATENATE($V13,"@",CS$7))=0,"",VLOOKUP(CONCATENATE($V13,"@",CS$7),choice!$D:$E,2,0)))</f>
        <v/>
      </c>
      <c r="CT13" s="74" t="str">
        <f>IF($V13="","",IF(COUNTIF(choice!$D:$D,CONCATENATE($V13,"@",CT$7))=0,"",VLOOKUP(CONCATENATE($V13,"@",CT$7),choice!$D:$E,2,0)))</f>
        <v/>
      </c>
      <c r="CU13" s="74" t="str">
        <f>IF($V13="","",IF(COUNTIF(choice!$D:$D,CONCATENATE($V13,"@",CU$7))=0,"",VLOOKUP(CONCATENATE($V13,"@",CU$7),choice!$D:$E,2,0)))</f>
        <v/>
      </c>
      <c r="CV13" s="74" t="str">
        <f>IF($V13="","",IF(COUNTIF(choice!$D:$D,CONCATENATE($V13,"@",CV$7))=0,"",VLOOKUP(CONCATENATE($V13,"@",CV$7),choice!$D:$E,2,0)))</f>
        <v/>
      </c>
      <c r="CW13" s="74" t="str">
        <f>IF($V13="","",IF(COUNTIF(choice!$D:$D,CONCATENATE($V13,"@",CW$7))=0,"",VLOOKUP(CONCATENATE($V13,"@",CW$7),choice!$D:$E,2,0)))</f>
        <v/>
      </c>
      <c r="CX13" s="74" t="str">
        <f>IF($V13="","",IF(COUNTIF(choice!$D:$D,CONCATENATE($V13,"@",CX$7))=0,"",VLOOKUP(CONCATENATE($V13,"@",CX$7),choice!$D:$E,2,0)))</f>
        <v/>
      </c>
      <c r="CY13" s="74" t="str">
        <f>IF($V13="","",IF(COUNTIF(choice!$D:$D,CONCATENATE($V13,"@",CY$7))=0,"",VLOOKUP(CONCATENATE($V13,"@",CY$7),choice!$D:$E,2,0)))</f>
        <v/>
      </c>
      <c r="CZ13" s="74" t="str">
        <f>IF($V13="","",IF(COUNTIF(choice!$D:$D,CONCATENATE($V13,"@",CZ$7))=0,"",VLOOKUP(CONCATENATE($V13,"@",CZ$7),choice!$D:$E,2,0)))</f>
        <v/>
      </c>
      <c r="DA13" s="74" t="str">
        <f>IF($V13="","",IF(COUNTIF(choice!$D:$D,CONCATENATE($V13,"@",DA$7))=0,"",VLOOKUP(CONCATENATE($V13,"@",DA$7),choice!$D:$E,2,0)))</f>
        <v/>
      </c>
      <c r="DB13" s="74" t="str">
        <f>IF($V13="","",IF(COUNTIF(choice!$D:$D,CONCATENATE($V13,"@",DB$7))=0,"",VLOOKUP(CONCATENATE($V13,"@",DB$7),choice!$D:$E,2,0)))</f>
        <v/>
      </c>
      <c r="DC13" s="74" t="str">
        <f>IF($V13="","",IF(COUNTIF(choice!$D:$D,CONCATENATE($V13,"@",DC$7))=0,"",VLOOKUP(CONCATENATE($V13,"@",DC$7),choice!$D:$E,2,0)))</f>
        <v/>
      </c>
      <c r="DD13" s="74" t="str">
        <f>IF($V13="","",IF(COUNTIF(choice!$D:$D,CONCATENATE($V13,"@",DD$7))=0,"",VLOOKUP(CONCATENATE($V13,"@",DD$7),choice!$D:$E,2,0)))</f>
        <v/>
      </c>
      <c r="DE13" s="74" t="str">
        <f>IF($V13="","",IF(COUNTIF(choice!$D:$D,CONCATENATE($V13,"@",DE$7))=0,"",VLOOKUP(CONCATENATE($V13,"@",DE$7),choice!$D:$E,2,0)))</f>
        <v/>
      </c>
      <c r="DF13" s="74" t="str">
        <f>IF($V13="","",IF(COUNTIF(choice!$D:$D,CONCATENATE($V13,"@",DF$7))=0,"",VLOOKUP(CONCATENATE($V13,"@",DF$7),choice!$D:$E,2,0)))</f>
        <v/>
      </c>
      <c r="DG13" s="74" t="str">
        <f>IF($V13="","",IF(COUNTIF(choice!$D:$D,CONCATENATE($V13,"@",DG$7))=0,"",VLOOKUP(CONCATENATE($V13,"@",DG$7),choice!$D:$E,2,0)))</f>
        <v/>
      </c>
      <c r="DH13" s="74" t="str">
        <f>IF($V13="","",IF(COUNTIF(choice!$D:$D,CONCATENATE($V13,"@",DH$7))=0,"",VLOOKUP(CONCATENATE($V13,"@",DH$7),choice!$D:$E,2,0)))</f>
        <v/>
      </c>
      <c r="DI13" s="74" t="str">
        <f>IF($V13="","",IF(COUNTIF(choice!$D:$D,CONCATENATE($V13,"@",DI$7))=0,"",VLOOKUP(CONCATENATE($V13,"@",DI$7),choice!$D:$E,2,0)))</f>
        <v/>
      </c>
      <c r="DJ13" s="74" t="str">
        <f>IF($V13="","",IF(COUNTIF(choice!$D:$D,CONCATENATE($V13,"@",DJ$7))=0,"",VLOOKUP(CONCATENATE($V13,"@",DJ$7),choice!$D:$E,2,0)))</f>
        <v/>
      </c>
      <c r="DK13" s="74" t="str">
        <f>IF($V13="","",IF(COUNTIF(choice!$D:$D,CONCATENATE($V13,"@",DK$7))=0,"",VLOOKUP(CONCATENATE($V13,"@",DK$7),choice!$D:$E,2,0)))</f>
        <v/>
      </c>
      <c r="DL13" s="74" t="str">
        <f>IF($V13="","",IF(COUNTIF(choice!$D:$D,CONCATENATE($V13,"@",DL$7))=0,"",VLOOKUP(CONCATENATE($V13,"@",DL$7),choice!$D:$E,2,0)))</f>
        <v/>
      </c>
      <c r="DM13" s="74" t="str">
        <f>IF($V13="","",IF(COUNTIF(choice!$D:$D,CONCATENATE($V13,"@",DM$7))=0,"",VLOOKUP(CONCATENATE($V13,"@",DM$7),choice!$D:$E,2,0)))</f>
        <v/>
      </c>
      <c r="DN13" s="74" t="str">
        <f>IF($V13="","",IF(COUNTIF(choice!$D:$D,CONCATENATE($V13,"@",DN$7))=0,"",VLOOKUP(CONCATENATE($V13,"@",DN$7),choice!$D:$E,2,0)))</f>
        <v/>
      </c>
      <c r="DO13" s="74" t="str">
        <f>IF($V13="","",IF(COUNTIF(choice!$D:$D,CONCATENATE($V13,"@",DO$7))=0,"",VLOOKUP(CONCATENATE($V13,"@",DO$7),choice!$D:$E,2,0)))</f>
        <v/>
      </c>
      <c r="DP13" s="74" t="str">
        <f>IF($V13="","",IF(COUNTIF(choice!$D:$D,CONCATENATE($V13,"@",DP$7))=0,"",VLOOKUP(CONCATENATE($V13,"@",DP$7),choice!$D:$E,2,0)))</f>
        <v/>
      </c>
      <c r="DQ13" s="74" t="str">
        <f>IF($V13="","",IF(COUNTIF(choice!$D:$D,CONCATENATE($V13,"@",DQ$7))=0,"",VLOOKUP(CONCATENATE($V13,"@",DQ$7),choice!$D:$E,2,0)))</f>
        <v/>
      </c>
      <c r="DR13" s="74" t="str">
        <f>IF($V13="","",IF(COUNTIF(choice!$D:$D,CONCATENATE($V13,"@",DR$7))=0,"",VLOOKUP(CONCATENATE($V13,"@",DR$7),choice!$D:$E,2,0)))</f>
        <v/>
      </c>
      <c r="DS13" s="74" t="str">
        <f>IF($V13="","",IF(COUNTIF(choice!$D:$D,CONCATENATE($V13,"@",DS$7))=0,"",VLOOKUP(CONCATENATE($V13,"@",DS$7),choice!$D:$E,2,0)))</f>
        <v/>
      </c>
      <c r="DT13" s="74" t="str">
        <f>IF($V13="","",IF(COUNTIF(choice!$D:$D,CONCATENATE($V13,"@",DT$7))=0,"",VLOOKUP(CONCATENATE($V13,"@",DT$7),choice!$D:$E,2,0)))</f>
        <v/>
      </c>
      <c r="DU13" s="74" t="str">
        <f>IF($V13="","",IF(COUNTIF(choice!$D:$D,CONCATENATE($V13,"@",DU$7))=0,"",VLOOKUP(CONCATENATE($V13,"@",DU$7),choice!$D:$E,2,0)))</f>
        <v/>
      </c>
      <c r="DV13" s="74" t="str">
        <f>IF($V13="","",IF(COUNTIF(choice!$D:$D,CONCATENATE($V13,"@",DV$7))=0,"",VLOOKUP(CONCATENATE($V13,"@",DV$7),choice!$D:$E,2,0)))</f>
        <v/>
      </c>
      <c r="DW13" s="74" t="str">
        <f>IF($V13="","",IF(COUNTIF(choice!$D:$D,CONCATENATE($V13,"@",DW$7))=0,"",VLOOKUP(CONCATENATE($V13,"@",DW$7),choice!$D:$E,2,0)))</f>
        <v/>
      </c>
      <c r="DX13" s="74" t="str">
        <f>IF($V13="","",IF(COUNTIF(choice!$D:$D,CONCATENATE($V13,"@",DX$7))=0,"",VLOOKUP(CONCATENATE($V13,"@",DX$7),choice!$D:$E,2,0)))</f>
        <v/>
      </c>
      <c r="DY13" s="74" t="str">
        <f>IF($V13="","",IF(COUNTIF(choice!$D:$D,CONCATENATE($V13,"@",DY$7))=0,"",VLOOKUP(CONCATENATE($V13,"@",DY$7),choice!$D:$E,2,0)))</f>
        <v/>
      </c>
      <c r="DZ13" s="74" t="str">
        <f>IF($V13="","",IF(COUNTIF(choice!$D:$D,CONCATENATE($V13,"@",DZ$7))=0,"",VLOOKUP(CONCATENATE($V13,"@",DZ$7),choice!$D:$E,2,0)))</f>
        <v/>
      </c>
      <c r="EA13" s="74" t="str">
        <f>IF($V13="","",IF(COUNTIF(choice!$D:$D,CONCATENATE($V13,"@",EA$7))=0,"",VLOOKUP(CONCATENATE($V13,"@",EA$7),choice!$D:$E,2,0)))</f>
        <v/>
      </c>
      <c r="EB13" s="74" t="str">
        <f>IF($V13="","",IF(COUNTIF(choice!$D:$D,CONCATENATE($V13,"@",EB$7))=0,"",VLOOKUP(CONCATENATE($V13,"@",EB$7),choice!$D:$E,2,0)))</f>
        <v/>
      </c>
      <c r="EC13" s="81" t="str">
        <f>IF($V13="","",IF(COUNTIF(choice!$D:$D,CONCATENATE($V13,"@",EC$7))=0,"",VLOOKUP(CONCATENATE($V13,"@",EC$7),choice!$D:$E,2,0)))</f>
        <v/>
      </c>
      <c r="ED13" s="80" t="str">
        <f>IF($W13="","",IF(COUNTIF(choice!$D:$D,CONCATENATE($W13,"@",ED$7))=0,"",VLOOKUP(CONCATENATE($W13,"@",ED$7),choice!$D:$E,2,0)))</f>
        <v/>
      </c>
      <c r="EE13" s="74" t="str">
        <f>IF($W13="","",IF(COUNTIF(choice!$D:$D,CONCATENATE($W13,"@",EE$7))=0,"",VLOOKUP(CONCATENATE($W13,"@",EE$7),choice!$D:$E,2,0)))</f>
        <v/>
      </c>
      <c r="EF13" s="74" t="str">
        <f>IF($W13="","",IF(COUNTIF(choice!$D:$D,CONCATENATE($W13,"@",EF$7))=0,"",VLOOKUP(CONCATENATE($W13,"@",EF$7),choice!$D:$E,2,0)))</f>
        <v/>
      </c>
      <c r="EG13" s="74" t="str">
        <f>IF($W13="","",IF(COUNTIF(choice!$D:$D,CONCATENATE($W13,"@",EG$7))=0,"",VLOOKUP(CONCATENATE($W13,"@",EG$7),choice!$D:$E,2,0)))</f>
        <v/>
      </c>
      <c r="EH13" s="74" t="str">
        <f>IF($W13="","",IF(COUNTIF(choice!$D:$D,CONCATENATE($W13,"@",EH$7))=0,"",VLOOKUP(CONCATENATE($W13,"@",EH$7),choice!$D:$E,2,0)))</f>
        <v/>
      </c>
      <c r="EI13" s="74" t="str">
        <f>IF($W13="","",IF(COUNTIF(choice!$D:$D,CONCATENATE($W13,"@",EI$7))=0,"",VLOOKUP(CONCATENATE($W13,"@",EI$7),choice!$D:$E,2,0)))</f>
        <v/>
      </c>
      <c r="EJ13" s="74" t="str">
        <f>IF($W13="","",IF(COUNTIF(choice!$D:$D,CONCATENATE($W13,"@",EJ$7))=0,"",VLOOKUP(CONCATENATE($W13,"@",EJ$7),choice!$D:$E,2,0)))</f>
        <v/>
      </c>
      <c r="EK13" s="74" t="str">
        <f>IF($W13="","",IF(COUNTIF(choice!$D:$D,CONCATENATE($W13,"@",EK$7))=0,"",VLOOKUP(CONCATENATE($W13,"@",EK$7),choice!$D:$E,2,0)))</f>
        <v/>
      </c>
      <c r="EL13" s="74" t="str">
        <f>IF($W13="","",IF(COUNTIF(choice!$D:$D,CONCATENATE($W13,"@",EL$7))=0,"",VLOOKUP(CONCATENATE($W13,"@",EL$7),choice!$D:$E,2,0)))</f>
        <v/>
      </c>
      <c r="EM13" s="74" t="str">
        <f>IF($W13="","",IF(COUNTIF(choice!$D:$D,CONCATENATE($W13,"@",EM$7))=0,"",VLOOKUP(CONCATENATE($W13,"@",EM$7),choice!$D:$E,2,0)))</f>
        <v/>
      </c>
      <c r="EN13" s="74" t="str">
        <f>IF($W13="","",IF(COUNTIF(choice!$D:$D,CONCATENATE($W13,"@",EN$7))=0,"",VLOOKUP(CONCATENATE($W13,"@",EN$7),choice!$D:$E,2,0)))</f>
        <v/>
      </c>
      <c r="EO13" s="74" t="str">
        <f>IF($W13="","",IF(COUNTIF(choice!$D:$D,CONCATENATE($W13,"@",EO$7))=0,"",VLOOKUP(CONCATENATE($W13,"@",EO$7),choice!$D:$E,2,0)))</f>
        <v/>
      </c>
      <c r="EP13" s="74" t="str">
        <f>IF($W13="","",IF(COUNTIF(choice!$D:$D,CONCATENATE($W13,"@",EP$7))=0,"",VLOOKUP(CONCATENATE($W13,"@",EP$7),choice!$D:$E,2,0)))</f>
        <v/>
      </c>
      <c r="EQ13" s="74" t="str">
        <f>IF($W13="","",IF(COUNTIF(choice!$D:$D,CONCATENATE($W13,"@",EQ$7))=0,"",VLOOKUP(CONCATENATE($W13,"@",EQ$7),choice!$D:$E,2,0)))</f>
        <v/>
      </c>
      <c r="ER13" s="74" t="str">
        <f>IF($W13="","",IF(COUNTIF(choice!$D:$D,CONCATENATE($W13,"@",ER$7))=0,"",VLOOKUP(CONCATENATE($W13,"@",ER$7),choice!$D:$E,2,0)))</f>
        <v/>
      </c>
      <c r="ES13" s="74" t="str">
        <f>IF($W13="","",IF(COUNTIF(choice!$D:$D,CONCATENATE($W13,"@",ES$7))=0,"",VLOOKUP(CONCATENATE($W13,"@",ES$7),choice!$D:$E,2,0)))</f>
        <v/>
      </c>
      <c r="ET13" s="74" t="str">
        <f>IF($W13="","",IF(COUNTIF(choice!$D:$D,CONCATENATE($W13,"@",ET$7))=0,"",VLOOKUP(CONCATENATE($W13,"@",ET$7),choice!$D:$E,2,0)))</f>
        <v/>
      </c>
      <c r="EU13" s="74" t="str">
        <f>IF($W13="","",IF(COUNTIF(choice!$D:$D,CONCATENATE($W13,"@",EU$7))=0,"",VLOOKUP(CONCATENATE($W13,"@",EU$7),choice!$D:$E,2,0)))</f>
        <v/>
      </c>
      <c r="EV13" s="74" t="str">
        <f>IF($W13="","",IF(COUNTIF(choice!$D:$D,CONCATENATE($W13,"@",EV$7))=0,"",VLOOKUP(CONCATENATE($W13,"@",EV$7),choice!$D:$E,2,0)))</f>
        <v/>
      </c>
      <c r="EW13" s="74" t="str">
        <f>IF($W13="","",IF(COUNTIF(choice!$D:$D,CONCATENATE($W13,"@",EW$7))=0,"",VLOOKUP(CONCATENATE($W13,"@",EW$7),choice!$D:$E,2,0)))</f>
        <v/>
      </c>
      <c r="EX13" s="74" t="str">
        <f>IF($W13="","",IF(COUNTIF(choice!$D:$D,CONCATENATE($W13,"@",EX$7))=0,"",VLOOKUP(CONCATENATE($W13,"@",EX$7),choice!$D:$E,2,0)))</f>
        <v/>
      </c>
      <c r="EY13" s="74" t="str">
        <f>IF($W13="","",IF(COUNTIF(choice!$D:$D,CONCATENATE($W13,"@",EY$7))=0,"",VLOOKUP(CONCATENATE($W13,"@",EY$7),choice!$D:$E,2,0)))</f>
        <v/>
      </c>
      <c r="EZ13" s="74" t="str">
        <f>IF($W13="","",IF(COUNTIF(choice!$D:$D,CONCATENATE($W13,"@",EZ$7))=0,"",VLOOKUP(CONCATENATE($W13,"@",EZ$7),choice!$D:$E,2,0)))</f>
        <v/>
      </c>
      <c r="FA13" s="74" t="str">
        <f>IF($W13="","",IF(COUNTIF(choice!$D:$D,CONCATENATE($W13,"@",FA$7))=0,"",VLOOKUP(CONCATENATE($W13,"@",FA$7),choice!$D:$E,2,0)))</f>
        <v/>
      </c>
      <c r="FB13" s="74" t="str">
        <f>IF($W13="","",IF(COUNTIF(choice!$D:$D,CONCATENATE($W13,"@",FB$7))=0,"",VLOOKUP(CONCATENATE($W13,"@",FB$7),choice!$D:$E,2,0)))</f>
        <v/>
      </c>
      <c r="FC13" s="74" t="str">
        <f>IF($W13="","",IF(COUNTIF(choice!$D:$D,CONCATENATE($W13,"@",FC$7))=0,"",VLOOKUP(CONCATENATE($W13,"@",FC$7),choice!$D:$E,2,0)))</f>
        <v/>
      </c>
      <c r="FD13" s="74" t="str">
        <f>IF($W13="","",IF(COUNTIF(choice!$D:$D,CONCATENATE($W13,"@",FD$7))=0,"",VLOOKUP(CONCATENATE($W13,"@",FD$7),choice!$D:$E,2,0)))</f>
        <v/>
      </c>
      <c r="FE13" s="74" t="str">
        <f>IF($W13="","",IF(COUNTIF(choice!$D:$D,CONCATENATE($W13,"@",FE$7))=0,"",VLOOKUP(CONCATENATE($W13,"@",FE$7),choice!$D:$E,2,0)))</f>
        <v/>
      </c>
      <c r="FF13" s="74" t="str">
        <f>IF($W13="","",IF(COUNTIF(choice!$D:$D,CONCATENATE($W13,"@",FF$7))=0,"",VLOOKUP(CONCATENATE($W13,"@",FF$7),choice!$D:$E,2,0)))</f>
        <v/>
      </c>
      <c r="FG13" s="74" t="str">
        <f>IF($W13="","",IF(COUNTIF(choice!$D:$D,CONCATENATE($W13,"@",FG$7))=0,"",VLOOKUP(CONCATENATE($W13,"@",FG$7),choice!$D:$E,2,0)))</f>
        <v/>
      </c>
      <c r="FH13" s="74" t="str">
        <f>IF($W13="","",IF(COUNTIF(choice!$D:$D,CONCATENATE($W13,"@",FH$7))=0,"",VLOOKUP(CONCATENATE($W13,"@",FH$7),choice!$D:$E,2,0)))</f>
        <v/>
      </c>
      <c r="FI13" s="74" t="str">
        <f>IF($W13="","",IF(COUNTIF(choice!$D:$D,CONCATENATE($W13,"@",FI$7))=0,"",VLOOKUP(CONCATENATE($W13,"@",FI$7),choice!$D:$E,2,0)))</f>
        <v/>
      </c>
      <c r="FJ13" s="74" t="str">
        <f>IF($W13="","",IF(COUNTIF(choice!$D:$D,CONCATENATE($W13,"@",FJ$7))=0,"",VLOOKUP(CONCATENATE($W13,"@",FJ$7),choice!$D:$E,2,0)))</f>
        <v/>
      </c>
      <c r="FK13" s="74" t="str">
        <f>IF($W13="","",IF(COUNTIF(choice!$D:$D,CONCATENATE($W13,"@",FK$7))=0,"",VLOOKUP(CONCATENATE($W13,"@",FK$7),choice!$D:$E,2,0)))</f>
        <v/>
      </c>
      <c r="FL13" s="74" t="str">
        <f>IF($W13="","",IF(COUNTIF(choice!$D:$D,CONCATENATE($W13,"@",FL$7))=0,"",VLOOKUP(CONCATENATE($W13,"@",FL$7),choice!$D:$E,2,0)))</f>
        <v/>
      </c>
      <c r="FM13" s="74" t="str">
        <f>IF($W13="","",IF(COUNTIF(choice!$D:$D,CONCATENATE($W13,"@",FM$7))=0,"",VLOOKUP(CONCATENATE($W13,"@",FM$7),choice!$D:$E,2,0)))</f>
        <v/>
      </c>
      <c r="FN13" s="74" t="str">
        <f>IF($W13="","",IF(COUNTIF(choice!$D:$D,CONCATENATE($W13,"@",FN$7))=0,"",VLOOKUP(CONCATENATE($W13,"@",FN$7),choice!$D:$E,2,0)))</f>
        <v/>
      </c>
      <c r="FO13" s="74" t="str">
        <f>IF($W13="","",IF(COUNTIF(choice!$D:$D,CONCATENATE($W13,"@",FO$7))=0,"",VLOOKUP(CONCATENATE($W13,"@",FO$7),choice!$D:$E,2,0)))</f>
        <v/>
      </c>
      <c r="FP13" s="74" t="str">
        <f>IF($W13="","",IF(COUNTIF(choice!$D:$D,CONCATENATE($W13,"@",FP$7))=0,"",VLOOKUP(CONCATENATE($W13,"@",FP$7),choice!$D:$E,2,0)))</f>
        <v/>
      </c>
      <c r="FQ13" s="74" t="str">
        <f>IF($W13="","",IF(COUNTIF(choice!$D:$D,CONCATENATE($W13,"@",FQ$7))=0,"",VLOOKUP(CONCATENATE($W13,"@",FQ$7),choice!$D:$E,2,0)))</f>
        <v/>
      </c>
      <c r="FR13" s="74" t="str">
        <f>IF($W13="","",IF(COUNTIF(choice!$D:$D,CONCATENATE($W13,"@",FR$7))=0,"",VLOOKUP(CONCATENATE($W13,"@",FR$7),choice!$D:$E,2,0)))</f>
        <v/>
      </c>
      <c r="FS13" s="74" t="str">
        <f>IF($W13="","",IF(COUNTIF(choice!$D:$D,CONCATENATE($W13,"@",FS$7))=0,"",VLOOKUP(CONCATENATE($W13,"@",FS$7),choice!$D:$E,2,0)))</f>
        <v/>
      </c>
      <c r="FT13" s="74" t="str">
        <f>IF($W13="","",IF(COUNTIF(choice!$D:$D,CONCATENATE($W13,"@",FT$7))=0,"",VLOOKUP(CONCATENATE($W13,"@",FT$7),choice!$D:$E,2,0)))</f>
        <v/>
      </c>
      <c r="FU13" s="74" t="str">
        <f>IF($W13="","",IF(COUNTIF(choice!$D:$D,CONCATENATE($W13,"@",FU$7))=0,"",VLOOKUP(CONCATENATE($W13,"@",FU$7),choice!$D:$E,2,0)))</f>
        <v/>
      </c>
      <c r="FV13" s="81" t="str">
        <f>IF($W13="","",IF(COUNTIF(choice!$D:$D,CONCATENATE($W13,"@",FV$7))=0,"",VLOOKUP(CONCATENATE($W13,"@",FV$7),choice!$D:$E,2,0)))</f>
        <v/>
      </c>
      <c r="FW13" s="80" t="str">
        <f>IF($X13="","",IF(COUNTIF(choice!$D:$D,CONCATENATE($X13,"@",FW$7))=0,"",VLOOKUP(CONCATENATE($X13,"@",FW$7),choice!$D:$E,2,0)))</f>
        <v/>
      </c>
      <c r="FX13" s="74" t="str">
        <f>IF($X13="","",IF(COUNTIF(choice!$D:$D,CONCATENATE($X13,"@",FX$7))=0,"",VLOOKUP(CONCATENATE($X13,"@",FX$7),choice!$D:$E,2,0)))</f>
        <v/>
      </c>
      <c r="FY13" s="74" t="str">
        <f>IF($X13="","",IF(COUNTIF(choice!$D:$D,CONCATENATE($X13,"@",FY$7))=0,"",VLOOKUP(CONCATENATE($X13,"@",FY$7),choice!$D:$E,2,0)))</f>
        <v/>
      </c>
      <c r="FZ13" s="74" t="str">
        <f>IF($X13="","",IF(COUNTIF(choice!$D:$D,CONCATENATE($X13,"@",FZ$7))=0,"",VLOOKUP(CONCATENATE($X13,"@",FZ$7),choice!$D:$E,2,0)))</f>
        <v/>
      </c>
      <c r="GA13" s="74" t="str">
        <f>IF($X13="","",IF(COUNTIF(choice!$D:$D,CONCATENATE($X13,"@",GA$7))=0,"",VLOOKUP(CONCATENATE($X13,"@",GA$7),choice!$D:$E,2,0)))</f>
        <v/>
      </c>
      <c r="GB13" s="74" t="str">
        <f>IF($X13="","",IF(COUNTIF(choice!$D:$D,CONCATENATE($X13,"@",GB$7))=0,"",VLOOKUP(CONCATENATE($X13,"@",GB$7),choice!$D:$E,2,0)))</f>
        <v/>
      </c>
      <c r="GC13" s="74" t="str">
        <f>IF($X13="","",IF(COUNTIF(choice!$D:$D,CONCATENATE($X13,"@",GC$7))=0,"",VLOOKUP(CONCATENATE($X13,"@",GC$7),choice!$D:$E,2,0)))</f>
        <v/>
      </c>
      <c r="GD13" s="74" t="str">
        <f>IF($X13="","",IF(COUNTIF(choice!$D:$D,CONCATENATE($X13,"@",GD$7))=0,"",VLOOKUP(CONCATENATE($X13,"@",GD$7),choice!$D:$E,2,0)))</f>
        <v/>
      </c>
      <c r="GE13" s="74" t="str">
        <f>IF($X13="","",IF(COUNTIF(choice!$D:$D,CONCATENATE($X13,"@",GE$7))=0,"",VLOOKUP(CONCATENATE($X13,"@",GE$7),choice!$D:$E,2,0)))</f>
        <v/>
      </c>
      <c r="GF13" s="74" t="str">
        <f>IF($X13="","",IF(COUNTIF(choice!$D:$D,CONCATENATE($X13,"@",GF$7))=0,"",VLOOKUP(CONCATENATE($X13,"@",GF$7),choice!$D:$E,2,0)))</f>
        <v/>
      </c>
      <c r="GG13" s="74" t="str">
        <f>IF($X13="","",IF(COUNTIF(choice!$D:$D,CONCATENATE($X13,"@",GG$7))=0,"",VLOOKUP(CONCATENATE($X13,"@",GG$7),choice!$D:$E,2,0)))</f>
        <v/>
      </c>
      <c r="GH13" s="74" t="str">
        <f>IF($X13="","",IF(COUNTIF(choice!$D:$D,CONCATENATE($X13,"@",GH$7))=0,"",VLOOKUP(CONCATENATE($X13,"@",GH$7),choice!$D:$E,2,0)))</f>
        <v/>
      </c>
      <c r="GI13" s="74" t="str">
        <f>IF($X13="","",IF(COUNTIF(choice!$D:$D,CONCATENATE($X13,"@",GI$7))=0,"",VLOOKUP(CONCATENATE($X13,"@",GI$7),choice!$D:$E,2,0)))</f>
        <v/>
      </c>
      <c r="GJ13" s="74" t="str">
        <f>IF($X13="","",IF(COUNTIF(choice!$D:$D,CONCATENATE($X13,"@",GJ$7))=0,"",VLOOKUP(CONCATENATE($X13,"@",GJ$7),choice!$D:$E,2,0)))</f>
        <v/>
      </c>
      <c r="GK13" s="74" t="str">
        <f>IF($X13="","",IF(COUNTIF(choice!$D:$D,CONCATENATE($X13,"@",GK$7))=0,"",VLOOKUP(CONCATENATE($X13,"@",GK$7),choice!$D:$E,2,0)))</f>
        <v/>
      </c>
      <c r="GL13" s="74" t="str">
        <f>IF($X13="","",IF(COUNTIF(choice!$D:$D,CONCATENATE($X13,"@",GL$7))=0,"",VLOOKUP(CONCATENATE($X13,"@",GL$7),choice!$D:$E,2,0)))</f>
        <v/>
      </c>
      <c r="GM13" s="74" t="str">
        <f>IF($X13="","",IF(COUNTIF(choice!$D:$D,CONCATENATE($X13,"@",GM$7))=0,"",VLOOKUP(CONCATENATE($X13,"@",GM$7),choice!$D:$E,2,0)))</f>
        <v/>
      </c>
      <c r="GN13" s="74" t="str">
        <f>IF($X13="","",IF(COUNTIF(choice!$D:$D,CONCATENATE($X13,"@",GN$7))=0,"",VLOOKUP(CONCATENATE($X13,"@",GN$7),choice!$D:$E,2,0)))</f>
        <v/>
      </c>
      <c r="GO13" s="74" t="str">
        <f>IF($X13="","",IF(COUNTIF(choice!$D:$D,CONCATENATE($X13,"@",GO$7))=0,"",VLOOKUP(CONCATENATE($X13,"@",GO$7),choice!$D:$E,2,0)))</f>
        <v/>
      </c>
      <c r="GP13" s="74" t="str">
        <f>IF($X13="","",IF(COUNTIF(choice!$D:$D,CONCATENATE($X13,"@",GP$7))=0,"",VLOOKUP(CONCATENATE($X13,"@",GP$7),choice!$D:$E,2,0)))</f>
        <v/>
      </c>
      <c r="GQ13" s="74" t="str">
        <f>IF($X13="","",IF(COUNTIF(choice!$D:$D,CONCATENATE($X13,"@",GQ$7))=0,"",VLOOKUP(CONCATENATE($X13,"@",GQ$7),choice!$D:$E,2,0)))</f>
        <v/>
      </c>
      <c r="GR13" s="74" t="str">
        <f>IF($X13="","",IF(COUNTIF(choice!$D:$D,CONCATENATE($X13,"@",GR$7))=0,"",VLOOKUP(CONCATENATE($X13,"@",GR$7),choice!$D:$E,2,0)))</f>
        <v/>
      </c>
      <c r="GS13" s="74" t="str">
        <f>IF($X13="","",IF(COUNTIF(choice!$D:$D,CONCATENATE($X13,"@",GS$7))=0,"",VLOOKUP(CONCATENATE($X13,"@",GS$7),choice!$D:$E,2,0)))</f>
        <v/>
      </c>
      <c r="GT13" s="74" t="str">
        <f>IF($X13="","",IF(COUNTIF(choice!$D:$D,CONCATENATE($X13,"@",GT$7))=0,"",VLOOKUP(CONCATENATE($X13,"@",GT$7),choice!$D:$E,2,0)))</f>
        <v/>
      </c>
      <c r="GU13" s="74" t="str">
        <f>IF($X13="","",IF(COUNTIF(choice!$D:$D,CONCATENATE($X13,"@",GU$7))=0,"",VLOOKUP(CONCATENATE($X13,"@",GU$7),choice!$D:$E,2,0)))</f>
        <v/>
      </c>
      <c r="GV13" s="74" t="str">
        <f>IF($X13="","",IF(COUNTIF(choice!$D:$D,CONCATENATE($X13,"@",GV$7))=0,"",VLOOKUP(CONCATENATE($X13,"@",GV$7),choice!$D:$E,2,0)))</f>
        <v/>
      </c>
      <c r="GW13" s="74" t="str">
        <f>IF($X13="","",IF(COUNTIF(choice!$D:$D,CONCATENATE($X13,"@",GW$7))=0,"",VLOOKUP(CONCATENATE($X13,"@",GW$7),choice!$D:$E,2,0)))</f>
        <v/>
      </c>
      <c r="GX13" s="74" t="str">
        <f>IF($X13="","",IF(COUNTIF(choice!$D:$D,CONCATENATE($X13,"@",GX$7))=0,"",VLOOKUP(CONCATENATE($X13,"@",GX$7),choice!$D:$E,2,0)))</f>
        <v/>
      </c>
      <c r="GY13" s="74" t="str">
        <f>IF($X13="","",IF(COUNTIF(choice!$D:$D,CONCATENATE($X13,"@",GY$7))=0,"",VLOOKUP(CONCATENATE($X13,"@",GY$7),choice!$D:$E,2,0)))</f>
        <v/>
      </c>
      <c r="GZ13" s="74" t="str">
        <f>IF($X13="","",IF(COUNTIF(choice!$D:$D,CONCATENATE($X13,"@",GZ$7))=0,"",VLOOKUP(CONCATENATE($X13,"@",GZ$7),choice!$D:$E,2,0)))</f>
        <v/>
      </c>
      <c r="HA13" s="74" t="str">
        <f>IF($X13="","",IF(COUNTIF(choice!$D:$D,CONCATENATE($X13,"@",HA$7))=0,"",VLOOKUP(CONCATENATE($X13,"@",HA$7),choice!$D:$E,2,0)))</f>
        <v/>
      </c>
      <c r="HB13" s="74" t="str">
        <f>IF($X13="","",IF(COUNTIF(choice!$D:$D,CONCATENATE($X13,"@",HB$7))=0,"",VLOOKUP(CONCATENATE($X13,"@",HB$7),choice!$D:$E,2,0)))</f>
        <v/>
      </c>
      <c r="HC13" s="74" t="str">
        <f>IF($X13="","",IF(COUNTIF(choice!$D:$D,CONCATENATE($X13,"@",HC$7))=0,"",VLOOKUP(CONCATENATE($X13,"@",HC$7),choice!$D:$E,2,0)))</f>
        <v/>
      </c>
      <c r="HD13" s="74" t="str">
        <f>IF($X13="","",IF(COUNTIF(choice!$D:$D,CONCATENATE($X13,"@",HD$7))=0,"",VLOOKUP(CONCATENATE($X13,"@",HD$7),choice!$D:$E,2,0)))</f>
        <v/>
      </c>
      <c r="HE13" s="74" t="str">
        <f>IF($X13="","",IF(COUNTIF(choice!$D:$D,CONCATENATE($X13,"@",HE$7))=0,"",VLOOKUP(CONCATENATE($X13,"@",HE$7),choice!$D:$E,2,0)))</f>
        <v/>
      </c>
      <c r="HF13" s="74" t="str">
        <f>IF($X13="","",IF(COUNTIF(choice!$D:$D,CONCATENATE($X13,"@",HF$7))=0,"",VLOOKUP(CONCATENATE($X13,"@",HF$7),choice!$D:$E,2,0)))</f>
        <v/>
      </c>
      <c r="HG13" s="74" t="str">
        <f>IF($X13="","",IF(COUNTIF(choice!$D:$D,CONCATENATE($X13,"@",HG$7))=0,"",VLOOKUP(CONCATENATE($X13,"@",HG$7),choice!$D:$E,2,0)))</f>
        <v/>
      </c>
      <c r="HH13" s="74" t="str">
        <f>IF($X13="","",IF(COUNTIF(choice!$D:$D,CONCATENATE($X13,"@",HH$7))=0,"",VLOOKUP(CONCATENATE($X13,"@",HH$7),choice!$D:$E,2,0)))</f>
        <v/>
      </c>
      <c r="HI13" s="74" t="str">
        <f>IF($X13="","",IF(COUNTIF(choice!$D:$D,CONCATENATE($X13,"@",HI$7))=0,"",VLOOKUP(CONCATENATE($X13,"@",HI$7),choice!$D:$E,2,0)))</f>
        <v/>
      </c>
      <c r="HJ13" s="74" t="str">
        <f>IF($X13="","",IF(COUNTIF(choice!$D:$D,CONCATENATE($X13,"@",HJ$7))=0,"",VLOOKUP(CONCATENATE($X13,"@",HJ$7),choice!$D:$E,2,0)))</f>
        <v/>
      </c>
      <c r="HK13" s="74" t="str">
        <f>IF($X13="","",IF(COUNTIF(choice!$D:$D,CONCATENATE($X13,"@",HK$7))=0,"",VLOOKUP(CONCATENATE($X13,"@",HK$7),choice!$D:$E,2,0)))</f>
        <v/>
      </c>
      <c r="HL13" s="74" t="str">
        <f>IF($X13="","",IF(COUNTIF(choice!$D:$D,CONCATENATE($X13,"@",HL$7))=0,"",VLOOKUP(CONCATENATE($X13,"@",HL$7),choice!$D:$E,2,0)))</f>
        <v/>
      </c>
      <c r="HM13" s="74" t="str">
        <f>IF($X13="","",IF(COUNTIF(choice!$D:$D,CONCATENATE($X13,"@",HM$7))=0,"",VLOOKUP(CONCATENATE($X13,"@",HM$7),choice!$D:$E,2,0)))</f>
        <v/>
      </c>
      <c r="HN13" s="74" t="str">
        <f>IF($X13="","",IF(COUNTIF(choice!$D:$D,CONCATENATE($X13,"@",HN$7))=0,"",VLOOKUP(CONCATENATE($X13,"@",HN$7),choice!$D:$E,2,0)))</f>
        <v/>
      </c>
      <c r="HO13" s="81" t="str">
        <f>IF($X13="","",IF(COUNTIF(choice!$D:$D,CONCATENATE($X13,"@",HO$7))=0,"",VLOOKUP(CONCATENATE($X13,"@",HO$7),choice!$D:$E,2,0)))</f>
        <v/>
      </c>
      <c r="HP13" s="20" t="s">
        <v>62</v>
      </c>
      <c r="HQ13" s="20" t="s">
        <v>63</v>
      </c>
      <c r="HU13" s="74" t="s">
        <v>6</v>
      </c>
      <c r="HV13" s="74">
        <f t="shared" si="10"/>
        <v>0</v>
      </c>
      <c r="HW13" s="74">
        <f t="shared" si="11"/>
        <v>0</v>
      </c>
      <c r="HX13" s="74">
        <f t="shared" si="12"/>
        <v>0</v>
      </c>
      <c r="HY13" s="74">
        <f t="shared" si="13"/>
        <v>0</v>
      </c>
      <c r="HZ13" s="74">
        <f t="shared" si="19"/>
        <v>0</v>
      </c>
      <c r="IA13" s="74">
        <f t="shared" si="20"/>
        <v>0</v>
      </c>
      <c r="IB13" s="74" t="str">
        <f t="shared" si="21"/>
        <v/>
      </c>
      <c r="IC13" s="74" t="str">
        <f t="shared" si="22"/>
        <v/>
      </c>
      <c r="ID13" s="74" t="str">
        <f t="shared" si="14"/>
        <v/>
      </c>
      <c r="IE13" s="74">
        <f t="shared" si="15"/>
        <v>6</v>
      </c>
      <c r="IF13" s="74">
        <f>COUNTIFS(ID$8:ID13,"BLUE")</f>
        <v>0</v>
      </c>
      <c r="IG13" s="74" t="str">
        <f t="shared" si="16"/>
        <v/>
      </c>
      <c r="IH13" s="74" t="str">
        <f>IF(COUNTIFS($AQ13,"*02*")=0,"",COUNTIFS(IJ$8:IJ13,"BLUE"))</f>
        <v/>
      </c>
      <c r="II13" s="74" t="str">
        <f>IF(COUNTIFS($AQ13,"*04*")=0,"",COUNTIFS(IK$8:IK13,"BLUE"))</f>
        <v/>
      </c>
      <c r="IJ13" s="74" t="str">
        <f t="shared" si="23"/>
        <v/>
      </c>
      <c r="IK13" s="74" t="str">
        <f t="shared" si="24"/>
        <v/>
      </c>
      <c r="IL13" s="74" t="str">
        <f t="shared" si="17"/>
        <v/>
      </c>
      <c r="IM13" s="74" t="str">
        <f t="shared" si="18"/>
        <v/>
      </c>
      <c r="IN13" s="74">
        <f>COUNTIFS(IJ$8:IJ13,"BLUE")</f>
        <v>0</v>
      </c>
      <c r="IO13" s="74">
        <f>COUNTIFS(IK$8:IK13,"BLUE")</f>
        <v>0</v>
      </c>
    </row>
    <row r="14" spans="1:249" s="20" customFormat="1" ht="25.5" customHeight="1">
      <c r="A14" s="33"/>
      <c r="B14" s="30">
        <v>7</v>
      </c>
      <c r="C14" s="158"/>
      <c r="D14" s="174"/>
      <c r="E14" s="88" t="e">
        <f>VLOOKUP(F14,'Radio Call Sign'!A:B,2)</f>
        <v>#N/A</v>
      </c>
      <c r="F14" s="88"/>
      <c r="G14" s="88" t="e">
        <f>VLOOKUP(H14,'Radio Call Sign'!A:B,2)</f>
        <v>#N/A</v>
      </c>
      <c r="H14" s="89"/>
      <c r="I14" s="89"/>
      <c r="J14" s="90"/>
      <c r="K14" s="86"/>
      <c r="L14" s="158"/>
      <c r="M14" s="190" t="str">
        <f t="shared" si="9"/>
        <v/>
      </c>
      <c r="N14" s="21"/>
      <c r="O14" s="21"/>
      <c r="P14" s="52"/>
      <c r="Q14" s="161" t="str">
        <f>IF(AA14="","",IF(COUNTIFS('overhead line area'!$D$3:$D$100,AA14)+COUNTIFS('overhead line area'!$D$3:$D$100,AB14)+COUNTIFS('overhead line area'!$D$3:$D$100,AC14)+COUNTIFS('overhead line area'!$D$3:$D$100,AD14)=0,"","*               "))</f>
        <v/>
      </c>
      <c r="R14" s="53"/>
      <c r="S14" s="24"/>
      <c r="U14" s="74"/>
      <c r="V14" s="74"/>
      <c r="W14" s="74"/>
      <c r="X14" s="74"/>
      <c r="Y14" s="74"/>
      <c r="AA14" s="74" t="str">
        <f t="shared" si="4"/>
        <v/>
      </c>
      <c r="AB14" s="74" t="str">
        <f t="shared" si="5"/>
        <v/>
      </c>
      <c r="AC14" s="74" t="str">
        <f t="shared" si="6"/>
        <v/>
      </c>
      <c r="AD14" s="74" t="str">
        <f t="shared" si="6"/>
        <v/>
      </c>
      <c r="AF14" s="74" t="str">
        <f>IF(AA14="","",IF(COUNTIF(Route!$AM:$AM,'Train Movement Log (page.1)'!AA14)=0,"未有資料",VLOOKUP('Train Movement Log (page.1)'!AA14,Route!$AM:$AP,3,0)))</f>
        <v/>
      </c>
      <c r="AG14" s="74" t="str">
        <f>IF(AB14="","",IF(COUNTIF(Route!$AM:$AM,'Train Movement Log (page.1)'!AB14)=0,"未有資料",VLOOKUP('Train Movement Log (page.1)'!AB14,Route!$AM:$AP,3,0)))</f>
        <v/>
      </c>
      <c r="AH14" s="74" t="str">
        <f>IF(AC14="","",IF(COUNTIF(Route!$AM:$AM,'Train Movement Log (page.1)'!AC14)=0,"未有資料",VLOOKUP('Train Movement Log (page.1)'!AC14,Route!$AM:$AP,3,0)))</f>
        <v/>
      </c>
      <c r="AI14" s="74" t="str">
        <f>IF(AD14="","",IF(COUNTIF(Route!$AM:$AM,'Train Movement Log (page.1)'!AD14)=0,"未有資料",VLOOKUP('Train Movement Log (page.1)'!AD14,Route!$AM:$AP,3,0)))</f>
        <v/>
      </c>
      <c r="AK14" s="74" t="str">
        <f>IF(AA14="","",IF(COUNTIF(Route!$AM:$AM,'Train Movement Log (page.1)'!AA14)=0,"未有資料",VLOOKUP('Train Movement Log (page.1)'!AA14,Route!$AM:$AP,4,0)))</f>
        <v/>
      </c>
      <c r="AL14" s="74" t="str">
        <f>IF(AB14="","",IF(COUNTIF(Route!$AM:$AM,'Train Movement Log (page.1)'!AB14)=0,"未有資料",VLOOKUP('Train Movement Log (page.1)'!AB14,Route!$AM:$AP,4,0)))</f>
        <v/>
      </c>
      <c r="AM14" s="74" t="str">
        <f>IF(AC14="","",IF(COUNTIF(Route!$AM:$AM,'Train Movement Log (page.1)'!AC14)=0,"未有資料",VLOOKUP('Train Movement Log (page.1)'!AC14,Route!$AM:$AP,4,0)))</f>
        <v/>
      </c>
      <c r="AN14" s="74" t="str">
        <f>IF(AD14="","",IF(COUNTIF(Route!$AM:$AM,'Train Movement Log (page.1)'!AD14)=0,"未有資料",VLOOKUP('Train Movement Log (page.1)'!AD14,Route!$AM:$AP,4,0)))</f>
        <v/>
      </c>
      <c r="AP14" s="74" t="str">
        <f t="shared" si="7"/>
        <v/>
      </c>
      <c r="AQ14" s="76" t="str">
        <f t="shared" si="8"/>
        <v/>
      </c>
      <c r="AR14" s="80" t="str">
        <f>IF($U14="","",IF(COUNTIF(choice!$D:$D,CONCATENATE($U14,"@",AR$7))=0,"",VLOOKUP(CONCATENATE($U14,"@",AR$7),choice!$D:$E,2,0)))</f>
        <v/>
      </c>
      <c r="AS14" s="74" t="str">
        <f>IF($U14="","",IF(COUNTIF(choice!$D:$D,CONCATENATE($U14,"@",AS$7))=0,"",VLOOKUP(CONCATENATE($U14,"@",AS$7),choice!$D:$E,2,0)))</f>
        <v/>
      </c>
      <c r="AT14" s="74" t="str">
        <f>IF($U14="","",IF(COUNTIF(choice!$D:$D,CONCATENATE($U14,"@",AT$7))=0,"",VLOOKUP(CONCATENATE($U14,"@",AT$7),choice!$D:$E,2,0)))</f>
        <v/>
      </c>
      <c r="AU14" s="74" t="str">
        <f>IF($U14="","",IF(COUNTIF(choice!$D:$D,CONCATENATE($U14,"@",AU$7))=0,"",VLOOKUP(CONCATENATE($U14,"@",AU$7),choice!$D:$E,2,0)))</f>
        <v/>
      </c>
      <c r="AV14" s="74" t="str">
        <f>IF($U14="","",IF(COUNTIF(choice!$D:$D,CONCATENATE($U14,"@",AV$7))=0,"",VLOOKUP(CONCATENATE($U14,"@",AV$7),choice!$D:$E,2,0)))</f>
        <v/>
      </c>
      <c r="AW14" s="74" t="str">
        <f>IF($U14="","",IF(COUNTIF(choice!$D:$D,CONCATENATE($U14,"@",AW$7))=0,"",VLOOKUP(CONCATENATE($U14,"@",AW$7),choice!$D:$E,2,0)))</f>
        <v/>
      </c>
      <c r="AX14" s="74" t="str">
        <f>IF($U14="","",IF(COUNTIF(choice!$D:$D,CONCATENATE($U14,"@",AX$7))=0,"",VLOOKUP(CONCATENATE($U14,"@",AX$7),choice!$D:$E,2,0)))</f>
        <v/>
      </c>
      <c r="AY14" s="74" t="str">
        <f>IF($U14="","",IF(COUNTIF(choice!$D:$D,CONCATENATE($U14,"@",AY$7))=0,"",VLOOKUP(CONCATENATE($U14,"@",AY$7),choice!$D:$E,2,0)))</f>
        <v/>
      </c>
      <c r="AZ14" s="74" t="str">
        <f>IF($U14="","",IF(COUNTIF(choice!$D:$D,CONCATENATE($U14,"@",AZ$7))=0,"",VLOOKUP(CONCATENATE($U14,"@",AZ$7),choice!$D:$E,2,0)))</f>
        <v/>
      </c>
      <c r="BA14" s="74" t="str">
        <f>IF($U14="","",IF(COUNTIF(choice!$D:$D,CONCATENATE($U14,"@",BA$7))=0,"",VLOOKUP(CONCATENATE($U14,"@",BA$7),choice!$D:$E,2,0)))</f>
        <v/>
      </c>
      <c r="BB14" s="74" t="str">
        <f>IF($U14="","",IF(COUNTIF(choice!$D:$D,CONCATENATE($U14,"@",BB$7))=0,"",VLOOKUP(CONCATENATE($U14,"@",BB$7),choice!$D:$E,2,0)))</f>
        <v/>
      </c>
      <c r="BC14" s="74" t="str">
        <f>IF($U14="","",IF(COUNTIF(choice!$D:$D,CONCATENATE($U14,"@",BC$7))=0,"",VLOOKUP(CONCATENATE($U14,"@",BC$7),choice!$D:$E,2,0)))</f>
        <v/>
      </c>
      <c r="BD14" s="74" t="str">
        <f>IF($U14="","",IF(COUNTIF(choice!$D:$D,CONCATENATE($U14,"@",BD$7))=0,"",VLOOKUP(CONCATENATE($U14,"@",BD$7),choice!$D:$E,2,0)))</f>
        <v/>
      </c>
      <c r="BE14" s="74" t="str">
        <f>IF($U14="","",IF(COUNTIF(choice!$D:$D,CONCATENATE($U14,"@",BE$7))=0,"",VLOOKUP(CONCATENATE($U14,"@",BE$7),choice!$D:$E,2,0)))</f>
        <v/>
      </c>
      <c r="BF14" s="74" t="str">
        <f>IF($U14="","",IF(COUNTIF(choice!$D:$D,CONCATENATE($U14,"@",BF$7))=0,"",VLOOKUP(CONCATENATE($U14,"@",BF$7),choice!$D:$E,2,0)))</f>
        <v/>
      </c>
      <c r="BG14" s="74" t="str">
        <f>IF($U14="","",IF(COUNTIF(choice!$D:$D,CONCATENATE($U14,"@",BG$7))=0,"",VLOOKUP(CONCATENATE($U14,"@",BG$7),choice!$D:$E,2,0)))</f>
        <v/>
      </c>
      <c r="BH14" s="74" t="str">
        <f>IF($U14="","",IF(COUNTIF(choice!$D:$D,CONCATENATE($U14,"@",BH$7))=0,"",VLOOKUP(CONCATENATE($U14,"@",BH$7),choice!$D:$E,2,0)))</f>
        <v/>
      </c>
      <c r="BI14" s="74" t="str">
        <f>IF($U14="","",IF(COUNTIF(choice!$D:$D,CONCATENATE($U14,"@",BI$7))=0,"",VLOOKUP(CONCATENATE($U14,"@",BI$7),choice!$D:$E,2,0)))</f>
        <v/>
      </c>
      <c r="BJ14" s="74" t="str">
        <f>IF($U14="","",IF(COUNTIF(choice!$D:$D,CONCATENATE($U14,"@",BJ$7))=0,"",VLOOKUP(CONCATENATE($U14,"@",BJ$7),choice!$D:$E,2,0)))</f>
        <v/>
      </c>
      <c r="BK14" s="74" t="str">
        <f>IF($U14="","",IF(COUNTIF(choice!$D:$D,CONCATENATE($U14,"@",BK$7))=0,"",VLOOKUP(CONCATENATE($U14,"@",BK$7),choice!$D:$E,2,0)))</f>
        <v/>
      </c>
      <c r="BL14" s="74" t="str">
        <f>IF($U14="","",IF(COUNTIF(choice!$D:$D,CONCATENATE($U14,"@",BL$7))=0,"",VLOOKUP(CONCATENATE($U14,"@",BL$7),choice!$D:$E,2,0)))</f>
        <v/>
      </c>
      <c r="BM14" s="74" t="str">
        <f>IF($U14="","",IF(COUNTIF(choice!$D:$D,CONCATENATE($U14,"@",BM$7))=0,"",VLOOKUP(CONCATENATE($U14,"@",BM$7),choice!$D:$E,2,0)))</f>
        <v/>
      </c>
      <c r="BN14" s="74" t="str">
        <f>IF($U14="","",IF(COUNTIF(choice!$D:$D,CONCATENATE($U14,"@",BN$7))=0,"",VLOOKUP(CONCATENATE($U14,"@",BN$7),choice!$D:$E,2,0)))</f>
        <v/>
      </c>
      <c r="BO14" s="74" t="str">
        <f>IF($U14="","",IF(COUNTIF(choice!$D:$D,CONCATENATE($U14,"@",BO$7))=0,"",VLOOKUP(CONCATENATE($U14,"@",BO$7),choice!$D:$E,2,0)))</f>
        <v/>
      </c>
      <c r="BP14" s="74" t="str">
        <f>IF($U14="","",IF(COUNTIF(choice!$D:$D,CONCATENATE($U14,"@",BP$7))=0,"",VLOOKUP(CONCATENATE($U14,"@",BP$7),choice!$D:$E,2,0)))</f>
        <v/>
      </c>
      <c r="BQ14" s="74" t="str">
        <f>IF($U14="","",IF(COUNTIF(choice!$D:$D,CONCATENATE($U14,"@",BQ$7))=0,"",VLOOKUP(CONCATENATE($U14,"@",BQ$7),choice!$D:$E,2,0)))</f>
        <v/>
      </c>
      <c r="BR14" s="74" t="str">
        <f>IF($U14="","",IF(COUNTIF(choice!$D:$D,CONCATENATE($U14,"@",BR$7))=0,"",VLOOKUP(CONCATENATE($U14,"@",BR$7),choice!$D:$E,2,0)))</f>
        <v/>
      </c>
      <c r="BS14" s="74" t="str">
        <f>IF($U14="","",IF(COUNTIF(choice!$D:$D,CONCATENATE($U14,"@",BS$7))=0,"",VLOOKUP(CONCATENATE($U14,"@",BS$7),choice!$D:$E,2,0)))</f>
        <v/>
      </c>
      <c r="BT14" s="74" t="str">
        <f>IF($U14="","",IF(COUNTIF(choice!$D:$D,CONCATENATE($U14,"@",BT$7))=0,"",VLOOKUP(CONCATENATE($U14,"@",BT$7),choice!$D:$E,2,0)))</f>
        <v/>
      </c>
      <c r="BU14" s="74" t="str">
        <f>IF($U14="","",IF(COUNTIF(choice!$D:$D,CONCATENATE($U14,"@",BU$7))=0,"",VLOOKUP(CONCATENATE($U14,"@",BU$7),choice!$D:$E,2,0)))</f>
        <v/>
      </c>
      <c r="BV14" s="74" t="str">
        <f>IF($U14="","",IF(COUNTIF(choice!$D:$D,CONCATENATE($U14,"@",BV$7))=0,"",VLOOKUP(CONCATENATE($U14,"@",BV$7),choice!$D:$E,2,0)))</f>
        <v/>
      </c>
      <c r="BW14" s="74" t="str">
        <f>IF($U14="","",IF(COUNTIF(choice!$D:$D,CONCATENATE($U14,"@",BW$7))=0,"",VLOOKUP(CONCATENATE($U14,"@",BW$7),choice!$D:$E,2,0)))</f>
        <v/>
      </c>
      <c r="BX14" s="74" t="str">
        <f>IF($U14="","",IF(COUNTIF(choice!$D:$D,CONCATENATE($U14,"@",BX$7))=0,"",VLOOKUP(CONCATENATE($U14,"@",BX$7),choice!$D:$E,2,0)))</f>
        <v/>
      </c>
      <c r="BY14" s="74" t="str">
        <f>IF($U14="","",IF(COUNTIF(choice!$D:$D,CONCATENATE($U14,"@",BY$7))=0,"",VLOOKUP(CONCATENATE($U14,"@",BY$7),choice!$D:$E,2,0)))</f>
        <v/>
      </c>
      <c r="BZ14" s="74" t="str">
        <f>IF($U14="","",IF(COUNTIF(choice!$D:$D,CONCATENATE($U14,"@",BZ$7))=0,"",VLOOKUP(CONCATENATE($U14,"@",BZ$7),choice!$D:$E,2,0)))</f>
        <v/>
      </c>
      <c r="CA14" s="74" t="str">
        <f>IF($U14="","",IF(COUNTIF(choice!$D:$D,CONCATENATE($U14,"@",CA$7))=0,"",VLOOKUP(CONCATENATE($U14,"@",CA$7),choice!$D:$E,2,0)))</f>
        <v/>
      </c>
      <c r="CB14" s="74" t="str">
        <f>IF($U14="","",IF(COUNTIF(choice!$D:$D,CONCATENATE($U14,"@",CB$7))=0,"",VLOOKUP(CONCATENATE($U14,"@",CB$7),choice!$D:$E,2,0)))</f>
        <v/>
      </c>
      <c r="CC14" s="74" t="str">
        <f>IF($U14="","",IF(COUNTIF(choice!$D:$D,CONCATENATE($U14,"@",CC$7))=0,"",VLOOKUP(CONCATENATE($U14,"@",CC$7),choice!$D:$E,2,0)))</f>
        <v/>
      </c>
      <c r="CD14" s="74" t="str">
        <f>IF($U14="","",IF(COUNTIF(choice!$D:$D,CONCATENATE($U14,"@",CD$7))=0,"",VLOOKUP(CONCATENATE($U14,"@",CD$7),choice!$D:$E,2,0)))</f>
        <v/>
      </c>
      <c r="CE14" s="74" t="str">
        <f>IF($U14="","",IF(COUNTIF(choice!$D:$D,CONCATENATE($U14,"@",CE$7))=0,"",VLOOKUP(CONCATENATE($U14,"@",CE$7),choice!$D:$E,2,0)))</f>
        <v/>
      </c>
      <c r="CF14" s="74" t="str">
        <f>IF($U14="","",IF(COUNTIF(choice!$D:$D,CONCATENATE($U14,"@",CF$7))=0,"",VLOOKUP(CONCATENATE($U14,"@",CF$7),choice!$D:$E,2,0)))</f>
        <v/>
      </c>
      <c r="CG14" s="74" t="str">
        <f>IF($U14="","",IF(COUNTIF(choice!$D:$D,CONCATENATE($U14,"@",CG$7))=0,"",VLOOKUP(CONCATENATE($U14,"@",CG$7),choice!$D:$E,2,0)))</f>
        <v/>
      </c>
      <c r="CH14" s="74" t="str">
        <f>IF($U14="","",IF(COUNTIF(choice!$D:$D,CONCATENATE($U14,"@",CH$7))=0,"",VLOOKUP(CONCATENATE($U14,"@",CH$7),choice!$D:$E,2,0)))</f>
        <v/>
      </c>
      <c r="CI14" s="74" t="str">
        <f>IF($U14="","",IF(COUNTIF(choice!$D:$D,CONCATENATE($U14,"@",CI$7))=0,"",VLOOKUP(CONCATENATE($U14,"@",CI$7),choice!$D:$E,2,0)))</f>
        <v/>
      </c>
      <c r="CJ14" s="81" t="str">
        <f>IF($U14="","",IF(COUNTIF(choice!$D:$D,CONCATENATE($U14,"@",CJ$7))=0,"",VLOOKUP(CONCATENATE($U14,"@",CJ$7),choice!$D:$E,2,0)))</f>
        <v/>
      </c>
      <c r="CK14" s="80" t="str">
        <f>IF($V14="","",IF(COUNTIF(choice!$D:$D,CONCATENATE($V14,"@",CK$7))=0,"",VLOOKUP(CONCATENATE($V14,"@",CK$7),choice!$D:$E,2,0)))</f>
        <v/>
      </c>
      <c r="CL14" s="74" t="str">
        <f>IF($V14="","",IF(COUNTIF(choice!$D:$D,CONCATENATE($V14,"@",CL$7))=0,"",VLOOKUP(CONCATENATE($V14,"@",CL$7),choice!$D:$E,2,0)))</f>
        <v/>
      </c>
      <c r="CM14" s="74" t="str">
        <f>IF($V14="","",IF(COUNTIF(choice!$D:$D,CONCATENATE($V14,"@",CM$7))=0,"",VLOOKUP(CONCATENATE($V14,"@",CM$7),choice!$D:$E,2,0)))</f>
        <v/>
      </c>
      <c r="CN14" s="74" t="str">
        <f>IF($V14="","",IF(COUNTIF(choice!$D:$D,CONCATENATE($V14,"@",CN$7))=0,"",VLOOKUP(CONCATENATE($V14,"@",CN$7),choice!$D:$E,2,0)))</f>
        <v/>
      </c>
      <c r="CO14" s="74" t="str">
        <f>IF($V14="","",IF(COUNTIF(choice!$D:$D,CONCATENATE($V14,"@",CO$7))=0,"",VLOOKUP(CONCATENATE($V14,"@",CO$7),choice!$D:$E,2,0)))</f>
        <v/>
      </c>
      <c r="CP14" s="74" t="str">
        <f>IF($V14="","",IF(COUNTIF(choice!$D:$D,CONCATENATE($V14,"@",CP$7))=0,"",VLOOKUP(CONCATENATE($V14,"@",CP$7),choice!$D:$E,2,0)))</f>
        <v/>
      </c>
      <c r="CQ14" s="74" t="str">
        <f>IF($V14="","",IF(COUNTIF(choice!$D:$D,CONCATENATE($V14,"@",CQ$7))=0,"",VLOOKUP(CONCATENATE($V14,"@",CQ$7),choice!$D:$E,2,0)))</f>
        <v/>
      </c>
      <c r="CR14" s="74" t="str">
        <f>IF($V14="","",IF(COUNTIF(choice!$D:$D,CONCATENATE($V14,"@",CR$7))=0,"",VLOOKUP(CONCATENATE($V14,"@",CR$7),choice!$D:$E,2,0)))</f>
        <v/>
      </c>
      <c r="CS14" s="74" t="str">
        <f>IF($V14="","",IF(COUNTIF(choice!$D:$D,CONCATENATE($V14,"@",CS$7))=0,"",VLOOKUP(CONCATENATE($V14,"@",CS$7),choice!$D:$E,2,0)))</f>
        <v/>
      </c>
      <c r="CT14" s="74" t="str">
        <f>IF($V14="","",IF(COUNTIF(choice!$D:$D,CONCATENATE($V14,"@",CT$7))=0,"",VLOOKUP(CONCATENATE($V14,"@",CT$7),choice!$D:$E,2,0)))</f>
        <v/>
      </c>
      <c r="CU14" s="74" t="str">
        <f>IF($V14="","",IF(COUNTIF(choice!$D:$D,CONCATENATE($V14,"@",CU$7))=0,"",VLOOKUP(CONCATENATE($V14,"@",CU$7),choice!$D:$E,2,0)))</f>
        <v/>
      </c>
      <c r="CV14" s="74" t="str">
        <f>IF($V14="","",IF(COUNTIF(choice!$D:$D,CONCATENATE($V14,"@",CV$7))=0,"",VLOOKUP(CONCATENATE($V14,"@",CV$7),choice!$D:$E,2,0)))</f>
        <v/>
      </c>
      <c r="CW14" s="74" t="str">
        <f>IF($V14="","",IF(COUNTIF(choice!$D:$D,CONCATENATE($V14,"@",CW$7))=0,"",VLOOKUP(CONCATENATE($V14,"@",CW$7),choice!$D:$E,2,0)))</f>
        <v/>
      </c>
      <c r="CX14" s="74" t="str">
        <f>IF($V14="","",IF(COUNTIF(choice!$D:$D,CONCATENATE($V14,"@",CX$7))=0,"",VLOOKUP(CONCATENATE($V14,"@",CX$7),choice!$D:$E,2,0)))</f>
        <v/>
      </c>
      <c r="CY14" s="74" t="str">
        <f>IF($V14="","",IF(COUNTIF(choice!$D:$D,CONCATENATE($V14,"@",CY$7))=0,"",VLOOKUP(CONCATENATE($V14,"@",CY$7),choice!$D:$E,2,0)))</f>
        <v/>
      </c>
      <c r="CZ14" s="74" t="str">
        <f>IF($V14="","",IF(COUNTIF(choice!$D:$D,CONCATENATE($V14,"@",CZ$7))=0,"",VLOOKUP(CONCATENATE($V14,"@",CZ$7),choice!$D:$E,2,0)))</f>
        <v/>
      </c>
      <c r="DA14" s="74" t="str">
        <f>IF($V14="","",IF(COUNTIF(choice!$D:$D,CONCATENATE($V14,"@",DA$7))=0,"",VLOOKUP(CONCATENATE($V14,"@",DA$7),choice!$D:$E,2,0)))</f>
        <v/>
      </c>
      <c r="DB14" s="74" t="str">
        <f>IF($V14="","",IF(COUNTIF(choice!$D:$D,CONCATENATE($V14,"@",DB$7))=0,"",VLOOKUP(CONCATENATE($V14,"@",DB$7),choice!$D:$E,2,0)))</f>
        <v/>
      </c>
      <c r="DC14" s="74" t="str">
        <f>IF($V14="","",IF(COUNTIF(choice!$D:$D,CONCATENATE($V14,"@",DC$7))=0,"",VLOOKUP(CONCATENATE($V14,"@",DC$7),choice!$D:$E,2,0)))</f>
        <v/>
      </c>
      <c r="DD14" s="74" t="str">
        <f>IF($V14="","",IF(COUNTIF(choice!$D:$D,CONCATENATE($V14,"@",DD$7))=0,"",VLOOKUP(CONCATENATE($V14,"@",DD$7),choice!$D:$E,2,0)))</f>
        <v/>
      </c>
      <c r="DE14" s="74" t="str">
        <f>IF($V14="","",IF(COUNTIF(choice!$D:$D,CONCATENATE($V14,"@",DE$7))=0,"",VLOOKUP(CONCATENATE($V14,"@",DE$7),choice!$D:$E,2,0)))</f>
        <v/>
      </c>
      <c r="DF14" s="74" t="str">
        <f>IF($V14="","",IF(COUNTIF(choice!$D:$D,CONCATENATE($V14,"@",DF$7))=0,"",VLOOKUP(CONCATENATE($V14,"@",DF$7),choice!$D:$E,2,0)))</f>
        <v/>
      </c>
      <c r="DG14" s="74" t="str">
        <f>IF($V14="","",IF(COUNTIF(choice!$D:$D,CONCATENATE($V14,"@",DG$7))=0,"",VLOOKUP(CONCATENATE($V14,"@",DG$7),choice!$D:$E,2,0)))</f>
        <v/>
      </c>
      <c r="DH14" s="74" t="str">
        <f>IF($V14="","",IF(COUNTIF(choice!$D:$D,CONCATENATE($V14,"@",DH$7))=0,"",VLOOKUP(CONCATENATE($V14,"@",DH$7),choice!$D:$E,2,0)))</f>
        <v/>
      </c>
      <c r="DI14" s="74" t="str">
        <f>IF($V14="","",IF(COUNTIF(choice!$D:$D,CONCATENATE($V14,"@",DI$7))=0,"",VLOOKUP(CONCATENATE($V14,"@",DI$7),choice!$D:$E,2,0)))</f>
        <v/>
      </c>
      <c r="DJ14" s="74" t="str">
        <f>IF($V14="","",IF(COUNTIF(choice!$D:$D,CONCATENATE($V14,"@",DJ$7))=0,"",VLOOKUP(CONCATENATE($V14,"@",DJ$7),choice!$D:$E,2,0)))</f>
        <v/>
      </c>
      <c r="DK14" s="74" t="str">
        <f>IF($V14="","",IF(COUNTIF(choice!$D:$D,CONCATENATE($V14,"@",DK$7))=0,"",VLOOKUP(CONCATENATE($V14,"@",DK$7),choice!$D:$E,2,0)))</f>
        <v/>
      </c>
      <c r="DL14" s="74" t="str">
        <f>IF($V14="","",IF(COUNTIF(choice!$D:$D,CONCATENATE($V14,"@",DL$7))=0,"",VLOOKUP(CONCATENATE($V14,"@",DL$7),choice!$D:$E,2,0)))</f>
        <v/>
      </c>
      <c r="DM14" s="74" t="str">
        <f>IF($V14="","",IF(COUNTIF(choice!$D:$D,CONCATENATE($V14,"@",DM$7))=0,"",VLOOKUP(CONCATENATE($V14,"@",DM$7),choice!$D:$E,2,0)))</f>
        <v/>
      </c>
      <c r="DN14" s="74" t="str">
        <f>IF($V14="","",IF(COUNTIF(choice!$D:$D,CONCATENATE($V14,"@",DN$7))=0,"",VLOOKUP(CONCATENATE($V14,"@",DN$7),choice!$D:$E,2,0)))</f>
        <v/>
      </c>
      <c r="DO14" s="74" t="str">
        <f>IF($V14="","",IF(COUNTIF(choice!$D:$D,CONCATENATE($V14,"@",DO$7))=0,"",VLOOKUP(CONCATENATE($V14,"@",DO$7),choice!$D:$E,2,0)))</f>
        <v/>
      </c>
      <c r="DP14" s="74" t="str">
        <f>IF($V14="","",IF(COUNTIF(choice!$D:$D,CONCATENATE($V14,"@",DP$7))=0,"",VLOOKUP(CONCATENATE($V14,"@",DP$7),choice!$D:$E,2,0)))</f>
        <v/>
      </c>
      <c r="DQ14" s="74" t="str">
        <f>IF($V14="","",IF(COUNTIF(choice!$D:$D,CONCATENATE($V14,"@",DQ$7))=0,"",VLOOKUP(CONCATENATE($V14,"@",DQ$7),choice!$D:$E,2,0)))</f>
        <v/>
      </c>
      <c r="DR14" s="74" t="str">
        <f>IF($V14="","",IF(COUNTIF(choice!$D:$D,CONCATENATE($V14,"@",DR$7))=0,"",VLOOKUP(CONCATENATE($V14,"@",DR$7),choice!$D:$E,2,0)))</f>
        <v/>
      </c>
      <c r="DS14" s="74" t="str">
        <f>IF($V14="","",IF(COUNTIF(choice!$D:$D,CONCATENATE($V14,"@",DS$7))=0,"",VLOOKUP(CONCATENATE($V14,"@",DS$7),choice!$D:$E,2,0)))</f>
        <v/>
      </c>
      <c r="DT14" s="74" t="str">
        <f>IF($V14="","",IF(COUNTIF(choice!$D:$D,CONCATENATE($V14,"@",DT$7))=0,"",VLOOKUP(CONCATENATE($V14,"@",DT$7),choice!$D:$E,2,0)))</f>
        <v/>
      </c>
      <c r="DU14" s="74" t="str">
        <f>IF($V14="","",IF(COUNTIF(choice!$D:$D,CONCATENATE($V14,"@",DU$7))=0,"",VLOOKUP(CONCATENATE($V14,"@",DU$7),choice!$D:$E,2,0)))</f>
        <v/>
      </c>
      <c r="DV14" s="74" t="str">
        <f>IF($V14="","",IF(COUNTIF(choice!$D:$D,CONCATENATE($V14,"@",DV$7))=0,"",VLOOKUP(CONCATENATE($V14,"@",DV$7),choice!$D:$E,2,0)))</f>
        <v/>
      </c>
      <c r="DW14" s="74" t="str">
        <f>IF($V14="","",IF(COUNTIF(choice!$D:$D,CONCATENATE($V14,"@",DW$7))=0,"",VLOOKUP(CONCATENATE($V14,"@",DW$7),choice!$D:$E,2,0)))</f>
        <v/>
      </c>
      <c r="DX14" s="74" t="str">
        <f>IF($V14="","",IF(COUNTIF(choice!$D:$D,CONCATENATE($V14,"@",DX$7))=0,"",VLOOKUP(CONCATENATE($V14,"@",DX$7),choice!$D:$E,2,0)))</f>
        <v/>
      </c>
      <c r="DY14" s="74" t="str">
        <f>IF($V14="","",IF(COUNTIF(choice!$D:$D,CONCATENATE($V14,"@",DY$7))=0,"",VLOOKUP(CONCATENATE($V14,"@",DY$7),choice!$D:$E,2,0)))</f>
        <v/>
      </c>
      <c r="DZ14" s="74" t="str">
        <f>IF($V14="","",IF(COUNTIF(choice!$D:$D,CONCATENATE($V14,"@",DZ$7))=0,"",VLOOKUP(CONCATENATE($V14,"@",DZ$7),choice!$D:$E,2,0)))</f>
        <v/>
      </c>
      <c r="EA14" s="74" t="str">
        <f>IF($V14="","",IF(COUNTIF(choice!$D:$D,CONCATENATE($V14,"@",EA$7))=0,"",VLOOKUP(CONCATENATE($V14,"@",EA$7),choice!$D:$E,2,0)))</f>
        <v/>
      </c>
      <c r="EB14" s="74" t="str">
        <f>IF($V14="","",IF(COUNTIF(choice!$D:$D,CONCATENATE($V14,"@",EB$7))=0,"",VLOOKUP(CONCATENATE($V14,"@",EB$7),choice!$D:$E,2,0)))</f>
        <v/>
      </c>
      <c r="EC14" s="81" t="str">
        <f>IF($V14="","",IF(COUNTIF(choice!$D:$D,CONCATENATE($V14,"@",EC$7))=0,"",VLOOKUP(CONCATENATE($V14,"@",EC$7),choice!$D:$E,2,0)))</f>
        <v/>
      </c>
      <c r="ED14" s="80" t="str">
        <f>IF($W14="","",IF(COUNTIF(choice!$D:$D,CONCATENATE($W14,"@",ED$7))=0,"",VLOOKUP(CONCATENATE($W14,"@",ED$7),choice!$D:$E,2,0)))</f>
        <v/>
      </c>
      <c r="EE14" s="74" t="str">
        <f>IF($W14="","",IF(COUNTIF(choice!$D:$D,CONCATENATE($W14,"@",EE$7))=0,"",VLOOKUP(CONCATENATE($W14,"@",EE$7),choice!$D:$E,2,0)))</f>
        <v/>
      </c>
      <c r="EF14" s="74" t="str">
        <f>IF($W14="","",IF(COUNTIF(choice!$D:$D,CONCATENATE($W14,"@",EF$7))=0,"",VLOOKUP(CONCATENATE($W14,"@",EF$7),choice!$D:$E,2,0)))</f>
        <v/>
      </c>
      <c r="EG14" s="74" t="str">
        <f>IF($W14="","",IF(COUNTIF(choice!$D:$D,CONCATENATE($W14,"@",EG$7))=0,"",VLOOKUP(CONCATENATE($W14,"@",EG$7),choice!$D:$E,2,0)))</f>
        <v/>
      </c>
      <c r="EH14" s="74" t="str">
        <f>IF($W14="","",IF(COUNTIF(choice!$D:$D,CONCATENATE($W14,"@",EH$7))=0,"",VLOOKUP(CONCATENATE($W14,"@",EH$7),choice!$D:$E,2,0)))</f>
        <v/>
      </c>
      <c r="EI14" s="74" t="str">
        <f>IF($W14="","",IF(COUNTIF(choice!$D:$D,CONCATENATE($W14,"@",EI$7))=0,"",VLOOKUP(CONCATENATE($W14,"@",EI$7),choice!$D:$E,2,0)))</f>
        <v/>
      </c>
      <c r="EJ14" s="74" t="str">
        <f>IF($W14="","",IF(COUNTIF(choice!$D:$D,CONCATENATE($W14,"@",EJ$7))=0,"",VLOOKUP(CONCATENATE($W14,"@",EJ$7),choice!$D:$E,2,0)))</f>
        <v/>
      </c>
      <c r="EK14" s="74" t="str">
        <f>IF($W14="","",IF(COUNTIF(choice!$D:$D,CONCATENATE($W14,"@",EK$7))=0,"",VLOOKUP(CONCATENATE($W14,"@",EK$7),choice!$D:$E,2,0)))</f>
        <v/>
      </c>
      <c r="EL14" s="74" t="str">
        <f>IF($W14="","",IF(COUNTIF(choice!$D:$D,CONCATENATE($W14,"@",EL$7))=0,"",VLOOKUP(CONCATENATE($W14,"@",EL$7),choice!$D:$E,2,0)))</f>
        <v/>
      </c>
      <c r="EM14" s="74" t="str">
        <f>IF($W14="","",IF(COUNTIF(choice!$D:$D,CONCATENATE($W14,"@",EM$7))=0,"",VLOOKUP(CONCATENATE($W14,"@",EM$7),choice!$D:$E,2,0)))</f>
        <v/>
      </c>
      <c r="EN14" s="74" t="str">
        <f>IF($W14="","",IF(COUNTIF(choice!$D:$D,CONCATENATE($W14,"@",EN$7))=0,"",VLOOKUP(CONCATENATE($W14,"@",EN$7),choice!$D:$E,2,0)))</f>
        <v/>
      </c>
      <c r="EO14" s="74" t="str">
        <f>IF($W14="","",IF(COUNTIF(choice!$D:$D,CONCATENATE($W14,"@",EO$7))=0,"",VLOOKUP(CONCATENATE($W14,"@",EO$7),choice!$D:$E,2,0)))</f>
        <v/>
      </c>
      <c r="EP14" s="74" t="str">
        <f>IF($W14="","",IF(COUNTIF(choice!$D:$D,CONCATENATE($W14,"@",EP$7))=0,"",VLOOKUP(CONCATENATE($W14,"@",EP$7),choice!$D:$E,2,0)))</f>
        <v/>
      </c>
      <c r="EQ14" s="74" t="str">
        <f>IF($W14="","",IF(COUNTIF(choice!$D:$D,CONCATENATE($W14,"@",EQ$7))=0,"",VLOOKUP(CONCATENATE($W14,"@",EQ$7),choice!$D:$E,2,0)))</f>
        <v/>
      </c>
      <c r="ER14" s="74" t="str">
        <f>IF($W14="","",IF(COUNTIF(choice!$D:$D,CONCATENATE($W14,"@",ER$7))=0,"",VLOOKUP(CONCATENATE($W14,"@",ER$7),choice!$D:$E,2,0)))</f>
        <v/>
      </c>
      <c r="ES14" s="74" t="str">
        <f>IF($W14="","",IF(COUNTIF(choice!$D:$D,CONCATENATE($W14,"@",ES$7))=0,"",VLOOKUP(CONCATENATE($W14,"@",ES$7),choice!$D:$E,2,0)))</f>
        <v/>
      </c>
      <c r="ET14" s="74" t="str">
        <f>IF($W14="","",IF(COUNTIF(choice!$D:$D,CONCATENATE($W14,"@",ET$7))=0,"",VLOOKUP(CONCATENATE($W14,"@",ET$7),choice!$D:$E,2,0)))</f>
        <v/>
      </c>
      <c r="EU14" s="74" t="str">
        <f>IF($W14="","",IF(COUNTIF(choice!$D:$D,CONCATENATE($W14,"@",EU$7))=0,"",VLOOKUP(CONCATENATE($W14,"@",EU$7),choice!$D:$E,2,0)))</f>
        <v/>
      </c>
      <c r="EV14" s="74" t="str">
        <f>IF($W14="","",IF(COUNTIF(choice!$D:$D,CONCATENATE($W14,"@",EV$7))=0,"",VLOOKUP(CONCATENATE($W14,"@",EV$7),choice!$D:$E,2,0)))</f>
        <v/>
      </c>
      <c r="EW14" s="74" t="str">
        <f>IF($W14="","",IF(COUNTIF(choice!$D:$D,CONCATENATE($W14,"@",EW$7))=0,"",VLOOKUP(CONCATENATE($W14,"@",EW$7),choice!$D:$E,2,0)))</f>
        <v/>
      </c>
      <c r="EX14" s="74" t="str">
        <f>IF($W14="","",IF(COUNTIF(choice!$D:$D,CONCATENATE($W14,"@",EX$7))=0,"",VLOOKUP(CONCATENATE($W14,"@",EX$7),choice!$D:$E,2,0)))</f>
        <v/>
      </c>
      <c r="EY14" s="74" t="str">
        <f>IF($W14="","",IF(COUNTIF(choice!$D:$D,CONCATENATE($W14,"@",EY$7))=0,"",VLOOKUP(CONCATENATE($W14,"@",EY$7),choice!$D:$E,2,0)))</f>
        <v/>
      </c>
      <c r="EZ14" s="74" t="str">
        <f>IF($W14="","",IF(COUNTIF(choice!$D:$D,CONCATENATE($W14,"@",EZ$7))=0,"",VLOOKUP(CONCATENATE($W14,"@",EZ$7),choice!$D:$E,2,0)))</f>
        <v/>
      </c>
      <c r="FA14" s="74" t="str">
        <f>IF($W14="","",IF(COUNTIF(choice!$D:$D,CONCATENATE($W14,"@",FA$7))=0,"",VLOOKUP(CONCATENATE($W14,"@",FA$7),choice!$D:$E,2,0)))</f>
        <v/>
      </c>
      <c r="FB14" s="74" t="str">
        <f>IF($W14="","",IF(COUNTIF(choice!$D:$D,CONCATENATE($W14,"@",FB$7))=0,"",VLOOKUP(CONCATENATE($W14,"@",FB$7),choice!$D:$E,2,0)))</f>
        <v/>
      </c>
      <c r="FC14" s="74" t="str">
        <f>IF($W14="","",IF(COUNTIF(choice!$D:$D,CONCATENATE($W14,"@",FC$7))=0,"",VLOOKUP(CONCATENATE($W14,"@",FC$7),choice!$D:$E,2,0)))</f>
        <v/>
      </c>
      <c r="FD14" s="74" t="str">
        <f>IF($W14="","",IF(COUNTIF(choice!$D:$D,CONCATENATE($W14,"@",FD$7))=0,"",VLOOKUP(CONCATENATE($W14,"@",FD$7),choice!$D:$E,2,0)))</f>
        <v/>
      </c>
      <c r="FE14" s="74" t="str">
        <f>IF($W14="","",IF(COUNTIF(choice!$D:$D,CONCATENATE($W14,"@",FE$7))=0,"",VLOOKUP(CONCATENATE($W14,"@",FE$7),choice!$D:$E,2,0)))</f>
        <v/>
      </c>
      <c r="FF14" s="74" t="str">
        <f>IF($W14="","",IF(COUNTIF(choice!$D:$D,CONCATENATE($W14,"@",FF$7))=0,"",VLOOKUP(CONCATENATE($W14,"@",FF$7),choice!$D:$E,2,0)))</f>
        <v/>
      </c>
      <c r="FG14" s="74" t="str">
        <f>IF($W14="","",IF(COUNTIF(choice!$D:$D,CONCATENATE($W14,"@",FG$7))=0,"",VLOOKUP(CONCATENATE($W14,"@",FG$7),choice!$D:$E,2,0)))</f>
        <v/>
      </c>
      <c r="FH14" s="74" t="str">
        <f>IF($W14="","",IF(COUNTIF(choice!$D:$D,CONCATENATE($W14,"@",FH$7))=0,"",VLOOKUP(CONCATENATE($W14,"@",FH$7),choice!$D:$E,2,0)))</f>
        <v/>
      </c>
      <c r="FI14" s="74" t="str">
        <f>IF($W14="","",IF(COUNTIF(choice!$D:$D,CONCATENATE($W14,"@",FI$7))=0,"",VLOOKUP(CONCATENATE($W14,"@",FI$7),choice!$D:$E,2,0)))</f>
        <v/>
      </c>
      <c r="FJ14" s="74" t="str">
        <f>IF($W14="","",IF(COUNTIF(choice!$D:$D,CONCATENATE($W14,"@",FJ$7))=0,"",VLOOKUP(CONCATENATE($W14,"@",FJ$7),choice!$D:$E,2,0)))</f>
        <v/>
      </c>
      <c r="FK14" s="74" t="str">
        <f>IF($W14="","",IF(COUNTIF(choice!$D:$D,CONCATENATE($W14,"@",FK$7))=0,"",VLOOKUP(CONCATENATE($W14,"@",FK$7),choice!$D:$E,2,0)))</f>
        <v/>
      </c>
      <c r="FL14" s="74" t="str">
        <f>IF($W14="","",IF(COUNTIF(choice!$D:$D,CONCATENATE($W14,"@",FL$7))=0,"",VLOOKUP(CONCATENATE($W14,"@",FL$7),choice!$D:$E,2,0)))</f>
        <v/>
      </c>
      <c r="FM14" s="74" t="str">
        <f>IF($W14="","",IF(COUNTIF(choice!$D:$D,CONCATENATE($W14,"@",FM$7))=0,"",VLOOKUP(CONCATENATE($W14,"@",FM$7),choice!$D:$E,2,0)))</f>
        <v/>
      </c>
      <c r="FN14" s="74" t="str">
        <f>IF($W14="","",IF(COUNTIF(choice!$D:$D,CONCATENATE($W14,"@",FN$7))=0,"",VLOOKUP(CONCATENATE($W14,"@",FN$7),choice!$D:$E,2,0)))</f>
        <v/>
      </c>
      <c r="FO14" s="74" t="str">
        <f>IF($W14="","",IF(COUNTIF(choice!$D:$D,CONCATENATE($W14,"@",FO$7))=0,"",VLOOKUP(CONCATENATE($W14,"@",FO$7),choice!$D:$E,2,0)))</f>
        <v/>
      </c>
      <c r="FP14" s="74" t="str">
        <f>IF($W14="","",IF(COUNTIF(choice!$D:$D,CONCATENATE($W14,"@",FP$7))=0,"",VLOOKUP(CONCATENATE($W14,"@",FP$7),choice!$D:$E,2,0)))</f>
        <v/>
      </c>
      <c r="FQ14" s="74" t="str">
        <f>IF($W14="","",IF(COUNTIF(choice!$D:$D,CONCATENATE($W14,"@",FQ$7))=0,"",VLOOKUP(CONCATENATE($W14,"@",FQ$7),choice!$D:$E,2,0)))</f>
        <v/>
      </c>
      <c r="FR14" s="74" t="str">
        <f>IF($W14="","",IF(COUNTIF(choice!$D:$D,CONCATENATE($W14,"@",FR$7))=0,"",VLOOKUP(CONCATENATE($W14,"@",FR$7),choice!$D:$E,2,0)))</f>
        <v/>
      </c>
      <c r="FS14" s="74" t="str">
        <f>IF($W14="","",IF(COUNTIF(choice!$D:$D,CONCATENATE($W14,"@",FS$7))=0,"",VLOOKUP(CONCATENATE($W14,"@",FS$7),choice!$D:$E,2,0)))</f>
        <v/>
      </c>
      <c r="FT14" s="74" t="str">
        <f>IF($W14="","",IF(COUNTIF(choice!$D:$D,CONCATENATE($W14,"@",FT$7))=0,"",VLOOKUP(CONCATENATE($W14,"@",FT$7),choice!$D:$E,2,0)))</f>
        <v/>
      </c>
      <c r="FU14" s="74" t="str">
        <f>IF($W14="","",IF(COUNTIF(choice!$D:$D,CONCATENATE($W14,"@",FU$7))=0,"",VLOOKUP(CONCATENATE($W14,"@",FU$7),choice!$D:$E,2,0)))</f>
        <v/>
      </c>
      <c r="FV14" s="81" t="str">
        <f>IF($W14="","",IF(COUNTIF(choice!$D:$D,CONCATENATE($W14,"@",FV$7))=0,"",VLOOKUP(CONCATENATE($W14,"@",FV$7),choice!$D:$E,2,0)))</f>
        <v/>
      </c>
      <c r="FW14" s="80" t="str">
        <f>IF($X14="","",IF(COUNTIF(choice!$D:$D,CONCATENATE($X14,"@",FW$7))=0,"",VLOOKUP(CONCATENATE($X14,"@",FW$7),choice!$D:$E,2,0)))</f>
        <v/>
      </c>
      <c r="FX14" s="74" t="str">
        <f>IF($X14="","",IF(COUNTIF(choice!$D:$D,CONCATENATE($X14,"@",FX$7))=0,"",VLOOKUP(CONCATENATE($X14,"@",FX$7),choice!$D:$E,2,0)))</f>
        <v/>
      </c>
      <c r="FY14" s="74" t="str">
        <f>IF($X14="","",IF(COUNTIF(choice!$D:$D,CONCATENATE($X14,"@",FY$7))=0,"",VLOOKUP(CONCATENATE($X14,"@",FY$7),choice!$D:$E,2,0)))</f>
        <v/>
      </c>
      <c r="FZ14" s="74" t="str">
        <f>IF($X14="","",IF(COUNTIF(choice!$D:$D,CONCATENATE($X14,"@",FZ$7))=0,"",VLOOKUP(CONCATENATE($X14,"@",FZ$7),choice!$D:$E,2,0)))</f>
        <v/>
      </c>
      <c r="GA14" s="74" t="str">
        <f>IF($X14="","",IF(COUNTIF(choice!$D:$D,CONCATENATE($X14,"@",GA$7))=0,"",VLOOKUP(CONCATENATE($X14,"@",GA$7),choice!$D:$E,2,0)))</f>
        <v/>
      </c>
      <c r="GB14" s="74" t="str">
        <f>IF($X14="","",IF(COUNTIF(choice!$D:$D,CONCATENATE($X14,"@",GB$7))=0,"",VLOOKUP(CONCATENATE($X14,"@",GB$7),choice!$D:$E,2,0)))</f>
        <v/>
      </c>
      <c r="GC14" s="74" t="str">
        <f>IF($X14="","",IF(COUNTIF(choice!$D:$D,CONCATENATE($X14,"@",GC$7))=0,"",VLOOKUP(CONCATENATE($X14,"@",GC$7),choice!$D:$E,2,0)))</f>
        <v/>
      </c>
      <c r="GD14" s="74" t="str">
        <f>IF($X14="","",IF(COUNTIF(choice!$D:$D,CONCATENATE($X14,"@",GD$7))=0,"",VLOOKUP(CONCATENATE($X14,"@",GD$7),choice!$D:$E,2,0)))</f>
        <v/>
      </c>
      <c r="GE14" s="74" t="str">
        <f>IF($X14="","",IF(COUNTIF(choice!$D:$D,CONCATENATE($X14,"@",GE$7))=0,"",VLOOKUP(CONCATENATE($X14,"@",GE$7),choice!$D:$E,2,0)))</f>
        <v/>
      </c>
      <c r="GF14" s="74" t="str">
        <f>IF($X14="","",IF(COUNTIF(choice!$D:$D,CONCATENATE($X14,"@",GF$7))=0,"",VLOOKUP(CONCATENATE($X14,"@",GF$7),choice!$D:$E,2,0)))</f>
        <v/>
      </c>
      <c r="GG14" s="74" t="str">
        <f>IF($X14="","",IF(COUNTIF(choice!$D:$D,CONCATENATE($X14,"@",GG$7))=0,"",VLOOKUP(CONCATENATE($X14,"@",GG$7),choice!$D:$E,2,0)))</f>
        <v/>
      </c>
      <c r="GH14" s="74" t="str">
        <f>IF($X14="","",IF(COUNTIF(choice!$D:$D,CONCATENATE($X14,"@",GH$7))=0,"",VLOOKUP(CONCATENATE($X14,"@",GH$7),choice!$D:$E,2,0)))</f>
        <v/>
      </c>
      <c r="GI14" s="74" t="str">
        <f>IF($X14="","",IF(COUNTIF(choice!$D:$D,CONCATENATE($X14,"@",GI$7))=0,"",VLOOKUP(CONCATENATE($X14,"@",GI$7),choice!$D:$E,2,0)))</f>
        <v/>
      </c>
      <c r="GJ14" s="74" t="str">
        <f>IF($X14="","",IF(COUNTIF(choice!$D:$D,CONCATENATE($X14,"@",GJ$7))=0,"",VLOOKUP(CONCATENATE($X14,"@",GJ$7),choice!$D:$E,2,0)))</f>
        <v/>
      </c>
      <c r="GK14" s="74" t="str">
        <f>IF($X14="","",IF(COUNTIF(choice!$D:$D,CONCATENATE($X14,"@",GK$7))=0,"",VLOOKUP(CONCATENATE($X14,"@",GK$7),choice!$D:$E,2,0)))</f>
        <v/>
      </c>
      <c r="GL14" s="74" t="str">
        <f>IF($X14="","",IF(COUNTIF(choice!$D:$D,CONCATENATE($X14,"@",GL$7))=0,"",VLOOKUP(CONCATENATE($X14,"@",GL$7),choice!$D:$E,2,0)))</f>
        <v/>
      </c>
      <c r="GM14" s="74" t="str">
        <f>IF($X14="","",IF(COUNTIF(choice!$D:$D,CONCATENATE($X14,"@",GM$7))=0,"",VLOOKUP(CONCATENATE($X14,"@",GM$7),choice!$D:$E,2,0)))</f>
        <v/>
      </c>
      <c r="GN14" s="74" t="str">
        <f>IF($X14="","",IF(COUNTIF(choice!$D:$D,CONCATENATE($X14,"@",GN$7))=0,"",VLOOKUP(CONCATENATE($X14,"@",GN$7),choice!$D:$E,2,0)))</f>
        <v/>
      </c>
      <c r="GO14" s="74" t="str">
        <f>IF($X14="","",IF(COUNTIF(choice!$D:$D,CONCATENATE($X14,"@",GO$7))=0,"",VLOOKUP(CONCATENATE($X14,"@",GO$7),choice!$D:$E,2,0)))</f>
        <v/>
      </c>
      <c r="GP14" s="74" t="str">
        <f>IF($X14="","",IF(COUNTIF(choice!$D:$D,CONCATENATE($X14,"@",GP$7))=0,"",VLOOKUP(CONCATENATE($X14,"@",GP$7),choice!$D:$E,2,0)))</f>
        <v/>
      </c>
      <c r="GQ14" s="74" t="str">
        <f>IF($X14="","",IF(COUNTIF(choice!$D:$D,CONCATENATE($X14,"@",GQ$7))=0,"",VLOOKUP(CONCATENATE($X14,"@",GQ$7),choice!$D:$E,2,0)))</f>
        <v/>
      </c>
      <c r="GR14" s="74" t="str">
        <f>IF($X14="","",IF(COUNTIF(choice!$D:$D,CONCATENATE($X14,"@",GR$7))=0,"",VLOOKUP(CONCATENATE($X14,"@",GR$7),choice!$D:$E,2,0)))</f>
        <v/>
      </c>
      <c r="GS14" s="74" t="str">
        <f>IF($X14="","",IF(COUNTIF(choice!$D:$D,CONCATENATE($X14,"@",GS$7))=0,"",VLOOKUP(CONCATENATE($X14,"@",GS$7),choice!$D:$E,2,0)))</f>
        <v/>
      </c>
      <c r="GT14" s="74" t="str">
        <f>IF($X14="","",IF(COUNTIF(choice!$D:$D,CONCATENATE($X14,"@",GT$7))=0,"",VLOOKUP(CONCATENATE($X14,"@",GT$7),choice!$D:$E,2,0)))</f>
        <v/>
      </c>
      <c r="GU14" s="74" t="str">
        <f>IF($X14="","",IF(COUNTIF(choice!$D:$D,CONCATENATE($X14,"@",GU$7))=0,"",VLOOKUP(CONCATENATE($X14,"@",GU$7),choice!$D:$E,2,0)))</f>
        <v/>
      </c>
      <c r="GV14" s="74" t="str">
        <f>IF($X14="","",IF(COUNTIF(choice!$D:$D,CONCATENATE($X14,"@",GV$7))=0,"",VLOOKUP(CONCATENATE($X14,"@",GV$7),choice!$D:$E,2,0)))</f>
        <v/>
      </c>
      <c r="GW14" s="74" t="str">
        <f>IF($X14="","",IF(COUNTIF(choice!$D:$D,CONCATENATE($X14,"@",GW$7))=0,"",VLOOKUP(CONCATENATE($X14,"@",GW$7),choice!$D:$E,2,0)))</f>
        <v/>
      </c>
      <c r="GX14" s="74" t="str">
        <f>IF($X14="","",IF(COUNTIF(choice!$D:$D,CONCATENATE($X14,"@",GX$7))=0,"",VLOOKUP(CONCATENATE($X14,"@",GX$7),choice!$D:$E,2,0)))</f>
        <v/>
      </c>
      <c r="GY14" s="74" t="str">
        <f>IF($X14="","",IF(COUNTIF(choice!$D:$D,CONCATENATE($X14,"@",GY$7))=0,"",VLOOKUP(CONCATENATE($X14,"@",GY$7),choice!$D:$E,2,0)))</f>
        <v/>
      </c>
      <c r="GZ14" s="74" t="str">
        <f>IF($X14="","",IF(COUNTIF(choice!$D:$D,CONCATENATE($X14,"@",GZ$7))=0,"",VLOOKUP(CONCATENATE($X14,"@",GZ$7),choice!$D:$E,2,0)))</f>
        <v/>
      </c>
      <c r="HA14" s="74" t="str">
        <f>IF($X14="","",IF(COUNTIF(choice!$D:$D,CONCATENATE($X14,"@",HA$7))=0,"",VLOOKUP(CONCATENATE($X14,"@",HA$7),choice!$D:$E,2,0)))</f>
        <v/>
      </c>
      <c r="HB14" s="74" t="str">
        <f>IF($X14="","",IF(COUNTIF(choice!$D:$D,CONCATENATE($X14,"@",HB$7))=0,"",VLOOKUP(CONCATENATE($X14,"@",HB$7),choice!$D:$E,2,0)))</f>
        <v/>
      </c>
      <c r="HC14" s="74" t="str">
        <f>IF($X14="","",IF(COUNTIF(choice!$D:$D,CONCATENATE($X14,"@",HC$7))=0,"",VLOOKUP(CONCATENATE($X14,"@",HC$7),choice!$D:$E,2,0)))</f>
        <v/>
      </c>
      <c r="HD14" s="74" t="str">
        <f>IF($X14="","",IF(COUNTIF(choice!$D:$D,CONCATENATE($X14,"@",HD$7))=0,"",VLOOKUP(CONCATENATE($X14,"@",HD$7),choice!$D:$E,2,0)))</f>
        <v/>
      </c>
      <c r="HE14" s="74" t="str">
        <f>IF($X14="","",IF(COUNTIF(choice!$D:$D,CONCATENATE($X14,"@",HE$7))=0,"",VLOOKUP(CONCATENATE($X14,"@",HE$7),choice!$D:$E,2,0)))</f>
        <v/>
      </c>
      <c r="HF14" s="74" t="str">
        <f>IF($X14="","",IF(COUNTIF(choice!$D:$D,CONCATENATE($X14,"@",HF$7))=0,"",VLOOKUP(CONCATENATE($X14,"@",HF$7),choice!$D:$E,2,0)))</f>
        <v/>
      </c>
      <c r="HG14" s="74" t="str">
        <f>IF($X14="","",IF(COUNTIF(choice!$D:$D,CONCATENATE($X14,"@",HG$7))=0,"",VLOOKUP(CONCATENATE($X14,"@",HG$7),choice!$D:$E,2,0)))</f>
        <v/>
      </c>
      <c r="HH14" s="74" t="str">
        <f>IF($X14="","",IF(COUNTIF(choice!$D:$D,CONCATENATE($X14,"@",HH$7))=0,"",VLOOKUP(CONCATENATE($X14,"@",HH$7),choice!$D:$E,2,0)))</f>
        <v/>
      </c>
      <c r="HI14" s="74" t="str">
        <f>IF($X14="","",IF(COUNTIF(choice!$D:$D,CONCATENATE($X14,"@",HI$7))=0,"",VLOOKUP(CONCATENATE($X14,"@",HI$7),choice!$D:$E,2,0)))</f>
        <v/>
      </c>
      <c r="HJ14" s="74" t="str">
        <f>IF($X14="","",IF(COUNTIF(choice!$D:$D,CONCATENATE($X14,"@",HJ$7))=0,"",VLOOKUP(CONCATENATE($X14,"@",HJ$7),choice!$D:$E,2,0)))</f>
        <v/>
      </c>
      <c r="HK14" s="74" t="str">
        <f>IF($X14="","",IF(COUNTIF(choice!$D:$D,CONCATENATE($X14,"@",HK$7))=0,"",VLOOKUP(CONCATENATE($X14,"@",HK$7),choice!$D:$E,2,0)))</f>
        <v/>
      </c>
      <c r="HL14" s="74" t="str">
        <f>IF($X14="","",IF(COUNTIF(choice!$D:$D,CONCATENATE($X14,"@",HL$7))=0,"",VLOOKUP(CONCATENATE($X14,"@",HL$7),choice!$D:$E,2,0)))</f>
        <v/>
      </c>
      <c r="HM14" s="74" t="str">
        <f>IF($X14="","",IF(COUNTIF(choice!$D:$D,CONCATENATE($X14,"@",HM$7))=0,"",VLOOKUP(CONCATENATE($X14,"@",HM$7),choice!$D:$E,2,0)))</f>
        <v/>
      </c>
      <c r="HN14" s="74" t="str">
        <f>IF($X14="","",IF(COUNTIF(choice!$D:$D,CONCATENATE($X14,"@",HN$7))=0,"",VLOOKUP(CONCATENATE($X14,"@",HN$7),choice!$D:$E,2,0)))</f>
        <v/>
      </c>
      <c r="HO14" s="81" t="str">
        <f>IF($X14="","",IF(COUNTIF(choice!$D:$D,CONCATENATE($X14,"@",HO$7))=0,"",VLOOKUP(CONCATENATE($X14,"@",HO$7),choice!$D:$E,2,0)))</f>
        <v/>
      </c>
      <c r="HP14" s="20" t="s">
        <v>64</v>
      </c>
      <c r="HQ14" s="20" t="s">
        <v>65</v>
      </c>
      <c r="HU14" s="74" t="s">
        <v>6</v>
      </c>
      <c r="HV14" s="74">
        <f t="shared" si="10"/>
        <v>0</v>
      </c>
      <c r="HW14" s="74">
        <f t="shared" si="11"/>
        <v>0</v>
      </c>
      <c r="HX14" s="74">
        <f t="shared" si="12"/>
        <v>0</v>
      </c>
      <c r="HY14" s="74">
        <f t="shared" si="13"/>
        <v>0</v>
      </c>
      <c r="HZ14" s="74">
        <f t="shared" si="19"/>
        <v>0</v>
      </c>
      <c r="IA14" s="74">
        <f t="shared" si="20"/>
        <v>0</v>
      </c>
      <c r="IB14" s="74" t="str">
        <f t="shared" si="21"/>
        <v/>
      </c>
      <c r="IC14" s="74" t="str">
        <f t="shared" si="22"/>
        <v/>
      </c>
      <c r="ID14" s="74" t="str">
        <f t="shared" si="14"/>
        <v/>
      </c>
      <c r="IE14" s="74">
        <f t="shared" si="15"/>
        <v>7</v>
      </c>
      <c r="IF14" s="74">
        <f>COUNTIFS(ID$8:ID14,"BLUE")</f>
        <v>0</v>
      </c>
      <c r="IG14" s="74" t="str">
        <f t="shared" si="16"/>
        <v/>
      </c>
      <c r="IH14" s="74" t="str">
        <f>IF(COUNTIFS($AQ14,"*02*")=0,"",COUNTIFS(IJ$8:IJ14,"BLUE"))</f>
        <v/>
      </c>
      <c r="II14" s="74" t="str">
        <f>IF(COUNTIFS($AQ14,"*04*")=0,"",COUNTIFS(IK$8:IK14,"BLUE"))</f>
        <v/>
      </c>
      <c r="IJ14" s="74" t="str">
        <f t="shared" si="23"/>
        <v/>
      </c>
      <c r="IK14" s="74" t="str">
        <f t="shared" si="24"/>
        <v/>
      </c>
      <c r="IL14" s="74" t="str">
        <f t="shared" si="17"/>
        <v/>
      </c>
      <c r="IM14" s="74" t="str">
        <f t="shared" si="18"/>
        <v/>
      </c>
      <c r="IN14" s="74">
        <f>COUNTIFS(IJ$8:IJ14,"BLUE")</f>
        <v>0</v>
      </c>
      <c r="IO14" s="74">
        <f>COUNTIFS(IK$8:IK14,"BLUE")</f>
        <v>0</v>
      </c>
    </row>
    <row r="15" spans="1:249" s="20" customFormat="1" ht="25.5" customHeight="1">
      <c r="A15" s="33"/>
      <c r="B15" s="30">
        <v>8</v>
      </c>
      <c r="C15" s="155"/>
      <c r="D15" s="174"/>
      <c r="E15" s="89" t="e">
        <f>VLOOKUP(F15,'Radio Call Sign'!A:B,2)</f>
        <v>#N/A</v>
      </c>
      <c r="F15" s="88"/>
      <c r="G15" s="89" t="e">
        <f>VLOOKUP(H15,'Radio Call Sign'!A:B,2)</f>
        <v>#N/A</v>
      </c>
      <c r="H15" s="88"/>
      <c r="I15" s="89"/>
      <c r="J15" s="90"/>
      <c r="K15" s="86"/>
      <c r="L15" s="155"/>
      <c r="M15" s="190" t="str">
        <f t="shared" si="9"/>
        <v/>
      </c>
      <c r="N15" s="21"/>
      <c r="O15" s="21"/>
      <c r="P15" s="52"/>
      <c r="Q15" s="161"/>
      <c r="R15" s="53"/>
      <c r="S15" s="24"/>
      <c r="U15" s="74"/>
      <c r="V15" s="74"/>
      <c r="W15" s="74"/>
      <c r="X15" s="74"/>
      <c r="Y15" s="74"/>
      <c r="AA15" s="74" t="str">
        <f t="shared" si="4"/>
        <v/>
      </c>
      <c r="AB15" s="74" t="str">
        <f t="shared" si="5"/>
        <v/>
      </c>
      <c r="AC15" s="74" t="str">
        <f t="shared" si="6"/>
        <v/>
      </c>
      <c r="AD15" s="74" t="str">
        <f t="shared" si="6"/>
        <v/>
      </c>
      <c r="AF15" s="74" t="str">
        <f>IF(AA15="","",IF(COUNTIF(Route!$AM:$AM,'Train Movement Log (page.1)'!AA15)=0,"未有資料",VLOOKUP('Train Movement Log (page.1)'!AA15,Route!$AM:$AP,3,0)))</f>
        <v/>
      </c>
      <c r="AG15" s="74" t="str">
        <f>IF(AB15="","",IF(COUNTIF(Route!$AM:$AM,'Train Movement Log (page.1)'!AB15)=0,"未有資料",VLOOKUP('Train Movement Log (page.1)'!AB15,Route!$AM:$AP,3,0)))</f>
        <v/>
      </c>
      <c r="AH15" s="74" t="str">
        <f>IF(AC15="","",IF(COUNTIF(Route!$AM:$AM,'Train Movement Log (page.1)'!AC15)=0,"未有資料",VLOOKUP('Train Movement Log (page.1)'!AC15,Route!$AM:$AP,3,0)))</f>
        <v/>
      </c>
      <c r="AI15" s="74" t="str">
        <f>IF(AD15="","",IF(COUNTIF(Route!$AM:$AM,'Train Movement Log (page.1)'!AD15)=0,"未有資料",VLOOKUP('Train Movement Log (page.1)'!AD15,Route!$AM:$AP,3,0)))</f>
        <v/>
      </c>
      <c r="AK15" s="74" t="str">
        <f>IF(AA15="","",IF(COUNTIF(Route!$AM:$AM,'Train Movement Log (page.1)'!AA15)=0,"未有資料",VLOOKUP('Train Movement Log (page.1)'!AA15,Route!$AM:$AP,4,0)))</f>
        <v/>
      </c>
      <c r="AL15" s="74" t="str">
        <f>IF(AB15="","",IF(COUNTIF(Route!$AM:$AM,'Train Movement Log (page.1)'!AB15)=0,"未有資料",VLOOKUP('Train Movement Log (page.1)'!AB15,Route!$AM:$AP,4,0)))</f>
        <v/>
      </c>
      <c r="AM15" s="74" t="str">
        <f>IF(AC15="","",IF(COUNTIF(Route!$AM:$AM,'Train Movement Log (page.1)'!AC15)=0,"未有資料",VLOOKUP('Train Movement Log (page.1)'!AC15,Route!$AM:$AP,4,0)))</f>
        <v/>
      </c>
      <c r="AN15" s="74" t="str">
        <f>IF(AD15="","",IF(COUNTIF(Route!$AM:$AM,'Train Movement Log (page.1)'!AD15)=0,"未有資料",VLOOKUP('Train Movement Log (page.1)'!AD15,Route!$AM:$AP,4,0)))</f>
        <v/>
      </c>
      <c r="AP15" s="74" t="str">
        <f t="shared" si="7"/>
        <v/>
      </c>
      <c r="AQ15" s="76" t="str">
        <f t="shared" si="8"/>
        <v/>
      </c>
      <c r="AR15" s="80" t="str">
        <f>IF($U15="","",IF(COUNTIF(choice!$D:$D,CONCATENATE($U15,"@",AR$7))=0,"",VLOOKUP(CONCATENATE($U15,"@",AR$7),choice!$D:$E,2,0)))</f>
        <v/>
      </c>
      <c r="AS15" s="74" t="str">
        <f>IF($U15="","",IF(COUNTIF(choice!$D:$D,CONCATENATE($U15,"@",AS$7))=0,"",VLOOKUP(CONCATENATE($U15,"@",AS$7),choice!$D:$E,2,0)))</f>
        <v/>
      </c>
      <c r="AT15" s="74" t="str">
        <f>IF($U15="","",IF(COUNTIF(choice!$D:$D,CONCATENATE($U15,"@",AT$7))=0,"",VLOOKUP(CONCATENATE($U15,"@",AT$7),choice!$D:$E,2,0)))</f>
        <v/>
      </c>
      <c r="AU15" s="74" t="str">
        <f>IF($U15="","",IF(COUNTIF(choice!$D:$D,CONCATENATE($U15,"@",AU$7))=0,"",VLOOKUP(CONCATENATE($U15,"@",AU$7),choice!$D:$E,2,0)))</f>
        <v/>
      </c>
      <c r="AV15" s="74" t="str">
        <f>IF($U15="","",IF(COUNTIF(choice!$D:$D,CONCATENATE($U15,"@",AV$7))=0,"",VLOOKUP(CONCATENATE($U15,"@",AV$7),choice!$D:$E,2,0)))</f>
        <v/>
      </c>
      <c r="AW15" s="74" t="str">
        <f>IF($U15="","",IF(COUNTIF(choice!$D:$D,CONCATENATE($U15,"@",AW$7))=0,"",VLOOKUP(CONCATENATE($U15,"@",AW$7),choice!$D:$E,2,0)))</f>
        <v/>
      </c>
      <c r="AX15" s="74" t="str">
        <f>IF($U15="","",IF(COUNTIF(choice!$D:$D,CONCATENATE($U15,"@",AX$7))=0,"",VLOOKUP(CONCATENATE($U15,"@",AX$7),choice!$D:$E,2,0)))</f>
        <v/>
      </c>
      <c r="AY15" s="74" t="str">
        <f>IF($U15="","",IF(COUNTIF(choice!$D:$D,CONCATENATE($U15,"@",AY$7))=0,"",VLOOKUP(CONCATENATE($U15,"@",AY$7),choice!$D:$E,2,0)))</f>
        <v/>
      </c>
      <c r="AZ15" s="74" t="str">
        <f>IF($U15="","",IF(COUNTIF(choice!$D:$D,CONCATENATE($U15,"@",AZ$7))=0,"",VLOOKUP(CONCATENATE($U15,"@",AZ$7),choice!$D:$E,2,0)))</f>
        <v/>
      </c>
      <c r="BA15" s="74" t="str">
        <f>IF($U15="","",IF(COUNTIF(choice!$D:$D,CONCATENATE($U15,"@",BA$7))=0,"",VLOOKUP(CONCATENATE($U15,"@",BA$7),choice!$D:$E,2,0)))</f>
        <v/>
      </c>
      <c r="BB15" s="74" t="str">
        <f>IF($U15="","",IF(COUNTIF(choice!$D:$D,CONCATENATE($U15,"@",BB$7))=0,"",VLOOKUP(CONCATENATE($U15,"@",BB$7),choice!$D:$E,2,0)))</f>
        <v/>
      </c>
      <c r="BC15" s="74" t="str">
        <f>IF($U15="","",IF(COUNTIF(choice!$D:$D,CONCATENATE($U15,"@",BC$7))=0,"",VLOOKUP(CONCATENATE($U15,"@",BC$7),choice!$D:$E,2,0)))</f>
        <v/>
      </c>
      <c r="BD15" s="74" t="str">
        <f>IF($U15="","",IF(COUNTIF(choice!$D:$D,CONCATENATE($U15,"@",BD$7))=0,"",VLOOKUP(CONCATENATE($U15,"@",BD$7),choice!$D:$E,2,0)))</f>
        <v/>
      </c>
      <c r="BE15" s="74" t="str">
        <f>IF($U15="","",IF(COUNTIF(choice!$D:$D,CONCATENATE($U15,"@",BE$7))=0,"",VLOOKUP(CONCATENATE($U15,"@",BE$7),choice!$D:$E,2,0)))</f>
        <v/>
      </c>
      <c r="BF15" s="74" t="str">
        <f>IF($U15="","",IF(COUNTIF(choice!$D:$D,CONCATENATE($U15,"@",BF$7))=0,"",VLOOKUP(CONCATENATE($U15,"@",BF$7),choice!$D:$E,2,0)))</f>
        <v/>
      </c>
      <c r="BG15" s="74" t="str">
        <f>IF($U15="","",IF(COUNTIF(choice!$D:$D,CONCATENATE($U15,"@",BG$7))=0,"",VLOOKUP(CONCATENATE($U15,"@",BG$7),choice!$D:$E,2,0)))</f>
        <v/>
      </c>
      <c r="BH15" s="74" t="str">
        <f>IF($U15="","",IF(COUNTIF(choice!$D:$D,CONCATENATE($U15,"@",BH$7))=0,"",VLOOKUP(CONCATENATE($U15,"@",BH$7),choice!$D:$E,2,0)))</f>
        <v/>
      </c>
      <c r="BI15" s="74" t="str">
        <f>IF($U15="","",IF(COUNTIF(choice!$D:$D,CONCATENATE($U15,"@",BI$7))=0,"",VLOOKUP(CONCATENATE($U15,"@",BI$7),choice!$D:$E,2,0)))</f>
        <v/>
      </c>
      <c r="BJ15" s="74" t="str">
        <f>IF($U15="","",IF(COUNTIF(choice!$D:$D,CONCATENATE($U15,"@",BJ$7))=0,"",VLOOKUP(CONCATENATE($U15,"@",BJ$7),choice!$D:$E,2,0)))</f>
        <v/>
      </c>
      <c r="BK15" s="74" t="str">
        <f>IF($U15="","",IF(COUNTIF(choice!$D:$D,CONCATENATE($U15,"@",BK$7))=0,"",VLOOKUP(CONCATENATE($U15,"@",BK$7),choice!$D:$E,2,0)))</f>
        <v/>
      </c>
      <c r="BL15" s="74" t="str">
        <f>IF($U15="","",IF(COUNTIF(choice!$D:$D,CONCATENATE($U15,"@",BL$7))=0,"",VLOOKUP(CONCATENATE($U15,"@",BL$7),choice!$D:$E,2,0)))</f>
        <v/>
      </c>
      <c r="BM15" s="74" t="str">
        <f>IF($U15="","",IF(COUNTIF(choice!$D:$D,CONCATENATE($U15,"@",BM$7))=0,"",VLOOKUP(CONCATENATE($U15,"@",BM$7),choice!$D:$E,2,0)))</f>
        <v/>
      </c>
      <c r="BN15" s="74" t="str">
        <f>IF($U15="","",IF(COUNTIF(choice!$D:$D,CONCATENATE($U15,"@",BN$7))=0,"",VLOOKUP(CONCATENATE($U15,"@",BN$7),choice!$D:$E,2,0)))</f>
        <v/>
      </c>
      <c r="BO15" s="74" t="str">
        <f>IF($U15="","",IF(COUNTIF(choice!$D:$D,CONCATENATE($U15,"@",BO$7))=0,"",VLOOKUP(CONCATENATE($U15,"@",BO$7),choice!$D:$E,2,0)))</f>
        <v/>
      </c>
      <c r="BP15" s="74" t="str">
        <f>IF($U15="","",IF(COUNTIF(choice!$D:$D,CONCATENATE($U15,"@",BP$7))=0,"",VLOOKUP(CONCATENATE($U15,"@",BP$7),choice!$D:$E,2,0)))</f>
        <v/>
      </c>
      <c r="BQ15" s="74" t="str">
        <f>IF($U15="","",IF(COUNTIF(choice!$D:$D,CONCATENATE($U15,"@",BQ$7))=0,"",VLOOKUP(CONCATENATE($U15,"@",BQ$7),choice!$D:$E,2,0)))</f>
        <v/>
      </c>
      <c r="BR15" s="74" t="str">
        <f>IF($U15="","",IF(COUNTIF(choice!$D:$D,CONCATENATE($U15,"@",BR$7))=0,"",VLOOKUP(CONCATENATE($U15,"@",BR$7),choice!$D:$E,2,0)))</f>
        <v/>
      </c>
      <c r="BS15" s="74" t="str">
        <f>IF($U15="","",IF(COUNTIF(choice!$D:$D,CONCATENATE($U15,"@",BS$7))=0,"",VLOOKUP(CONCATENATE($U15,"@",BS$7),choice!$D:$E,2,0)))</f>
        <v/>
      </c>
      <c r="BT15" s="74" t="str">
        <f>IF($U15="","",IF(COUNTIF(choice!$D:$D,CONCATENATE($U15,"@",BT$7))=0,"",VLOOKUP(CONCATENATE($U15,"@",BT$7),choice!$D:$E,2,0)))</f>
        <v/>
      </c>
      <c r="BU15" s="74" t="str">
        <f>IF($U15="","",IF(COUNTIF(choice!$D:$D,CONCATENATE($U15,"@",BU$7))=0,"",VLOOKUP(CONCATENATE($U15,"@",BU$7),choice!$D:$E,2,0)))</f>
        <v/>
      </c>
      <c r="BV15" s="74" t="str">
        <f>IF($U15="","",IF(COUNTIF(choice!$D:$D,CONCATENATE($U15,"@",BV$7))=0,"",VLOOKUP(CONCATENATE($U15,"@",BV$7),choice!$D:$E,2,0)))</f>
        <v/>
      </c>
      <c r="BW15" s="74" t="str">
        <f>IF($U15="","",IF(COUNTIF(choice!$D:$D,CONCATENATE($U15,"@",BW$7))=0,"",VLOOKUP(CONCATENATE($U15,"@",BW$7),choice!$D:$E,2,0)))</f>
        <v/>
      </c>
      <c r="BX15" s="74" t="str">
        <f>IF($U15="","",IF(COUNTIF(choice!$D:$D,CONCATENATE($U15,"@",BX$7))=0,"",VLOOKUP(CONCATENATE($U15,"@",BX$7),choice!$D:$E,2,0)))</f>
        <v/>
      </c>
      <c r="BY15" s="74" t="str">
        <f>IF($U15="","",IF(COUNTIF(choice!$D:$D,CONCATENATE($U15,"@",BY$7))=0,"",VLOOKUP(CONCATENATE($U15,"@",BY$7),choice!$D:$E,2,0)))</f>
        <v/>
      </c>
      <c r="BZ15" s="74" t="str">
        <f>IF($U15="","",IF(COUNTIF(choice!$D:$D,CONCATENATE($U15,"@",BZ$7))=0,"",VLOOKUP(CONCATENATE($U15,"@",BZ$7),choice!$D:$E,2,0)))</f>
        <v/>
      </c>
      <c r="CA15" s="74" t="str">
        <f>IF($U15="","",IF(COUNTIF(choice!$D:$D,CONCATENATE($U15,"@",CA$7))=0,"",VLOOKUP(CONCATENATE($U15,"@",CA$7),choice!$D:$E,2,0)))</f>
        <v/>
      </c>
      <c r="CB15" s="74" t="str">
        <f>IF($U15="","",IF(COUNTIF(choice!$D:$D,CONCATENATE($U15,"@",CB$7))=0,"",VLOOKUP(CONCATENATE($U15,"@",CB$7),choice!$D:$E,2,0)))</f>
        <v/>
      </c>
      <c r="CC15" s="74" t="str">
        <f>IF($U15="","",IF(COUNTIF(choice!$D:$D,CONCATENATE($U15,"@",CC$7))=0,"",VLOOKUP(CONCATENATE($U15,"@",CC$7),choice!$D:$E,2,0)))</f>
        <v/>
      </c>
      <c r="CD15" s="74" t="str">
        <f>IF($U15="","",IF(COUNTIF(choice!$D:$D,CONCATENATE($U15,"@",CD$7))=0,"",VLOOKUP(CONCATENATE($U15,"@",CD$7),choice!$D:$E,2,0)))</f>
        <v/>
      </c>
      <c r="CE15" s="74" t="str">
        <f>IF($U15="","",IF(COUNTIF(choice!$D:$D,CONCATENATE($U15,"@",CE$7))=0,"",VLOOKUP(CONCATENATE($U15,"@",CE$7),choice!$D:$E,2,0)))</f>
        <v/>
      </c>
      <c r="CF15" s="74" t="str">
        <f>IF($U15="","",IF(COUNTIF(choice!$D:$D,CONCATENATE($U15,"@",CF$7))=0,"",VLOOKUP(CONCATENATE($U15,"@",CF$7),choice!$D:$E,2,0)))</f>
        <v/>
      </c>
      <c r="CG15" s="74" t="str">
        <f>IF($U15="","",IF(COUNTIF(choice!$D:$D,CONCATENATE($U15,"@",CG$7))=0,"",VLOOKUP(CONCATENATE($U15,"@",CG$7),choice!$D:$E,2,0)))</f>
        <v/>
      </c>
      <c r="CH15" s="74" t="str">
        <f>IF($U15="","",IF(COUNTIF(choice!$D:$D,CONCATENATE($U15,"@",CH$7))=0,"",VLOOKUP(CONCATENATE($U15,"@",CH$7),choice!$D:$E,2,0)))</f>
        <v/>
      </c>
      <c r="CI15" s="74" t="str">
        <f>IF($U15="","",IF(COUNTIF(choice!$D:$D,CONCATENATE($U15,"@",CI$7))=0,"",VLOOKUP(CONCATENATE($U15,"@",CI$7),choice!$D:$E,2,0)))</f>
        <v/>
      </c>
      <c r="CJ15" s="81" t="str">
        <f>IF($U15="","",IF(COUNTIF(choice!$D:$D,CONCATENATE($U15,"@",CJ$7))=0,"",VLOOKUP(CONCATENATE($U15,"@",CJ$7),choice!$D:$E,2,0)))</f>
        <v/>
      </c>
      <c r="CK15" s="80" t="str">
        <f>IF($V15="","",IF(COUNTIF(choice!$D:$D,CONCATENATE($V15,"@",CK$7))=0,"",VLOOKUP(CONCATENATE($V15,"@",CK$7),choice!$D:$E,2,0)))</f>
        <v/>
      </c>
      <c r="CL15" s="74" t="str">
        <f>IF($V15="","",IF(COUNTIF(choice!$D:$D,CONCATENATE($V15,"@",CL$7))=0,"",VLOOKUP(CONCATENATE($V15,"@",CL$7),choice!$D:$E,2,0)))</f>
        <v/>
      </c>
      <c r="CM15" s="74" t="str">
        <f>IF($V15="","",IF(COUNTIF(choice!$D:$D,CONCATENATE($V15,"@",CM$7))=0,"",VLOOKUP(CONCATENATE($V15,"@",CM$7),choice!$D:$E,2,0)))</f>
        <v/>
      </c>
      <c r="CN15" s="74" t="str">
        <f>IF($V15="","",IF(COUNTIF(choice!$D:$D,CONCATENATE($V15,"@",CN$7))=0,"",VLOOKUP(CONCATENATE($V15,"@",CN$7),choice!$D:$E,2,0)))</f>
        <v/>
      </c>
      <c r="CO15" s="74" t="str">
        <f>IF($V15="","",IF(COUNTIF(choice!$D:$D,CONCATENATE($V15,"@",CO$7))=0,"",VLOOKUP(CONCATENATE($V15,"@",CO$7),choice!$D:$E,2,0)))</f>
        <v/>
      </c>
      <c r="CP15" s="74" t="str">
        <f>IF($V15="","",IF(COUNTIF(choice!$D:$D,CONCATENATE($V15,"@",CP$7))=0,"",VLOOKUP(CONCATENATE($V15,"@",CP$7),choice!$D:$E,2,0)))</f>
        <v/>
      </c>
      <c r="CQ15" s="74" t="str">
        <f>IF($V15="","",IF(COUNTIF(choice!$D:$D,CONCATENATE($V15,"@",CQ$7))=0,"",VLOOKUP(CONCATENATE($V15,"@",CQ$7),choice!$D:$E,2,0)))</f>
        <v/>
      </c>
      <c r="CR15" s="74" t="str">
        <f>IF($V15="","",IF(COUNTIF(choice!$D:$D,CONCATENATE($V15,"@",CR$7))=0,"",VLOOKUP(CONCATENATE($V15,"@",CR$7),choice!$D:$E,2,0)))</f>
        <v/>
      </c>
      <c r="CS15" s="74" t="str">
        <f>IF($V15="","",IF(COUNTIF(choice!$D:$D,CONCATENATE($V15,"@",CS$7))=0,"",VLOOKUP(CONCATENATE($V15,"@",CS$7),choice!$D:$E,2,0)))</f>
        <v/>
      </c>
      <c r="CT15" s="74" t="str">
        <f>IF($V15="","",IF(COUNTIF(choice!$D:$D,CONCATENATE($V15,"@",CT$7))=0,"",VLOOKUP(CONCATENATE($V15,"@",CT$7),choice!$D:$E,2,0)))</f>
        <v/>
      </c>
      <c r="CU15" s="74" t="str">
        <f>IF($V15="","",IF(COUNTIF(choice!$D:$D,CONCATENATE($V15,"@",CU$7))=0,"",VLOOKUP(CONCATENATE($V15,"@",CU$7),choice!$D:$E,2,0)))</f>
        <v/>
      </c>
      <c r="CV15" s="74" t="str">
        <f>IF($V15="","",IF(COUNTIF(choice!$D:$D,CONCATENATE($V15,"@",CV$7))=0,"",VLOOKUP(CONCATENATE($V15,"@",CV$7),choice!$D:$E,2,0)))</f>
        <v/>
      </c>
      <c r="CW15" s="74" t="str">
        <f>IF($V15="","",IF(COUNTIF(choice!$D:$D,CONCATENATE($V15,"@",CW$7))=0,"",VLOOKUP(CONCATENATE($V15,"@",CW$7),choice!$D:$E,2,0)))</f>
        <v/>
      </c>
      <c r="CX15" s="74" t="str">
        <f>IF($V15="","",IF(COUNTIF(choice!$D:$D,CONCATENATE($V15,"@",CX$7))=0,"",VLOOKUP(CONCATENATE($V15,"@",CX$7),choice!$D:$E,2,0)))</f>
        <v/>
      </c>
      <c r="CY15" s="74" t="str">
        <f>IF($V15="","",IF(COUNTIF(choice!$D:$D,CONCATENATE($V15,"@",CY$7))=0,"",VLOOKUP(CONCATENATE($V15,"@",CY$7),choice!$D:$E,2,0)))</f>
        <v/>
      </c>
      <c r="CZ15" s="74" t="str">
        <f>IF($V15="","",IF(COUNTIF(choice!$D:$D,CONCATENATE($V15,"@",CZ$7))=0,"",VLOOKUP(CONCATENATE($V15,"@",CZ$7),choice!$D:$E,2,0)))</f>
        <v/>
      </c>
      <c r="DA15" s="74" t="str">
        <f>IF($V15="","",IF(COUNTIF(choice!$D:$D,CONCATENATE($V15,"@",DA$7))=0,"",VLOOKUP(CONCATENATE($V15,"@",DA$7),choice!$D:$E,2,0)))</f>
        <v/>
      </c>
      <c r="DB15" s="74" t="str">
        <f>IF($V15="","",IF(COUNTIF(choice!$D:$D,CONCATENATE($V15,"@",DB$7))=0,"",VLOOKUP(CONCATENATE($V15,"@",DB$7),choice!$D:$E,2,0)))</f>
        <v/>
      </c>
      <c r="DC15" s="74" t="str">
        <f>IF($V15="","",IF(COUNTIF(choice!$D:$D,CONCATENATE($V15,"@",DC$7))=0,"",VLOOKUP(CONCATENATE($V15,"@",DC$7),choice!$D:$E,2,0)))</f>
        <v/>
      </c>
      <c r="DD15" s="74" t="str">
        <f>IF($V15="","",IF(COUNTIF(choice!$D:$D,CONCATENATE($V15,"@",DD$7))=0,"",VLOOKUP(CONCATENATE($V15,"@",DD$7),choice!$D:$E,2,0)))</f>
        <v/>
      </c>
      <c r="DE15" s="74" t="str">
        <f>IF($V15="","",IF(COUNTIF(choice!$D:$D,CONCATENATE($V15,"@",DE$7))=0,"",VLOOKUP(CONCATENATE($V15,"@",DE$7),choice!$D:$E,2,0)))</f>
        <v/>
      </c>
      <c r="DF15" s="74" t="str">
        <f>IF($V15="","",IF(COUNTIF(choice!$D:$D,CONCATENATE($V15,"@",DF$7))=0,"",VLOOKUP(CONCATENATE($V15,"@",DF$7),choice!$D:$E,2,0)))</f>
        <v/>
      </c>
      <c r="DG15" s="74" t="str">
        <f>IF($V15="","",IF(COUNTIF(choice!$D:$D,CONCATENATE($V15,"@",DG$7))=0,"",VLOOKUP(CONCATENATE($V15,"@",DG$7),choice!$D:$E,2,0)))</f>
        <v/>
      </c>
      <c r="DH15" s="74" t="str">
        <f>IF($V15="","",IF(COUNTIF(choice!$D:$D,CONCATENATE($V15,"@",DH$7))=0,"",VLOOKUP(CONCATENATE($V15,"@",DH$7),choice!$D:$E,2,0)))</f>
        <v/>
      </c>
      <c r="DI15" s="74" t="str">
        <f>IF($V15="","",IF(COUNTIF(choice!$D:$D,CONCATENATE($V15,"@",DI$7))=0,"",VLOOKUP(CONCATENATE($V15,"@",DI$7),choice!$D:$E,2,0)))</f>
        <v/>
      </c>
      <c r="DJ15" s="74" t="str">
        <f>IF($V15="","",IF(COUNTIF(choice!$D:$D,CONCATENATE($V15,"@",DJ$7))=0,"",VLOOKUP(CONCATENATE($V15,"@",DJ$7),choice!$D:$E,2,0)))</f>
        <v/>
      </c>
      <c r="DK15" s="74" t="str">
        <f>IF($V15="","",IF(COUNTIF(choice!$D:$D,CONCATENATE($V15,"@",DK$7))=0,"",VLOOKUP(CONCATENATE($V15,"@",DK$7),choice!$D:$E,2,0)))</f>
        <v/>
      </c>
      <c r="DL15" s="74" t="str">
        <f>IF($V15="","",IF(COUNTIF(choice!$D:$D,CONCATENATE($V15,"@",DL$7))=0,"",VLOOKUP(CONCATENATE($V15,"@",DL$7),choice!$D:$E,2,0)))</f>
        <v/>
      </c>
      <c r="DM15" s="74" t="str">
        <f>IF($V15="","",IF(COUNTIF(choice!$D:$D,CONCATENATE($V15,"@",DM$7))=0,"",VLOOKUP(CONCATENATE($V15,"@",DM$7),choice!$D:$E,2,0)))</f>
        <v/>
      </c>
      <c r="DN15" s="74" t="str">
        <f>IF($V15="","",IF(COUNTIF(choice!$D:$D,CONCATENATE($V15,"@",DN$7))=0,"",VLOOKUP(CONCATENATE($V15,"@",DN$7),choice!$D:$E,2,0)))</f>
        <v/>
      </c>
      <c r="DO15" s="74" t="str">
        <f>IF($V15="","",IF(COUNTIF(choice!$D:$D,CONCATENATE($V15,"@",DO$7))=0,"",VLOOKUP(CONCATENATE($V15,"@",DO$7),choice!$D:$E,2,0)))</f>
        <v/>
      </c>
      <c r="DP15" s="74" t="str">
        <f>IF($V15="","",IF(COUNTIF(choice!$D:$D,CONCATENATE($V15,"@",DP$7))=0,"",VLOOKUP(CONCATENATE($V15,"@",DP$7),choice!$D:$E,2,0)))</f>
        <v/>
      </c>
      <c r="DQ15" s="74" t="str">
        <f>IF($V15="","",IF(COUNTIF(choice!$D:$D,CONCATENATE($V15,"@",DQ$7))=0,"",VLOOKUP(CONCATENATE($V15,"@",DQ$7),choice!$D:$E,2,0)))</f>
        <v/>
      </c>
      <c r="DR15" s="74" t="str">
        <f>IF($V15="","",IF(COUNTIF(choice!$D:$D,CONCATENATE($V15,"@",DR$7))=0,"",VLOOKUP(CONCATENATE($V15,"@",DR$7),choice!$D:$E,2,0)))</f>
        <v/>
      </c>
      <c r="DS15" s="74" t="str">
        <f>IF($V15="","",IF(COUNTIF(choice!$D:$D,CONCATENATE($V15,"@",DS$7))=0,"",VLOOKUP(CONCATENATE($V15,"@",DS$7),choice!$D:$E,2,0)))</f>
        <v/>
      </c>
      <c r="DT15" s="74" t="str">
        <f>IF($V15="","",IF(COUNTIF(choice!$D:$D,CONCATENATE($V15,"@",DT$7))=0,"",VLOOKUP(CONCATENATE($V15,"@",DT$7),choice!$D:$E,2,0)))</f>
        <v/>
      </c>
      <c r="DU15" s="74" t="str">
        <f>IF($V15="","",IF(COUNTIF(choice!$D:$D,CONCATENATE($V15,"@",DU$7))=0,"",VLOOKUP(CONCATENATE($V15,"@",DU$7),choice!$D:$E,2,0)))</f>
        <v/>
      </c>
      <c r="DV15" s="74" t="str">
        <f>IF($V15="","",IF(COUNTIF(choice!$D:$D,CONCATENATE($V15,"@",DV$7))=0,"",VLOOKUP(CONCATENATE($V15,"@",DV$7),choice!$D:$E,2,0)))</f>
        <v/>
      </c>
      <c r="DW15" s="74" t="str">
        <f>IF($V15="","",IF(COUNTIF(choice!$D:$D,CONCATENATE($V15,"@",DW$7))=0,"",VLOOKUP(CONCATENATE($V15,"@",DW$7),choice!$D:$E,2,0)))</f>
        <v/>
      </c>
      <c r="DX15" s="74" t="str">
        <f>IF($V15="","",IF(COUNTIF(choice!$D:$D,CONCATENATE($V15,"@",DX$7))=0,"",VLOOKUP(CONCATENATE($V15,"@",DX$7),choice!$D:$E,2,0)))</f>
        <v/>
      </c>
      <c r="DY15" s="74" t="str">
        <f>IF($V15="","",IF(COUNTIF(choice!$D:$D,CONCATENATE($V15,"@",DY$7))=0,"",VLOOKUP(CONCATENATE($V15,"@",DY$7),choice!$D:$E,2,0)))</f>
        <v/>
      </c>
      <c r="DZ15" s="74" t="str">
        <f>IF($V15="","",IF(COUNTIF(choice!$D:$D,CONCATENATE($V15,"@",DZ$7))=0,"",VLOOKUP(CONCATENATE($V15,"@",DZ$7),choice!$D:$E,2,0)))</f>
        <v/>
      </c>
      <c r="EA15" s="74" t="str">
        <f>IF($V15="","",IF(COUNTIF(choice!$D:$D,CONCATENATE($V15,"@",EA$7))=0,"",VLOOKUP(CONCATENATE($V15,"@",EA$7),choice!$D:$E,2,0)))</f>
        <v/>
      </c>
      <c r="EB15" s="74" t="str">
        <f>IF($V15="","",IF(COUNTIF(choice!$D:$D,CONCATENATE($V15,"@",EB$7))=0,"",VLOOKUP(CONCATENATE($V15,"@",EB$7),choice!$D:$E,2,0)))</f>
        <v/>
      </c>
      <c r="EC15" s="81" t="str">
        <f>IF($V15="","",IF(COUNTIF(choice!$D:$D,CONCATENATE($V15,"@",EC$7))=0,"",VLOOKUP(CONCATENATE($V15,"@",EC$7),choice!$D:$E,2,0)))</f>
        <v/>
      </c>
      <c r="ED15" s="80" t="str">
        <f>IF($W15="","",IF(COUNTIF(choice!$D:$D,CONCATENATE($W15,"@",ED$7))=0,"",VLOOKUP(CONCATENATE($W15,"@",ED$7),choice!$D:$E,2,0)))</f>
        <v/>
      </c>
      <c r="EE15" s="74" t="str">
        <f>IF($W15="","",IF(COUNTIF(choice!$D:$D,CONCATENATE($W15,"@",EE$7))=0,"",VLOOKUP(CONCATENATE($W15,"@",EE$7),choice!$D:$E,2,0)))</f>
        <v/>
      </c>
      <c r="EF15" s="74" t="str">
        <f>IF($W15="","",IF(COUNTIF(choice!$D:$D,CONCATENATE($W15,"@",EF$7))=0,"",VLOOKUP(CONCATENATE($W15,"@",EF$7),choice!$D:$E,2,0)))</f>
        <v/>
      </c>
      <c r="EG15" s="74" t="str">
        <f>IF($W15="","",IF(COUNTIF(choice!$D:$D,CONCATENATE($W15,"@",EG$7))=0,"",VLOOKUP(CONCATENATE($W15,"@",EG$7),choice!$D:$E,2,0)))</f>
        <v/>
      </c>
      <c r="EH15" s="74" t="str">
        <f>IF($W15="","",IF(COUNTIF(choice!$D:$D,CONCATENATE($W15,"@",EH$7))=0,"",VLOOKUP(CONCATENATE($W15,"@",EH$7),choice!$D:$E,2,0)))</f>
        <v/>
      </c>
      <c r="EI15" s="74" t="str">
        <f>IF($W15="","",IF(COUNTIF(choice!$D:$D,CONCATENATE($W15,"@",EI$7))=0,"",VLOOKUP(CONCATENATE($W15,"@",EI$7),choice!$D:$E,2,0)))</f>
        <v/>
      </c>
      <c r="EJ15" s="74" t="str">
        <f>IF($W15="","",IF(COUNTIF(choice!$D:$D,CONCATENATE($W15,"@",EJ$7))=0,"",VLOOKUP(CONCATENATE($W15,"@",EJ$7),choice!$D:$E,2,0)))</f>
        <v/>
      </c>
      <c r="EK15" s="74" t="str">
        <f>IF($W15="","",IF(COUNTIF(choice!$D:$D,CONCATENATE($W15,"@",EK$7))=0,"",VLOOKUP(CONCATENATE($W15,"@",EK$7),choice!$D:$E,2,0)))</f>
        <v/>
      </c>
      <c r="EL15" s="74" t="str">
        <f>IF($W15="","",IF(COUNTIF(choice!$D:$D,CONCATENATE($W15,"@",EL$7))=0,"",VLOOKUP(CONCATENATE($W15,"@",EL$7),choice!$D:$E,2,0)))</f>
        <v/>
      </c>
      <c r="EM15" s="74" t="str">
        <f>IF($W15="","",IF(COUNTIF(choice!$D:$D,CONCATENATE($W15,"@",EM$7))=0,"",VLOOKUP(CONCATENATE($W15,"@",EM$7),choice!$D:$E,2,0)))</f>
        <v/>
      </c>
      <c r="EN15" s="74" t="str">
        <f>IF($W15="","",IF(COUNTIF(choice!$D:$D,CONCATENATE($W15,"@",EN$7))=0,"",VLOOKUP(CONCATENATE($W15,"@",EN$7),choice!$D:$E,2,0)))</f>
        <v/>
      </c>
      <c r="EO15" s="74" t="str">
        <f>IF($W15="","",IF(COUNTIF(choice!$D:$D,CONCATENATE($W15,"@",EO$7))=0,"",VLOOKUP(CONCATENATE($W15,"@",EO$7),choice!$D:$E,2,0)))</f>
        <v/>
      </c>
      <c r="EP15" s="74" t="str">
        <f>IF($W15="","",IF(COUNTIF(choice!$D:$D,CONCATENATE($W15,"@",EP$7))=0,"",VLOOKUP(CONCATENATE($W15,"@",EP$7),choice!$D:$E,2,0)))</f>
        <v/>
      </c>
      <c r="EQ15" s="74" t="str">
        <f>IF($W15="","",IF(COUNTIF(choice!$D:$D,CONCATENATE($W15,"@",EQ$7))=0,"",VLOOKUP(CONCATENATE($W15,"@",EQ$7),choice!$D:$E,2,0)))</f>
        <v/>
      </c>
      <c r="ER15" s="74" t="str">
        <f>IF($W15="","",IF(COUNTIF(choice!$D:$D,CONCATENATE($W15,"@",ER$7))=0,"",VLOOKUP(CONCATENATE($W15,"@",ER$7),choice!$D:$E,2,0)))</f>
        <v/>
      </c>
      <c r="ES15" s="74" t="str">
        <f>IF($W15="","",IF(COUNTIF(choice!$D:$D,CONCATENATE($W15,"@",ES$7))=0,"",VLOOKUP(CONCATENATE($W15,"@",ES$7),choice!$D:$E,2,0)))</f>
        <v/>
      </c>
      <c r="ET15" s="74" t="str">
        <f>IF($W15="","",IF(COUNTIF(choice!$D:$D,CONCATENATE($W15,"@",ET$7))=0,"",VLOOKUP(CONCATENATE($W15,"@",ET$7),choice!$D:$E,2,0)))</f>
        <v/>
      </c>
      <c r="EU15" s="74" t="str">
        <f>IF($W15="","",IF(COUNTIF(choice!$D:$D,CONCATENATE($W15,"@",EU$7))=0,"",VLOOKUP(CONCATENATE($W15,"@",EU$7),choice!$D:$E,2,0)))</f>
        <v/>
      </c>
      <c r="EV15" s="74" t="str">
        <f>IF($W15="","",IF(COUNTIF(choice!$D:$D,CONCATENATE($W15,"@",EV$7))=0,"",VLOOKUP(CONCATENATE($W15,"@",EV$7),choice!$D:$E,2,0)))</f>
        <v/>
      </c>
      <c r="EW15" s="74" t="str">
        <f>IF($W15="","",IF(COUNTIF(choice!$D:$D,CONCATENATE($W15,"@",EW$7))=0,"",VLOOKUP(CONCATENATE($W15,"@",EW$7),choice!$D:$E,2,0)))</f>
        <v/>
      </c>
      <c r="EX15" s="74" t="str">
        <f>IF($W15="","",IF(COUNTIF(choice!$D:$D,CONCATENATE($W15,"@",EX$7))=0,"",VLOOKUP(CONCATENATE($W15,"@",EX$7),choice!$D:$E,2,0)))</f>
        <v/>
      </c>
      <c r="EY15" s="74" t="str">
        <f>IF($W15="","",IF(COUNTIF(choice!$D:$D,CONCATENATE($W15,"@",EY$7))=0,"",VLOOKUP(CONCATENATE($W15,"@",EY$7),choice!$D:$E,2,0)))</f>
        <v/>
      </c>
      <c r="EZ15" s="74" t="str">
        <f>IF($W15="","",IF(COUNTIF(choice!$D:$D,CONCATENATE($W15,"@",EZ$7))=0,"",VLOOKUP(CONCATENATE($W15,"@",EZ$7),choice!$D:$E,2,0)))</f>
        <v/>
      </c>
      <c r="FA15" s="74" t="str">
        <f>IF($W15="","",IF(COUNTIF(choice!$D:$D,CONCATENATE($W15,"@",FA$7))=0,"",VLOOKUP(CONCATENATE($W15,"@",FA$7),choice!$D:$E,2,0)))</f>
        <v/>
      </c>
      <c r="FB15" s="74" t="str">
        <f>IF($W15="","",IF(COUNTIF(choice!$D:$D,CONCATENATE($W15,"@",FB$7))=0,"",VLOOKUP(CONCATENATE($W15,"@",FB$7),choice!$D:$E,2,0)))</f>
        <v/>
      </c>
      <c r="FC15" s="74" t="str">
        <f>IF($W15="","",IF(COUNTIF(choice!$D:$D,CONCATENATE($W15,"@",FC$7))=0,"",VLOOKUP(CONCATENATE($W15,"@",FC$7),choice!$D:$E,2,0)))</f>
        <v/>
      </c>
      <c r="FD15" s="74" t="str">
        <f>IF($W15="","",IF(COUNTIF(choice!$D:$D,CONCATENATE($W15,"@",FD$7))=0,"",VLOOKUP(CONCATENATE($W15,"@",FD$7),choice!$D:$E,2,0)))</f>
        <v/>
      </c>
      <c r="FE15" s="74" t="str">
        <f>IF($W15="","",IF(COUNTIF(choice!$D:$D,CONCATENATE($W15,"@",FE$7))=0,"",VLOOKUP(CONCATENATE($W15,"@",FE$7),choice!$D:$E,2,0)))</f>
        <v/>
      </c>
      <c r="FF15" s="74" t="str">
        <f>IF($W15="","",IF(COUNTIF(choice!$D:$D,CONCATENATE($W15,"@",FF$7))=0,"",VLOOKUP(CONCATENATE($W15,"@",FF$7),choice!$D:$E,2,0)))</f>
        <v/>
      </c>
      <c r="FG15" s="74" t="str">
        <f>IF($W15="","",IF(COUNTIF(choice!$D:$D,CONCATENATE($W15,"@",FG$7))=0,"",VLOOKUP(CONCATENATE($W15,"@",FG$7),choice!$D:$E,2,0)))</f>
        <v/>
      </c>
      <c r="FH15" s="74" t="str">
        <f>IF($W15="","",IF(COUNTIF(choice!$D:$D,CONCATENATE($W15,"@",FH$7))=0,"",VLOOKUP(CONCATENATE($W15,"@",FH$7),choice!$D:$E,2,0)))</f>
        <v/>
      </c>
      <c r="FI15" s="74" t="str">
        <f>IF($W15="","",IF(COUNTIF(choice!$D:$D,CONCATENATE($W15,"@",FI$7))=0,"",VLOOKUP(CONCATENATE($W15,"@",FI$7),choice!$D:$E,2,0)))</f>
        <v/>
      </c>
      <c r="FJ15" s="74" t="str">
        <f>IF($W15="","",IF(COUNTIF(choice!$D:$D,CONCATENATE($W15,"@",FJ$7))=0,"",VLOOKUP(CONCATENATE($W15,"@",FJ$7),choice!$D:$E,2,0)))</f>
        <v/>
      </c>
      <c r="FK15" s="74" t="str">
        <f>IF($W15="","",IF(COUNTIF(choice!$D:$D,CONCATENATE($W15,"@",FK$7))=0,"",VLOOKUP(CONCATENATE($W15,"@",FK$7),choice!$D:$E,2,0)))</f>
        <v/>
      </c>
      <c r="FL15" s="74" t="str">
        <f>IF($W15="","",IF(COUNTIF(choice!$D:$D,CONCATENATE($W15,"@",FL$7))=0,"",VLOOKUP(CONCATENATE($W15,"@",FL$7),choice!$D:$E,2,0)))</f>
        <v/>
      </c>
      <c r="FM15" s="74" t="str">
        <f>IF($W15="","",IF(COUNTIF(choice!$D:$D,CONCATENATE($W15,"@",FM$7))=0,"",VLOOKUP(CONCATENATE($W15,"@",FM$7),choice!$D:$E,2,0)))</f>
        <v/>
      </c>
      <c r="FN15" s="74" t="str">
        <f>IF($W15="","",IF(COUNTIF(choice!$D:$D,CONCATENATE($W15,"@",FN$7))=0,"",VLOOKUP(CONCATENATE($W15,"@",FN$7),choice!$D:$E,2,0)))</f>
        <v/>
      </c>
      <c r="FO15" s="74" t="str">
        <f>IF($W15="","",IF(COUNTIF(choice!$D:$D,CONCATENATE($W15,"@",FO$7))=0,"",VLOOKUP(CONCATENATE($W15,"@",FO$7),choice!$D:$E,2,0)))</f>
        <v/>
      </c>
      <c r="FP15" s="74" t="str">
        <f>IF($W15="","",IF(COUNTIF(choice!$D:$D,CONCATENATE($W15,"@",FP$7))=0,"",VLOOKUP(CONCATENATE($W15,"@",FP$7),choice!$D:$E,2,0)))</f>
        <v/>
      </c>
      <c r="FQ15" s="74" t="str">
        <f>IF($W15="","",IF(COUNTIF(choice!$D:$D,CONCATENATE($W15,"@",FQ$7))=0,"",VLOOKUP(CONCATENATE($W15,"@",FQ$7),choice!$D:$E,2,0)))</f>
        <v/>
      </c>
      <c r="FR15" s="74" t="str">
        <f>IF($W15="","",IF(COUNTIF(choice!$D:$D,CONCATENATE($W15,"@",FR$7))=0,"",VLOOKUP(CONCATENATE($W15,"@",FR$7),choice!$D:$E,2,0)))</f>
        <v/>
      </c>
      <c r="FS15" s="74" t="str">
        <f>IF($W15="","",IF(COUNTIF(choice!$D:$D,CONCATENATE($W15,"@",FS$7))=0,"",VLOOKUP(CONCATENATE($W15,"@",FS$7),choice!$D:$E,2,0)))</f>
        <v/>
      </c>
      <c r="FT15" s="74" t="str">
        <f>IF($W15="","",IF(COUNTIF(choice!$D:$D,CONCATENATE($W15,"@",FT$7))=0,"",VLOOKUP(CONCATENATE($W15,"@",FT$7),choice!$D:$E,2,0)))</f>
        <v/>
      </c>
      <c r="FU15" s="74" t="str">
        <f>IF($W15="","",IF(COUNTIF(choice!$D:$D,CONCATENATE($W15,"@",FU$7))=0,"",VLOOKUP(CONCATENATE($W15,"@",FU$7),choice!$D:$E,2,0)))</f>
        <v/>
      </c>
      <c r="FV15" s="81" t="str">
        <f>IF($W15="","",IF(COUNTIF(choice!$D:$D,CONCATENATE($W15,"@",FV$7))=0,"",VLOOKUP(CONCATENATE($W15,"@",FV$7),choice!$D:$E,2,0)))</f>
        <v/>
      </c>
      <c r="FW15" s="80" t="str">
        <f>IF($X15="","",IF(COUNTIF(choice!$D:$D,CONCATENATE($X15,"@",FW$7))=0,"",VLOOKUP(CONCATENATE($X15,"@",FW$7),choice!$D:$E,2,0)))</f>
        <v/>
      </c>
      <c r="FX15" s="74" t="str">
        <f>IF($X15="","",IF(COUNTIF(choice!$D:$D,CONCATENATE($X15,"@",FX$7))=0,"",VLOOKUP(CONCATENATE($X15,"@",FX$7),choice!$D:$E,2,0)))</f>
        <v/>
      </c>
      <c r="FY15" s="74" t="str">
        <f>IF($X15="","",IF(COUNTIF(choice!$D:$D,CONCATENATE($X15,"@",FY$7))=0,"",VLOOKUP(CONCATENATE($X15,"@",FY$7),choice!$D:$E,2,0)))</f>
        <v/>
      </c>
      <c r="FZ15" s="74" t="str">
        <f>IF($X15="","",IF(COUNTIF(choice!$D:$D,CONCATENATE($X15,"@",FZ$7))=0,"",VLOOKUP(CONCATENATE($X15,"@",FZ$7),choice!$D:$E,2,0)))</f>
        <v/>
      </c>
      <c r="GA15" s="74" t="str">
        <f>IF($X15="","",IF(COUNTIF(choice!$D:$D,CONCATENATE($X15,"@",GA$7))=0,"",VLOOKUP(CONCATENATE($X15,"@",GA$7),choice!$D:$E,2,0)))</f>
        <v/>
      </c>
      <c r="GB15" s="74" t="str">
        <f>IF($X15="","",IF(COUNTIF(choice!$D:$D,CONCATENATE($X15,"@",GB$7))=0,"",VLOOKUP(CONCATENATE($X15,"@",GB$7),choice!$D:$E,2,0)))</f>
        <v/>
      </c>
      <c r="GC15" s="74" t="str">
        <f>IF($X15="","",IF(COUNTIF(choice!$D:$D,CONCATENATE($X15,"@",GC$7))=0,"",VLOOKUP(CONCATENATE($X15,"@",GC$7),choice!$D:$E,2,0)))</f>
        <v/>
      </c>
      <c r="GD15" s="74" t="str">
        <f>IF($X15="","",IF(COUNTIF(choice!$D:$D,CONCATENATE($X15,"@",GD$7))=0,"",VLOOKUP(CONCATENATE($X15,"@",GD$7),choice!$D:$E,2,0)))</f>
        <v/>
      </c>
      <c r="GE15" s="74" t="str">
        <f>IF($X15="","",IF(COUNTIF(choice!$D:$D,CONCATENATE($X15,"@",GE$7))=0,"",VLOOKUP(CONCATENATE($X15,"@",GE$7),choice!$D:$E,2,0)))</f>
        <v/>
      </c>
      <c r="GF15" s="74" t="str">
        <f>IF($X15="","",IF(COUNTIF(choice!$D:$D,CONCATENATE($X15,"@",GF$7))=0,"",VLOOKUP(CONCATENATE($X15,"@",GF$7),choice!$D:$E,2,0)))</f>
        <v/>
      </c>
      <c r="GG15" s="74" t="str">
        <f>IF($X15="","",IF(COUNTIF(choice!$D:$D,CONCATENATE($X15,"@",GG$7))=0,"",VLOOKUP(CONCATENATE($X15,"@",GG$7),choice!$D:$E,2,0)))</f>
        <v/>
      </c>
      <c r="GH15" s="74" t="str">
        <f>IF($X15="","",IF(COUNTIF(choice!$D:$D,CONCATENATE($X15,"@",GH$7))=0,"",VLOOKUP(CONCATENATE($X15,"@",GH$7),choice!$D:$E,2,0)))</f>
        <v/>
      </c>
      <c r="GI15" s="74" t="str">
        <f>IF($X15="","",IF(COUNTIF(choice!$D:$D,CONCATENATE($X15,"@",GI$7))=0,"",VLOOKUP(CONCATENATE($X15,"@",GI$7),choice!$D:$E,2,0)))</f>
        <v/>
      </c>
      <c r="GJ15" s="74" t="str">
        <f>IF($X15="","",IF(COUNTIF(choice!$D:$D,CONCATENATE($X15,"@",GJ$7))=0,"",VLOOKUP(CONCATENATE($X15,"@",GJ$7),choice!$D:$E,2,0)))</f>
        <v/>
      </c>
      <c r="GK15" s="74" t="str">
        <f>IF($X15="","",IF(COUNTIF(choice!$D:$D,CONCATENATE($X15,"@",GK$7))=0,"",VLOOKUP(CONCATENATE($X15,"@",GK$7),choice!$D:$E,2,0)))</f>
        <v/>
      </c>
      <c r="GL15" s="74" t="str">
        <f>IF($X15="","",IF(COUNTIF(choice!$D:$D,CONCATENATE($X15,"@",GL$7))=0,"",VLOOKUP(CONCATENATE($X15,"@",GL$7),choice!$D:$E,2,0)))</f>
        <v/>
      </c>
      <c r="GM15" s="74" t="str">
        <f>IF($X15="","",IF(COUNTIF(choice!$D:$D,CONCATENATE($X15,"@",GM$7))=0,"",VLOOKUP(CONCATENATE($X15,"@",GM$7),choice!$D:$E,2,0)))</f>
        <v/>
      </c>
      <c r="GN15" s="74" t="str">
        <f>IF($X15="","",IF(COUNTIF(choice!$D:$D,CONCATENATE($X15,"@",GN$7))=0,"",VLOOKUP(CONCATENATE($X15,"@",GN$7),choice!$D:$E,2,0)))</f>
        <v/>
      </c>
      <c r="GO15" s="74" t="str">
        <f>IF($X15="","",IF(COUNTIF(choice!$D:$D,CONCATENATE($X15,"@",GO$7))=0,"",VLOOKUP(CONCATENATE($X15,"@",GO$7),choice!$D:$E,2,0)))</f>
        <v/>
      </c>
      <c r="GP15" s="74" t="str">
        <f>IF($X15="","",IF(COUNTIF(choice!$D:$D,CONCATENATE($X15,"@",GP$7))=0,"",VLOOKUP(CONCATENATE($X15,"@",GP$7),choice!$D:$E,2,0)))</f>
        <v/>
      </c>
      <c r="GQ15" s="74" t="str">
        <f>IF($X15="","",IF(COUNTIF(choice!$D:$D,CONCATENATE($X15,"@",GQ$7))=0,"",VLOOKUP(CONCATENATE($X15,"@",GQ$7),choice!$D:$E,2,0)))</f>
        <v/>
      </c>
      <c r="GR15" s="74" t="str">
        <f>IF($X15="","",IF(COUNTIF(choice!$D:$D,CONCATENATE($X15,"@",GR$7))=0,"",VLOOKUP(CONCATENATE($X15,"@",GR$7),choice!$D:$E,2,0)))</f>
        <v/>
      </c>
      <c r="GS15" s="74" t="str">
        <f>IF($X15="","",IF(COUNTIF(choice!$D:$D,CONCATENATE($X15,"@",GS$7))=0,"",VLOOKUP(CONCATENATE($X15,"@",GS$7),choice!$D:$E,2,0)))</f>
        <v/>
      </c>
      <c r="GT15" s="74" t="str">
        <f>IF($X15="","",IF(COUNTIF(choice!$D:$D,CONCATENATE($X15,"@",GT$7))=0,"",VLOOKUP(CONCATENATE($X15,"@",GT$7),choice!$D:$E,2,0)))</f>
        <v/>
      </c>
      <c r="GU15" s="74" t="str">
        <f>IF($X15="","",IF(COUNTIF(choice!$D:$D,CONCATENATE($X15,"@",GU$7))=0,"",VLOOKUP(CONCATENATE($X15,"@",GU$7),choice!$D:$E,2,0)))</f>
        <v/>
      </c>
      <c r="GV15" s="74" t="str">
        <f>IF($X15="","",IF(COUNTIF(choice!$D:$D,CONCATENATE($X15,"@",GV$7))=0,"",VLOOKUP(CONCATENATE($X15,"@",GV$7),choice!$D:$E,2,0)))</f>
        <v/>
      </c>
      <c r="GW15" s="74" t="str">
        <f>IF($X15="","",IF(COUNTIF(choice!$D:$D,CONCATENATE($X15,"@",GW$7))=0,"",VLOOKUP(CONCATENATE($X15,"@",GW$7),choice!$D:$E,2,0)))</f>
        <v/>
      </c>
      <c r="GX15" s="74" t="str">
        <f>IF($X15="","",IF(COUNTIF(choice!$D:$D,CONCATENATE($X15,"@",GX$7))=0,"",VLOOKUP(CONCATENATE($X15,"@",GX$7),choice!$D:$E,2,0)))</f>
        <v/>
      </c>
      <c r="GY15" s="74" t="str">
        <f>IF($X15="","",IF(COUNTIF(choice!$D:$D,CONCATENATE($X15,"@",GY$7))=0,"",VLOOKUP(CONCATENATE($X15,"@",GY$7),choice!$D:$E,2,0)))</f>
        <v/>
      </c>
      <c r="GZ15" s="74" t="str">
        <f>IF($X15="","",IF(COUNTIF(choice!$D:$D,CONCATENATE($X15,"@",GZ$7))=0,"",VLOOKUP(CONCATENATE($X15,"@",GZ$7),choice!$D:$E,2,0)))</f>
        <v/>
      </c>
      <c r="HA15" s="74" t="str">
        <f>IF($X15="","",IF(COUNTIF(choice!$D:$D,CONCATENATE($X15,"@",HA$7))=0,"",VLOOKUP(CONCATENATE($X15,"@",HA$7),choice!$D:$E,2,0)))</f>
        <v/>
      </c>
      <c r="HB15" s="74" t="str">
        <f>IF($X15="","",IF(COUNTIF(choice!$D:$D,CONCATENATE($X15,"@",HB$7))=0,"",VLOOKUP(CONCATENATE($X15,"@",HB$7),choice!$D:$E,2,0)))</f>
        <v/>
      </c>
      <c r="HC15" s="74" t="str">
        <f>IF($X15="","",IF(COUNTIF(choice!$D:$D,CONCATENATE($X15,"@",HC$7))=0,"",VLOOKUP(CONCATENATE($X15,"@",HC$7),choice!$D:$E,2,0)))</f>
        <v/>
      </c>
      <c r="HD15" s="74" t="str">
        <f>IF($X15="","",IF(COUNTIF(choice!$D:$D,CONCATENATE($X15,"@",HD$7))=0,"",VLOOKUP(CONCATENATE($X15,"@",HD$7),choice!$D:$E,2,0)))</f>
        <v/>
      </c>
      <c r="HE15" s="74" t="str">
        <f>IF($X15="","",IF(COUNTIF(choice!$D:$D,CONCATENATE($X15,"@",HE$7))=0,"",VLOOKUP(CONCATENATE($X15,"@",HE$7),choice!$D:$E,2,0)))</f>
        <v/>
      </c>
      <c r="HF15" s="74" t="str">
        <f>IF($X15="","",IF(COUNTIF(choice!$D:$D,CONCATENATE($X15,"@",HF$7))=0,"",VLOOKUP(CONCATENATE($X15,"@",HF$7),choice!$D:$E,2,0)))</f>
        <v/>
      </c>
      <c r="HG15" s="74" t="str">
        <f>IF($X15="","",IF(COUNTIF(choice!$D:$D,CONCATENATE($X15,"@",HG$7))=0,"",VLOOKUP(CONCATENATE($X15,"@",HG$7),choice!$D:$E,2,0)))</f>
        <v/>
      </c>
      <c r="HH15" s="74" t="str">
        <f>IF($X15="","",IF(COUNTIF(choice!$D:$D,CONCATENATE($X15,"@",HH$7))=0,"",VLOOKUP(CONCATENATE($X15,"@",HH$7),choice!$D:$E,2,0)))</f>
        <v/>
      </c>
      <c r="HI15" s="74" t="str">
        <f>IF($X15="","",IF(COUNTIF(choice!$D:$D,CONCATENATE($X15,"@",HI$7))=0,"",VLOOKUP(CONCATENATE($X15,"@",HI$7),choice!$D:$E,2,0)))</f>
        <v/>
      </c>
      <c r="HJ15" s="74" t="str">
        <f>IF($X15="","",IF(COUNTIF(choice!$D:$D,CONCATENATE($X15,"@",HJ$7))=0,"",VLOOKUP(CONCATENATE($X15,"@",HJ$7),choice!$D:$E,2,0)))</f>
        <v/>
      </c>
      <c r="HK15" s="74" t="str">
        <f>IF($X15="","",IF(COUNTIF(choice!$D:$D,CONCATENATE($X15,"@",HK$7))=0,"",VLOOKUP(CONCATENATE($X15,"@",HK$7),choice!$D:$E,2,0)))</f>
        <v/>
      </c>
      <c r="HL15" s="74" t="str">
        <f>IF($X15="","",IF(COUNTIF(choice!$D:$D,CONCATENATE($X15,"@",HL$7))=0,"",VLOOKUP(CONCATENATE($X15,"@",HL$7),choice!$D:$E,2,0)))</f>
        <v/>
      </c>
      <c r="HM15" s="74" t="str">
        <f>IF($X15="","",IF(COUNTIF(choice!$D:$D,CONCATENATE($X15,"@",HM$7))=0,"",VLOOKUP(CONCATENATE($X15,"@",HM$7),choice!$D:$E,2,0)))</f>
        <v/>
      </c>
      <c r="HN15" s="74" t="str">
        <f>IF($X15="","",IF(COUNTIF(choice!$D:$D,CONCATENATE($X15,"@",HN$7))=0,"",VLOOKUP(CONCATENATE($X15,"@",HN$7),choice!$D:$E,2,0)))</f>
        <v/>
      </c>
      <c r="HO15" s="81" t="str">
        <f>IF($X15="","",IF(COUNTIF(choice!$D:$D,CONCATENATE($X15,"@",HO$7))=0,"",VLOOKUP(CONCATENATE($X15,"@",HO$7),choice!$D:$E,2,0)))</f>
        <v/>
      </c>
      <c r="HP15" s="20" t="s">
        <v>66</v>
      </c>
      <c r="HQ15" s="20" t="s">
        <v>67</v>
      </c>
      <c r="HU15" s="74" t="s">
        <v>6</v>
      </c>
      <c r="HV15" s="74">
        <f t="shared" si="10"/>
        <v>0</v>
      </c>
      <c r="HW15" s="74">
        <f t="shared" si="11"/>
        <v>0</v>
      </c>
      <c r="HX15" s="74">
        <f t="shared" si="12"/>
        <v>0</v>
      </c>
      <c r="HY15" s="74">
        <f t="shared" si="13"/>
        <v>0</v>
      </c>
      <c r="HZ15" s="74">
        <f t="shared" si="19"/>
        <v>0</v>
      </c>
      <c r="IA15" s="74">
        <f t="shared" si="20"/>
        <v>0</v>
      </c>
      <c r="IB15" s="74" t="str">
        <f t="shared" si="21"/>
        <v/>
      </c>
      <c r="IC15" s="74" t="str">
        <f t="shared" si="22"/>
        <v/>
      </c>
      <c r="ID15" s="74" t="str">
        <f t="shared" si="14"/>
        <v/>
      </c>
      <c r="IE15" s="74">
        <f t="shared" si="15"/>
        <v>8</v>
      </c>
      <c r="IF15" s="74">
        <f>COUNTIFS(ID$8:ID15,"BLUE")</f>
        <v>0</v>
      </c>
      <c r="IG15" s="74" t="str">
        <f t="shared" si="16"/>
        <v/>
      </c>
      <c r="IH15" s="74" t="str">
        <f>IF(COUNTIFS($AQ15,"*02*")=0,"",COUNTIFS(IJ$8:IJ15,"BLUE"))</f>
        <v/>
      </c>
      <c r="II15" s="74" t="str">
        <f>IF(COUNTIFS($AQ15,"*04*")=0,"",COUNTIFS(IK$8:IK15,"BLUE"))</f>
        <v/>
      </c>
      <c r="IJ15" s="74" t="str">
        <f t="shared" si="23"/>
        <v/>
      </c>
      <c r="IK15" s="74" t="str">
        <f t="shared" si="24"/>
        <v/>
      </c>
      <c r="IL15" s="74" t="str">
        <f t="shared" si="17"/>
        <v/>
      </c>
      <c r="IM15" s="74" t="str">
        <f t="shared" si="18"/>
        <v/>
      </c>
      <c r="IN15" s="74">
        <f>COUNTIFS(IJ$8:IJ15,"BLUE")</f>
        <v>0</v>
      </c>
      <c r="IO15" s="74">
        <f>COUNTIFS(IK$8:IK15,"BLUE")</f>
        <v>0</v>
      </c>
    </row>
    <row r="16" spans="1:249" s="20" customFormat="1" ht="25.5" customHeight="1">
      <c r="A16" s="33"/>
      <c r="B16" s="95">
        <v>9</v>
      </c>
      <c r="C16" s="155"/>
      <c r="D16" s="174"/>
      <c r="E16" s="98" t="e">
        <f>VLOOKUP(F16,'Radio Call Sign'!A:B,2)</f>
        <v>#N/A</v>
      </c>
      <c r="F16" s="88"/>
      <c r="G16" s="99" t="e">
        <f>VLOOKUP(H16,'Radio Call Sign'!A:B,2)</f>
        <v>#N/A</v>
      </c>
      <c r="H16" s="99"/>
      <c r="I16" s="89"/>
      <c r="J16" s="90"/>
      <c r="K16" s="101"/>
      <c r="L16" s="155"/>
      <c r="M16" s="191" t="str">
        <f t="shared" si="9"/>
        <v/>
      </c>
      <c r="N16" s="103"/>
      <c r="O16" s="103"/>
      <c r="P16" s="175"/>
      <c r="Q16" s="161" t="str">
        <f>IF(AA16="","",IF(COUNTIFS('overhead line area'!$D$3:$D$100,AA16)+COUNTIFS('overhead line area'!$D$3:$D$100,AB16)+COUNTIFS('overhead line area'!$D$3:$D$100,AC16)+COUNTIFS('overhead line area'!$D$3:$D$100,AD16)=0,"","*               "))</f>
        <v/>
      </c>
      <c r="R16" s="104"/>
      <c r="S16" s="105"/>
      <c r="U16" s="74"/>
      <c r="V16" s="74"/>
      <c r="W16" s="74"/>
      <c r="X16" s="74"/>
      <c r="Y16" s="74"/>
      <c r="AA16" s="74" t="str">
        <f t="shared" si="4"/>
        <v/>
      </c>
      <c r="AB16" s="74" t="str">
        <f t="shared" si="5"/>
        <v/>
      </c>
      <c r="AC16" s="74" t="str">
        <f t="shared" si="6"/>
        <v/>
      </c>
      <c r="AD16" s="74" t="str">
        <f t="shared" si="6"/>
        <v/>
      </c>
      <c r="AF16" s="74" t="str">
        <f>IF(AA16="","",IF(COUNTIF(Route!$AM:$AM,'Train Movement Log (page.1)'!AA16)=0,"未有資料",VLOOKUP('Train Movement Log (page.1)'!AA16,Route!$AM:$AP,3,0)))</f>
        <v/>
      </c>
      <c r="AG16" s="74" t="str">
        <f>IF(AB16="","",IF(COUNTIF(Route!$AM:$AM,'Train Movement Log (page.1)'!AB16)=0,"未有資料",VLOOKUP('Train Movement Log (page.1)'!AB16,Route!$AM:$AP,3,0)))</f>
        <v/>
      </c>
      <c r="AH16" s="74" t="str">
        <f>IF(AC16="","",IF(COUNTIF(Route!$AM:$AM,'Train Movement Log (page.1)'!AC16)=0,"未有資料",VLOOKUP('Train Movement Log (page.1)'!AC16,Route!$AM:$AP,3,0)))</f>
        <v/>
      </c>
      <c r="AI16" s="74" t="str">
        <f>IF(AD16="","",IF(COUNTIF(Route!$AM:$AM,'Train Movement Log (page.1)'!AD16)=0,"未有資料",VLOOKUP('Train Movement Log (page.1)'!AD16,Route!$AM:$AP,3,0)))</f>
        <v/>
      </c>
      <c r="AK16" s="74" t="str">
        <f>IF(AA16="","",IF(COUNTIF(Route!$AM:$AM,'Train Movement Log (page.1)'!AA16)=0,"未有資料",VLOOKUP('Train Movement Log (page.1)'!AA16,Route!$AM:$AP,4,0)))</f>
        <v/>
      </c>
      <c r="AL16" s="74" t="str">
        <f>IF(AB16="","",IF(COUNTIF(Route!$AM:$AM,'Train Movement Log (page.1)'!AB16)=0,"未有資料",VLOOKUP('Train Movement Log (page.1)'!AB16,Route!$AM:$AP,4,0)))</f>
        <v/>
      </c>
      <c r="AM16" s="74" t="str">
        <f>IF(AC16="","",IF(COUNTIF(Route!$AM:$AM,'Train Movement Log (page.1)'!AC16)=0,"未有資料",VLOOKUP('Train Movement Log (page.1)'!AC16,Route!$AM:$AP,4,0)))</f>
        <v/>
      </c>
      <c r="AN16" s="74" t="str">
        <f>IF(AD16="","",IF(COUNTIF(Route!$AM:$AM,'Train Movement Log (page.1)'!AD16)=0,"未有資料",VLOOKUP('Train Movement Log (page.1)'!AD16,Route!$AM:$AP,4,0)))</f>
        <v/>
      </c>
      <c r="AP16" s="74" t="str">
        <f t="shared" si="7"/>
        <v/>
      </c>
      <c r="AQ16" s="76" t="str">
        <f t="shared" si="8"/>
        <v/>
      </c>
      <c r="AR16" s="80" t="str">
        <f>IF($U16="","",IF(COUNTIF(choice!$D:$D,CONCATENATE($U16,"@",AR$7))=0,"",VLOOKUP(CONCATENATE($U16,"@",AR$7),choice!$D:$E,2,0)))</f>
        <v/>
      </c>
      <c r="AS16" s="74" t="str">
        <f>IF($U16="","",IF(COUNTIF(choice!$D:$D,CONCATENATE($U16,"@",AS$7))=0,"",VLOOKUP(CONCATENATE($U16,"@",AS$7),choice!$D:$E,2,0)))</f>
        <v/>
      </c>
      <c r="AT16" s="74" t="str">
        <f>IF($U16="","",IF(COUNTIF(choice!$D:$D,CONCATENATE($U16,"@",AT$7))=0,"",VLOOKUP(CONCATENATE($U16,"@",AT$7),choice!$D:$E,2,0)))</f>
        <v/>
      </c>
      <c r="AU16" s="74" t="str">
        <f>IF($U16="","",IF(COUNTIF(choice!$D:$D,CONCATENATE($U16,"@",AU$7))=0,"",VLOOKUP(CONCATENATE($U16,"@",AU$7),choice!$D:$E,2,0)))</f>
        <v/>
      </c>
      <c r="AV16" s="74" t="str">
        <f>IF($U16="","",IF(COUNTIF(choice!$D:$D,CONCATENATE($U16,"@",AV$7))=0,"",VLOOKUP(CONCATENATE($U16,"@",AV$7),choice!$D:$E,2,0)))</f>
        <v/>
      </c>
      <c r="AW16" s="74" t="str">
        <f>IF($U16="","",IF(COUNTIF(choice!$D:$D,CONCATENATE($U16,"@",AW$7))=0,"",VLOOKUP(CONCATENATE($U16,"@",AW$7),choice!$D:$E,2,0)))</f>
        <v/>
      </c>
      <c r="AX16" s="74" t="str">
        <f>IF($U16="","",IF(COUNTIF(choice!$D:$D,CONCATENATE($U16,"@",AX$7))=0,"",VLOOKUP(CONCATENATE($U16,"@",AX$7),choice!$D:$E,2,0)))</f>
        <v/>
      </c>
      <c r="AY16" s="74" t="str">
        <f>IF($U16="","",IF(COUNTIF(choice!$D:$D,CONCATENATE($U16,"@",AY$7))=0,"",VLOOKUP(CONCATENATE($U16,"@",AY$7),choice!$D:$E,2,0)))</f>
        <v/>
      </c>
      <c r="AZ16" s="74" t="str">
        <f>IF($U16="","",IF(COUNTIF(choice!$D:$D,CONCATENATE($U16,"@",AZ$7))=0,"",VLOOKUP(CONCATENATE($U16,"@",AZ$7),choice!$D:$E,2,0)))</f>
        <v/>
      </c>
      <c r="BA16" s="74" t="str">
        <f>IF($U16="","",IF(COUNTIF(choice!$D:$D,CONCATENATE($U16,"@",BA$7))=0,"",VLOOKUP(CONCATENATE($U16,"@",BA$7),choice!$D:$E,2,0)))</f>
        <v/>
      </c>
      <c r="BB16" s="74" t="str">
        <f>IF($U16="","",IF(COUNTIF(choice!$D:$D,CONCATENATE($U16,"@",BB$7))=0,"",VLOOKUP(CONCATENATE($U16,"@",BB$7),choice!$D:$E,2,0)))</f>
        <v/>
      </c>
      <c r="BC16" s="74" t="str">
        <f>IF($U16="","",IF(COUNTIF(choice!$D:$D,CONCATENATE($U16,"@",BC$7))=0,"",VLOOKUP(CONCATENATE($U16,"@",BC$7),choice!$D:$E,2,0)))</f>
        <v/>
      </c>
      <c r="BD16" s="74" t="str">
        <f>IF($U16="","",IF(COUNTIF(choice!$D:$D,CONCATENATE($U16,"@",BD$7))=0,"",VLOOKUP(CONCATENATE($U16,"@",BD$7),choice!$D:$E,2,0)))</f>
        <v/>
      </c>
      <c r="BE16" s="74" t="str">
        <f>IF($U16="","",IF(COUNTIF(choice!$D:$D,CONCATENATE($U16,"@",BE$7))=0,"",VLOOKUP(CONCATENATE($U16,"@",BE$7),choice!$D:$E,2,0)))</f>
        <v/>
      </c>
      <c r="BF16" s="74" t="str">
        <f>IF($U16="","",IF(COUNTIF(choice!$D:$D,CONCATENATE($U16,"@",BF$7))=0,"",VLOOKUP(CONCATENATE($U16,"@",BF$7),choice!$D:$E,2,0)))</f>
        <v/>
      </c>
      <c r="BG16" s="74" t="str">
        <f>IF($U16="","",IF(COUNTIF(choice!$D:$D,CONCATENATE($U16,"@",BG$7))=0,"",VLOOKUP(CONCATENATE($U16,"@",BG$7),choice!$D:$E,2,0)))</f>
        <v/>
      </c>
      <c r="BH16" s="74" t="str">
        <f>IF($U16="","",IF(COUNTIF(choice!$D:$D,CONCATENATE($U16,"@",BH$7))=0,"",VLOOKUP(CONCATENATE($U16,"@",BH$7),choice!$D:$E,2,0)))</f>
        <v/>
      </c>
      <c r="BI16" s="74" t="str">
        <f>IF($U16="","",IF(COUNTIF(choice!$D:$D,CONCATENATE($U16,"@",BI$7))=0,"",VLOOKUP(CONCATENATE($U16,"@",BI$7),choice!$D:$E,2,0)))</f>
        <v/>
      </c>
      <c r="BJ16" s="74" t="str">
        <f>IF($U16="","",IF(COUNTIF(choice!$D:$D,CONCATENATE($U16,"@",BJ$7))=0,"",VLOOKUP(CONCATENATE($U16,"@",BJ$7),choice!$D:$E,2,0)))</f>
        <v/>
      </c>
      <c r="BK16" s="74" t="str">
        <f>IF($U16="","",IF(COUNTIF(choice!$D:$D,CONCATENATE($U16,"@",BK$7))=0,"",VLOOKUP(CONCATENATE($U16,"@",BK$7),choice!$D:$E,2,0)))</f>
        <v/>
      </c>
      <c r="BL16" s="74" t="str">
        <f>IF($U16="","",IF(COUNTIF(choice!$D:$D,CONCATENATE($U16,"@",BL$7))=0,"",VLOOKUP(CONCATENATE($U16,"@",BL$7),choice!$D:$E,2,0)))</f>
        <v/>
      </c>
      <c r="BM16" s="74" t="str">
        <f>IF($U16="","",IF(COUNTIF(choice!$D:$D,CONCATENATE($U16,"@",BM$7))=0,"",VLOOKUP(CONCATENATE($U16,"@",BM$7),choice!$D:$E,2,0)))</f>
        <v/>
      </c>
      <c r="BN16" s="74" t="str">
        <f>IF($U16="","",IF(COUNTIF(choice!$D:$D,CONCATENATE($U16,"@",BN$7))=0,"",VLOOKUP(CONCATENATE($U16,"@",BN$7),choice!$D:$E,2,0)))</f>
        <v/>
      </c>
      <c r="BO16" s="74" t="str">
        <f>IF($U16="","",IF(COUNTIF(choice!$D:$D,CONCATENATE($U16,"@",BO$7))=0,"",VLOOKUP(CONCATENATE($U16,"@",BO$7),choice!$D:$E,2,0)))</f>
        <v/>
      </c>
      <c r="BP16" s="74" t="str">
        <f>IF($U16="","",IF(COUNTIF(choice!$D:$D,CONCATENATE($U16,"@",BP$7))=0,"",VLOOKUP(CONCATENATE($U16,"@",BP$7),choice!$D:$E,2,0)))</f>
        <v/>
      </c>
      <c r="BQ16" s="74" t="str">
        <f>IF($U16="","",IF(COUNTIF(choice!$D:$D,CONCATENATE($U16,"@",BQ$7))=0,"",VLOOKUP(CONCATENATE($U16,"@",BQ$7),choice!$D:$E,2,0)))</f>
        <v/>
      </c>
      <c r="BR16" s="74" t="str">
        <f>IF($U16="","",IF(COUNTIF(choice!$D:$D,CONCATENATE($U16,"@",BR$7))=0,"",VLOOKUP(CONCATENATE($U16,"@",BR$7),choice!$D:$E,2,0)))</f>
        <v/>
      </c>
      <c r="BS16" s="74" t="str">
        <f>IF($U16="","",IF(COUNTIF(choice!$D:$D,CONCATENATE($U16,"@",BS$7))=0,"",VLOOKUP(CONCATENATE($U16,"@",BS$7),choice!$D:$E,2,0)))</f>
        <v/>
      </c>
      <c r="BT16" s="74" t="str">
        <f>IF($U16="","",IF(COUNTIF(choice!$D:$D,CONCATENATE($U16,"@",BT$7))=0,"",VLOOKUP(CONCATENATE($U16,"@",BT$7),choice!$D:$E,2,0)))</f>
        <v/>
      </c>
      <c r="BU16" s="74" t="str">
        <f>IF($U16="","",IF(COUNTIF(choice!$D:$D,CONCATENATE($U16,"@",BU$7))=0,"",VLOOKUP(CONCATENATE($U16,"@",BU$7),choice!$D:$E,2,0)))</f>
        <v/>
      </c>
      <c r="BV16" s="74" t="str">
        <f>IF($U16="","",IF(COUNTIF(choice!$D:$D,CONCATENATE($U16,"@",BV$7))=0,"",VLOOKUP(CONCATENATE($U16,"@",BV$7),choice!$D:$E,2,0)))</f>
        <v/>
      </c>
      <c r="BW16" s="74" t="str">
        <f>IF($U16="","",IF(COUNTIF(choice!$D:$D,CONCATENATE($U16,"@",BW$7))=0,"",VLOOKUP(CONCATENATE($U16,"@",BW$7),choice!$D:$E,2,0)))</f>
        <v/>
      </c>
      <c r="BX16" s="74" t="str">
        <f>IF($U16="","",IF(COUNTIF(choice!$D:$D,CONCATENATE($U16,"@",BX$7))=0,"",VLOOKUP(CONCATENATE($U16,"@",BX$7),choice!$D:$E,2,0)))</f>
        <v/>
      </c>
      <c r="BY16" s="74" t="str">
        <f>IF($U16="","",IF(COUNTIF(choice!$D:$D,CONCATENATE($U16,"@",BY$7))=0,"",VLOOKUP(CONCATENATE($U16,"@",BY$7),choice!$D:$E,2,0)))</f>
        <v/>
      </c>
      <c r="BZ16" s="74" t="str">
        <f>IF($U16="","",IF(COUNTIF(choice!$D:$D,CONCATENATE($U16,"@",BZ$7))=0,"",VLOOKUP(CONCATENATE($U16,"@",BZ$7),choice!$D:$E,2,0)))</f>
        <v/>
      </c>
      <c r="CA16" s="74" t="str">
        <f>IF($U16="","",IF(COUNTIF(choice!$D:$D,CONCATENATE($U16,"@",CA$7))=0,"",VLOOKUP(CONCATENATE($U16,"@",CA$7),choice!$D:$E,2,0)))</f>
        <v/>
      </c>
      <c r="CB16" s="74" t="str">
        <f>IF($U16="","",IF(COUNTIF(choice!$D:$D,CONCATENATE($U16,"@",CB$7))=0,"",VLOOKUP(CONCATENATE($U16,"@",CB$7),choice!$D:$E,2,0)))</f>
        <v/>
      </c>
      <c r="CC16" s="74" t="str">
        <f>IF($U16="","",IF(COUNTIF(choice!$D:$D,CONCATENATE($U16,"@",CC$7))=0,"",VLOOKUP(CONCATENATE($U16,"@",CC$7),choice!$D:$E,2,0)))</f>
        <v/>
      </c>
      <c r="CD16" s="74" t="str">
        <f>IF($U16="","",IF(COUNTIF(choice!$D:$D,CONCATENATE($U16,"@",CD$7))=0,"",VLOOKUP(CONCATENATE($U16,"@",CD$7),choice!$D:$E,2,0)))</f>
        <v/>
      </c>
      <c r="CE16" s="74" t="str">
        <f>IF($U16="","",IF(COUNTIF(choice!$D:$D,CONCATENATE($U16,"@",CE$7))=0,"",VLOOKUP(CONCATENATE($U16,"@",CE$7),choice!$D:$E,2,0)))</f>
        <v/>
      </c>
      <c r="CF16" s="74" t="str">
        <f>IF($U16="","",IF(COUNTIF(choice!$D:$D,CONCATENATE($U16,"@",CF$7))=0,"",VLOOKUP(CONCATENATE($U16,"@",CF$7),choice!$D:$E,2,0)))</f>
        <v/>
      </c>
      <c r="CG16" s="74" t="str">
        <f>IF($U16="","",IF(COUNTIF(choice!$D:$D,CONCATENATE($U16,"@",CG$7))=0,"",VLOOKUP(CONCATENATE($U16,"@",CG$7),choice!$D:$E,2,0)))</f>
        <v/>
      </c>
      <c r="CH16" s="74" t="str">
        <f>IF($U16="","",IF(COUNTIF(choice!$D:$D,CONCATENATE($U16,"@",CH$7))=0,"",VLOOKUP(CONCATENATE($U16,"@",CH$7),choice!$D:$E,2,0)))</f>
        <v/>
      </c>
      <c r="CI16" s="74" t="str">
        <f>IF($U16="","",IF(COUNTIF(choice!$D:$D,CONCATENATE($U16,"@",CI$7))=0,"",VLOOKUP(CONCATENATE($U16,"@",CI$7),choice!$D:$E,2,0)))</f>
        <v/>
      </c>
      <c r="CJ16" s="81" t="str">
        <f>IF($U16="","",IF(COUNTIF(choice!$D:$D,CONCATENATE($U16,"@",CJ$7))=0,"",VLOOKUP(CONCATENATE($U16,"@",CJ$7),choice!$D:$E,2,0)))</f>
        <v/>
      </c>
      <c r="CK16" s="80" t="str">
        <f>IF($V16="","",IF(COUNTIF(choice!$D:$D,CONCATENATE($V16,"@",CK$7))=0,"",VLOOKUP(CONCATENATE($V16,"@",CK$7),choice!$D:$E,2,0)))</f>
        <v/>
      </c>
      <c r="CL16" s="74" t="str">
        <f>IF($V16="","",IF(COUNTIF(choice!$D:$D,CONCATENATE($V16,"@",CL$7))=0,"",VLOOKUP(CONCATENATE($V16,"@",CL$7),choice!$D:$E,2,0)))</f>
        <v/>
      </c>
      <c r="CM16" s="74" t="str">
        <f>IF($V16="","",IF(COUNTIF(choice!$D:$D,CONCATENATE($V16,"@",CM$7))=0,"",VLOOKUP(CONCATENATE($V16,"@",CM$7),choice!$D:$E,2,0)))</f>
        <v/>
      </c>
      <c r="CN16" s="74" t="str">
        <f>IF($V16="","",IF(COUNTIF(choice!$D:$D,CONCATENATE($V16,"@",CN$7))=0,"",VLOOKUP(CONCATENATE($V16,"@",CN$7),choice!$D:$E,2,0)))</f>
        <v/>
      </c>
      <c r="CO16" s="74" t="str">
        <f>IF($V16="","",IF(COUNTIF(choice!$D:$D,CONCATENATE($V16,"@",CO$7))=0,"",VLOOKUP(CONCATENATE($V16,"@",CO$7),choice!$D:$E,2,0)))</f>
        <v/>
      </c>
      <c r="CP16" s="74" t="str">
        <f>IF($V16="","",IF(COUNTIF(choice!$D:$D,CONCATENATE($V16,"@",CP$7))=0,"",VLOOKUP(CONCATENATE($V16,"@",CP$7),choice!$D:$E,2,0)))</f>
        <v/>
      </c>
      <c r="CQ16" s="74" t="str">
        <f>IF($V16="","",IF(COUNTIF(choice!$D:$D,CONCATENATE($V16,"@",CQ$7))=0,"",VLOOKUP(CONCATENATE($V16,"@",CQ$7),choice!$D:$E,2,0)))</f>
        <v/>
      </c>
      <c r="CR16" s="74" t="str">
        <f>IF($V16="","",IF(COUNTIF(choice!$D:$D,CONCATENATE($V16,"@",CR$7))=0,"",VLOOKUP(CONCATENATE($V16,"@",CR$7),choice!$D:$E,2,0)))</f>
        <v/>
      </c>
      <c r="CS16" s="74" t="str">
        <f>IF($V16="","",IF(COUNTIF(choice!$D:$D,CONCATENATE($V16,"@",CS$7))=0,"",VLOOKUP(CONCATENATE($V16,"@",CS$7),choice!$D:$E,2,0)))</f>
        <v/>
      </c>
      <c r="CT16" s="74" t="str">
        <f>IF($V16="","",IF(COUNTIF(choice!$D:$D,CONCATENATE($V16,"@",CT$7))=0,"",VLOOKUP(CONCATENATE($V16,"@",CT$7),choice!$D:$E,2,0)))</f>
        <v/>
      </c>
      <c r="CU16" s="74" t="str">
        <f>IF($V16="","",IF(COUNTIF(choice!$D:$D,CONCATENATE($V16,"@",CU$7))=0,"",VLOOKUP(CONCATENATE($V16,"@",CU$7),choice!$D:$E,2,0)))</f>
        <v/>
      </c>
      <c r="CV16" s="74" t="str">
        <f>IF($V16="","",IF(COUNTIF(choice!$D:$D,CONCATENATE($V16,"@",CV$7))=0,"",VLOOKUP(CONCATENATE($V16,"@",CV$7),choice!$D:$E,2,0)))</f>
        <v/>
      </c>
      <c r="CW16" s="74" t="str">
        <f>IF($V16="","",IF(COUNTIF(choice!$D:$D,CONCATENATE($V16,"@",CW$7))=0,"",VLOOKUP(CONCATENATE($V16,"@",CW$7),choice!$D:$E,2,0)))</f>
        <v/>
      </c>
      <c r="CX16" s="74" t="str">
        <f>IF($V16="","",IF(COUNTIF(choice!$D:$D,CONCATENATE($V16,"@",CX$7))=0,"",VLOOKUP(CONCATENATE($V16,"@",CX$7),choice!$D:$E,2,0)))</f>
        <v/>
      </c>
      <c r="CY16" s="74" t="str">
        <f>IF($V16="","",IF(COUNTIF(choice!$D:$D,CONCATENATE($V16,"@",CY$7))=0,"",VLOOKUP(CONCATENATE($V16,"@",CY$7),choice!$D:$E,2,0)))</f>
        <v/>
      </c>
      <c r="CZ16" s="74" t="str">
        <f>IF($V16="","",IF(COUNTIF(choice!$D:$D,CONCATENATE($V16,"@",CZ$7))=0,"",VLOOKUP(CONCATENATE($V16,"@",CZ$7),choice!$D:$E,2,0)))</f>
        <v/>
      </c>
      <c r="DA16" s="74" t="str">
        <f>IF($V16="","",IF(COUNTIF(choice!$D:$D,CONCATENATE($V16,"@",DA$7))=0,"",VLOOKUP(CONCATENATE($V16,"@",DA$7),choice!$D:$E,2,0)))</f>
        <v/>
      </c>
      <c r="DB16" s="74" t="str">
        <f>IF($V16="","",IF(COUNTIF(choice!$D:$D,CONCATENATE($V16,"@",DB$7))=0,"",VLOOKUP(CONCATENATE($V16,"@",DB$7),choice!$D:$E,2,0)))</f>
        <v/>
      </c>
      <c r="DC16" s="74" t="str">
        <f>IF($V16="","",IF(COUNTIF(choice!$D:$D,CONCATENATE($V16,"@",DC$7))=0,"",VLOOKUP(CONCATENATE($V16,"@",DC$7),choice!$D:$E,2,0)))</f>
        <v/>
      </c>
      <c r="DD16" s="74" t="str">
        <f>IF($V16="","",IF(COUNTIF(choice!$D:$D,CONCATENATE($V16,"@",DD$7))=0,"",VLOOKUP(CONCATENATE($V16,"@",DD$7),choice!$D:$E,2,0)))</f>
        <v/>
      </c>
      <c r="DE16" s="74" t="str">
        <f>IF($V16="","",IF(COUNTIF(choice!$D:$D,CONCATENATE($V16,"@",DE$7))=0,"",VLOOKUP(CONCATENATE($V16,"@",DE$7),choice!$D:$E,2,0)))</f>
        <v/>
      </c>
      <c r="DF16" s="74" t="str">
        <f>IF($V16="","",IF(COUNTIF(choice!$D:$D,CONCATENATE($V16,"@",DF$7))=0,"",VLOOKUP(CONCATENATE($V16,"@",DF$7),choice!$D:$E,2,0)))</f>
        <v/>
      </c>
      <c r="DG16" s="74" t="str">
        <f>IF($V16="","",IF(COUNTIF(choice!$D:$D,CONCATENATE($V16,"@",DG$7))=0,"",VLOOKUP(CONCATENATE($V16,"@",DG$7),choice!$D:$E,2,0)))</f>
        <v/>
      </c>
      <c r="DH16" s="74" t="str">
        <f>IF($V16="","",IF(COUNTIF(choice!$D:$D,CONCATENATE($V16,"@",DH$7))=0,"",VLOOKUP(CONCATENATE($V16,"@",DH$7),choice!$D:$E,2,0)))</f>
        <v/>
      </c>
      <c r="DI16" s="74" t="str">
        <f>IF($V16="","",IF(COUNTIF(choice!$D:$D,CONCATENATE($V16,"@",DI$7))=0,"",VLOOKUP(CONCATENATE($V16,"@",DI$7),choice!$D:$E,2,0)))</f>
        <v/>
      </c>
      <c r="DJ16" s="74" t="str">
        <f>IF($V16="","",IF(COUNTIF(choice!$D:$D,CONCATENATE($V16,"@",DJ$7))=0,"",VLOOKUP(CONCATENATE($V16,"@",DJ$7),choice!$D:$E,2,0)))</f>
        <v/>
      </c>
      <c r="DK16" s="74" t="str">
        <f>IF($V16="","",IF(COUNTIF(choice!$D:$D,CONCATENATE($V16,"@",DK$7))=0,"",VLOOKUP(CONCATENATE($V16,"@",DK$7),choice!$D:$E,2,0)))</f>
        <v/>
      </c>
      <c r="DL16" s="74" t="str">
        <f>IF($V16="","",IF(COUNTIF(choice!$D:$D,CONCATENATE($V16,"@",DL$7))=0,"",VLOOKUP(CONCATENATE($V16,"@",DL$7),choice!$D:$E,2,0)))</f>
        <v/>
      </c>
      <c r="DM16" s="74" t="str">
        <f>IF($V16="","",IF(COUNTIF(choice!$D:$D,CONCATENATE($V16,"@",DM$7))=0,"",VLOOKUP(CONCATENATE($V16,"@",DM$7),choice!$D:$E,2,0)))</f>
        <v/>
      </c>
      <c r="DN16" s="74" t="str">
        <f>IF($V16="","",IF(COUNTIF(choice!$D:$D,CONCATENATE($V16,"@",DN$7))=0,"",VLOOKUP(CONCATENATE($V16,"@",DN$7),choice!$D:$E,2,0)))</f>
        <v/>
      </c>
      <c r="DO16" s="74" t="str">
        <f>IF($V16="","",IF(COUNTIF(choice!$D:$D,CONCATENATE($V16,"@",DO$7))=0,"",VLOOKUP(CONCATENATE($V16,"@",DO$7),choice!$D:$E,2,0)))</f>
        <v/>
      </c>
      <c r="DP16" s="74" t="str">
        <f>IF($V16="","",IF(COUNTIF(choice!$D:$D,CONCATENATE($V16,"@",DP$7))=0,"",VLOOKUP(CONCATENATE($V16,"@",DP$7),choice!$D:$E,2,0)))</f>
        <v/>
      </c>
      <c r="DQ16" s="74" t="str">
        <f>IF($V16="","",IF(COUNTIF(choice!$D:$D,CONCATENATE($V16,"@",DQ$7))=0,"",VLOOKUP(CONCATENATE($V16,"@",DQ$7),choice!$D:$E,2,0)))</f>
        <v/>
      </c>
      <c r="DR16" s="74" t="str">
        <f>IF($V16="","",IF(COUNTIF(choice!$D:$D,CONCATENATE($V16,"@",DR$7))=0,"",VLOOKUP(CONCATENATE($V16,"@",DR$7),choice!$D:$E,2,0)))</f>
        <v/>
      </c>
      <c r="DS16" s="74" t="str">
        <f>IF($V16="","",IF(COUNTIF(choice!$D:$D,CONCATENATE($V16,"@",DS$7))=0,"",VLOOKUP(CONCATENATE($V16,"@",DS$7),choice!$D:$E,2,0)))</f>
        <v/>
      </c>
      <c r="DT16" s="74" t="str">
        <f>IF($V16="","",IF(COUNTIF(choice!$D:$D,CONCATENATE($V16,"@",DT$7))=0,"",VLOOKUP(CONCATENATE($V16,"@",DT$7),choice!$D:$E,2,0)))</f>
        <v/>
      </c>
      <c r="DU16" s="74" t="str">
        <f>IF($V16="","",IF(COUNTIF(choice!$D:$D,CONCATENATE($V16,"@",DU$7))=0,"",VLOOKUP(CONCATENATE($V16,"@",DU$7),choice!$D:$E,2,0)))</f>
        <v/>
      </c>
      <c r="DV16" s="74" t="str">
        <f>IF($V16="","",IF(COUNTIF(choice!$D:$D,CONCATENATE($V16,"@",DV$7))=0,"",VLOOKUP(CONCATENATE($V16,"@",DV$7),choice!$D:$E,2,0)))</f>
        <v/>
      </c>
      <c r="DW16" s="74" t="str">
        <f>IF($V16="","",IF(COUNTIF(choice!$D:$D,CONCATENATE($V16,"@",DW$7))=0,"",VLOOKUP(CONCATENATE($V16,"@",DW$7),choice!$D:$E,2,0)))</f>
        <v/>
      </c>
      <c r="DX16" s="74" t="str">
        <f>IF($V16="","",IF(COUNTIF(choice!$D:$D,CONCATENATE($V16,"@",DX$7))=0,"",VLOOKUP(CONCATENATE($V16,"@",DX$7),choice!$D:$E,2,0)))</f>
        <v/>
      </c>
      <c r="DY16" s="74" t="str">
        <f>IF($V16="","",IF(COUNTIF(choice!$D:$D,CONCATENATE($V16,"@",DY$7))=0,"",VLOOKUP(CONCATENATE($V16,"@",DY$7),choice!$D:$E,2,0)))</f>
        <v/>
      </c>
      <c r="DZ16" s="74" t="str">
        <f>IF($V16="","",IF(COUNTIF(choice!$D:$D,CONCATENATE($V16,"@",DZ$7))=0,"",VLOOKUP(CONCATENATE($V16,"@",DZ$7),choice!$D:$E,2,0)))</f>
        <v/>
      </c>
      <c r="EA16" s="74" t="str">
        <f>IF($V16="","",IF(COUNTIF(choice!$D:$D,CONCATENATE($V16,"@",EA$7))=0,"",VLOOKUP(CONCATENATE($V16,"@",EA$7),choice!$D:$E,2,0)))</f>
        <v/>
      </c>
      <c r="EB16" s="74" t="str">
        <f>IF($V16="","",IF(COUNTIF(choice!$D:$D,CONCATENATE($V16,"@",EB$7))=0,"",VLOOKUP(CONCATENATE($V16,"@",EB$7),choice!$D:$E,2,0)))</f>
        <v/>
      </c>
      <c r="EC16" s="81" t="str">
        <f>IF($V16="","",IF(COUNTIF(choice!$D:$D,CONCATENATE($V16,"@",EC$7))=0,"",VLOOKUP(CONCATENATE($V16,"@",EC$7),choice!$D:$E,2,0)))</f>
        <v/>
      </c>
      <c r="ED16" s="80" t="str">
        <f>IF($W16="","",IF(COUNTIF(choice!$D:$D,CONCATENATE($W16,"@",ED$7))=0,"",VLOOKUP(CONCATENATE($W16,"@",ED$7),choice!$D:$E,2,0)))</f>
        <v/>
      </c>
      <c r="EE16" s="74" t="str">
        <f>IF($W16="","",IF(COUNTIF(choice!$D:$D,CONCATENATE($W16,"@",EE$7))=0,"",VLOOKUP(CONCATENATE($W16,"@",EE$7),choice!$D:$E,2,0)))</f>
        <v/>
      </c>
      <c r="EF16" s="74" t="str">
        <f>IF($W16="","",IF(COUNTIF(choice!$D:$D,CONCATENATE($W16,"@",EF$7))=0,"",VLOOKUP(CONCATENATE($W16,"@",EF$7),choice!$D:$E,2,0)))</f>
        <v/>
      </c>
      <c r="EG16" s="74" t="str">
        <f>IF($W16="","",IF(COUNTIF(choice!$D:$D,CONCATENATE($W16,"@",EG$7))=0,"",VLOOKUP(CONCATENATE($W16,"@",EG$7),choice!$D:$E,2,0)))</f>
        <v/>
      </c>
      <c r="EH16" s="74" t="str">
        <f>IF($W16="","",IF(COUNTIF(choice!$D:$D,CONCATENATE($W16,"@",EH$7))=0,"",VLOOKUP(CONCATENATE($W16,"@",EH$7),choice!$D:$E,2,0)))</f>
        <v/>
      </c>
      <c r="EI16" s="74" t="str">
        <f>IF($W16="","",IF(COUNTIF(choice!$D:$D,CONCATENATE($W16,"@",EI$7))=0,"",VLOOKUP(CONCATENATE($W16,"@",EI$7),choice!$D:$E,2,0)))</f>
        <v/>
      </c>
      <c r="EJ16" s="74" t="str">
        <f>IF($W16="","",IF(COUNTIF(choice!$D:$D,CONCATENATE($W16,"@",EJ$7))=0,"",VLOOKUP(CONCATENATE($W16,"@",EJ$7),choice!$D:$E,2,0)))</f>
        <v/>
      </c>
      <c r="EK16" s="74" t="str">
        <f>IF($W16="","",IF(COUNTIF(choice!$D:$D,CONCATENATE($W16,"@",EK$7))=0,"",VLOOKUP(CONCATENATE($W16,"@",EK$7),choice!$D:$E,2,0)))</f>
        <v/>
      </c>
      <c r="EL16" s="74" t="str">
        <f>IF($W16="","",IF(COUNTIF(choice!$D:$D,CONCATENATE($W16,"@",EL$7))=0,"",VLOOKUP(CONCATENATE($W16,"@",EL$7),choice!$D:$E,2,0)))</f>
        <v/>
      </c>
      <c r="EM16" s="74" t="str">
        <f>IF($W16="","",IF(COUNTIF(choice!$D:$D,CONCATENATE($W16,"@",EM$7))=0,"",VLOOKUP(CONCATENATE($W16,"@",EM$7),choice!$D:$E,2,0)))</f>
        <v/>
      </c>
      <c r="EN16" s="74" t="str">
        <f>IF($W16="","",IF(COUNTIF(choice!$D:$D,CONCATENATE($W16,"@",EN$7))=0,"",VLOOKUP(CONCATENATE($W16,"@",EN$7),choice!$D:$E,2,0)))</f>
        <v/>
      </c>
      <c r="EO16" s="74" t="str">
        <f>IF($W16="","",IF(COUNTIF(choice!$D:$D,CONCATENATE($W16,"@",EO$7))=0,"",VLOOKUP(CONCATENATE($W16,"@",EO$7),choice!$D:$E,2,0)))</f>
        <v/>
      </c>
      <c r="EP16" s="74" t="str">
        <f>IF($W16="","",IF(COUNTIF(choice!$D:$D,CONCATENATE($W16,"@",EP$7))=0,"",VLOOKUP(CONCATENATE($W16,"@",EP$7),choice!$D:$E,2,0)))</f>
        <v/>
      </c>
      <c r="EQ16" s="74" t="str">
        <f>IF($W16="","",IF(COUNTIF(choice!$D:$D,CONCATENATE($W16,"@",EQ$7))=0,"",VLOOKUP(CONCATENATE($W16,"@",EQ$7),choice!$D:$E,2,0)))</f>
        <v/>
      </c>
      <c r="ER16" s="74" t="str">
        <f>IF($W16="","",IF(COUNTIF(choice!$D:$D,CONCATENATE($W16,"@",ER$7))=0,"",VLOOKUP(CONCATENATE($W16,"@",ER$7),choice!$D:$E,2,0)))</f>
        <v/>
      </c>
      <c r="ES16" s="74" t="str">
        <f>IF($W16="","",IF(COUNTIF(choice!$D:$D,CONCATENATE($W16,"@",ES$7))=0,"",VLOOKUP(CONCATENATE($W16,"@",ES$7),choice!$D:$E,2,0)))</f>
        <v/>
      </c>
      <c r="ET16" s="74" t="str">
        <f>IF($W16="","",IF(COUNTIF(choice!$D:$D,CONCATENATE($W16,"@",ET$7))=0,"",VLOOKUP(CONCATENATE($W16,"@",ET$7),choice!$D:$E,2,0)))</f>
        <v/>
      </c>
      <c r="EU16" s="74" t="str">
        <f>IF($W16="","",IF(COUNTIF(choice!$D:$D,CONCATENATE($W16,"@",EU$7))=0,"",VLOOKUP(CONCATENATE($W16,"@",EU$7),choice!$D:$E,2,0)))</f>
        <v/>
      </c>
      <c r="EV16" s="74" t="str">
        <f>IF($W16="","",IF(COUNTIF(choice!$D:$D,CONCATENATE($W16,"@",EV$7))=0,"",VLOOKUP(CONCATENATE($W16,"@",EV$7),choice!$D:$E,2,0)))</f>
        <v/>
      </c>
      <c r="EW16" s="74" t="str">
        <f>IF($W16="","",IF(COUNTIF(choice!$D:$D,CONCATENATE($W16,"@",EW$7))=0,"",VLOOKUP(CONCATENATE($W16,"@",EW$7),choice!$D:$E,2,0)))</f>
        <v/>
      </c>
      <c r="EX16" s="74" t="str">
        <f>IF($W16="","",IF(COUNTIF(choice!$D:$D,CONCATENATE($W16,"@",EX$7))=0,"",VLOOKUP(CONCATENATE($W16,"@",EX$7),choice!$D:$E,2,0)))</f>
        <v/>
      </c>
      <c r="EY16" s="74" t="str">
        <f>IF($W16="","",IF(COUNTIF(choice!$D:$D,CONCATENATE($W16,"@",EY$7))=0,"",VLOOKUP(CONCATENATE($W16,"@",EY$7),choice!$D:$E,2,0)))</f>
        <v/>
      </c>
      <c r="EZ16" s="74" t="str">
        <f>IF($W16="","",IF(COUNTIF(choice!$D:$D,CONCATENATE($W16,"@",EZ$7))=0,"",VLOOKUP(CONCATENATE($W16,"@",EZ$7),choice!$D:$E,2,0)))</f>
        <v/>
      </c>
      <c r="FA16" s="74" t="str">
        <f>IF($W16="","",IF(COUNTIF(choice!$D:$D,CONCATENATE($W16,"@",FA$7))=0,"",VLOOKUP(CONCATENATE($W16,"@",FA$7),choice!$D:$E,2,0)))</f>
        <v/>
      </c>
      <c r="FB16" s="74" t="str">
        <f>IF($W16="","",IF(COUNTIF(choice!$D:$D,CONCATENATE($W16,"@",FB$7))=0,"",VLOOKUP(CONCATENATE($W16,"@",FB$7),choice!$D:$E,2,0)))</f>
        <v/>
      </c>
      <c r="FC16" s="74" t="str">
        <f>IF($W16="","",IF(COUNTIF(choice!$D:$D,CONCATENATE($W16,"@",FC$7))=0,"",VLOOKUP(CONCATENATE($W16,"@",FC$7),choice!$D:$E,2,0)))</f>
        <v/>
      </c>
      <c r="FD16" s="74" t="str">
        <f>IF($W16="","",IF(COUNTIF(choice!$D:$D,CONCATENATE($W16,"@",FD$7))=0,"",VLOOKUP(CONCATENATE($W16,"@",FD$7),choice!$D:$E,2,0)))</f>
        <v/>
      </c>
      <c r="FE16" s="74" t="str">
        <f>IF($W16="","",IF(COUNTIF(choice!$D:$D,CONCATENATE($W16,"@",FE$7))=0,"",VLOOKUP(CONCATENATE($W16,"@",FE$7),choice!$D:$E,2,0)))</f>
        <v/>
      </c>
      <c r="FF16" s="74" t="str">
        <f>IF($W16="","",IF(COUNTIF(choice!$D:$D,CONCATENATE($W16,"@",FF$7))=0,"",VLOOKUP(CONCATENATE($W16,"@",FF$7),choice!$D:$E,2,0)))</f>
        <v/>
      </c>
      <c r="FG16" s="74" t="str">
        <f>IF($W16="","",IF(COUNTIF(choice!$D:$D,CONCATENATE($W16,"@",FG$7))=0,"",VLOOKUP(CONCATENATE($W16,"@",FG$7),choice!$D:$E,2,0)))</f>
        <v/>
      </c>
      <c r="FH16" s="74" t="str">
        <f>IF($W16="","",IF(COUNTIF(choice!$D:$D,CONCATENATE($W16,"@",FH$7))=0,"",VLOOKUP(CONCATENATE($W16,"@",FH$7),choice!$D:$E,2,0)))</f>
        <v/>
      </c>
      <c r="FI16" s="74" t="str">
        <f>IF($W16="","",IF(COUNTIF(choice!$D:$D,CONCATENATE($W16,"@",FI$7))=0,"",VLOOKUP(CONCATENATE($W16,"@",FI$7),choice!$D:$E,2,0)))</f>
        <v/>
      </c>
      <c r="FJ16" s="74" t="str">
        <f>IF($W16="","",IF(COUNTIF(choice!$D:$D,CONCATENATE($W16,"@",FJ$7))=0,"",VLOOKUP(CONCATENATE($W16,"@",FJ$7),choice!$D:$E,2,0)))</f>
        <v/>
      </c>
      <c r="FK16" s="74" t="str">
        <f>IF($W16="","",IF(COUNTIF(choice!$D:$D,CONCATENATE($W16,"@",FK$7))=0,"",VLOOKUP(CONCATENATE($W16,"@",FK$7),choice!$D:$E,2,0)))</f>
        <v/>
      </c>
      <c r="FL16" s="74" t="str">
        <f>IF($W16="","",IF(COUNTIF(choice!$D:$D,CONCATENATE($W16,"@",FL$7))=0,"",VLOOKUP(CONCATENATE($W16,"@",FL$7),choice!$D:$E,2,0)))</f>
        <v/>
      </c>
      <c r="FM16" s="74" t="str">
        <f>IF($W16="","",IF(COUNTIF(choice!$D:$D,CONCATENATE($W16,"@",FM$7))=0,"",VLOOKUP(CONCATENATE($W16,"@",FM$7),choice!$D:$E,2,0)))</f>
        <v/>
      </c>
      <c r="FN16" s="74" t="str">
        <f>IF($W16="","",IF(COUNTIF(choice!$D:$D,CONCATENATE($W16,"@",FN$7))=0,"",VLOOKUP(CONCATENATE($W16,"@",FN$7),choice!$D:$E,2,0)))</f>
        <v/>
      </c>
      <c r="FO16" s="74" t="str">
        <f>IF($W16="","",IF(COUNTIF(choice!$D:$D,CONCATENATE($W16,"@",FO$7))=0,"",VLOOKUP(CONCATENATE($W16,"@",FO$7),choice!$D:$E,2,0)))</f>
        <v/>
      </c>
      <c r="FP16" s="74" t="str">
        <f>IF($W16="","",IF(COUNTIF(choice!$D:$D,CONCATENATE($W16,"@",FP$7))=0,"",VLOOKUP(CONCATENATE($W16,"@",FP$7),choice!$D:$E,2,0)))</f>
        <v/>
      </c>
      <c r="FQ16" s="74" t="str">
        <f>IF($W16="","",IF(COUNTIF(choice!$D:$D,CONCATENATE($W16,"@",FQ$7))=0,"",VLOOKUP(CONCATENATE($W16,"@",FQ$7),choice!$D:$E,2,0)))</f>
        <v/>
      </c>
      <c r="FR16" s="74" t="str">
        <f>IF($W16="","",IF(COUNTIF(choice!$D:$D,CONCATENATE($W16,"@",FR$7))=0,"",VLOOKUP(CONCATENATE($W16,"@",FR$7),choice!$D:$E,2,0)))</f>
        <v/>
      </c>
      <c r="FS16" s="74" t="str">
        <f>IF($W16="","",IF(COUNTIF(choice!$D:$D,CONCATENATE($W16,"@",FS$7))=0,"",VLOOKUP(CONCATENATE($W16,"@",FS$7),choice!$D:$E,2,0)))</f>
        <v/>
      </c>
      <c r="FT16" s="74" t="str">
        <f>IF($W16="","",IF(COUNTIF(choice!$D:$D,CONCATENATE($W16,"@",FT$7))=0,"",VLOOKUP(CONCATENATE($W16,"@",FT$7),choice!$D:$E,2,0)))</f>
        <v/>
      </c>
      <c r="FU16" s="74" t="str">
        <f>IF($W16="","",IF(COUNTIF(choice!$D:$D,CONCATENATE($W16,"@",FU$7))=0,"",VLOOKUP(CONCATENATE($W16,"@",FU$7),choice!$D:$E,2,0)))</f>
        <v/>
      </c>
      <c r="FV16" s="81" t="str">
        <f>IF($W16="","",IF(COUNTIF(choice!$D:$D,CONCATENATE($W16,"@",FV$7))=0,"",VLOOKUP(CONCATENATE($W16,"@",FV$7),choice!$D:$E,2,0)))</f>
        <v/>
      </c>
      <c r="FW16" s="80" t="str">
        <f>IF($X16="","",IF(COUNTIF(choice!$D:$D,CONCATENATE($X16,"@",FW$7))=0,"",VLOOKUP(CONCATENATE($X16,"@",FW$7),choice!$D:$E,2,0)))</f>
        <v/>
      </c>
      <c r="FX16" s="74" t="str">
        <f>IF($X16="","",IF(COUNTIF(choice!$D:$D,CONCATENATE($X16,"@",FX$7))=0,"",VLOOKUP(CONCATENATE($X16,"@",FX$7),choice!$D:$E,2,0)))</f>
        <v/>
      </c>
      <c r="FY16" s="74" t="str">
        <f>IF($X16="","",IF(COUNTIF(choice!$D:$D,CONCATENATE($X16,"@",FY$7))=0,"",VLOOKUP(CONCATENATE($X16,"@",FY$7),choice!$D:$E,2,0)))</f>
        <v/>
      </c>
      <c r="FZ16" s="74" t="str">
        <f>IF($X16="","",IF(COUNTIF(choice!$D:$D,CONCATENATE($X16,"@",FZ$7))=0,"",VLOOKUP(CONCATENATE($X16,"@",FZ$7),choice!$D:$E,2,0)))</f>
        <v/>
      </c>
      <c r="GA16" s="74" t="str">
        <f>IF($X16="","",IF(COUNTIF(choice!$D:$D,CONCATENATE($X16,"@",GA$7))=0,"",VLOOKUP(CONCATENATE($X16,"@",GA$7),choice!$D:$E,2,0)))</f>
        <v/>
      </c>
      <c r="GB16" s="74" t="str">
        <f>IF($X16="","",IF(COUNTIF(choice!$D:$D,CONCATENATE($X16,"@",GB$7))=0,"",VLOOKUP(CONCATENATE($X16,"@",GB$7),choice!$D:$E,2,0)))</f>
        <v/>
      </c>
      <c r="GC16" s="74" t="str">
        <f>IF($X16="","",IF(COUNTIF(choice!$D:$D,CONCATENATE($X16,"@",GC$7))=0,"",VLOOKUP(CONCATENATE($X16,"@",GC$7),choice!$D:$E,2,0)))</f>
        <v/>
      </c>
      <c r="GD16" s="74" t="str">
        <f>IF($X16="","",IF(COUNTIF(choice!$D:$D,CONCATENATE($X16,"@",GD$7))=0,"",VLOOKUP(CONCATENATE($X16,"@",GD$7),choice!$D:$E,2,0)))</f>
        <v/>
      </c>
      <c r="GE16" s="74" t="str">
        <f>IF($X16="","",IF(COUNTIF(choice!$D:$D,CONCATENATE($X16,"@",GE$7))=0,"",VLOOKUP(CONCATENATE($X16,"@",GE$7),choice!$D:$E,2,0)))</f>
        <v/>
      </c>
      <c r="GF16" s="74" t="str">
        <f>IF($X16="","",IF(COUNTIF(choice!$D:$D,CONCATENATE($X16,"@",GF$7))=0,"",VLOOKUP(CONCATENATE($X16,"@",GF$7),choice!$D:$E,2,0)))</f>
        <v/>
      </c>
      <c r="GG16" s="74" t="str">
        <f>IF($X16="","",IF(COUNTIF(choice!$D:$D,CONCATENATE($X16,"@",GG$7))=0,"",VLOOKUP(CONCATENATE($X16,"@",GG$7),choice!$D:$E,2,0)))</f>
        <v/>
      </c>
      <c r="GH16" s="74" t="str">
        <f>IF($X16="","",IF(COUNTIF(choice!$D:$D,CONCATENATE($X16,"@",GH$7))=0,"",VLOOKUP(CONCATENATE($X16,"@",GH$7),choice!$D:$E,2,0)))</f>
        <v/>
      </c>
      <c r="GI16" s="74" t="str">
        <f>IF($X16="","",IF(COUNTIF(choice!$D:$D,CONCATENATE($X16,"@",GI$7))=0,"",VLOOKUP(CONCATENATE($X16,"@",GI$7),choice!$D:$E,2,0)))</f>
        <v/>
      </c>
      <c r="GJ16" s="74" t="str">
        <f>IF($X16="","",IF(COUNTIF(choice!$D:$D,CONCATENATE($X16,"@",GJ$7))=0,"",VLOOKUP(CONCATENATE($X16,"@",GJ$7),choice!$D:$E,2,0)))</f>
        <v/>
      </c>
      <c r="GK16" s="74" t="str">
        <f>IF($X16="","",IF(COUNTIF(choice!$D:$D,CONCATENATE($X16,"@",GK$7))=0,"",VLOOKUP(CONCATENATE($X16,"@",GK$7),choice!$D:$E,2,0)))</f>
        <v/>
      </c>
      <c r="GL16" s="74" t="str">
        <f>IF($X16="","",IF(COUNTIF(choice!$D:$D,CONCATENATE($X16,"@",GL$7))=0,"",VLOOKUP(CONCATENATE($X16,"@",GL$7),choice!$D:$E,2,0)))</f>
        <v/>
      </c>
      <c r="GM16" s="74" t="str">
        <f>IF($X16="","",IF(COUNTIF(choice!$D:$D,CONCATENATE($X16,"@",GM$7))=0,"",VLOOKUP(CONCATENATE($X16,"@",GM$7),choice!$D:$E,2,0)))</f>
        <v/>
      </c>
      <c r="GN16" s="74" t="str">
        <f>IF($X16="","",IF(COUNTIF(choice!$D:$D,CONCATENATE($X16,"@",GN$7))=0,"",VLOOKUP(CONCATENATE($X16,"@",GN$7),choice!$D:$E,2,0)))</f>
        <v/>
      </c>
      <c r="GO16" s="74" t="str">
        <f>IF($X16="","",IF(COUNTIF(choice!$D:$D,CONCATENATE($X16,"@",GO$7))=0,"",VLOOKUP(CONCATENATE($X16,"@",GO$7),choice!$D:$E,2,0)))</f>
        <v/>
      </c>
      <c r="GP16" s="74" t="str">
        <f>IF($X16="","",IF(COUNTIF(choice!$D:$D,CONCATENATE($X16,"@",GP$7))=0,"",VLOOKUP(CONCATENATE($X16,"@",GP$7),choice!$D:$E,2,0)))</f>
        <v/>
      </c>
      <c r="GQ16" s="74" t="str">
        <f>IF($X16="","",IF(COUNTIF(choice!$D:$D,CONCATENATE($X16,"@",GQ$7))=0,"",VLOOKUP(CONCATENATE($X16,"@",GQ$7),choice!$D:$E,2,0)))</f>
        <v/>
      </c>
      <c r="GR16" s="74" t="str">
        <f>IF($X16="","",IF(COUNTIF(choice!$D:$D,CONCATENATE($X16,"@",GR$7))=0,"",VLOOKUP(CONCATENATE($X16,"@",GR$7),choice!$D:$E,2,0)))</f>
        <v/>
      </c>
      <c r="GS16" s="74" t="str">
        <f>IF($X16="","",IF(COUNTIF(choice!$D:$D,CONCATENATE($X16,"@",GS$7))=0,"",VLOOKUP(CONCATENATE($X16,"@",GS$7),choice!$D:$E,2,0)))</f>
        <v/>
      </c>
      <c r="GT16" s="74" t="str">
        <f>IF($X16="","",IF(COUNTIF(choice!$D:$D,CONCATENATE($X16,"@",GT$7))=0,"",VLOOKUP(CONCATENATE($X16,"@",GT$7),choice!$D:$E,2,0)))</f>
        <v/>
      </c>
      <c r="GU16" s="74" t="str">
        <f>IF($X16="","",IF(COUNTIF(choice!$D:$D,CONCATENATE($X16,"@",GU$7))=0,"",VLOOKUP(CONCATENATE($X16,"@",GU$7),choice!$D:$E,2,0)))</f>
        <v/>
      </c>
      <c r="GV16" s="74" t="str">
        <f>IF($X16="","",IF(COUNTIF(choice!$D:$D,CONCATENATE($X16,"@",GV$7))=0,"",VLOOKUP(CONCATENATE($X16,"@",GV$7),choice!$D:$E,2,0)))</f>
        <v/>
      </c>
      <c r="GW16" s="74" t="str">
        <f>IF($X16="","",IF(COUNTIF(choice!$D:$D,CONCATENATE($X16,"@",GW$7))=0,"",VLOOKUP(CONCATENATE($X16,"@",GW$7),choice!$D:$E,2,0)))</f>
        <v/>
      </c>
      <c r="GX16" s="74" t="str">
        <f>IF($X16="","",IF(COUNTIF(choice!$D:$D,CONCATENATE($X16,"@",GX$7))=0,"",VLOOKUP(CONCATENATE($X16,"@",GX$7),choice!$D:$E,2,0)))</f>
        <v/>
      </c>
      <c r="GY16" s="74" t="str">
        <f>IF($X16="","",IF(COUNTIF(choice!$D:$D,CONCATENATE($X16,"@",GY$7))=0,"",VLOOKUP(CONCATENATE($X16,"@",GY$7),choice!$D:$E,2,0)))</f>
        <v/>
      </c>
      <c r="GZ16" s="74" t="str">
        <f>IF($X16="","",IF(COUNTIF(choice!$D:$D,CONCATENATE($X16,"@",GZ$7))=0,"",VLOOKUP(CONCATENATE($X16,"@",GZ$7),choice!$D:$E,2,0)))</f>
        <v/>
      </c>
      <c r="HA16" s="74" t="str">
        <f>IF($X16="","",IF(COUNTIF(choice!$D:$D,CONCATENATE($X16,"@",HA$7))=0,"",VLOOKUP(CONCATENATE($X16,"@",HA$7),choice!$D:$E,2,0)))</f>
        <v/>
      </c>
      <c r="HB16" s="74" t="str">
        <f>IF($X16="","",IF(COUNTIF(choice!$D:$D,CONCATENATE($X16,"@",HB$7))=0,"",VLOOKUP(CONCATENATE($X16,"@",HB$7),choice!$D:$E,2,0)))</f>
        <v/>
      </c>
      <c r="HC16" s="74" t="str">
        <f>IF($X16="","",IF(COUNTIF(choice!$D:$D,CONCATENATE($X16,"@",HC$7))=0,"",VLOOKUP(CONCATENATE($X16,"@",HC$7),choice!$D:$E,2,0)))</f>
        <v/>
      </c>
      <c r="HD16" s="74" t="str">
        <f>IF($X16="","",IF(COUNTIF(choice!$D:$D,CONCATENATE($X16,"@",HD$7))=0,"",VLOOKUP(CONCATENATE($X16,"@",HD$7),choice!$D:$E,2,0)))</f>
        <v/>
      </c>
      <c r="HE16" s="74" t="str">
        <f>IF($X16="","",IF(COUNTIF(choice!$D:$D,CONCATENATE($X16,"@",HE$7))=0,"",VLOOKUP(CONCATENATE($X16,"@",HE$7),choice!$D:$E,2,0)))</f>
        <v/>
      </c>
      <c r="HF16" s="74" t="str">
        <f>IF($X16="","",IF(COUNTIF(choice!$D:$D,CONCATENATE($X16,"@",HF$7))=0,"",VLOOKUP(CONCATENATE($X16,"@",HF$7),choice!$D:$E,2,0)))</f>
        <v/>
      </c>
      <c r="HG16" s="74" t="str">
        <f>IF($X16="","",IF(COUNTIF(choice!$D:$D,CONCATENATE($X16,"@",HG$7))=0,"",VLOOKUP(CONCATENATE($X16,"@",HG$7),choice!$D:$E,2,0)))</f>
        <v/>
      </c>
      <c r="HH16" s="74" t="str">
        <f>IF($X16="","",IF(COUNTIF(choice!$D:$D,CONCATENATE($X16,"@",HH$7))=0,"",VLOOKUP(CONCATENATE($X16,"@",HH$7),choice!$D:$E,2,0)))</f>
        <v/>
      </c>
      <c r="HI16" s="74" t="str">
        <f>IF($X16="","",IF(COUNTIF(choice!$D:$D,CONCATENATE($X16,"@",HI$7))=0,"",VLOOKUP(CONCATENATE($X16,"@",HI$7),choice!$D:$E,2,0)))</f>
        <v/>
      </c>
      <c r="HJ16" s="74" t="str">
        <f>IF($X16="","",IF(COUNTIF(choice!$D:$D,CONCATENATE($X16,"@",HJ$7))=0,"",VLOOKUP(CONCATENATE($X16,"@",HJ$7),choice!$D:$E,2,0)))</f>
        <v/>
      </c>
      <c r="HK16" s="74" t="str">
        <f>IF($X16="","",IF(COUNTIF(choice!$D:$D,CONCATENATE($X16,"@",HK$7))=0,"",VLOOKUP(CONCATENATE($X16,"@",HK$7),choice!$D:$E,2,0)))</f>
        <v/>
      </c>
      <c r="HL16" s="74" t="str">
        <f>IF($X16="","",IF(COUNTIF(choice!$D:$D,CONCATENATE($X16,"@",HL$7))=0,"",VLOOKUP(CONCATENATE($X16,"@",HL$7),choice!$D:$E,2,0)))</f>
        <v/>
      </c>
      <c r="HM16" s="74" t="str">
        <f>IF($X16="","",IF(COUNTIF(choice!$D:$D,CONCATENATE($X16,"@",HM$7))=0,"",VLOOKUP(CONCATENATE($X16,"@",HM$7),choice!$D:$E,2,0)))</f>
        <v/>
      </c>
      <c r="HN16" s="74" t="str">
        <f>IF($X16="","",IF(COUNTIF(choice!$D:$D,CONCATENATE($X16,"@",HN$7))=0,"",VLOOKUP(CONCATENATE($X16,"@",HN$7),choice!$D:$E,2,0)))</f>
        <v/>
      </c>
      <c r="HO16" s="81" t="str">
        <f>IF($X16="","",IF(COUNTIF(choice!$D:$D,CONCATENATE($X16,"@",HO$7))=0,"",VLOOKUP(CONCATENATE($X16,"@",HO$7),choice!$D:$E,2,0)))</f>
        <v/>
      </c>
      <c r="HP16" s="20" t="s">
        <v>68</v>
      </c>
      <c r="HQ16" s="20" t="s">
        <v>69</v>
      </c>
      <c r="HU16" s="74" t="s">
        <v>6</v>
      </c>
      <c r="HV16" s="74">
        <f t="shared" si="10"/>
        <v>0</v>
      </c>
      <c r="HW16" s="74">
        <f t="shared" si="11"/>
        <v>0</v>
      </c>
      <c r="HX16" s="74">
        <f t="shared" si="12"/>
        <v>0</v>
      </c>
      <c r="HY16" s="74">
        <f t="shared" si="13"/>
        <v>0</v>
      </c>
      <c r="HZ16" s="74">
        <f t="shared" si="19"/>
        <v>0</v>
      </c>
      <c r="IA16" s="74">
        <f t="shared" si="20"/>
        <v>0</v>
      </c>
      <c r="IB16" s="74" t="str">
        <f t="shared" si="21"/>
        <v/>
      </c>
      <c r="IC16" s="74" t="str">
        <f t="shared" si="22"/>
        <v/>
      </c>
      <c r="ID16" s="74" t="str">
        <f t="shared" si="14"/>
        <v/>
      </c>
      <c r="IE16" s="74">
        <f t="shared" si="15"/>
        <v>9</v>
      </c>
      <c r="IF16" s="74">
        <f>COUNTIFS(ID$8:ID16,"BLUE")</f>
        <v>0</v>
      </c>
      <c r="IG16" s="74" t="str">
        <f t="shared" si="16"/>
        <v/>
      </c>
      <c r="IH16" s="74" t="str">
        <f>IF(COUNTIFS($AQ16,"*02*")=0,"",COUNTIFS(IJ$8:IJ16,"BLUE"))</f>
        <v/>
      </c>
      <c r="II16" s="74" t="str">
        <f>IF(COUNTIFS($AQ16,"*04*")=0,"",COUNTIFS(IK$8:IK16,"BLUE"))</f>
        <v/>
      </c>
      <c r="IJ16" s="74" t="str">
        <f t="shared" si="23"/>
        <v/>
      </c>
      <c r="IK16" s="74" t="str">
        <f t="shared" si="24"/>
        <v/>
      </c>
      <c r="IL16" s="74" t="str">
        <f t="shared" si="17"/>
        <v/>
      </c>
      <c r="IM16" s="74" t="str">
        <f t="shared" si="18"/>
        <v/>
      </c>
      <c r="IN16" s="74">
        <f>COUNTIFS(IJ$8:IJ16,"BLUE")</f>
        <v>0</v>
      </c>
      <c r="IO16" s="74">
        <f>COUNTIFS(IK$8:IK16,"BLUE")</f>
        <v>0</v>
      </c>
    </row>
    <row r="17" spans="1:249" s="20" customFormat="1" ht="25.5" customHeight="1">
      <c r="A17" s="33"/>
      <c r="B17" s="30">
        <v>10</v>
      </c>
      <c r="C17" s="155"/>
      <c r="D17" s="174"/>
      <c r="E17" s="88" t="e">
        <f>VLOOKUP(F17,'Radio Call Sign'!A:B,2)</f>
        <v>#N/A</v>
      </c>
      <c r="F17" s="88"/>
      <c r="G17" s="88" t="e">
        <f>VLOOKUP(H17,'Radio Call Sign'!A:B,2)</f>
        <v>#N/A</v>
      </c>
      <c r="H17" s="88"/>
      <c r="I17" s="89"/>
      <c r="J17" s="90"/>
      <c r="K17" s="86"/>
      <c r="L17" s="155"/>
      <c r="M17" s="190" t="str">
        <f t="shared" si="9"/>
        <v/>
      </c>
      <c r="N17" s="21"/>
      <c r="O17" s="21"/>
      <c r="P17" s="52"/>
      <c r="Q17" s="161" t="str">
        <f>IF(AA17="","",IF(COUNTIFS('overhead line area'!$D$3:$D$100,AA17)+COUNTIFS('overhead line area'!$D$3:$D$100,AB17)+COUNTIFS('overhead line area'!$D$3:$D$100,AC17)+COUNTIFS('overhead line area'!$D$3:$D$100,AD17)=0,"","*               "))</f>
        <v/>
      </c>
      <c r="R17" s="53"/>
      <c r="S17" s="24"/>
      <c r="U17" s="74"/>
      <c r="V17" s="74"/>
      <c r="W17" s="74"/>
      <c r="X17" s="74"/>
      <c r="Y17" s="74"/>
      <c r="AA17" s="74" t="str">
        <f t="shared" si="4"/>
        <v/>
      </c>
      <c r="AB17" s="74" t="str">
        <f t="shared" si="5"/>
        <v/>
      </c>
      <c r="AC17" s="74" t="str">
        <f t="shared" si="6"/>
        <v/>
      </c>
      <c r="AD17" s="74" t="str">
        <f t="shared" si="6"/>
        <v/>
      </c>
      <c r="AF17" s="74" t="str">
        <f>IF(AA17="","",IF(COUNTIF(Route!$AM:$AM,'Train Movement Log (page.1)'!AA17)=0,"未有資料",VLOOKUP('Train Movement Log (page.1)'!AA17,Route!$AM:$AP,3,0)))</f>
        <v/>
      </c>
      <c r="AG17" s="74" t="str">
        <f>IF(AB17="","",IF(COUNTIF(Route!$AM:$AM,'Train Movement Log (page.1)'!AB17)=0,"未有資料",VLOOKUP('Train Movement Log (page.1)'!AB17,Route!$AM:$AP,3,0)))</f>
        <v/>
      </c>
      <c r="AH17" s="74" t="str">
        <f>IF(AC17="","",IF(COUNTIF(Route!$AM:$AM,'Train Movement Log (page.1)'!AC17)=0,"未有資料",VLOOKUP('Train Movement Log (page.1)'!AC17,Route!$AM:$AP,3,0)))</f>
        <v/>
      </c>
      <c r="AI17" s="74" t="str">
        <f>IF(AD17="","",IF(COUNTIF(Route!$AM:$AM,'Train Movement Log (page.1)'!AD17)=0,"未有資料",VLOOKUP('Train Movement Log (page.1)'!AD17,Route!$AM:$AP,3,0)))</f>
        <v/>
      </c>
      <c r="AK17" s="74" t="str">
        <f>IF(AA17="","",IF(COUNTIF(Route!$AM:$AM,'Train Movement Log (page.1)'!AA17)=0,"未有資料",VLOOKUP('Train Movement Log (page.1)'!AA17,Route!$AM:$AP,4,0)))</f>
        <v/>
      </c>
      <c r="AL17" s="74" t="str">
        <f>IF(AB17="","",IF(COUNTIF(Route!$AM:$AM,'Train Movement Log (page.1)'!AB17)=0,"未有資料",VLOOKUP('Train Movement Log (page.1)'!AB17,Route!$AM:$AP,4,0)))</f>
        <v/>
      </c>
      <c r="AM17" s="74" t="str">
        <f>IF(AC17="","",IF(COUNTIF(Route!$AM:$AM,'Train Movement Log (page.1)'!AC17)=0,"未有資料",VLOOKUP('Train Movement Log (page.1)'!AC17,Route!$AM:$AP,4,0)))</f>
        <v/>
      </c>
      <c r="AN17" s="74" t="str">
        <f>IF(AD17="","",IF(COUNTIF(Route!$AM:$AM,'Train Movement Log (page.1)'!AD17)=0,"未有資料",VLOOKUP('Train Movement Log (page.1)'!AD17,Route!$AM:$AP,4,0)))</f>
        <v/>
      </c>
      <c r="AP17" s="74" t="str">
        <f t="shared" si="7"/>
        <v/>
      </c>
      <c r="AQ17" s="76" t="str">
        <f t="shared" si="8"/>
        <v/>
      </c>
      <c r="AR17" s="80" t="str">
        <f>IF($U17="","",IF(COUNTIF(choice!$D:$D,CONCATENATE($U17,"@",AR$7))=0,"",VLOOKUP(CONCATENATE($U17,"@",AR$7),choice!$D:$E,2,0)))</f>
        <v/>
      </c>
      <c r="AS17" s="74" t="str">
        <f>IF($U17="","",IF(COUNTIF(choice!$D:$D,CONCATENATE($U17,"@",AS$7))=0,"",VLOOKUP(CONCATENATE($U17,"@",AS$7),choice!$D:$E,2,0)))</f>
        <v/>
      </c>
      <c r="AT17" s="74" t="str">
        <f>IF($U17="","",IF(COUNTIF(choice!$D:$D,CONCATENATE($U17,"@",AT$7))=0,"",VLOOKUP(CONCATENATE($U17,"@",AT$7),choice!$D:$E,2,0)))</f>
        <v/>
      </c>
      <c r="AU17" s="74" t="str">
        <f>IF($U17="","",IF(COUNTIF(choice!$D:$D,CONCATENATE($U17,"@",AU$7))=0,"",VLOOKUP(CONCATENATE($U17,"@",AU$7),choice!$D:$E,2,0)))</f>
        <v/>
      </c>
      <c r="AV17" s="74" t="str">
        <f>IF($U17="","",IF(COUNTIF(choice!$D:$D,CONCATENATE($U17,"@",AV$7))=0,"",VLOOKUP(CONCATENATE($U17,"@",AV$7),choice!$D:$E,2,0)))</f>
        <v/>
      </c>
      <c r="AW17" s="74" t="str">
        <f>IF($U17="","",IF(COUNTIF(choice!$D:$D,CONCATENATE($U17,"@",AW$7))=0,"",VLOOKUP(CONCATENATE($U17,"@",AW$7),choice!$D:$E,2,0)))</f>
        <v/>
      </c>
      <c r="AX17" s="74" t="str">
        <f>IF($U17="","",IF(COUNTIF(choice!$D:$D,CONCATENATE($U17,"@",AX$7))=0,"",VLOOKUP(CONCATENATE($U17,"@",AX$7),choice!$D:$E,2,0)))</f>
        <v/>
      </c>
      <c r="AY17" s="74" t="str">
        <f>IF($U17="","",IF(COUNTIF(choice!$D:$D,CONCATENATE($U17,"@",AY$7))=0,"",VLOOKUP(CONCATENATE($U17,"@",AY$7),choice!$D:$E,2,0)))</f>
        <v/>
      </c>
      <c r="AZ17" s="74" t="str">
        <f>IF($U17="","",IF(COUNTIF(choice!$D:$D,CONCATENATE($U17,"@",AZ$7))=0,"",VLOOKUP(CONCATENATE($U17,"@",AZ$7),choice!$D:$E,2,0)))</f>
        <v/>
      </c>
      <c r="BA17" s="74" t="str">
        <f>IF($U17="","",IF(COUNTIF(choice!$D:$D,CONCATENATE($U17,"@",BA$7))=0,"",VLOOKUP(CONCATENATE($U17,"@",BA$7),choice!$D:$E,2,0)))</f>
        <v/>
      </c>
      <c r="BB17" s="74" t="str">
        <f>IF($U17="","",IF(COUNTIF(choice!$D:$D,CONCATENATE($U17,"@",BB$7))=0,"",VLOOKUP(CONCATENATE($U17,"@",BB$7),choice!$D:$E,2,0)))</f>
        <v/>
      </c>
      <c r="BC17" s="74" t="str">
        <f>IF($U17="","",IF(COUNTIF(choice!$D:$D,CONCATENATE($U17,"@",BC$7))=0,"",VLOOKUP(CONCATENATE($U17,"@",BC$7),choice!$D:$E,2,0)))</f>
        <v/>
      </c>
      <c r="BD17" s="74" t="str">
        <f>IF($U17="","",IF(COUNTIF(choice!$D:$D,CONCATENATE($U17,"@",BD$7))=0,"",VLOOKUP(CONCATENATE($U17,"@",BD$7),choice!$D:$E,2,0)))</f>
        <v/>
      </c>
      <c r="BE17" s="74" t="str">
        <f>IF($U17="","",IF(COUNTIF(choice!$D:$D,CONCATENATE($U17,"@",BE$7))=0,"",VLOOKUP(CONCATENATE($U17,"@",BE$7),choice!$D:$E,2,0)))</f>
        <v/>
      </c>
      <c r="BF17" s="74" t="str">
        <f>IF($U17="","",IF(COUNTIF(choice!$D:$D,CONCATENATE($U17,"@",BF$7))=0,"",VLOOKUP(CONCATENATE($U17,"@",BF$7),choice!$D:$E,2,0)))</f>
        <v/>
      </c>
      <c r="BG17" s="74" t="str">
        <f>IF($U17="","",IF(COUNTIF(choice!$D:$D,CONCATENATE($U17,"@",BG$7))=0,"",VLOOKUP(CONCATENATE($U17,"@",BG$7),choice!$D:$E,2,0)))</f>
        <v/>
      </c>
      <c r="BH17" s="74" t="str">
        <f>IF($U17="","",IF(COUNTIF(choice!$D:$D,CONCATENATE($U17,"@",BH$7))=0,"",VLOOKUP(CONCATENATE($U17,"@",BH$7),choice!$D:$E,2,0)))</f>
        <v/>
      </c>
      <c r="BI17" s="74" t="str">
        <f>IF($U17="","",IF(COUNTIF(choice!$D:$D,CONCATENATE($U17,"@",BI$7))=0,"",VLOOKUP(CONCATENATE($U17,"@",BI$7),choice!$D:$E,2,0)))</f>
        <v/>
      </c>
      <c r="BJ17" s="74" t="str">
        <f>IF($U17="","",IF(COUNTIF(choice!$D:$D,CONCATENATE($U17,"@",BJ$7))=0,"",VLOOKUP(CONCATENATE($U17,"@",BJ$7),choice!$D:$E,2,0)))</f>
        <v/>
      </c>
      <c r="BK17" s="74" t="str">
        <f>IF($U17="","",IF(COUNTIF(choice!$D:$D,CONCATENATE($U17,"@",BK$7))=0,"",VLOOKUP(CONCATENATE($U17,"@",BK$7),choice!$D:$E,2,0)))</f>
        <v/>
      </c>
      <c r="BL17" s="74" t="str">
        <f>IF($U17="","",IF(COUNTIF(choice!$D:$D,CONCATENATE($U17,"@",BL$7))=0,"",VLOOKUP(CONCATENATE($U17,"@",BL$7),choice!$D:$E,2,0)))</f>
        <v/>
      </c>
      <c r="BM17" s="74" t="str">
        <f>IF($U17="","",IF(COUNTIF(choice!$D:$D,CONCATENATE($U17,"@",BM$7))=0,"",VLOOKUP(CONCATENATE($U17,"@",BM$7),choice!$D:$E,2,0)))</f>
        <v/>
      </c>
      <c r="BN17" s="74" t="str">
        <f>IF($U17="","",IF(COUNTIF(choice!$D:$D,CONCATENATE($U17,"@",BN$7))=0,"",VLOOKUP(CONCATENATE($U17,"@",BN$7),choice!$D:$E,2,0)))</f>
        <v/>
      </c>
      <c r="BO17" s="74" t="str">
        <f>IF($U17="","",IF(COUNTIF(choice!$D:$D,CONCATENATE($U17,"@",BO$7))=0,"",VLOOKUP(CONCATENATE($U17,"@",BO$7),choice!$D:$E,2,0)))</f>
        <v/>
      </c>
      <c r="BP17" s="74" t="str">
        <f>IF($U17="","",IF(COUNTIF(choice!$D:$D,CONCATENATE($U17,"@",BP$7))=0,"",VLOOKUP(CONCATENATE($U17,"@",BP$7),choice!$D:$E,2,0)))</f>
        <v/>
      </c>
      <c r="BQ17" s="74" t="str">
        <f>IF($U17="","",IF(COUNTIF(choice!$D:$D,CONCATENATE($U17,"@",BQ$7))=0,"",VLOOKUP(CONCATENATE($U17,"@",BQ$7),choice!$D:$E,2,0)))</f>
        <v/>
      </c>
      <c r="BR17" s="74" t="str">
        <f>IF($U17="","",IF(COUNTIF(choice!$D:$D,CONCATENATE($U17,"@",BR$7))=0,"",VLOOKUP(CONCATENATE($U17,"@",BR$7),choice!$D:$E,2,0)))</f>
        <v/>
      </c>
      <c r="BS17" s="74" t="str">
        <f>IF($U17="","",IF(COUNTIF(choice!$D:$D,CONCATENATE($U17,"@",BS$7))=0,"",VLOOKUP(CONCATENATE($U17,"@",BS$7),choice!$D:$E,2,0)))</f>
        <v/>
      </c>
      <c r="BT17" s="74" t="str">
        <f>IF($U17="","",IF(COUNTIF(choice!$D:$D,CONCATENATE($U17,"@",BT$7))=0,"",VLOOKUP(CONCATENATE($U17,"@",BT$7),choice!$D:$E,2,0)))</f>
        <v/>
      </c>
      <c r="BU17" s="74" t="str">
        <f>IF($U17="","",IF(COUNTIF(choice!$D:$D,CONCATENATE($U17,"@",BU$7))=0,"",VLOOKUP(CONCATENATE($U17,"@",BU$7),choice!$D:$E,2,0)))</f>
        <v/>
      </c>
      <c r="BV17" s="74" t="str">
        <f>IF($U17="","",IF(COUNTIF(choice!$D:$D,CONCATENATE($U17,"@",BV$7))=0,"",VLOOKUP(CONCATENATE($U17,"@",BV$7),choice!$D:$E,2,0)))</f>
        <v/>
      </c>
      <c r="BW17" s="74" t="str">
        <f>IF($U17="","",IF(COUNTIF(choice!$D:$D,CONCATENATE($U17,"@",BW$7))=0,"",VLOOKUP(CONCATENATE($U17,"@",BW$7),choice!$D:$E,2,0)))</f>
        <v/>
      </c>
      <c r="BX17" s="74" t="str">
        <f>IF($U17="","",IF(COUNTIF(choice!$D:$D,CONCATENATE($U17,"@",BX$7))=0,"",VLOOKUP(CONCATENATE($U17,"@",BX$7),choice!$D:$E,2,0)))</f>
        <v/>
      </c>
      <c r="BY17" s="74" t="str">
        <f>IF($U17="","",IF(COUNTIF(choice!$D:$D,CONCATENATE($U17,"@",BY$7))=0,"",VLOOKUP(CONCATENATE($U17,"@",BY$7),choice!$D:$E,2,0)))</f>
        <v/>
      </c>
      <c r="BZ17" s="74" t="str">
        <f>IF($U17="","",IF(COUNTIF(choice!$D:$D,CONCATENATE($U17,"@",BZ$7))=0,"",VLOOKUP(CONCATENATE($U17,"@",BZ$7),choice!$D:$E,2,0)))</f>
        <v/>
      </c>
      <c r="CA17" s="74" t="str">
        <f>IF($U17="","",IF(COUNTIF(choice!$D:$D,CONCATENATE($U17,"@",CA$7))=0,"",VLOOKUP(CONCATENATE($U17,"@",CA$7),choice!$D:$E,2,0)))</f>
        <v/>
      </c>
      <c r="CB17" s="74" t="str">
        <f>IF($U17="","",IF(COUNTIF(choice!$D:$D,CONCATENATE($U17,"@",CB$7))=0,"",VLOOKUP(CONCATENATE($U17,"@",CB$7),choice!$D:$E,2,0)))</f>
        <v/>
      </c>
      <c r="CC17" s="74" t="str">
        <f>IF($U17="","",IF(COUNTIF(choice!$D:$D,CONCATENATE($U17,"@",CC$7))=0,"",VLOOKUP(CONCATENATE($U17,"@",CC$7),choice!$D:$E,2,0)))</f>
        <v/>
      </c>
      <c r="CD17" s="74" t="str">
        <f>IF($U17="","",IF(COUNTIF(choice!$D:$D,CONCATENATE($U17,"@",CD$7))=0,"",VLOOKUP(CONCATENATE($U17,"@",CD$7),choice!$D:$E,2,0)))</f>
        <v/>
      </c>
      <c r="CE17" s="74" t="str">
        <f>IF($U17="","",IF(COUNTIF(choice!$D:$D,CONCATENATE($U17,"@",CE$7))=0,"",VLOOKUP(CONCATENATE($U17,"@",CE$7),choice!$D:$E,2,0)))</f>
        <v/>
      </c>
      <c r="CF17" s="74" t="str">
        <f>IF($U17="","",IF(COUNTIF(choice!$D:$D,CONCATENATE($U17,"@",CF$7))=0,"",VLOOKUP(CONCATENATE($U17,"@",CF$7),choice!$D:$E,2,0)))</f>
        <v/>
      </c>
      <c r="CG17" s="74" t="str">
        <f>IF($U17="","",IF(COUNTIF(choice!$D:$D,CONCATENATE($U17,"@",CG$7))=0,"",VLOOKUP(CONCATENATE($U17,"@",CG$7),choice!$D:$E,2,0)))</f>
        <v/>
      </c>
      <c r="CH17" s="74" t="str">
        <f>IF($U17="","",IF(COUNTIF(choice!$D:$D,CONCATENATE($U17,"@",CH$7))=0,"",VLOOKUP(CONCATENATE($U17,"@",CH$7),choice!$D:$E,2,0)))</f>
        <v/>
      </c>
      <c r="CI17" s="74" t="str">
        <f>IF($U17="","",IF(COUNTIF(choice!$D:$D,CONCATENATE($U17,"@",CI$7))=0,"",VLOOKUP(CONCATENATE($U17,"@",CI$7),choice!$D:$E,2,0)))</f>
        <v/>
      </c>
      <c r="CJ17" s="81" t="str">
        <f>IF($U17="","",IF(COUNTIF(choice!$D:$D,CONCATENATE($U17,"@",CJ$7))=0,"",VLOOKUP(CONCATENATE($U17,"@",CJ$7),choice!$D:$E,2,0)))</f>
        <v/>
      </c>
      <c r="CK17" s="80" t="str">
        <f>IF($V17="","",IF(COUNTIF(choice!$D:$D,CONCATENATE($V17,"@",CK$7))=0,"",VLOOKUP(CONCATENATE($V17,"@",CK$7),choice!$D:$E,2,0)))</f>
        <v/>
      </c>
      <c r="CL17" s="74" t="str">
        <f>IF($V17="","",IF(COUNTIF(choice!$D:$D,CONCATENATE($V17,"@",CL$7))=0,"",VLOOKUP(CONCATENATE($V17,"@",CL$7),choice!$D:$E,2,0)))</f>
        <v/>
      </c>
      <c r="CM17" s="74" t="str">
        <f>IF($V17="","",IF(COUNTIF(choice!$D:$D,CONCATENATE($V17,"@",CM$7))=0,"",VLOOKUP(CONCATENATE($V17,"@",CM$7),choice!$D:$E,2,0)))</f>
        <v/>
      </c>
      <c r="CN17" s="74" t="str">
        <f>IF($V17="","",IF(COUNTIF(choice!$D:$D,CONCATENATE($V17,"@",CN$7))=0,"",VLOOKUP(CONCATENATE($V17,"@",CN$7),choice!$D:$E,2,0)))</f>
        <v/>
      </c>
      <c r="CO17" s="74" t="str">
        <f>IF($V17="","",IF(COUNTIF(choice!$D:$D,CONCATENATE($V17,"@",CO$7))=0,"",VLOOKUP(CONCATENATE($V17,"@",CO$7),choice!$D:$E,2,0)))</f>
        <v/>
      </c>
      <c r="CP17" s="74" t="str">
        <f>IF($V17="","",IF(COUNTIF(choice!$D:$D,CONCATENATE($V17,"@",CP$7))=0,"",VLOOKUP(CONCATENATE($V17,"@",CP$7),choice!$D:$E,2,0)))</f>
        <v/>
      </c>
      <c r="CQ17" s="74" t="str">
        <f>IF($V17="","",IF(COUNTIF(choice!$D:$D,CONCATENATE($V17,"@",CQ$7))=0,"",VLOOKUP(CONCATENATE($V17,"@",CQ$7),choice!$D:$E,2,0)))</f>
        <v/>
      </c>
      <c r="CR17" s="74" t="str">
        <f>IF($V17="","",IF(COUNTIF(choice!$D:$D,CONCATENATE($V17,"@",CR$7))=0,"",VLOOKUP(CONCATENATE($V17,"@",CR$7),choice!$D:$E,2,0)))</f>
        <v/>
      </c>
      <c r="CS17" s="74" t="str">
        <f>IF($V17="","",IF(COUNTIF(choice!$D:$D,CONCATENATE($V17,"@",CS$7))=0,"",VLOOKUP(CONCATENATE($V17,"@",CS$7),choice!$D:$E,2,0)))</f>
        <v/>
      </c>
      <c r="CT17" s="74" t="str">
        <f>IF($V17="","",IF(COUNTIF(choice!$D:$D,CONCATENATE($V17,"@",CT$7))=0,"",VLOOKUP(CONCATENATE($V17,"@",CT$7),choice!$D:$E,2,0)))</f>
        <v/>
      </c>
      <c r="CU17" s="74" t="str">
        <f>IF($V17="","",IF(COUNTIF(choice!$D:$D,CONCATENATE($V17,"@",CU$7))=0,"",VLOOKUP(CONCATENATE($V17,"@",CU$7),choice!$D:$E,2,0)))</f>
        <v/>
      </c>
      <c r="CV17" s="74" t="str">
        <f>IF($V17="","",IF(COUNTIF(choice!$D:$D,CONCATENATE($V17,"@",CV$7))=0,"",VLOOKUP(CONCATENATE($V17,"@",CV$7),choice!$D:$E,2,0)))</f>
        <v/>
      </c>
      <c r="CW17" s="74" t="str">
        <f>IF($V17="","",IF(COUNTIF(choice!$D:$D,CONCATENATE($V17,"@",CW$7))=0,"",VLOOKUP(CONCATENATE($V17,"@",CW$7),choice!$D:$E,2,0)))</f>
        <v/>
      </c>
      <c r="CX17" s="74" t="str">
        <f>IF($V17="","",IF(COUNTIF(choice!$D:$D,CONCATENATE($V17,"@",CX$7))=0,"",VLOOKUP(CONCATENATE($V17,"@",CX$7),choice!$D:$E,2,0)))</f>
        <v/>
      </c>
      <c r="CY17" s="74" t="str">
        <f>IF($V17="","",IF(COUNTIF(choice!$D:$D,CONCATENATE($V17,"@",CY$7))=0,"",VLOOKUP(CONCATENATE($V17,"@",CY$7),choice!$D:$E,2,0)))</f>
        <v/>
      </c>
      <c r="CZ17" s="74" t="str">
        <f>IF($V17="","",IF(COUNTIF(choice!$D:$D,CONCATENATE($V17,"@",CZ$7))=0,"",VLOOKUP(CONCATENATE($V17,"@",CZ$7),choice!$D:$E,2,0)))</f>
        <v/>
      </c>
      <c r="DA17" s="74" t="str">
        <f>IF($V17="","",IF(COUNTIF(choice!$D:$D,CONCATENATE($V17,"@",DA$7))=0,"",VLOOKUP(CONCATENATE($V17,"@",DA$7),choice!$D:$E,2,0)))</f>
        <v/>
      </c>
      <c r="DB17" s="74" t="str">
        <f>IF($V17="","",IF(COUNTIF(choice!$D:$D,CONCATENATE($V17,"@",DB$7))=0,"",VLOOKUP(CONCATENATE($V17,"@",DB$7),choice!$D:$E,2,0)))</f>
        <v/>
      </c>
      <c r="DC17" s="74" t="str">
        <f>IF($V17="","",IF(COUNTIF(choice!$D:$D,CONCATENATE($V17,"@",DC$7))=0,"",VLOOKUP(CONCATENATE($V17,"@",DC$7),choice!$D:$E,2,0)))</f>
        <v/>
      </c>
      <c r="DD17" s="74" t="str">
        <f>IF($V17="","",IF(COUNTIF(choice!$D:$D,CONCATENATE($V17,"@",DD$7))=0,"",VLOOKUP(CONCATENATE($V17,"@",DD$7),choice!$D:$E,2,0)))</f>
        <v/>
      </c>
      <c r="DE17" s="74" t="str">
        <f>IF($V17="","",IF(COUNTIF(choice!$D:$D,CONCATENATE($V17,"@",DE$7))=0,"",VLOOKUP(CONCATENATE($V17,"@",DE$7),choice!$D:$E,2,0)))</f>
        <v/>
      </c>
      <c r="DF17" s="74" t="str">
        <f>IF($V17="","",IF(COUNTIF(choice!$D:$D,CONCATENATE($V17,"@",DF$7))=0,"",VLOOKUP(CONCATENATE($V17,"@",DF$7),choice!$D:$E,2,0)))</f>
        <v/>
      </c>
      <c r="DG17" s="74" t="str">
        <f>IF($V17="","",IF(COUNTIF(choice!$D:$D,CONCATENATE($V17,"@",DG$7))=0,"",VLOOKUP(CONCATENATE($V17,"@",DG$7),choice!$D:$E,2,0)))</f>
        <v/>
      </c>
      <c r="DH17" s="74" t="str">
        <f>IF($V17="","",IF(COUNTIF(choice!$D:$D,CONCATENATE($V17,"@",DH$7))=0,"",VLOOKUP(CONCATENATE($V17,"@",DH$7),choice!$D:$E,2,0)))</f>
        <v/>
      </c>
      <c r="DI17" s="74" t="str">
        <f>IF($V17="","",IF(COUNTIF(choice!$D:$D,CONCATENATE($V17,"@",DI$7))=0,"",VLOOKUP(CONCATENATE($V17,"@",DI$7),choice!$D:$E,2,0)))</f>
        <v/>
      </c>
      <c r="DJ17" s="74" t="str">
        <f>IF($V17="","",IF(COUNTIF(choice!$D:$D,CONCATENATE($V17,"@",DJ$7))=0,"",VLOOKUP(CONCATENATE($V17,"@",DJ$7),choice!$D:$E,2,0)))</f>
        <v/>
      </c>
      <c r="DK17" s="74" t="str">
        <f>IF($V17="","",IF(COUNTIF(choice!$D:$D,CONCATENATE($V17,"@",DK$7))=0,"",VLOOKUP(CONCATENATE($V17,"@",DK$7),choice!$D:$E,2,0)))</f>
        <v/>
      </c>
      <c r="DL17" s="74" t="str">
        <f>IF($V17="","",IF(COUNTIF(choice!$D:$D,CONCATENATE($V17,"@",DL$7))=0,"",VLOOKUP(CONCATENATE($V17,"@",DL$7),choice!$D:$E,2,0)))</f>
        <v/>
      </c>
      <c r="DM17" s="74" t="str">
        <f>IF($V17="","",IF(COUNTIF(choice!$D:$D,CONCATENATE($V17,"@",DM$7))=0,"",VLOOKUP(CONCATENATE($V17,"@",DM$7),choice!$D:$E,2,0)))</f>
        <v/>
      </c>
      <c r="DN17" s="74" t="str">
        <f>IF($V17="","",IF(COUNTIF(choice!$D:$D,CONCATENATE($V17,"@",DN$7))=0,"",VLOOKUP(CONCATENATE($V17,"@",DN$7),choice!$D:$E,2,0)))</f>
        <v/>
      </c>
      <c r="DO17" s="74" t="str">
        <f>IF($V17="","",IF(COUNTIF(choice!$D:$D,CONCATENATE($V17,"@",DO$7))=0,"",VLOOKUP(CONCATENATE($V17,"@",DO$7),choice!$D:$E,2,0)))</f>
        <v/>
      </c>
      <c r="DP17" s="74" t="str">
        <f>IF($V17="","",IF(COUNTIF(choice!$D:$D,CONCATENATE($V17,"@",DP$7))=0,"",VLOOKUP(CONCATENATE($V17,"@",DP$7),choice!$D:$E,2,0)))</f>
        <v/>
      </c>
      <c r="DQ17" s="74" t="str">
        <f>IF($V17="","",IF(COUNTIF(choice!$D:$D,CONCATENATE($V17,"@",DQ$7))=0,"",VLOOKUP(CONCATENATE($V17,"@",DQ$7),choice!$D:$E,2,0)))</f>
        <v/>
      </c>
      <c r="DR17" s="74" t="str">
        <f>IF($V17="","",IF(COUNTIF(choice!$D:$D,CONCATENATE($V17,"@",DR$7))=0,"",VLOOKUP(CONCATENATE($V17,"@",DR$7),choice!$D:$E,2,0)))</f>
        <v/>
      </c>
      <c r="DS17" s="74" t="str">
        <f>IF($V17="","",IF(COUNTIF(choice!$D:$D,CONCATENATE($V17,"@",DS$7))=0,"",VLOOKUP(CONCATENATE($V17,"@",DS$7),choice!$D:$E,2,0)))</f>
        <v/>
      </c>
      <c r="DT17" s="74" t="str">
        <f>IF($V17="","",IF(COUNTIF(choice!$D:$D,CONCATENATE($V17,"@",DT$7))=0,"",VLOOKUP(CONCATENATE($V17,"@",DT$7),choice!$D:$E,2,0)))</f>
        <v/>
      </c>
      <c r="DU17" s="74" t="str">
        <f>IF($V17="","",IF(COUNTIF(choice!$D:$D,CONCATENATE($V17,"@",DU$7))=0,"",VLOOKUP(CONCATENATE($V17,"@",DU$7),choice!$D:$E,2,0)))</f>
        <v/>
      </c>
      <c r="DV17" s="74" t="str">
        <f>IF($V17="","",IF(COUNTIF(choice!$D:$D,CONCATENATE($V17,"@",DV$7))=0,"",VLOOKUP(CONCATENATE($V17,"@",DV$7),choice!$D:$E,2,0)))</f>
        <v/>
      </c>
      <c r="DW17" s="74" t="str">
        <f>IF($V17="","",IF(COUNTIF(choice!$D:$D,CONCATENATE($V17,"@",DW$7))=0,"",VLOOKUP(CONCATENATE($V17,"@",DW$7),choice!$D:$E,2,0)))</f>
        <v/>
      </c>
      <c r="DX17" s="74" t="str">
        <f>IF($V17="","",IF(COUNTIF(choice!$D:$D,CONCATENATE($V17,"@",DX$7))=0,"",VLOOKUP(CONCATENATE($V17,"@",DX$7),choice!$D:$E,2,0)))</f>
        <v/>
      </c>
      <c r="DY17" s="74" t="str">
        <f>IF($V17="","",IF(COUNTIF(choice!$D:$D,CONCATENATE($V17,"@",DY$7))=0,"",VLOOKUP(CONCATENATE($V17,"@",DY$7),choice!$D:$E,2,0)))</f>
        <v/>
      </c>
      <c r="DZ17" s="74" t="str">
        <f>IF($V17="","",IF(COUNTIF(choice!$D:$D,CONCATENATE($V17,"@",DZ$7))=0,"",VLOOKUP(CONCATENATE($V17,"@",DZ$7),choice!$D:$E,2,0)))</f>
        <v/>
      </c>
      <c r="EA17" s="74" t="str">
        <f>IF($V17="","",IF(COUNTIF(choice!$D:$D,CONCATENATE($V17,"@",EA$7))=0,"",VLOOKUP(CONCATENATE($V17,"@",EA$7),choice!$D:$E,2,0)))</f>
        <v/>
      </c>
      <c r="EB17" s="74" t="str">
        <f>IF($V17="","",IF(COUNTIF(choice!$D:$D,CONCATENATE($V17,"@",EB$7))=0,"",VLOOKUP(CONCATENATE($V17,"@",EB$7),choice!$D:$E,2,0)))</f>
        <v/>
      </c>
      <c r="EC17" s="81" t="str">
        <f>IF($V17="","",IF(COUNTIF(choice!$D:$D,CONCATENATE($V17,"@",EC$7))=0,"",VLOOKUP(CONCATENATE($V17,"@",EC$7),choice!$D:$E,2,0)))</f>
        <v/>
      </c>
      <c r="ED17" s="80" t="str">
        <f>IF($W17="","",IF(COUNTIF(choice!$D:$D,CONCATENATE($W17,"@",ED$7))=0,"",VLOOKUP(CONCATENATE($W17,"@",ED$7),choice!$D:$E,2,0)))</f>
        <v/>
      </c>
      <c r="EE17" s="74" t="str">
        <f>IF($W17="","",IF(COUNTIF(choice!$D:$D,CONCATENATE($W17,"@",EE$7))=0,"",VLOOKUP(CONCATENATE($W17,"@",EE$7),choice!$D:$E,2,0)))</f>
        <v/>
      </c>
      <c r="EF17" s="74" t="str">
        <f>IF($W17="","",IF(COUNTIF(choice!$D:$D,CONCATENATE($W17,"@",EF$7))=0,"",VLOOKUP(CONCATENATE($W17,"@",EF$7),choice!$D:$E,2,0)))</f>
        <v/>
      </c>
      <c r="EG17" s="74" t="str">
        <f>IF($W17="","",IF(COUNTIF(choice!$D:$D,CONCATENATE($W17,"@",EG$7))=0,"",VLOOKUP(CONCATENATE($W17,"@",EG$7),choice!$D:$E,2,0)))</f>
        <v/>
      </c>
      <c r="EH17" s="74" t="str">
        <f>IF($W17="","",IF(COUNTIF(choice!$D:$D,CONCATENATE($W17,"@",EH$7))=0,"",VLOOKUP(CONCATENATE($W17,"@",EH$7),choice!$D:$E,2,0)))</f>
        <v/>
      </c>
      <c r="EI17" s="74" t="str">
        <f>IF($W17="","",IF(COUNTIF(choice!$D:$D,CONCATENATE($W17,"@",EI$7))=0,"",VLOOKUP(CONCATENATE($W17,"@",EI$7),choice!$D:$E,2,0)))</f>
        <v/>
      </c>
      <c r="EJ17" s="74" t="str">
        <f>IF($W17="","",IF(COUNTIF(choice!$D:$D,CONCATENATE($W17,"@",EJ$7))=0,"",VLOOKUP(CONCATENATE($W17,"@",EJ$7),choice!$D:$E,2,0)))</f>
        <v/>
      </c>
      <c r="EK17" s="74" t="str">
        <f>IF($W17="","",IF(COUNTIF(choice!$D:$D,CONCATENATE($W17,"@",EK$7))=0,"",VLOOKUP(CONCATENATE($W17,"@",EK$7),choice!$D:$E,2,0)))</f>
        <v/>
      </c>
      <c r="EL17" s="74" t="str">
        <f>IF($W17="","",IF(COUNTIF(choice!$D:$D,CONCATENATE($W17,"@",EL$7))=0,"",VLOOKUP(CONCATENATE($W17,"@",EL$7),choice!$D:$E,2,0)))</f>
        <v/>
      </c>
      <c r="EM17" s="74" t="str">
        <f>IF($W17="","",IF(COUNTIF(choice!$D:$D,CONCATENATE($W17,"@",EM$7))=0,"",VLOOKUP(CONCATENATE($W17,"@",EM$7),choice!$D:$E,2,0)))</f>
        <v/>
      </c>
      <c r="EN17" s="74" t="str">
        <f>IF($W17="","",IF(COUNTIF(choice!$D:$D,CONCATENATE($W17,"@",EN$7))=0,"",VLOOKUP(CONCATENATE($W17,"@",EN$7),choice!$D:$E,2,0)))</f>
        <v/>
      </c>
      <c r="EO17" s="74" t="str">
        <f>IF($W17="","",IF(COUNTIF(choice!$D:$D,CONCATENATE($W17,"@",EO$7))=0,"",VLOOKUP(CONCATENATE($W17,"@",EO$7),choice!$D:$E,2,0)))</f>
        <v/>
      </c>
      <c r="EP17" s="74" t="str">
        <f>IF($W17="","",IF(COUNTIF(choice!$D:$D,CONCATENATE($W17,"@",EP$7))=0,"",VLOOKUP(CONCATENATE($W17,"@",EP$7),choice!$D:$E,2,0)))</f>
        <v/>
      </c>
      <c r="EQ17" s="74" t="str">
        <f>IF($W17="","",IF(COUNTIF(choice!$D:$D,CONCATENATE($W17,"@",EQ$7))=0,"",VLOOKUP(CONCATENATE($W17,"@",EQ$7),choice!$D:$E,2,0)))</f>
        <v/>
      </c>
      <c r="ER17" s="74" t="str">
        <f>IF($W17="","",IF(COUNTIF(choice!$D:$D,CONCATENATE($W17,"@",ER$7))=0,"",VLOOKUP(CONCATENATE($W17,"@",ER$7),choice!$D:$E,2,0)))</f>
        <v/>
      </c>
      <c r="ES17" s="74" t="str">
        <f>IF($W17="","",IF(COUNTIF(choice!$D:$D,CONCATENATE($W17,"@",ES$7))=0,"",VLOOKUP(CONCATENATE($W17,"@",ES$7),choice!$D:$E,2,0)))</f>
        <v/>
      </c>
      <c r="ET17" s="74" t="str">
        <f>IF($W17="","",IF(COUNTIF(choice!$D:$D,CONCATENATE($W17,"@",ET$7))=0,"",VLOOKUP(CONCATENATE($W17,"@",ET$7),choice!$D:$E,2,0)))</f>
        <v/>
      </c>
      <c r="EU17" s="74" t="str">
        <f>IF($W17="","",IF(COUNTIF(choice!$D:$D,CONCATENATE($W17,"@",EU$7))=0,"",VLOOKUP(CONCATENATE($W17,"@",EU$7),choice!$D:$E,2,0)))</f>
        <v/>
      </c>
      <c r="EV17" s="74" t="str">
        <f>IF($W17="","",IF(COUNTIF(choice!$D:$D,CONCATENATE($W17,"@",EV$7))=0,"",VLOOKUP(CONCATENATE($W17,"@",EV$7),choice!$D:$E,2,0)))</f>
        <v/>
      </c>
      <c r="EW17" s="74" t="str">
        <f>IF($W17="","",IF(COUNTIF(choice!$D:$D,CONCATENATE($W17,"@",EW$7))=0,"",VLOOKUP(CONCATENATE($W17,"@",EW$7),choice!$D:$E,2,0)))</f>
        <v/>
      </c>
      <c r="EX17" s="74" t="str">
        <f>IF($W17="","",IF(COUNTIF(choice!$D:$D,CONCATENATE($W17,"@",EX$7))=0,"",VLOOKUP(CONCATENATE($W17,"@",EX$7),choice!$D:$E,2,0)))</f>
        <v/>
      </c>
      <c r="EY17" s="74" t="str">
        <f>IF($W17="","",IF(COUNTIF(choice!$D:$D,CONCATENATE($W17,"@",EY$7))=0,"",VLOOKUP(CONCATENATE($W17,"@",EY$7),choice!$D:$E,2,0)))</f>
        <v/>
      </c>
      <c r="EZ17" s="74" t="str">
        <f>IF($W17="","",IF(COUNTIF(choice!$D:$D,CONCATENATE($W17,"@",EZ$7))=0,"",VLOOKUP(CONCATENATE($W17,"@",EZ$7),choice!$D:$E,2,0)))</f>
        <v/>
      </c>
      <c r="FA17" s="74" t="str">
        <f>IF($W17="","",IF(COUNTIF(choice!$D:$D,CONCATENATE($W17,"@",FA$7))=0,"",VLOOKUP(CONCATENATE($W17,"@",FA$7),choice!$D:$E,2,0)))</f>
        <v/>
      </c>
      <c r="FB17" s="74" t="str">
        <f>IF($W17="","",IF(COUNTIF(choice!$D:$D,CONCATENATE($W17,"@",FB$7))=0,"",VLOOKUP(CONCATENATE($W17,"@",FB$7),choice!$D:$E,2,0)))</f>
        <v/>
      </c>
      <c r="FC17" s="74" t="str">
        <f>IF($W17="","",IF(COUNTIF(choice!$D:$D,CONCATENATE($W17,"@",FC$7))=0,"",VLOOKUP(CONCATENATE($W17,"@",FC$7),choice!$D:$E,2,0)))</f>
        <v/>
      </c>
      <c r="FD17" s="74" t="str">
        <f>IF($W17="","",IF(COUNTIF(choice!$D:$D,CONCATENATE($W17,"@",FD$7))=0,"",VLOOKUP(CONCATENATE($W17,"@",FD$7),choice!$D:$E,2,0)))</f>
        <v/>
      </c>
      <c r="FE17" s="74" t="str">
        <f>IF($W17="","",IF(COUNTIF(choice!$D:$D,CONCATENATE($W17,"@",FE$7))=0,"",VLOOKUP(CONCATENATE($W17,"@",FE$7),choice!$D:$E,2,0)))</f>
        <v/>
      </c>
      <c r="FF17" s="74" t="str">
        <f>IF($W17="","",IF(COUNTIF(choice!$D:$D,CONCATENATE($W17,"@",FF$7))=0,"",VLOOKUP(CONCATENATE($W17,"@",FF$7),choice!$D:$E,2,0)))</f>
        <v/>
      </c>
      <c r="FG17" s="74" t="str">
        <f>IF($W17="","",IF(COUNTIF(choice!$D:$D,CONCATENATE($W17,"@",FG$7))=0,"",VLOOKUP(CONCATENATE($W17,"@",FG$7),choice!$D:$E,2,0)))</f>
        <v/>
      </c>
      <c r="FH17" s="74" t="str">
        <f>IF($W17="","",IF(COUNTIF(choice!$D:$D,CONCATENATE($W17,"@",FH$7))=0,"",VLOOKUP(CONCATENATE($W17,"@",FH$7),choice!$D:$E,2,0)))</f>
        <v/>
      </c>
      <c r="FI17" s="74" t="str">
        <f>IF($W17="","",IF(COUNTIF(choice!$D:$D,CONCATENATE($W17,"@",FI$7))=0,"",VLOOKUP(CONCATENATE($W17,"@",FI$7),choice!$D:$E,2,0)))</f>
        <v/>
      </c>
      <c r="FJ17" s="74" t="str">
        <f>IF($W17="","",IF(COUNTIF(choice!$D:$D,CONCATENATE($W17,"@",FJ$7))=0,"",VLOOKUP(CONCATENATE($W17,"@",FJ$7),choice!$D:$E,2,0)))</f>
        <v/>
      </c>
      <c r="FK17" s="74" t="str">
        <f>IF($W17="","",IF(COUNTIF(choice!$D:$D,CONCATENATE($W17,"@",FK$7))=0,"",VLOOKUP(CONCATENATE($W17,"@",FK$7),choice!$D:$E,2,0)))</f>
        <v/>
      </c>
      <c r="FL17" s="74" t="str">
        <f>IF($W17="","",IF(COUNTIF(choice!$D:$D,CONCATENATE($W17,"@",FL$7))=0,"",VLOOKUP(CONCATENATE($W17,"@",FL$7),choice!$D:$E,2,0)))</f>
        <v/>
      </c>
      <c r="FM17" s="74" t="str">
        <f>IF($W17="","",IF(COUNTIF(choice!$D:$D,CONCATENATE($W17,"@",FM$7))=0,"",VLOOKUP(CONCATENATE($W17,"@",FM$7),choice!$D:$E,2,0)))</f>
        <v/>
      </c>
      <c r="FN17" s="74" t="str">
        <f>IF($W17="","",IF(COUNTIF(choice!$D:$D,CONCATENATE($W17,"@",FN$7))=0,"",VLOOKUP(CONCATENATE($W17,"@",FN$7),choice!$D:$E,2,0)))</f>
        <v/>
      </c>
      <c r="FO17" s="74" t="str">
        <f>IF($W17="","",IF(COUNTIF(choice!$D:$D,CONCATENATE($W17,"@",FO$7))=0,"",VLOOKUP(CONCATENATE($W17,"@",FO$7),choice!$D:$E,2,0)))</f>
        <v/>
      </c>
      <c r="FP17" s="74" t="str">
        <f>IF($W17="","",IF(COUNTIF(choice!$D:$D,CONCATENATE($W17,"@",FP$7))=0,"",VLOOKUP(CONCATENATE($W17,"@",FP$7),choice!$D:$E,2,0)))</f>
        <v/>
      </c>
      <c r="FQ17" s="74" t="str">
        <f>IF($W17="","",IF(COUNTIF(choice!$D:$D,CONCATENATE($W17,"@",FQ$7))=0,"",VLOOKUP(CONCATENATE($W17,"@",FQ$7),choice!$D:$E,2,0)))</f>
        <v/>
      </c>
      <c r="FR17" s="74" t="str">
        <f>IF($W17="","",IF(COUNTIF(choice!$D:$D,CONCATENATE($W17,"@",FR$7))=0,"",VLOOKUP(CONCATENATE($W17,"@",FR$7),choice!$D:$E,2,0)))</f>
        <v/>
      </c>
      <c r="FS17" s="74" t="str">
        <f>IF($W17="","",IF(COUNTIF(choice!$D:$D,CONCATENATE($W17,"@",FS$7))=0,"",VLOOKUP(CONCATENATE($W17,"@",FS$7),choice!$D:$E,2,0)))</f>
        <v/>
      </c>
      <c r="FT17" s="74" t="str">
        <f>IF($W17="","",IF(COUNTIF(choice!$D:$D,CONCATENATE($W17,"@",FT$7))=0,"",VLOOKUP(CONCATENATE($W17,"@",FT$7),choice!$D:$E,2,0)))</f>
        <v/>
      </c>
      <c r="FU17" s="74" t="str">
        <f>IF($W17="","",IF(COUNTIF(choice!$D:$D,CONCATENATE($W17,"@",FU$7))=0,"",VLOOKUP(CONCATENATE($W17,"@",FU$7),choice!$D:$E,2,0)))</f>
        <v/>
      </c>
      <c r="FV17" s="81" t="str">
        <f>IF($W17="","",IF(COUNTIF(choice!$D:$D,CONCATENATE($W17,"@",FV$7))=0,"",VLOOKUP(CONCATENATE($W17,"@",FV$7),choice!$D:$E,2,0)))</f>
        <v/>
      </c>
      <c r="FW17" s="80" t="str">
        <f>IF($X17="","",IF(COUNTIF(choice!$D:$D,CONCATENATE($X17,"@",FW$7))=0,"",VLOOKUP(CONCATENATE($X17,"@",FW$7),choice!$D:$E,2,0)))</f>
        <v/>
      </c>
      <c r="FX17" s="74" t="str">
        <f>IF($X17="","",IF(COUNTIF(choice!$D:$D,CONCATENATE($X17,"@",FX$7))=0,"",VLOOKUP(CONCATENATE($X17,"@",FX$7),choice!$D:$E,2,0)))</f>
        <v/>
      </c>
      <c r="FY17" s="74" t="str">
        <f>IF($X17="","",IF(COUNTIF(choice!$D:$D,CONCATENATE($X17,"@",FY$7))=0,"",VLOOKUP(CONCATENATE($X17,"@",FY$7),choice!$D:$E,2,0)))</f>
        <v/>
      </c>
      <c r="FZ17" s="74" t="str">
        <f>IF($X17="","",IF(COUNTIF(choice!$D:$D,CONCATENATE($X17,"@",FZ$7))=0,"",VLOOKUP(CONCATENATE($X17,"@",FZ$7),choice!$D:$E,2,0)))</f>
        <v/>
      </c>
      <c r="GA17" s="74" t="str">
        <f>IF($X17="","",IF(COUNTIF(choice!$D:$D,CONCATENATE($X17,"@",GA$7))=0,"",VLOOKUP(CONCATENATE($X17,"@",GA$7),choice!$D:$E,2,0)))</f>
        <v/>
      </c>
      <c r="GB17" s="74" t="str">
        <f>IF($X17="","",IF(COUNTIF(choice!$D:$D,CONCATENATE($X17,"@",GB$7))=0,"",VLOOKUP(CONCATENATE($X17,"@",GB$7),choice!$D:$E,2,0)))</f>
        <v/>
      </c>
      <c r="GC17" s="74" t="str">
        <f>IF($X17="","",IF(COUNTIF(choice!$D:$D,CONCATENATE($X17,"@",GC$7))=0,"",VLOOKUP(CONCATENATE($X17,"@",GC$7),choice!$D:$E,2,0)))</f>
        <v/>
      </c>
      <c r="GD17" s="74" t="str">
        <f>IF($X17="","",IF(COUNTIF(choice!$D:$D,CONCATENATE($X17,"@",GD$7))=0,"",VLOOKUP(CONCATENATE($X17,"@",GD$7),choice!$D:$E,2,0)))</f>
        <v/>
      </c>
      <c r="GE17" s="74" t="str">
        <f>IF($X17="","",IF(COUNTIF(choice!$D:$D,CONCATENATE($X17,"@",GE$7))=0,"",VLOOKUP(CONCATENATE($X17,"@",GE$7),choice!$D:$E,2,0)))</f>
        <v/>
      </c>
      <c r="GF17" s="74" t="str">
        <f>IF($X17="","",IF(COUNTIF(choice!$D:$D,CONCATENATE($X17,"@",GF$7))=0,"",VLOOKUP(CONCATENATE($X17,"@",GF$7),choice!$D:$E,2,0)))</f>
        <v/>
      </c>
      <c r="GG17" s="74" t="str">
        <f>IF($X17="","",IF(COUNTIF(choice!$D:$D,CONCATENATE($X17,"@",GG$7))=0,"",VLOOKUP(CONCATENATE($X17,"@",GG$7),choice!$D:$E,2,0)))</f>
        <v/>
      </c>
      <c r="GH17" s="74" t="str">
        <f>IF($X17="","",IF(COUNTIF(choice!$D:$D,CONCATENATE($X17,"@",GH$7))=0,"",VLOOKUP(CONCATENATE($X17,"@",GH$7),choice!$D:$E,2,0)))</f>
        <v/>
      </c>
      <c r="GI17" s="74" t="str">
        <f>IF($X17="","",IF(COUNTIF(choice!$D:$D,CONCATENATE($X17,"@",GI$7))=0,"",VLOOKUP(CONCATENATE($X17,"@",GI$7),choice!$D:$E,2,0)))</f>
        <v/>
      </c>
      <c r="GJ17" s="74" t="str">
        <f>IF($X17="","",IF(COUNTIF(choice!$D:$D,CONCATENATE($X17,"@",GJ$7))=0,"",VLOOKUP(CONCATENATE($X17,"@",GJ$7),choice!$D:$E,2,0)))</f>
        <v/>
      </c>
      <c r="GK17" s="74" t="str">
        <f>IF($X17="","",IF(COUNTIF(choice!$D:$D,CONCATENATE($X17,"@",GK$7))=0,"",VLOOKUP(CONCATENATE($X17,"@",GK$7),choice!$D:$E,2,0)))</f>
        <v/>
      </c>
      <c r="GL17" s="74" t="str">
        <f>IF($X17="","",IF(COUNTIF(choice!$D:$D,CONCATENATE($X17,"@",GL$7))=0,"",VLOOKUP(CONCATENATE($X17,"@",GL$7),choice!$D:$E,2,0)))</f>
        <v/>
      </c>
      <c r="GM17" s="74" t="str">
        <f>IF($X17="","",IF(COUNTIF(choice!$D:$D,CONCATENATE($X17,"@",GM$7))=0,"",VLOOKUP(CONCATENATE($X17,"@",GM$7),choice!$D:$E,2,0)))</f>
        <v/>
      </c>
      <c r="GN17" s="74" t="str">
        <f>IF($X17="","",IF(COUNTIF(choice!$D:$D,CONCATENATE($X17,"@",GN$7))=0,"",VLOOKUP(CONCATENATE($X17,"@",GN$7),choice!$D:$E,2,0)))</f>
        <v/>
      </c>
      <c r="GO17" s="74" t="str">
        <f>IF($X17="","",IF(COUNTIF(choice!$D:$D,CONCATENATE($X17,"@",GO$7))=0,"",VLOOKUP(CONCATENATE($X17,"@",GO$7),choice!$D:$E,2,0)))</f>
        <v/>
      </c>
      <c r="GP17" s="74" t="str">
        <f>IF($X17="","",IF(COUNTIF(choice!$D:$D,CONCATENATE($X17,"@",GP$7))=0,"",VLOOKUP(CONCATENATE($X17,"@",GP$7),choice!$D:$E,2,0)))</f>
        <v/>
      </c>
      <c r="GQ17" s="74" t="str">
        <f>IF($X17="","",IF(COUNTIF(choice!$D:$D,CONCATENATE($X17,"@",GQ$7))=0,"",VLOOKUP(CONCATENATE($X17,"@",GQ$7),choice!$D:$E,2,0)))</f>
        <v/>
      </c>
      <c r="GR17" s="74" t="str">
        <f>IF($X17="","",IF(COUNTIF(choice!$D:$D,CONCATENATE($X17,"@",GR$7))=0,"",VLOOKUP(CONCATENATE($X17,"@",GR$7),choice!$D:$E,2,0)))</f>
        <v/>
      </c>
      <c r="GS17" s="74" t="str">
        <f>IF($X17="","",IF(COUNTIF(choice!$D:$D,CONCATENATE($X17,"@",GS$7))=0,"",VLOOKUP(CONCATENATE($X17,"@",GS$7),choice!$D:$E,2,0)))</f>
        <v/>
      </c>
      <c r="GT17" s="74" t="str">
        <f>IF($X17="","",IF(COUNTIF(choice!$D:$D,CONCATENATE($X17,"@",GT$7))=0,"",VLOOKUP(CONCATENATE($X17,"@",GT$7),choice!$D:$E,2,0)))</f>
        <v/>
      </c>
      <c r="GU17" s="74" t="str">
        <f>IF($X17="","",IF(COUNTIF(choice!$D:$D,CONCATENATE($X17,"@",GU$7))=0,"",VLOOKUP(CONCATENATE($X17,"@",GU$7),choice!$D:$E,2,0)))</f>
        <v/>
      </c>
      <c r="GV17" s="74" t="str">
        <f>IF($X17="","",IF(COUNTIF(choice!$D:$D,CONCATENATE($X17,"@",GV$7))=0,"",VLOOKUP(CONCATENATE($X17,"@",GV$7),choice!$D:$E,2,0)))</f>
        <v/>
      </c>
      <c r="GW17" s="74" t="str">
        <f>IF($X17="","",IF(COUNTIF(choice!$D:$D,CONCATENATE($X17,"@",GW$7))=0,"",VLOOKUP(CONCATENATE($X17,"@",GW$7),choice!$D:$E,2,0)))</f>
        <v/>
      </c>
      <c r="GX17" s="74" t="str">
        <f>IF($X17="","",IF(COUNTIF(choice!$D:$D,CONCATENATE($X17,"@",GX$7))=0,"",VLOOKUP(CONCATENATE($X17,"@",GX$7),choice!$D:$E,2,0)))</f>
        <v/>
      </c>
      <c r="GY17" s="74" t="str">
        <f>IF($X17="","",IF(COUNTIF(choice!$D:$D,CONCATENATE($X17,"@",GY$7))=0,"",VLOOKUP(CONCATENATE($X17,"@",GY$7),choice!$D:$E,2,0)))</f>
        <v/>
      </c>
      <c r="GZ17" s="74" t="str">
        <f>IF($X17="","",IF(COUNTIF(choice!$D:$D,CONCATENATE($X17,"@",GZ$7))=0,"",VLOOKUP(CONCATENATE($X17,"@",GZ$7),choice!$D:$E,2,0)))</f>
        <v/>
      </c>
      <c r="HA17" s="74" t="str">
        <f>IF($X17="","",IF(COUNTIF(choice!$D:$D,CONCATENATE($X17,"@",HA$7))=0,"",VLOOKUP(CONCATENATE($X17,"@",HA$7),choice!$D:$E,2,0)))</f>
        <v/>
      </c>
      <c r="HB17" s="74" t="str">
        <f>IF($X17="","",IF(COUNTIF(choice!$D:$D,CONCATENATE($X17,"@",HB$7))=0,"",VLOOKUP(CONCATENATE($X17,"@",HB$7),choice!$D:$E,2,0)))</f>
        <v/>
      </c>
      <c r="HC17" s="74" t="str">
        <f>IF($X17="","",IF(COUNTIF(choice!$D:$D,CONCATENATE($X17,"@",HC$7))=0,"",VLOOKUP(CONCATENATE($X17,"@",HC$7),choice!$D:$E,2,0)))</f>
        <v/>
      </c>
      <c r="HD17" s="74" t="str">
        <f>IF($X17="","",IF(COUNTIF(choice!$D:$D,CONCATENATE($X17,"@",HD$7))=0,"",VLOOKUP(CONCATENATE($X17,"@",HD$7),choice!$D:$E,2,0)))</f>
        <v/>
      </c>
      <c r="HE17" s="74" t="str">
        <f>IF($X17="","",IF(COUNTIF(choice!$D:$D,CONCATENATE($X17,"@",HE$7))=0,"",VLOOKUP(CONCATENATE($X17,"@",HE$7),choice!$D:$E,2,0)))</f>
        <v/>
      </c>
      <c r="HF17" s="74" t="str">
        <f>IF($X17="","",IF(COUNTIF(choice!$D:$D,CONCATENATE($X17,"@",HF$7))=0,"",VLOOKUP(CONCATENATE($X17,"@",HF$7),choice!$D:$E,2,0)))</f>
        <v/>
      </c>
      <c r="HG17" s="74" t="str">
        <f>IF($X17="","",IF(COUNTIF(choice!$D:$D,CONCATENATE($X17,"@",HG$7))=0,"",VLOOKUP(CONCATENATE($X17,"@",HG$7),choice!$D:$E,2,0)))</f>
        <v/>
      </c>
      <c r="HH17" s="74" t="str">
        <f>IF($X17="","",IF(COUNTIF(choice!$D:$D,CONCATENATE($X17,"@",HH$7))=0,"",VLOOKUP(CONCATENATE($X17,"@",HH$7),choice!$D:$E,2,0)))</f>
        <v/>
      </c>
      <c r="HI17" s="74" t="str">
        <f>IF($X17="","",IF(COUNTIF(choice!$D:$D,CONCATENATE($X17,"@",HI$7))=0,"",VLOOKUP(CONCATENATE($X17,"@",HI$7),choice!$D:$E,2,0)))</f>
        <v/>
      </c>
      <c r="HJ17" s="74" t="str">
        <f>IF($X17="","",IF(COUNTIF(choice!$D:$D,CONCATENATE($X17,"@",HJ$7))=0,"",VLOOKUP(CONCATENATE($X17,"@",HJ$7),choice!$D:$E,2,0)))</f>
        <v/>
      </c>
      <c r="HK17" s="74" t="str">
        <f>IF($X17="","",IF(COUNTIF(choice!$D:$D,CONCATENATE($X17,"@",HK$7))=0,"",VLOOKUP(CONCATENATE($X17,"@",HK$7),choice!$D:$E,2,0)))</f>
        <v/>
      </c>
      <c r="HL17" s="74" t="str">
        <f>IF($X17="","",IF(COUNTIF(choice!$D:$D,CONCATENATE($X17,"@",HL$7))=0,"",VLOOKUP(CONCATENATE($X17,"@",HL$7),choice!$D:$E,2,0)))</f>
        <v/>
      </c>
      <c r="HM17" s="74" t="str">
        <f>IF($X17="","",IF(COUNTIF(choice!$D:$D,CONCATENATE($X17,"@",HM$7))=0,"",VLOOKUP(CONCATENATE($X17,"@",HM$7),choice!$D:$E,2,0)))</f>
        <v/>
      </c>
      <c r="HN17" s="74" t="str">
        <f>IF($X17="","",IF(COUNTIF(choice!$D:$D,CONCATENATE($X17,"@",HN$7))=0,"",VLOOKUP(CONCATENATE($X17,"@",HN$7),choice!$D:$E,2,0)))</f>
        <v/>
      </c>
      <c r="HO17" s="81" t="str">
        <f>IF($X17="","",IF(COUNTIF(choice!$D:$D,CONCATENATE($X17,"@",HO$7))=0,"",VLOOKUP(CONCATENATE($X17,"@",HO$7),choice!$D:$E,2,0)))</f>
        <v/>
      </c>
      <c r="HP17" s="20" t="s">
        <v>70</v>
      </c>
      <c r="HQ17" s="20" t="s">
        <v>70</v>
      </c>
      <c r="HU17" s="74" t="s">
        <v>6</v>
      </c>
      <c r="HV17" s="74">
        <f t="shared" si="10"/>
        <v>0</v>
      </c>
      <c r="HW17" s="74">
        <f t="shared" si="11"/>
        <v>0</v>
      </c>
      <c r="HX17" s="74">
        <f t="shared" si="12"/>
        <v>0</v>
      </c>
      <c r="HY17" s="74">
        <f t="shared" si="13"/>
        <v>0</v>
      </c>
      <c r="HZ17" s="74">
        <f t="shared" si="19"/>
        <v>0</v>
      </c>
      <c r="IA17" s="74">
        <f t="shared" si="20"/>
        <v>0</v>
      </c>
      <c r="IB17" s="74" t="str">
        <f t="shared" si="21"/>
        <v/>
      </c>
      <c r="IC17" s="74" t="str">
        <f t="shared" si="22"/>
        <v/>
      </c>
      <c r="ID17" s="74" t="str">
        <f t="shared" si="14"/>
        <v/>
      </c>
      <c r="IE17" s="74">
        <f t="shared" si="15"/>
        <v>10</v>
      </c>
      <c r="IF17" s="74">
        <f>COUNTIFS(ID$8:ID17,"BLUE")</f>
        <v>0</v>
      </c>
      <c r="IG17" s="74" t="str">
        <f t="shared" si="16"/>
        <v/>
      </c>
      <c r="IH17" s="74" t="str">
        <f>IF(COUNTIFS($AQ17,"*02*")=0,"",COUNTIFS(IJ$8:IJ17,"BLUE"))</f>
        <v/>
      </c>
      <c r="II17" s="74" t="str">
        <f>IF(COUNTIFS($AQ17,"*04*")=0,"",COUNTIFS(IK$8:IK17,"BLUE"))</f>
        <v/>
      </c>
      <c r="IJ17" s="74" t="str">
        <f t="shared" si="23"/>
        <v/>
      </c>
      <c r="IK17" s="74" t="str">
        <f t="shared" si="24"/>
        <v/>
      </c>
      <c r="IL17" s="74" t="str">
        <f t="shared" si="17"/>
        <v/>
      </c>
      <c r="IM17" s="74" t="str">
        <f t="shared" si="18"/>
        <v/>
      </c>
      <c r="IN17" s="74">
        <f>COUNTIFS(IJ$8:IJ17,"BLUE")</f>
        <v>0</v>
      </c>
      <c r="IO17" s="74">
        <f>COUNTIFS(IK$8:IK17,"BLUE")</f>
        <v>0</v>
      </c>
    </row>
    <row r="18" spans="1:249" s="20" customFormat="1" ht="25.5" customHeight="1">
      <c r="A18" s="33"/>
      <c r="B18" s="30">
        <v>11</v>
      </c>
      <c r="C18" s="155"/>
      <c r="D18" s="174"/>
      <c r="E18" s="88" t="e">
        <f>VLOOKUP(F18,'Radio Call Sign'!A:B,2)</f>
        <v>#N/A</v>
      </c>
      <c r="F18" s="88"/>
      <c r="G18" s="88" t="e">
        <f>VLOOKUP(H18,'Radio Call Sign'!A:B,2)</f>
        <v>#N/A</v>
      </c>
      <c r="H18" s="88"/>
      <c r="I18" s="89"/>
      <c r="J18" s="90"/>
      <c r="K18" s="86"/>
      <c r="L18" s="155"/>
      <c r="M18" s="190" t="str">
        <f t="shared" si="9"/>
        <v/>
      </c>
      <c r="N18" s="21"/>
      <c r="O18" s="21"/>
      <c r="P18" s="52"/>
      <c r="Q18" s="161" t="str">
        <f>IF(AA18="","",IF(COUNTIFS('overhead line area'!$D$3:$D$100,AA18)+COUNTIFS('overhead line area'!$D$3:$D$100,AB18)+COUNTIFS('overhead line area'!$D$3:$D$100,AC18)+COUNTIFS('overhead line area'!$D$3:$D$100,AD18)=0,"","*               "))</f>
        <v/>
      </c>
      <c r="R18" s="53"/>
      <c r="S18" s="24"/>
      <c r="U18" s="74"/>
      <c r="V18" s="74"/>
      <c r="W18" s="74"/>
      <c r="X18" s="74"/>
      <c r="Y18" s="74"/>
      <c r="AA18" s="74" t="str">
        <f t="shared" ref="AA18:AA19" si="25">IF(U18="","",CONCATENATE(U18,"-",V18))</f>
        <v/>
      </c>
      <c r="AB18" s="74" t="str">
        <f t="shared" si="6"/>
        <v/>
      </c>
      <c r="AC18" s="74" t="str">
        <f t="shared" si="6"/>
        <v/>
      </c>
      <c r="AD18" s="74" t="str">
        <f t="shared" si="6"/>
        <v/>
      </c>
      <c r="AF18" s="74" t="str">
        <f>IF(AA18="","",IF(COUNTIF(Route!$AM:$AM,'Train Movement Log (page.1)'!AA18)=0,"未有資料",VLOOKUP('Train Movement Log (page.1)'!AA18,Route!$AM:$AP,3,0)))</f>
        <v/>
      </c>
      <c r="AG18" s="74" t="str">
        <f>IF(AB18="","",IF(COUNTIF(Route!$AM:$AM,'Train Movement Log (page.1)'!AB18)=0,"未有資料",VLOOKUP('Train Movement Log (page.1)'!AB18,Route!$AM:$AP,3,0)))</f>
        <v/>
      </c>
      <c r="AH18" s="74" t="str">
        <f>IF(AC18="","",IF(COUNTIF(Route!$AM:$AM,'Train Movement Log (page.1)'!AC18)=0,"未有資料",VLOOKUP('Train Movement Log (page.1)'!AC18,Route!$AM:$AP,3,0)))</f>
        <v/>
      </c>
      <c r="AI18" s="74" t="str">
        <f>IF(AD18="","",IF(COUNTIF(Route!$AM:$AM,'Train Movement Log (page.1)'!AD18)=0,"未有資料",VLOOKUP('Train Movement Log (page.1)'!AD18,Route!$AM:$AP,3,0)))</f>
        <v/>
      </c>
      <c r="AK18" s="74" t="str">
        <f>IF(AA18="","",IF(COUNTIF(Route!$AM:$AM,'Train Movement Log (page.1)'!AA18)=0,"未有資料",VLOOKUP('Train Movement Log (page.1)'!AA18,Route!$AM:$AP,4,0)))</f>
        <v/>
      </c>
      <c r="AL18" s="74" t="str">
        <f>IF(AB18="","",IF(COUNTIF(Route!$AM:$AM,'Train Movement Log (page.1)'!AB18)=0,"未有資料",VLOOKUP('Train Movement Log (page.1)'!AB18,Route!$AM:$AP,4,0)))</f>
        <v/>
      </c>
      <c r="AM18" s="74" t="str">
        <f>IF(AC18="","",IF(COUNTIF(Route!$AM:$AM,'Train Movement Log (page.1)'!AC18)=0,"未有資料",VLOOKUP('Train Movement Log (page.1)'!AC18,Route!$AM:$AP,4,0)))</f>
        <v/>
      </c>
      <c r="AN18" s="74" t="str">
        <f>IF(AD18="","",IF(COUNTIF(Route!$AM:$AM,'Train Movement Log (page.1)'!AD18)=0,"未有資料",VLOOKUP('Train Movement Log (page.1)'!AD18,Route!$AM:$AP,4,0)))</f>
        <v/>
      </c>
      <c r="AP18" s="74" t="str">
        <f t="shared" si="7"/>
        <v/>
      </c>
      <c r="AQ18" s="76" t="str">
        <f t="shared" si="8"/>
        <v/>
      </c>
      <c r="AR18" s="80" t="str">
        <f>IF($U18="","",IF(COUNTIF(choice!$D:$D,CONCATENATE($U18,"@",AR$7))=0,"",VLOOKUP(CONCATENATE($U18,"@",AR$7),choice!$D:$E,2,0)))</f>
        <v/>
      </c>
      <c r="AS18" s="74" t="str">
        <f>IF($U18="","",IF(COUNTIF(choice!$D:$D,CONCATENATE($U18,"@",AS$7))=0,"",VLOOKUP(CONCATENATE($U18,"@",AS$7),choice!$D:$E,2,0)))</f>
        <v/>
      </c>
      <c r="AT18" s="74" t="str">
        <f>IF($U18="","",IF(COUNTIF(choice!$D:$D,CONCATENATE($U18,"@",AT$7))=0,"",VLOOKUP(CONCATENATE($U18,"@",AT$7),choice!$D:$E,2,0)))</f>
        <v/>
      </c>
      <c r="AU18" s="74" t="str">
        <f>IF($U18="","",IF(COUNTIF(choice!$D:$D,CONCATENATE($U18,"@",AU$7))=0,"",VLOOKUP(CONCATENATE($U18,"@",AU$7),choice!$D:$E,2,0)))</f>
        <v/>
      </c>
      <c r="AV18" s="74" t="str">
        <f>IF($U18="","",IF(COUNTIF(choice!$D:$D,CONCATENATE($U18,"@",AV$7))=0,"",VLOOKUP(CONCATENATE($U18,"@",AV$7),choice!$D:$E,2,0)))</f>
        <v/>
      </c>
      <c r="AW18" s="74" t="str">
        <f>IF($U18="","",IF(COUNTIF(choice!$D:$D,CONCATENATE($U18,"@",AW$7))=0,"",VLOOKUP(CONCATENATE($U18,"@",AW$7),choice!$D:$E,2,0)))</f>
        <v/>
      </c>
      <c r="AX18" s="74" t="str">
        <f>IF($U18="","",IF(COUNTIF(choice!$D:$D,CONCATENATE($U18,"@",AX$7))=0,"",VLOOKUP(CONCATENATE($U18,"@",AX$7),choice!$D:$E,2,0)))</f>
        <v/>
      </c>
      <c r="AY18" s="74" t="str">
        <f>IF($U18="","",IF(COUNTIF(choice!$D:$D,CONCATENATE($U18,"@",AY$7))=0,"",VLOOKUP(CONCATENATE($U18,"@",AY$7),choice!$D:$E,2,0)))</f>
        <v/>
      </c>
      <c r="AZ18" s="74" t="str">
        <f>IF($U18="","",IF(COUNTIF(choice!$D:$D,CONCATENATE($U18,"@",AZ$7))=0,"",VLOOKUP(CONCATENATE($U18,"@",AZ$7),choice!$D:$E,2,0)))</f>
        <v/>
      </c>
      <c r="BA18" s="74" t="str">
        <f>IF($U18="","",IF(COUNTIF(choice!$D:$D,CONCATENATE($U18,"@",BA$7))=0,"",VLOOKUP(CONCATENATE($U18,"@",BA$7),choice!$D:$E,2,0)))</f>
        <v/>
      </c>
      <c r="BB18" s="74" t="str">
        <f>IF($U18="","",IF(COUNTIF(choice!$D:$D,CONCATENATE($U18,"@",BB$7))=0,"",VLOOKUP(CONCATENATE($U18,"@",BB$7),choice!$D:$E,2,0)))</f>
        <v/>
      </c>
      <c r="BC18" s="74" t="str">
        <f>IF($U18="","",IF(COUNTIF(choice!$D:$D,CONCATENATE($U18,"@",BC$7))=0,"",VLOOKUP(CONCATENATE($U18,"@",BC$7),choice!$D:$E,2,0)))</f>
        <v/>
      </c>
      <c r="BD18" s="74" t="str">
        <f>IF($U18="","",IF(COUNTIF(choice!$D:$D,CONCATENATE($U18,"@",BD$7))=0,"",VLOOKUP(CONCATENATE($U18,"@",BD$7),choice!$D:$E,2,0)))</f>
        <v/>
      </c>
      <c r="BE18" s="74" t="str">
        <f>IF($U18="","",IF(COUNTIF(choice!$D:$D,CONCATENATE($U18,"@",BE$7))=0,"",VLOOKUP(CONCATENATE($U18,"@",BE$7),choice!$D:$E,2,0)))</f>
        <v/>
      </c>
      <c r="BF18" s="74" t="str">
        <f>IF($U18="","",IF(COUNTIF(choice!$D:$D,CONCATENATE($U18,"@",BF$7))=0,"",VLOOKUP(CONCATENATE($U18,"@",BF$7),choice!$D:$E,2,0)))</f>
        <v/>
      </c>
      <c r="BG18" s="74" t="str">
        <f>IF($U18="","",IF(COUNTIF(choice!$D:$D,CONCATENATE($U18,"@",BG$7))=0,"",VLOOKUP(CONCATENATE($U18,"@",BG$7),choice!$D:$E,2,0)))</f>
        <v/>
      </c>
      <c r="BH18" s="74" t="str">
        <f>IF($U18="","",IF(COUNTIF(choice!$D:$D,CONCATENATE($U18,"@",BH$7))=0,"",VLOOKUP(CONCATENATE($U18,"@",BH$7),choice!$D:$E,2,0)))</f>
        <v/>
      </c>
      <c r="BI18" s="74" t="str">
        <f>IF($U18="","",IF(COUNTIF(choice!$D:$D,CONCATENATE($U18,"@",BI$7))=0,"",VLOOKUP(CONCATENATE($U18,"@",BI$7),choice!$D:$E,2,0)))</f>
        <v/>
      </c>
      <c r="BJ18" s="74" t="str">
        <f>IF($U18="","",IF(COUNTIF(choice!$D:$D,CONCATENATE($U18,"@",BJ$7))=0,"",VLOOKUP(CONCATENATE($U18,"@",BJ$7),choice!$D:$E,2,0)))</f>
        <v/>
      </c>
      <c r="BK18" s="74" t="str">
        <f>IF($U18="","",IF(COUNTIF(choice!$D:$D,CONCATENATE($U18,"@",BK$7))=0,"",VLOOKUP(CONCATENATE($U18,"@",BK$7),choice!$D:$E,2,0)))</f>
        <v/>
      </c>
      <c r="BL18" s="74" t="str">
        <f>IF($U18="","",IF(COUNTIF(choice!$D:$D,CONCATENATE($U18,"@",BL$7))=0,"",VLOOKUP(CONCATENATE($U18,"@",BL$7),choice!$D:$E,2,0)))</f>
        <v/>
      </c>
      <c r="BM18" s="74" t="str">
        <f>IF($U18="","",IF(COUNTIF(choice!$D:$D,CONCATENATE($U18,"@",BM$7))=0,"",VLOOKUP(CONCATENATE($U18,"@",BM$7),choice!$D:$E,2,0)))</f>
        <v/>
      </c>
      <c r="BN18" s="74" t="str">
        <f>IF($U18="","",IF(COUNTIF(choice!$D:$D,CONCATENATE($U18,"@",BN$7))=0,"",VLOOKUP(CONCATENATE($U18,"@",BN$7),choice!$D:$E,2,0)))</f>
        <v/>
      </c>
      <c r="BO18" s="74" t="str">
        <f>IF($U18="","",IF(COUNTIF(choice!$D:$D,CONCATENATE($U18,"@",BO$7))=0,"",VLOOKUP(CONCATENATE($U18,"@",BO$7),choice!$D:$E,2,0)))</f>
        <v/>
      </c>
      <c r="BP18" s="74" t="str">
        <f>IF($U18="","",IF(COUNTIF(choice!$D:$D,CONCATENATE($U18,"@",BP$7))=0,"",VLOOKUP(CONCATENATE($U18,"@",BP$7),choice!$D:$E,2,0)))</f>
        <v/>
      </c>
      <c r="BQ18" s="74" t="str">
        <f>IF($U18="","",IF(COUNTIF(choice!$D:$D,CONCATENATE($U18,"@",BQ$7))=0,"",VLOOKUP(CONCATENATE($U18,"@",BQ$7),choice!$D:$E,2,0)))</f>
        <v/>
      </c>
      <c r="BR18" s="74" t="str">
        <f>IF($U18="","",IF(COUNTIF(choice!$D:$D,CONCATENATE($U18,"@",BR$7))=0,"",VLOOKUP(CONCATENATE($U18,"@",BR$7),choice!$D:$E,2,0)))</f>
        <v/>
      </c>
      <c r="BS18" s="74" t="str">
        <f>IF($U18="","",IF(COUNTIF(choice!$D:$D,CONCATENATE($U18,"@",BS$7))=0,"",VLOOKUP(CONCATENATE($U18,"@",BS$7),choice!$D:$E,2,0)))</f>
        <v/>
      </c>
      <c r="BT18" s="74" t="str">
        <f>IF($U18="","",IF(COUNTIF(choice!$D:$D,CONCATENATE($U18,"@",BT$7))=0,"",VLOOKUP(CONCATENATE($U18,"@",BT$7),choice!$D:$E,2,0)))</f>
        <v/>
      </c>
      <c r="BU18" s="74" t="str">
        <f>IF($U18="","",IF(COUNTIF(choice!$D:$D,CONCATENATE($U18,"@",BU$7))=0,"",VLOOKUP(CONCATENATE($U18,"@",BU$7),choice!$D:$E,2,0)))</f>
        <v/>
      </c>
      <c r="BV18" s="74" t="str">
        <f>IF($U18="","",IF(COUNTIF(choice!$D:$D,CONCATENATE($U18,"@",BV$7))=0,"",VLOOKUP(CONCATENATE($U18,"@",BV$7),choice!$D:$E,2,0)))</f>
        <v/>
      </c>
      <c r="BW18" s="74" t="str">
        <f>IF($U18="","",IF(COUNTIF(choice!$D:$D,CONCATENATE($U18,"@",BW$7))=0,"",VLOOKUP(CONCATENATE($U18,"@",BW$7),choice!$D:$E,2,0)))</f>
        <v/>
      </c>
      <c r="BX18" s="74" t="str">
        <f>IF($U18="","",IF(COUNTIF(choice!$D:$D,CONCATENATE($U18,"@",BX$7))=0,"",VLOOKUP(CONCATENATE($U18,"@",BX$7),choice!$D:$E,2,0)))</f>
        <v/>
      </c>
      <c r="BY18" s="74" t="str">
        <f>IF($U18="","",IF(COUNTIF(choice!$D:$D,CONCATENATE($U18,"@",BY$7))=0,"",VLOOKUP(CONCATENATE($U18,"@",BY$7),choice!$D:$E,2,0)))</f>
        <v/>
      </c>
      <c r="BZ18" s="74" t="str">
        <f>IF($U18="","",IF(COUNTIF(choice!$D:$D,CONCATENATE($U18,"@",BZ$7))=0,"",VLOOKUP(CONCATENATE($U18,"@",BZ$7),choice!$D:$E,2,0)))</f>
        <v/>
      </c>
      <c r="CA18" s="74" t="str">
        <f>IF($U18="","",IF(COUNTIF(choice!$D:$D,CONCATENATE($U18,"@",CA$7))=0,"",VLOOKUP(CONCATENATE($U18,"@",CA$7),choice!$D:$E,2,0)))</f>
        <v/>
      </c>
      <c r="CB18" s="74" t="str">
        <f>IF($U18="","",IF(COUNTIF(choice!$D:$D,CONCATENATE($U18,"@",CB$7))=0,"",VLOOKUP(CONCATENATE($U18,"@",CB$7),choice!$D:$E,2,0)))</f>
        <v/>
      </c>
      <c r="CC18" s="74" t="str">
        <f>IF($U18="","",IF(COUNTIF(choice!$D:$D,CONCATENATE($U18,"@",CC$7))=0,"",VLOOKUP(CONCATENATE($U18,"@",CC$7),choice!$D:$E,2,0)))</f>
        <v/>
      </c>
      <c r="CD18" s="74" t="str">
        <f>IF($U18="","",IF(COUNTIF(choice!$D:$D,CONCATENATE($U18,"@",CD$7))=0,"",VLOOKUP(CONCATENATE($U18,"@",CD$7),choice!$D:$E,2,0)))</f>
        <v/>
      </c>
      <c r="CE18" s="74" t="str">
        <f>IF($U18="","",IF(COUNTIF(choice!$D:$D,CONCATENATE($U18,"@",CE$7))=0,"",VLOOKUP(CONCATENATE($U18,"@",CE$7),choice!$D:$E,2,0)))</f>
        <v/>
      </c>
      <c r="CF18" s="74" t="str">
        <f>IF($U18="","",IF(COUNTIF(choice!$D:$D,CONCATENATE($U18,"@",CF$7))=0,"",VLOOKUP(CONCATENATE($U18,"@",CF$7),choice!$D:$E,2,0)))</f>
        <v/>
      </c>
      <c r="CG18" s="74" t="str">
        <f>IF($U18="","",IF(COUNTIF(choice!$D:$D,CONCATENATE($U18,"@",CG$7))=0,"",VLOOKUP(CONCATENATE($U18,"@",CG$7),choice!$D:$E,2,0)))</f>
        <v/>
      </c>
      <c r="CH18" s="74" t="str">
        <f>IF($U18="","",IF(COUNTIF(choice!$D:$D,CONCATENATE($U18,"@",CH$7))=0,"",VLOOKUP(CONCATENATE($U18,"@",CH$7),choice!$D:$E,2,0)))</f>
        <v/>
      </c>
      <c r="CI18" s="74" t="str">
        <f>IF($U18="","",IF(COUNTIF(choice!$D:$D,CONCATENATE($U18,"@",CI$7))=0,"",VLOOKUP(CONCATENATE($U18,"@",CI$7),choice!$D:$E,2,0)))</f>
        <v/>
      </c>
      <c r="CJ18" s="81" t="str">
        <f>IF($U18="","",IF(COUNTIF(choice!$D:$D,CONCATENATE($U18,"@",CJ$7))=0,"",VLOOKUP(CONCATENATE($U18,"@",CJ$7),choice!$D:$E,2,0)))</f>
        <v/>
      </c>
      <c r="CK18" s="80" t="str">
        <f>IF($V18="","",IF(COUNTIF(choice!$D:$D,CONCATENATE($V18,"@",CK$7))=0,"",VLOOKUP(CONCATENATE($V18,"@",CK$7),choice!$D:$E,2,0)))</f>
        <v/>
      </c>
      <c r="CL18" s="74" t="str">
        <f>IF($V18="","",IF(COUNTIF(choice!$D:$D,CONCATENATE($V18,"@",CL$7))=0,"",VLOOKUP(CONCATENATE($V18,"@",CL$7),choice!$D:$E,2,0)))</f>
        <v/>
      </c>
      <c r="CM18" s="74" t="str">
        <f>IF($V18="","",IF(COUNTIF(choice!$D:$D,CONCATENATE($V18,"@",CM$7))=0,"",VLOOKUP(CONCATENATE($V18,"@",CM$7),choice!$D:$E,2,0)))</f>
        <v/>
      </c>
      <c r="CN18" s="74" t="str">
        <f>IF($V18="","",IF(COUNTIF(choice!$D:$D,CONCATENATE($V18,"@",CN$7))=0,"",VLOOKUP(CONCATENATE($V18,"@",CN$7),choice!$D:$E,2,0)))</f>
        <v/>
      </c>
      <c r="CO18" s="74" t="str">
        <f>IF($V18="","",IF(COUNTIF(choice!$D:$D,CONCATENATE($V18,"@",CO$7))=0,"",VLOOKUP(CONCATENATE($V18,"@",CO$7),choice!$D:$E,2,0)))</f>
        <v/>
      </c>
      <c r="CP18" s="74" t="str">
        <f>IF($V18="","",IF(COUNTIF(choice!$D:$D,CONCATENATE($V18,"@",CP$7))=0,"",VLOOKUP(CONCATENATE($V18,"@",CP$7),choice!$D:$E,2,0)))</f>
        <v/>
      </c>
      <c r="CQ18" s="74" t="str">
        <f>IF($V18="","",IF(COUNTIF(choice!$D:$D,CONCATENATE($V18,"@",CQ$7))=0,"",VLOOKUP(CONCATENATE($V18,"@",CQ$7),choice!$D:$E,2,0)))</f>
        <v/>
      </c>
      <c r="CR18" s="74" t="str">
        <f>IF($V18="","",IF(COUNTIF(choice!$D:$D,CONCATENATE($V18,"@",CR$7))=0,"",VLOOKUP(CONCATENATE($V18,"@",CR$7),choice!$D:$E,2,0)))</f>
        <v/>
      </c>
      <c r="CS18" s="74" t="str">
        <f>IF($V18="","",IF(COUNTIF(choice!$D:$D,CONCATENATE($V18,"@",CS$7))=0,"",VLOOKUP(CONCATENATE($V18,"@",CS$7),choice!$D:$E,2,0)))</f>
        <v/>
      </c>
      <c r="CT18" s="74" t="str">
        <f>IF($V18="","",IF(COUNTIF(choice!$D:$D,CONCATENATE($V18,"@",CT$7))=0,"",VLOOKUP(CONCATENATE($V18,"@",CT$7),choice!$D:$E,2,0)))</f>
        <v/>
      </c>
      <c r="CU18" s="74" t="str">
        <f>IF($V18="","",IF(COUNTIF(choice!$D:$D,CONCATENATE($V18,"@",CU$7))=0,"",VLOOKUP(CONCATENATE($V18,"@",CU$7),choice!$D:$E,2,0)))</f>
        <v/>
      </c>
      <c r="CV18" s="74" t="str">
        <f>IF($V18="","",IF(COUNTIF(choice!$D:$D,CONCATENATE($V18,"@",CV$7))=0,"",VLOOKUP(CONCATENATE($V18,"@",CV$7),choice!$D:$E,2,0)))</f>
        <v/>
      </c>
      <c r="CW18" s="74" t="str">
        <f>IF($V18="","",IF(COUNTIF(choice!$D:$D,CONCATENATE($V18,"@",CW$7))=0,"",VLOOKUP(CONCATENATE($V18,"@",CW$7),choice!$D:$E,2,0)))</f>
        <v/>
      </c>
      <c r="CX18" s="74" t="str">
        <f>IF($V18="","",IF(COUNTIF(choice!$D:$D,CONCATENATE($V18,"@",CX$7))=0,"",VLOOKUP(CONCATENATE($V18,"@",CX$7),choice!$D:$E,2,0)))</f>
        <v/>
      </c>
      <c r="CY18" s="74" t="str">
        <f>IF($V18="","",IF(COUNTIF(choice!$D:$D,CONCATENATE($V18,"@",CY$7))=0,"",VLOOKUP(CONCATENATE($V18,"@",CY$7),choice!$D:$E,2,0)))</f>
        <v/>
      </c>
      <c r="CZ18" s="74" t="str">
        <f>IF($V18="","",IF(COUNTIF(choice!$D:$D,CONCATENATE($V18,"@",CZ$7))=0,"",VLOOKUP(CONCATENATE($V18,"@",CZ$7),choice!$D:$E,2,0)))</f>
        <v/>
      </c>
      <c r="DA18" s="74" t="str">
        <f>IF($V18="","",IF(COUNTIF(choice!$D:$D,CONCATENATE($V18,"@",DA$7))=0,"",VLOOKUP(CONCATENATE($V18,"@",DA$7),choice!$D:$E,2,0)))</f>
        <v/>
      </c>
      <c r="DB18" s="74" t="str">
        <f>IF($V18="","",IF(COUNTIF(choice!$D:$D,CONCATENATE($V18,"@",DB$7))=0,"",VLOOKUP(CONCATENATE($V18,"@",DB$7),choice!$D:$E,2,0)))</f>
        <v/>
      </c>
      <c r="DC18" s="74" t="str">
        <f>IF($V18="","",IF(COUNTIF(choice!$D:$D,CONCATENATE($V18,"@",DC$7))=0,"",VLOOKUP(CONCATENATE($V18,"@",DC$7),choice!$D:$E,2,0)))</f>
        <v/>
      </c>
      <c r="DD18" s="74" t="str">
        <f>IF($V18="","",IF(COUNTIF(choice!$D:$D,CONCATENATE($V18,"@",DD$7))=0,"",VLOOKUP(CONCATENATE($V18,"@",DD$7),choice!$D:$E,2,0)))</f>
        <v/>
      </c>
      <c r="DE18" s="74" t="str">
        <f>IF($V18="","",IF(COUNTIF(choice!$D:$D,CONCATENATE($V18,"@",DE$7))=0,"",VLOOKUP(CONCATENATE($V18,"@",DE$7),choice!$D:$E,2,0)))</f>
        <v/>
      </c>
      <c r="DF18" s="74" t="str">
        <f>IF($V18="","",IF(COUNTIF(choice!$D:$D,CONCATENATE($V18,"@",DF$7))=0,"",VLOOKUP(CONCATENATE($V18,"@",DF$7),choice!$D:$E,2,0)))</f>
        <v/>
      </c>
      <c r="DG18" s="74" t="str">
        <f>IF($V18="","",IF(COUNTIF(choice!$D:$D,CONCATENATE($V18,"@",DG$7))=0,"",VLOOKUP(CONCATENATE($V18,"@",DG$7),choice!$D:$E,2,0)))</f>
        <v/>
      </c>
      <c r="DH18" s="74" t="str">
        <f>IF($V18="","",IF(COUNTIF(choice!$D:$D,CONCATENATE($V18,"@",DH$7))=0,"",VLOOKUP(CONCATENATE($V18,"@",DH$7),choice!$D:$E,2,0)))</f>
        <v/>
      </c>
      <c r="DI18" s="74" t="str">
        <f>IF($V18="","",IF(COUNTIF(choice!$D:$D,CONCATENATE($V18,"@",DI$7))=0,"",VLOOKUP(CONCATENATE($V18,"@",DI$7),choice!$D:$E,2,0)))</f>
        <v/>
      </c>
      <c r="DJ18" s="74" t="str">
        <f>IF($V18="","",IF(COUNTIF(choice!$D:$D,CONCATENATE($V18,"@",DJ$7))=0,"",VLOOKUP(CONCATENATE($V18,"@",DJ$7),choice!$D:$E,2,0)))</f>
        <v/>
      </c>
      <c r="DK18" s="74" t="str">
        <f>IF($V18="","",IF(COUNTIF(choice!$D:$D,CONCATENATE($V18,"@",DK$7))=0,"",VLOOKUP(CONCATENATE($V18,"@",DK$7),choice!$D:$E,2,0)))</f>
        <v/>
      </c>
      <c r="DL18" s="74" t="str">
        <f>IF($V18="","",IF(COUNTIF(choice!$D:$D,CONCATENATE($V18,"@",DL$7))=0,"",VLOOKUP(CONCATENATE($V18,"@",DL$7),choice!$D:$E,2,0)))</f>
        <v/>
      </c>
      <c r="DM18" s="74" t="str">
        <f>IF($V18="","",IF(COUNTIF(choice!$D:$D,CONCATENATE($V18,"@",DM$7))=0,"",VLOOKUP(CONCATENATE($V18,"@",DM$7),choice!$D:$E,2,0)))</f>
        <v/>
      </c>
      <c r="DN18" s="74" t="str">
        <f>IF($V18="","",IF(COUNTIF(choice!$D:$D,CONCATENATE($V18,"@",DN$7))=0,"",VLOOKUP(CONCATENATE($V18,"@",DN$7),choice!$D:$E,2,0)))</f>
        <v/>
      </c>
      <c r="DO18" s="74" t="str">
        <f>IF($V18="","",IF(COUNTIF(choice!$D:$D,CONCATENATE($V18,"@",DO$7))=0,"",VLOOKUP(CONCATENATE($V18,"@",DO$7),choice!$D:$E,2,0)))</f>
        <v/>
      </c>
      <c r="DP18" s="74" t="str">
        <f>IF($V18="","",IF(COUNTIF(choice!$D:$D,CONCATENATE($V18,"@",DP$7))=0,"",VLOOKUP(CONCATENATE($V18,"@",DP$7),choice!$D:$E,2,0)))</f>
        <v/>
      </c>
      <c r="DQ18" s="74" t="str">
        <f>IF($V18="","",IF(COUNTIF(choice!$D:$D,CONCATENATE($V18,"@",DQ$7))=0,"",VLOOKUP(CONCATENATE($V18,"@",DQ$7),choice!$D:$E,2,0)))</f>
        <v/>
      </c>
      <c r="DR18" s="74" t="str">
        <f>IF($V18="","",IF(COUNTIF(choice!$D:$D,CONCATENATE($V18,"@",DR$7))=0,"",VLOOKUP(CONCATENATE($V18,"@",DR$7),choice!$D:$E,2,0)))</f>
        <v/>
      </c>
      <c r="DS18" s="74" t="str">
        <f>IF($V18="","",IF(COUNTIF(choice!$D:$D,CONCATENATE($V18,"@",DS$7))=0,"",VLOOKUP(CONCATENATE($V18,"@",DS$7),choice!$D:$E,2,0)))</f>
        <v/>
      </c>
      <c r="DT18" s="74" t="str">
        <f>IF($V18="","",IF(COUNTIF(choice!$D:$D,CONCATENATE($V18,"@",DT$7))=0,"",VLOOKUP(CONCATENATE($V18,"@",DT$7),choice!$D:$E,2,0)))</f>
        <v/>
      </c>
      <c r="DU18" s="74" t="str">
        <f>IF($V18="","",IF(COUNTIF(choice!$D:$D,CONCATENATE($V18,"@",DU$7))=0,"",VLOOKUP(CONCATENATE($V18,"@",DU$7),choice!$D:$E,2,0)))</f>
        <v/>
      </c>
      <c r="DV18" s="74" t="str">
        <f>IF($V18="","",IF(COUNTIF(choice!$D:$D,CONCATENATE($V18,"@",DV$7))=0,"",VLOOKUP(CONCATENATE($V18,"@",DV$7),choice!$D:$E,2,0)))</f>
        <v/>
      </c>
      <c r="DW18" s="74" t="str">
        <f>IF($V18="","",IF(COUNTIF(choice!$D:$D,CONCATENATE($V18,"@",DW$7))=0,"",VLOOKUP(CONCATENATE($V18,"@",DW$7),choice!$D:$E,2,0)))</f>
        <v/>
      </c>
      <c r="DX18" s="74" t="str">
        <f>IF($V18="","",IF(COUNTIF(choice!$D:$D,CONCATENATE($V18,"@",DX$7))=0,"",VLOOKUP(CONCATENATE($V18,"@",DX$7),choice!$D:$E,2,0)))</f>
        <v/>
      </c>
      <c r="DY18" s="74" t="str">
        <f>IF($V18="","",IF(COUNTIF(choice!$D:$D,CONCATENATE($V18,"@",DY$7))=0,"",VLOOKUP(CONCATENATE($V18,"@",DY$7),choice!$D:$E,2,0)))</f>
        <v/>
      </c>
      <c r="DZ18" s="74" t="str">
        <f>IF($V18="","",IF(COUNTIF(choice!$D:$D,CONCATENATE($V18,"@",DZ$7))=0,"",VLOOKUP(CONCATENATE($V18,"@",DZ$7),choice!$D:$E,2,0)))</f>
        <v/>
      </c>
      <c r="EA18" s="74" t="str">
        <f>IF($V18="","",IF(COUNTIF(choice!$D:$D,CONCATENATE($V18,"@",EA$7))=0,"",VLOOKUP(CONCATENATE($V18,"@",EA$7),choice!$D:$E,2,0)))</f>
        <v/>
      </c>
      <c r="EB18" s="74" t="str">
        <f>IF($V18="","",IF(COUNTIF(choice!$D:$D,CONCATENATE($V18,"@",EB$7))=0,"",VLOOKUP(CONCATENATE($V18,"@",EB$7),choice!$D:$E,2,0)))</f>
        <v/>
      </c>
      <c r="EC18" s="81" t="str">
        <f>IF($V18="","",IF(COUNTIF(choice!$D:$D,CONCATENATE($V18,"@",EC$7))=0,"",VLOOKUP(CONCATENATE($V18,"@",EC$7),choice!$D:$E,2,0)))</f>
        <v/>
      </c>
      <c r="ED18" s="80" t="str">
        <f>IF($W18="","",IF(COUNTIF(choice!$D:$D,CONCATENATE($W18,"@",ED$7))=0,"",VLOOKUP(CONCATENATE($W18,"@",ED$7),choice!$D:$E,2,0)))</f>
        <v/>
      </c>
      <c r="EE18" s="74" t="str">
        <f>IF($W18="","",IF(COUNTIF(choice!$D:$D,CONCATENATE($W18,"@",EE$7))=0,"",VLOOKUP(CONCATENATE($W18,"@",EE$7),choice!$D:$E,2,0)))</f>
        <v/>
      </c>
      <c r="EF18" s="74" t="str">
        <f>IF($W18="","",IF(COUNTIF(choice!$D:$D,CONCATENATE($W18,"@",EF$7))=0,"",VLOOKUP(CONCATENATE($W18,"@",EF$7),choice!$D:$E,2,0)))</f>
        <v/>
      </c>
      <c r="EG18" s="74" t="str">
        <f>IF($W18="","",IF(COUNTIF(choice!$D:$D,CONCATENATE($W18,"@",EG$7))=0,"",VLOOKUP(CONCATENATE($W18,"@",EG$7),choice!$D:$E,2,0)))</f>
        <v/>
      </c>
      <c r="EH18" s="74" t="str">
        <f>IF($W18="","",IF(COUNTIF(choice!$D:$D,CONCATENATE($W18,"@",EH$7))=0,"",VLOOKUP(CONCATENATE($W18,"@",EH$7),choice!$D:$E,2,0)))</f>
        <v/>
      </c>
      <c r="EI18" s="74" t="str">
        <f>IF($W18="","",IF(COUNTIF(choice!$D:$D,CONCATENATE($W18,"@",EI$7))=0,"",VLOOKUP(CONCATENATE($W18,"@",EI$7),choice!$D:$E,2,0)))</f>
        <v/>
      </c>
      <c r="EJ18" s="74" t="str">
        <f>IF($W18="","",IF(COUNTIF(choice!$D:$D,CONCATENATE($W18,"@",EJ$7))=0,"",VLOOKUP(CONCATENATE($W18,"@",EJ$7),choice!$D:$E,2,0)))</f>
        <v/>
      </c>
      <c r="EK18" s="74" t="str">
        <f>IF($W18="","",IF(COUNTIF(choice!$D:$D,CONCATENATE($W18,"@",EK$7))=0,"",VLOOKUP(CONCATENATE($W18,"@",EK$7),choice!$D:$E,2,0)))</f>
        <v/>
      </c>
      <c r="EL18" s="74" t="str">
        <f>IF($W18="","",IF(COUNTIF(choice!$D:$D,CONCATENATE($W18,"@",EL$7))=0,"",VLOOKUP(CONCATENATE($W18,"@",EL$7),choice!$D:$E,2,0)))</f>
        <v/>
      </c>
      <c r="EM18" s="74" t="str">
        <f>IF($W18="","",IF(COUNTIF(choice!$D:$D,CONCATENATE($W18,"@",EM$7))=0,"",VLOOKUP(CONCATENATE($W18,"@",EM$7),choice!$D:$E,2,0)))</f>
        <v/>
      </c>
      <c r="EN18" s="74" t="str">
        <f>IF($W18="","",IF(COUNTIF(choice!$D:$D,CONCATENATE($W18,"@",EN$7))=0,"",VLOOKUP(CONCATENATE($W18,"@",EN$7),choice!$D:$E,2,0)))</f>
        <v/>
      </c>
      <c r="EO18" s="74" t="str">
        <f>IF($W18="","",IF(COUNTIF(choice!$D:$D,CONCATENATE($W18,"@",EO$7))=0,"",VLOOKUP(CONCATENATE($W18,"@",EO$7),choice!$D:$E,2,0)))</f>
        <v/>
      </c>
      <c r="EP18" s="74" t="str">
        <f>IF($W18="","",IF(COUNTIF(choice!$D:$D,CONCATENATE($W18,"@",EP$7))=0,"",VLOOKUP(CONCATENATE($W18,"@",EP$7),choice!$D:$E,2,0)))</f>
        <v/>
      </c>
      <c r="EQ18" s="74" t="str">
        <f>IF($W18="","",IF(COUNTIF(choice!$D:$D,CONCATENATE($W18,"@",EQ$7))=0,"",VLOOKUP(CONCATENATE($W18,"@",EQ$7),choice!$D:$E,2,0)))</f>
        <v/>
      </c>
      <c r="ER18" s="74" t="str">
        <f>IF($W18="","",IF(COUNTIF(choice!$D:$D,CONCATENATE($W18,"@",ER$7))=0,"",VLOOKUP(CONCATENATE($W18,"@",ER$7),choice!$D:$E,2,0)))</f>
        <v/>
      </c>
      <c r="ES18" s="74" t="str">
        <f>IF($W18="","",IF(COUNTIF(choice!$D:$D,CONCATENATE($W18,"@",ES$7))=0,"",VLOOKUP(CONCATENATE($W18,"@",ES$7),choice!$D:$E,2,0)))</f>
        <v/>
      </c>
      <c r="ET18" s="74" t="str">
        <f>IF($W18="","",IF(COUNTIF(choice!$D:$D,CONCATENATE($W18,"@",ET$7))=0,"",VLOOKUP(CONCATENATE($W18,"@",ET$7),choice!$D:$E,2,0)))</f>
        <v/>
      </c>
      <c r="EU18" s="74" t="str">
        <f>IF($W18="","",IF(COUNTIF(choice!$D:$D,CONCATENATE($W18,"@",EU$7))=0,"",VLOOKUP(CONCATENATE($W18,"@",EU$7),choice!$D:$E,2,0)))</f>
        <v/>
      </c>
      <c r="EV18" s="74" t="str">
        <f>IF($W18="","",IF(COUNTIF(choice!$D:$D,CONCATENATE($W18,"@",EV$7))=0,"",VLOOKUP(CONCATENATE($W18,"@",EV$7),choice!$D:$E,2,0)))</f>
        <v/>
      </c>
      <c r="EW18" s="74" t="str">
        <f>IF($W18="","",IF(COUNTIF(choice!$D:$D,CONCATENATE($W18,"@",EW$7))=0,"",VLOOKUP(CONCATENATE($W18,"@",EW$7),choice!$D:$E,2,0)))</f>
        <v/>
      </c>
      <c r="EX18" s="74" t="str">
        <f>IF($W18="","",IF(COUNTIF(choice!$D:$D,CONCATENATE($W18,"@",EX$7))=0,"",VLOOKUP(CONCATENATE($W18,"@",EX$7),choice!$D:$E,2,0)))</f>
        <v/>
      </c>
      <c r="EY18" s="74" t="str">
        <f>IF($W18="","",IF(COUNTIF(choice!$D:$D,CONCATENATE($W18,"@",EY$7))=0,"",VLOOKUP(CONCATENATE($W18,"@",EY$7),choice!$D:$E,2,0)))</f>
        <v/>
      </c>
      <c r="EZ18" s="74" t="str">
        <f>IF($W18="","",IF(COUNTIF(choice!$D:$D,CONCATENATE($W18,"@",EZ$7))=0,"",VLOOKUP(CONCATENATE($W18,"@",EZ$7),choice!$D:$E,2,0)))</f>
        <v/>
      </c>
      <c r="FA18" s="74" t="str">
        <f>IF($W18="","",IF(COUNTIF(choice!$D:$D,CONCATENATE($W18,"@",FA$7))=0,"",VLOOKUP(CONCATENATE($W18,"@",FA$7),choice!$D:$E,2,0)))</f>
        <v/>
      </c>
      <c r="FB18" s="74" t="str">
        <f>IF($W18="","",IF(COUNTIF(choice!$D:$D,CONCATENATE($W18,"@",FB$7))=0,"",VLOOKUP(CONCATENATE($W18,"@",FB$7),choice!$D:$E,2,0)))</f>
        <v/>
      </c>
      <c r="FC18" s="74" t="str">
        <f>IF($W18="","",IF(COUNTIF(choice!$D:$D,CONCATENATE($W18,"@",FC$7))=0,"",VLOOKUP(CONCATENATE($W18,"@",FC$7),choice!$D:$E,2,0)))</f>
        <v/>
      </c>
      <c r="FD18" s="74" t="str">
        <f>IF($W18="","",IF(COUNTIF(choice!$D:$D,CONCATENATE($W18,"@",FD$7))=0,"",VLOOKUP(CONCATENATE($W18,"@",FD$7),choice!$D:$E,2,0)))</f>
        <v/>
      </c>
      <c r="FE18" s="74" t="str">
        <f>IF($W18="","",IF(COUNTIF(choice!$D:$D,CONCATENATE($W18,"@",FE$7))=0,"",VLOOKUP(CONCATENATE($W18,"@",FE$7),choice!$D:$E,2,0)))</f>
        <v/>
      </c>
      <c r="FF18" s="74" t="str">
        <f>IF($W18="","",IF(COUNTIF(choice!$D:$D,CONCATENATE($W18,"@",FF$7))=0,"",VLOOKUP(CONCATENATE($W18,"@",FF$7),choice!$D:$E,2,0)))</f>
        <v/>
      </c>
      <c r="FG18" s="74" t="str">
        <f>IF($W18="","",IF(COUNTIF(choice!$D:$D,CONCATENATE($W18,"@",FG$7))=0,"",VLOOKUP(CONCATENATE($W18,"@",FG$7),choice!$D:$E,2,0)))</f>
        <v/>
      </c>
      <c r="FH18" s="74" t="str">
        <f>IF($W18="","",IF(COUNTIF(choice!$D:$D,CONCATENATE($W18,"@",FH$7))=0,"",VLOOKUP(CONCATENATE($W18,"@",FH$7),choice!$D:$E,2,0)))</f>
        <v/>
      </c>
      <c r="FI18" s="74" t="str">
        <f>IF($W18="","",IF(COUNTIF(choice!$D:$D,CONCATENATE($W18,"@",FI$7))=0,"",VLOOKUP(CONCATENATE($W18,"@",FI$7),choice!$D:$E,2,0)))</f>
        <v/>
      </c>
      <c r="FJ18" s="74" t="str">
        <f>IF($W18="","",IF(COUNTIF(choice!$D:$D,CONCATENATE($W18,"@",FJ$7))=0,"",VLOOKUP(CONCATENATE($W18,"@",FJ$7),choice!$D:$E,2,0)))</f>
        <v/>
      </c>
      <c r="FK18" s="74" t="str">
        <f>IF($W18="","",IF(COUNTIF(choice!$D:$D,CONCATENATE($W18,"@",FK$7))=0,"",VLOOKUP(CONCATENATE($W18,"@",FK$7),choice!$D:$E,2,0)))</f>
        <v/>
      </c>
      <c r="FL18" s="74" t="str">
        <f>IF($W18="","",IF(COUNTIF(choice!$D:$D,CONCATENATE($W18,"@",FL$7))=0,"",VLOOKUP(CONCATENATE($W18,"@",FL$7),choice!$D:$E,2,0)))</f>
        <v/>
      </c>
      <c r="FM18" s="74" t="str">
        <f>IF($W18="","",IF(COUNTIF(choice!$D:$D,CONCATENATE($W18,"@",FM$7))=0,"",VLOOKUP(CONCATENATE($W18,"@",FM$7),choice!$D:$E,2,0)))</f>
        <v/>
      </c>
      <c r="FN18" s="74" t="str">
        <f>IF($W18="","",IF(COUNTIF(choice!$D:$D,CONCATENATE($W18,"@",FN$7))=0,"",VLOOKUP(CONCATENATE($W18,"@",FN$7),choice!$D:$E,2,0)))</f>
        <v/>
      </c>
      <c r="FO18" s="74" t="str">
        <f>IF($W18="","",IF(COUNTIF(choice!$D:$D,CONCATENATE($W18,"@",FO$7))=0,"",VLOOKUP(CONCATENATE($W18,"@",FO$7),choice!$D:$E,2,0)))</f>
        <v/>
      </c>
      <c r="FP18" s="74" t="str">
        <f>IF($W18="","",IF(COUNTIF(choice!$D:$D,CONCATENATE($W18,"@",FP$7))=0,"",VLOOKUP(CONCATENATE($W18,"@",FP$7),choice!$D:$E,2,0)))</f>
        <v/>
      </c>
      <c r="FQ18" s="74" t="str">
        <f>IF($W18="","",IF(COUNTIF(choice!$D:$D,CONCATENATE($W18,"@",FQ$7))=0,"",VLOOKUP(CONCATENATE($W18,"@",FQ$7),choice!$D:$E,2,0)))</f>
        <v/>
      </c>
      <c r="FR18" s="74" t="str">
        <f>IF($W18="","",IF(COUNTIF(choice!$D:$D,CONCATENATE($W18,"@",FR$7))=0,"",VLOOKUP(CONCATENATE($W18,"@",FR$7),choice!$D:$E,2,0)))</f>
        <v/>
      </c>
      <c r="FS18" s="74" t="str">
        <f>IF($W18="","",IF(COUNTIF(choice!$D:$D,CONCATENATE($W18,"@",FS$7))=0,"",VLOOKUP(CONCATENATE($W18,"@",FS$7),choice!$D:$E,2,0)))</f>
        <v/>
      </c>
      <c r="FT18" s="74" t="str">
        <f>IF($W18="","",IF(COUNTIF(choice!$D:$D,CONCATENATE($W18,"@",FT$7))=0,"",VLOOKUP(CONCATENATE($W18,"@",FT$7),choice!$D:$E,2,0)))</f>
        <v/>
      </c>
      <c r="FU18" s="74" t="str">
        <f>IF($W18="","",IF(COUNTIF(choice!$D:$D,CONCATENATE($W18,"@",FU$7))=0,"",VLOOKUP(CONCATENATE($W18,"@",FU$7),choice!$D:$E,2,0)))</f>
        <v/>
      </c>
      <c r="FV18" s="81" t="str">
        <f>IF($W18="","",IF(COUNTIF(choice!$D:$D,CONCATENATE($W18,"@",FV$7))=0,"",VLOOKUP(CONCATENATE($W18,"@",FV$7),choice!$D:$E,2,0)))</f>
        <v/>
      </c>
      <c r="FW18" s="80" t="str">
        <f>IF($X18="","",IF(COUNTIF(choice!$D:$D,CONCATENATE($X18,"@",FW$7))=0,"",VLOOKUP(CONCATENATE($X18,"@",FW$7),choice!$D:$E,2,0)))</f>
        <v/>
      </c>
      <c r="FX18" s="74" t="str">
        <f>IF($X18="","",IF(COUNTIF(choice!$D:$D,CONCATENATE($X18,"@",FX$7))=0,"",VLOOKUP(CONCATENATE($X18,"@",FX$7),choice!$D:$E,2,0)))</f>
        <v/>
      </c>
      <c r="FY18" s="74" t="str">
        <f>IF($X18="","",IF(COUNTIF(choice!$D:$D,CONCATENATE($X18,"@",FY$7))=0,"",VLOOKUP(CONCATENATE($X18,"@",FY$7),choice!$D:$E,2,0)))</f>
        <v/>
      </c>
      <c r="FZ18" s="74" t="str">
        <f>IF($X18="","",IF(COUNTIF(choice!$D:$D,CONCATENATE($X18,"@",FZ$7))=0,"",VLOOKUP(CONCATENATE($X18,"@",FZ$7),choice!$D:$E,2,0)))</f>
        <v/>
      </c>
      <c r="GA18" s="74" t="str">
        <f>IF($X18="","",IF(COUNTIF(choice!$D:$D,CONCATENATE($X18,"@",GA$7))=0,"",VLOOKUP(CONCATENATE($X18,"@",GA$7),choice!$D:$E,2,0)))</f>
        <v/>
      </c>
      <c r="GB18" s="74" t="str">
        <f>IF($X18="","",IF(COUNTIF(choice!$D:$D,CONCATENATE($X18,"@",GB$7))=0,"",VLOOKUP(CONCATENATE($X18,"@",GB$7),choice!$D:$E,2,0)))</f>
        <v/>
      </c>
      <c r="GC18" s="74" t="str">
        <f>IF($X18="","",IF(COUNTIF(choice!$D:$D,CONCATENATE($X18,"@",GC$7))=0,"",VLOOKUP(CONCATENATE($X18,"@",GC$7),choice!$D:$E,2,0)))</f>
        <v/>
      </c>
      <c r="GD18" s="74" t="str">
        <f>IF($X18="","",IF(COUNTIF(choice!$D:$D,CONCATENATE($X18,"@",GD$7))=0,"",VLOOKUP(CONCATENATE($X18,"@",GD$7),choice!$D:$E,2,0)))</f>
        <v/>
      </c>
      <c r="GE18" s="74" t="str">
        <f>IF($X18="","",IF(COUNTIF(choice!$D:$D,CONCATENATE($X18,"@",GE$7))=0,"",VLOOKUP(CONCATENATE($X18,"@",GE$7),choice!$D:$E,2,0)))</f>
        <v/>
      </c>
      <c r="GF18" s="74" t="str">
        <f>IF($X18="","",IF(COUNTIF(choice!$D:$D,CONCATENATE($X18,"@",GF$7))=0,"",VLOOKUP(CONCATENATE($X18,"@",GF$7),choice!$D:$E,2,0)))</f>
        <v/>
      </c>
      <c r="GG18" s="74" t="str">
        <f>IF($X18="","",IF(COUNTIF(choice!$D:$D,CONCATENATE($X18,"@",GG$7))=0,"",VLOOKUP(CONCATENATE($X18,"@",GG$7),choice!$D:$E,2,0)))</f>
        <v/>
      </c>
      <c r="GH18" s="74" t="str">
        <f>IF($X18="","",IF(COUNTIF(choice!$D:$D,CONCATENATE($X18,"@",GH$7))=0,"",VLOOKUP(CONCATENATE($X18,"@",GH$7),choice!$D:$E,2,0)))</f>
        <v/>
      </c>
      <c r="GI18" s="74" t="str">
        <f>IF($X18="","",IF(COUNTIF(choice!$D:$D,CONCATENATE($X18,"@",GI$7))=0,"",VLOOKUP(CONCATENATE($X18,"@",GI$7),choice!$D:$E,2,0)))</f>
        <v/>
      </c>
      <c r="GJ18" s="74" t="str">
        <f>IF($X18="","",IF(COUNTIF(choice!$D:$D,CONCATENATE($X18,"@",GJ$7))=0,"",VLOOKUP(CONCATENATE($X18,"@",GJ$7),choice!$D:$E,2,0)))</f>
        <v/>
      </c>
      <c r="GK18" s="74" t="str">
        <f>IF($X18="","",IF(COUNTIF(choice!$D:$D,CONCATENATE($X18,"@",GK$7))=0,"",VLOOKUP(CONCATENATE($X18,"@",GK$7),choice!$D:$E,2,0)))</f>
        <v/>
      </c>
      <c r="GL18" s="74" t="str">
        <f>IF($X18="","",IF(COUNTIF(choice!$D:$D,CONCATENATE($X18,"@",GL$7))=0,"",VLOOKUP(CONCATENATE($X18,"@",GL$7),choice!$D:$E,2,0)))</f>
        <v/>
      </c>
      <c r="GM18" s="74" t="str">
        <f>IF($X18="","",IF(COUNTIF(choice!$D:$D,CONCATENATE($X18,"@",GM$7))=0,"",VLOOKUP(CONCATENATE($X18,"@",GM$7),choice!$D:$E,2,0)))</f>
        <v/>
      </c>
      <c r="GN18" s="74" t="str">
        <f>IF($X18="","",IF(COUNTIF(choice!$D:$D,CONCATENATE($X18,"@",GN$7))=0,"",VLOOKUP(CONCATENATE($X18,"@",GN$7),choice!$D:$E,2,0)))</f>
        <v/>
      </c>
      <c r="GO18" s="74" t="str">
        <f>IF($X18="","",IF(COUNTIF(choice!$D:$D,CONCATENATE($X18,"@",GO$7))=0,"",VLOOKUP(CONCATENATE($X18,"@",GO$7),choice!$D:$E,2,0)))</f>
        <v/>
      </c>
      <c r="GP18" s="74" t="str">
        <f>IF($X18="","",IF(COUNTIF(choice!$D:$D,CONCATENATE($X18,"@",GP$7))=0,"",VLOOKUP(CONCATENATE($X18,"@",GP$7),choice!$D:$E,2,0)))</f>
        <v/>
      </c>
      <c r="GQ18" s="74" t="str">
        <f>IF($X18="","",IF(COUNTIF(choice!$D:$D,CONCATENATE($X18,"@",GQ$7))=0,"",VLOOKUP(CONCATENATE($X18,"@",GQ$7),choice!$D:$E,2,0)))</f>
        <v/>
      </c>
      <c r="GR18" s="74" t="str">
        <f>IF($X18="","",IF(COUNTIF(choice!$D:$D,CONCATENATE($X18,"@",GR$7))=0,"",VLOOKUP(CONCATENATE($X18,"@",GR$7),choice!$D:$E,2,0)))</f>
        <v/>
      </c>
      <c r="GS18" s="74" t="str">
        <f>IF($X18="","",IF(COUNTIF(choice!$D:$D,CONCATENATE($X18,"@",GS$7))=0,"",VLOOKUP(CONCATENATE($X18,"@",GS$7),choice!$D:$E,2,0)))</f>
        <v/>
      </c>
      <c r="GT18" s="74" t="str">
        <f>IF($X18="","",IF(COUNTIF(choice!$D:$D,CONCATENATE($X18,"@",GT$7))=0,"",VLOOKUP(CONCATENATE($X18,"@",GT$7),choice!$D:$E,2,0)))</f>
        <v/>
      </c>
      <c r="GU18" s="74" t="str">
        <f>IF($X18="","",IF(COUNTIF(choice!$D:$D,CONCATENATE($X18,"@",GU$7))=0,"",VLOOKUP(CONCATENATE($X18,"@",GU$7),choice!$D:$E,2,0)))</f>
        <v/>
      </c>
      <c r="GV18" s="74" t="str">
        <f>IF($X18="","",IF(COUNTIF(choice!$D:$D,CONCATENATE($X18,"@",GV$7))=0,"",VLOOKUP(CONCATENATE($X18,"@",GV$7),choice!$D:$E,2,0)))</f>
        <v/>
      </c>
      <c r="GW18" s="74" t="str">
        <f>IF($X18="","",IF(COUNTIF(choice!$D:$D,CONCATENATE($X18,"@",GW$7))=0,"",VLOOKUP(CONCATENATE($X18,"@",GW$7),choice!$D:$E,2,0)))</f>
        <v/>
      </c>
      <c r="GX18" s="74" t="str">
        <f>IF($X18="","",IF(COUNTIF(choice!$D:$D,CONCATENATE($X18,"@",GX$7))=0,"",VLOOKUP(CONCATENATE($X18,"@",GX$7),choice!$D:$E,2,0)))</f>
        <v/>
      </c>
      <c r="GY18" s="74" t="str">
        <f>IF($X18="","",IF(COUNTIF(choice!$D:$D,CONCATENATE($X18,"@",GY$7))=0,"",VLOOKUP(CONCATENATE($X18,"@",GY$7),choice!$D:$E,2,0)))</f>
        <v/>
      </c>
      <c r="GZ18" s="74" t="str">
        <f>IF($X18="","",IF(COUNTIF(choice!$D:$D,CONCATENATE($X18,"@",GZ$7))=0,"",VLOOKUP(CONCATENATE($X18,"@",GZ$7),choice!$D:$E,2,0)))</f>
        <v/>
      </c>
      <c r="HA18" s="74" t="str">
        <f>IF($X18="","",IF(COUNTIF(choice!$D:$D,CONCATENATE($X18,"@",HA$7))=0,"",VLOOKUP(CONCATENATE($X18,"@",HA$7),choice!$D:$E,2,0)))</f>
        <v/>
      </c>
      <c r="HB18" s="74" t="str">
        <f>IF($X18="","",IF(COUNTIF(choice!$D:$D,CONCATENATE($X18,"@",HB$7))=0,"",VLOOKUP(CONCATENATE($X18,"@",HB$7),choice!$D:$E,2,0)))</f>
        <v/>
      </c>
      <c r="HC18" s="74" t="str">
        <f>IF($X18="","",IF(COUNTIF(choice!$D:$D,CONCATENATE($X18,"@",HC$7))=0,"",VLOOKUP(CONCATENATE($X18,"@",HC$7),choice!$D:$E,2,0)))</f>
        <v/>
      </c>
      <c r="HD18" s="74" t="str">
        <f>IF($X18="","",IF(COUNTIF(choice!$D:$D,CONCATENATE($X18,"@",HD$7))=0,"",VLOOKUP(CONCATENATE($X18,"@",HD$7),choice!$D:$E,2,0)))</f>
        <v/>
      </c>
      <c r="HE18" s="74" t="str">
        <f>IF($X18="","",IF(COUNTIF(choice!$D:$D,CONCATENATE($X18,"@",HE$7))=0,"",VLOOKUP(CONCATENATE($X18,"@",HE$7),choice!$D:$E,2,0)))</f>
        <v/>
      </c>
      <c r="HF18" s="74" t="str">
        <f>IF($X18="","",IF(COUNTIF(choice!$D:$D,CONCATENATE($X18,"@",HF$7))=0,"",VLOOKUP(CONCATENATE($X18,"@",HF$7),choice!$D:$E,2,0)))</f>
        <v/>
      </c>
      <c r="HG18" s="74" t="str">
        <f>IF($X18="","",IF(COUNTIF(choice!$D:$D,CONCATENATE($X18,"@",HG$7))=0,"",VLOOKUP(CONCATENATE($X18,"@",HG$7),choice!$D:$E,2,0)))</f>
        <v/>
      </c>
      <c r="HH18" s="74" t="str">
        <f>IF($X18="","",IF(COUNTIF(choice!$D:$D,CONCATENATE($X18,"@",HH$7))=0,"",VLOOKUP(CONCATENATE($X18,"@",HH$7),choice!$D:$E,2,0)))</f>
        <v/>
      </c>
      <c r="HI18" s="74" t="str">
        <f>IF($X18="","",IF(COUNTIF(choice!$D:$D,CONCATENATE($X18,"@",HI$7))=0,"",VLOOKUP(CONCATENATE($X18,"@",HI$7),choice!$D:$E,2,0)))</f>
        <v/>
      </c>
      <c r="HJ18" s="74" t="str">
        <f>IF($X18="","",IF(COUNTIF(choice!$D:$D,CONCATENATE($X18,"@",HJ$7))=0,"",VLOOKUP(CONCATENATE($X18,"@",HJ$7),choice!$D:$E,2,0)))</f>
        <v/>
      </c>
      <c r="HK18" s="74" t="str">
        <f>IF($X18="","",IF(COUNTIF(choice!$D:$D,CONCATENATE($X18,"@",HK$7))=0,"",VLOOKUP(CONCATENATE($X18,"@",HK$7),choice!$D:$E,2,0)))</f>
        <v/>
      </c>
      <c r="HL18" s="74" t="str">
        <f>IF($X18="","",IF(COUNTIF(choice!$D:$D,CONCATENATE($X18,"@",HL$7))=0,"",VLOOKUP(CONCATENATE($X18,"@",HL$7),choice!$D:$E,2,0)))</f>
        <v/>
      </c>
      <c r="HM18" s="74" t="str">
        <f>IF($X18="","",IF(COUNTIF(choice!$D:$D,CONCATENATE($X18,"@",HM$7))=0,"",VLOOKUP(CONCATENATE($X18,"@",HM$7),choice!$D:$E,2,0)))</f>
        <v/>
      </c>
      <c r="HN18" s="74" t="str">
        <f>IF($X18="","",IF(COUNTIF(choice!$D:$D,CONCATENATE($X18,"@",HN$7))=0,"",VLOOKUP(CONCATENATE($X18,"@",HN$7),choice!$D:$E,2,0)))</f>
        <v/>
      </c>
      <c r="HO18" s="81" t="str">
        <f>IF($X18="","",IF(COUNTIF(choice!$D:$D,CONCATENATE($X18,"@",HO$7))=0,"",VLOOKUP(CONCATENATE($X18,"@",HO$7),choice!$D:$E,2,0)))</f>
        <v/>
      </c>
      <c r="HP18" s="20" t="s">
        <v>71</v>
      </c>
      <c r="HQ18" s="20" t="s">
        <v>72</v>
      </c>
      <c r="HU18" s="74" t="s">
        <v>6</v>
      </c>
      <c r="HV18" s="74">
        <f t="shared" si="10"/>
        <v>0</v>
      </c>
      <c r="HW18" s="74">
        <f t="shared" si="11"/>
        <v>0</v>
      </c>
      <c r="HX18" s="74">
        <f t="shared" si="12"/>
        <v>0</v>
      </c>
      <c r="HY18" s="74">
        <f t="shared" si="13"/>
        <v>0</v>
      </c>
      <c r="HZ18" s="74">
        <f t="shared" si="19"/>
        <v>0</v>
      </c>
      <c r="IA18" s="74">
        <f t="shared" si="20"/>
        <v>0</v>
      </c>
      <c r="IB18" s="74" t="str">
        <f t="shared" si="21"/>
        <v/>
      </c>
      <c r="IC18" s="74" t="str">
        <f t="shared" si="22"/>
        <v/>
      </c>
      <c r="ID18" s="74" t="str">
        <f t="shared" si="14"/>
        <v/>
      </c>
      <c r="IE18" s="74">
        <f t="shared" si="15"/>
        <v>11</v>
      </c>
      <c r="IF18" s="74">
        <f>COUNTIFS(ID$8:ID18,"BLUE")</f>
        <v>0</v>
      </c>
      <c r="IG18" s="74" t="str">
        <f t="shared" si="16"/>
        <v/>
      </c>
      <c r="IH18" s="74" t="str">
        <f>IF(COUNTIFS($AQ18,"*02*")=0,"",COUNTIFS(IJ$8:IJ18,"BLUE"))</f>
        <v/>
      </c>
      <c r="II18" s="74" t="str">
        <f>IF(COUNTIFS($AQ18,"*04*")=0,"",COUNTIFS(IK$8:IK18,"BLUE"))</f>
        <v/>
      </c>
      <c r="IJ18" s="74" t="str">
        <f t="shared" si="23"/>
        <v/>
      </c>
      <c r="IK18" s="74" t="str">
        <f t="shared" si="24"/>
        <v/>
      </c>
      <c r="IL18" s="74" t="str">
        <f t="shared" si="17"/>
        <v/>
      </c>
      <c r="IM18" s="74" t="str">
        <f t="shared" si="18"/>
        <v/>
      </c>
      <c r="IN18" s="74">
        <f>COUNTIFS(IJ$8:IJ18,"BLUE")</f>
        <v>0</v>
      </c>
      <c r="IO18" s="74">
        <f>COUNTIFS(IK$8:IK18,"BLUE")</f>
        <v>0</v>
      </c>
    </row>
    <row r="19" spans="1:249" s="20" customFormat="1" ht="25.5" customHeight="1">
      <c r="A19" s="33"/>
      <c r="B19" s="30">
        <v>12</v>
      </c>
      <c r="C19" s="152"/>
      <c r="D19" s="174"/>
      <c r="E19" s="88" t="e">
        <f>VLOOKUP(F19,'Radio Call Sign'!A:B,2)</f>
        <v>#N/A</v>
      </c>
      <c r="F19" s="88"/>
      <c r="G19" s="88" t="e">
        <f>VLOOKUP(H19,'Radio Call Sign'!A:B,2)</f>
        <v>#N/A</v>
      </c>
      <c r="H19" s="88"/>
      <c r="I19" s="89"/>
      <c r="J19" s="90"/>
      <c r="K19" s="86"/>
      <c r="L19" s="152"/>
      <c r="M19" s="190" t="str">
        <f t="shared" si="9"/>
        <v/>
      </c>
      <c r="N19" s="21"/>
      <c r="O19" s="21"/>
      <c r="P19" s="52"/>
      <c r="Q19" s="161" t="str">
        <f>IF(AA19="","",IF(COUNTIFS('overhead line area'!$D$3:$D$100,AA19)+COUNTIFS('overhead line area'!$D$3:$D$100,AB19)+COUNTIFS('overhead line area'!$D$3:$D$100,AC19)+COUNTIFS('overhead line area'!$D$3:$D$100,AD19)=0,"","*               "))</f>
        <v/>
      </c>
      <c r="R19" s="53"/>
      <c r="S19" s="24"/>
      <c r="U19" s="74"/>
      <c r="V19" s="74"/>
      <c r="W19" s="74"/>
      <c r="X19" s="74"/>
      <c r="Y19" s="74"/>
      <c r="AA19" s="74" t="str">
        <f t="shared" si="25"/>
        <v/>
      </c>
      <c r="AB19" s="74" t="str">
        <f t="shared" si="6"/>
        <v/>
      </c>
      <c r="AC19" s="74" t="str">
        <f t="shared" si="6"/>
        <v/>
      </c>
      <c r="AD19" s="74" t="str">
        <f t="shared" si="6"/>
        <v/>
      </c>
      <c r="AF19" s="74" t="str">
        <f>IF(AA19="","",IF(COUNTIF(Route!$AM:$AM,'Train Movement Log (page.1)'!AA19)=0,"未有資料",VLOOKUP('Train Movement Log (page.1)'!AA19,Route!$AM:$AP,3,0)))</f>
        <v/>
      </c>
      <c r="AG19" s="74" t="str">
        <f>IF(AB19="","",IF(COUNTIF(Route!$AM:$AM,'Train Movement Log (page.1)'!AB19)=0,"未有資料",VLOOKUP('Train Movement Log (page.1)'!AB19,Route!$AM:$AP,3,0)))</f>
        <v/>
      </c>
      <c r="AH19" s="74" t="str">
        <f>IF(AC19="","",IF(COUNTIF(Route!$AM:$AM,'Train Movement Log (page.1)'!AC19)=0,"未有資料",VLOOKUP('Train Movement Log (page.1)'!AC19,Route!$AM:$AP,3,0)))</f>
        <v/>
      </c>
      <c r="AI19" s="74" t="str">
        <f>IF(AD19="","",IF(COUNTIF(Route!$AM:$AM,'Train Movement Log (page.1)'!AD19)=0,"未有資料",VLOOKUP('Train Movement Log (page.1)'!AD19,Route!$AM:$AP,3,0)))</f>
        <v/>
      </c>
      <c r="AK19" s="74" t="str">
        <f>IF(AA19="","",IF(COUNTIF(Route!$AM:$AM,'Train Movement Log (page.1)'!AA19)=0,"未有資料",VLOOKUP('Train Movement Log (page.1)'!AA19,Route!$AM:$AP,4,0)))</f>
        <v/>
      </c>
      <c r="AL19" s="74" t="str">
        <f>IF(AB19="","",IF(COUNTIF(Route!$AM:$AM,'Train Movement Log (page.1)'!AB19)=0,"未有資料",VLOOKUP('Train Movement Log (page.1)'!AB19,Route!$AM:$AP,4,0)))</f>
        <v/>
      </c>
      <c r="AM19" s="74" t="str">
        <f>IF(AC19="","",IF(COUNTIF(Route!$AM:$AM,'Train Movement Log (page.1)'!AC19)=0,"未有資料",VLOOKUP('Train Movement Log (page.1)'!AC19,Route!$AM:$AP,4,0)))</f>
        <v/>
      </c>
      <c r="AN19" s="74" t="str">
        <f>IF(AD19="","",IF(COUNTIF(Route!$AM:$AM,'Train Movement Log (page.1)'!AD19)=0,"未有資料",VLOOKUP('Train Movement Log (page.1)'!AD19,Route!$AM:$AP,4,0)))</f>
        <v/>
      </c>
      <c r="AP19" s="74" t="str">
        <f t="shared" si="7"/>
        <v/>
      </c>
      <c r="AQ19" s="76" t="str">
        <f t="shared" si="8"/>
        <v/>
      </c>
      <c r="AR19" s="80" t="str">
        <f>IF($U19="","",IF(COUNTIF(choice!$D:$D,CONCATENATE($U19,"@",AR$7))=0,"",VLOOKUP(CONCATENATE($U19,"@",AR$7),choice!$D:$E,2,0)))</f>
        <v/>
      </c>
      <c r="AS19" s="74" t="str">
        <f>IF($U19="","",IF(COUNTIF(choice!$D:$D,CONCATENATE($U19,"@",AS$7))=0,"",VLOOKUP(CONCATENATE($U19,"@",AS$7),choice!$D:$E,2,0)))</f>
        <v/>
      </c>
      <c r="AT19" s="74" t="str">
        <f>IF($U19="","",IF(COUNTIF(choice!$D:$D,CONCATENATE($U19,"@",AT$7))=0,"",VLOOKUP(CONCATENATE($U19,"@",AT$7),choice!$D:$E,2,0)))</f>
        <v/>
      </c>
      <c r="AU19" s="74" t="str">
        <f>IF($U19="","",IF(COUNTIF(choice!$D:$D,CONCATENATE($U19,"@",AU$7))=0,"",VLOOKUP(CONCATENATE($U19,"@",AU$7),choice!$D:$E,2,0)))</f>
        <v/>
      </c>
      <c r="AV19" s="74" t="str">
        <f>IF($U19="","",IF(COUNTIF(choice!$D:$D,CONCATENATE($U19,"@",AV$7))=0,"",VLOOKUP(CONCATENATE($U19,"@",AV$7),choice!$D:$E,2,0)))</f>
        <v/>
      </c>
      <c r="AW19" s="74" t="str">
        <f>IF($U19="","",IF(COUNTIF(choice!$D:$D,CONCATENATE($U19,"@",AW$7))=0,"",VLOOKUP(CONCATENATE($U19,"@",AW$7),choice!$D:$E,2,0)))</f>
        <v/>
      </c>
      <c r="AX19" s="74" t="str">
        <f>IF($U19="","",IF(COUNTIF(choice!$D:$D,CONCATENATE($U19,"@",AX$7))=0,"",VLOOKUP(CONCATENATE($U19,"@",AX$7),choice!$D:$E,2,0)))</f>
        <v/>
      </c>
      <c r="AY19" s="74" t="str">
        <f>IF($U19="","",IF(COUNTIF(choice!$D:$D,CONCATENATE($U19,"@",AY$7))=0,"",VLOOKUP(CONCATENATE($U19,"@",AY$7),choice!$D:$E,2,0)))</f>
        <v/>
      </c>
      <c r="AZ19" s="74" t="str">
        <f>IF($U19="","",IF(COUNTIF(choice!$D:$D,CONCATENATE($U19,"@",AZ$7))=0,"",VLOOKUP(CONCATENATE($U19,"@",AZ$7),choice!$D:$E,2,0)))</f>
        <v/>
      </c>
      <c r="BA19" s="74" t="str">
        <f>IF($U19="","",IF(COUNTIF(choice!$D:$D,CONCATENATE($U19,"@",BA$7))=0,"",VLOOKUP(CONCATENATE($U19,"@",BA$7),choice!$D:$E,2,0)))</f>
        <v/>
      </c>
      <c r="BB19" s="74" t="str">
        <f>IF($U19="","",IF(COUNTIF(choice!$D:$D,CONCATENATE($U19,"@",BB$7))=0,"",VLOOKUP(CONCATENATE($U19,"@",BB$7),choice!$D:$E,2,0)))</f>
        <v/>
      </c>
      <c r="BC19" s="74" t="str">
        <f>IF($U19="","",IF(COUNTIF(choice!$D:$D,CONCATENATE($U19,"@",BC$7))=0,"",VLOOKUP(CONCATENATE($U19,"@",BC$7),choice!$D:$E,2,0)))</f>
        <v/>
      </c>
      <c r="BD19" s="74" t="str">
        <f>IF($U19="","",IF(COUNTIF(choice!$D:$D,CONCATENATE($U19,"@",BD$7))=0,"",VLOOKUP(CONCATENATE($U19,"@",BD$7),choice!$D:$E,2,0)))</f>
        <v/>
      </c>
      <c r="BE19" s="74" t="str">
        <f>IF($U19="","",IF(COUNTIF(choice!$D:$D,CONCATENATE($U19,"@",BE$7))=0,"",VLOOKUP(CONCATENATE($U19,"@",BE$7),choice!$D:$E,2,0)))</f>
        <v/>
      </c>
      <c r="BF19" s="74" t="str">
        <f>IF($U19="","",IF(COUNTIF(choice!$D:$D,CONCATENATE($U19,"@",BF$7))=0,"",VLOOKUP(CONCATENATE($U19,"@",BF$7),choice!$D:$E,2,0)))</f>
        <v/>
      </c>
      <c r="BG19" s="74" t="str">
        <f>IF($U19="","",IF(COUNTIF(choice!$D:$D,CONCATENATE($U19,"@",BG$7))=0,"",VLOOKUP(CONCATENATE($U19,"@",BG$7),choice!$D:$E,2,0)))</f>
        <v/>
      </c>
      <c r="BH19" s="74" t="str">
        <f>IF($U19="","",IF(COUNTIF(choice!$D:$D,CONCATENATE($U19,"@",BH$7))=0,"",VLOOKUP(CONCATENATE($U19,"@",BH$7),choice!$D:$E,2,0)))</f>
        <v/>
      </c>
      <c r="BI19" s="74" t="str">
        <f>IF($U19="","",IF(COUNTIF(choice!$D:$D,CONCATENATE($U19,"@",BI$7))=0,"",VLOOKUP(CONCATENATE($U19,"@",BI$7),choice!$D:$E,2,0)))</f>
        <v/>
      </c>
      <c r="BJ19" s="74" t="str">
        <f>IF($U19="","",IF(COUNTIF(choice!$D:$D,CONCATENATE($U19,"@",BJ$7))=0,"",VLOOKUP(CONCATENATE($U19,"@",BJ$7),choice!$D:$E,2,0)))</f>
        <v/>
      </c>
      <c r="BK19" s="74" t="str">
        <f>IF($U19="","",IF(COUNTIF(choice!$D:$D,CONCATENATE($U19,"@",BK$7))=0,"",VLOOKUP(CONCATENATE($U19,"@",BK$7),choice!$D:$E,2,0)))</f>
        <v/>
      </c>
      <c r="BL19" s="74" t="str">
        <f>IF($U19="","",IF(COUNTIF(choice!$D:$D,CONCATENATE($U19,"@",BL$7))=0,"",VLOOKUP(CONCATENATE($U19,"@",BL$7),choice!$D:$E,2,0)))</f>
        <v/>
      </c>
      <c r="BM19" s="74" t="str">
        <f>IF($U19="","",IF(COUNTIF(choice!$D:$D,CONCATENATE($U19,"@",BM$7))=0,"",VLOOKUP(CONCATENATE($U19,"@",BM$7),choice!$D:$E,2,0)))</f>
        <v/>
      </c>
      <c r="BN19" s="74" t="str">
        <f>IF($U19="","",IF(COUNTIF(choice!$D:$D,CONCATENATE($U19,"@",BN$7))=0,"",VLOOKUP(CONCATENATE($U19,"@",BN$7),choice!$D:$E,2,0)))</f>
        <v/>
      </c>
      <c r="BO19" s="74" t="str">
        <f>IF($U19="","",IF(COUNTIF(choice!$D:$D,CONCATENATE($U19,"@",BO$7))=0,"",VLOOKUP(CONCATENATE($U19,"@",BO$7),choice!$D:$E,2,0)))</f>
        <v/>
      </c>
      <c r="BP19" s="74" t="str">
        <f>IF($U19="","",IF(COUNTIF(choice!$D:$D,CONCATENATE($U19,"@",BP$7))=0,"",VLOOKUP(CONCATENATE($U19,"@",BP$7),choice!$D:$E,2,0)))</f>
        <v/>
      </c>
      <c r="BQ19" s="74" t="str">
        <f>IF($U19="","",IF(COUNTIF(choice!$D:$D,CONCATENATE($U19,"@",BQ$7))=0,"",VLOOKUP(CONCATENATE($U19,"@",BQ$7),choice!$D:$E,2,0)))</f>
        <v/>
      </c>
      <c r="BR19" s="74" t="str">
        <f>IF($U19="","",IF(COUNTIF(choice!$D:$D,CONCATENATE($U19,"@",BR$7))=0,"",VLOOKUP(CONCATENATE($U19,"@",BR$7),choice!$D:$E,2,0)))</f>
        <v/>
      </c>
      <c r="BS19" s="74" t="str">
        <f>IF($U19="","",IF(COUNTIF(choice!$D:$D,CONCATENATE($U19,"@",BS$7))=0,"",VLOOKUP(CONCATENATE($U19,"@",BS$7),choice!$D:$E,2,0)))</f>
        <v/>
      </c>
      <c r="BT19" s="74" t="str">
        <f>IF($U19="","",IF(COUNTIF(choice!$D:$D,CONCATENATE($U19,"@",BT$7))=0,"",VLOOKUP(CONCATENATE($U19,"@",BT$7),choice!$D:$E,2,0)))</f>
        <v/>
      </c>
      <c r="BU19" s="74" t="str">
        <f>IF($U19="","",IF(COUNTIF(choice!$D:$D,CONCATENATE($U19,"@",BU$7))=0,"",VLOOKUP(CONCATENATE($U19,"@",BU$7),choice!$D:$E,2,0)))</f>
        <v/>
      </c>
      <c r="BV19" s="74" t="str">
        <f>IF($U19="","",IF(COUNTIF(choice!$D:$D,CONCATENATE($U19,"@",BV$7))=0,"",VLOOKUP(CONCATENATE($U19,"@",BV$7),choice!$D:$E,2,0)))</f>
        <v/>
      </c>
      <c r="BW19" s="74" t="str">
        <f>IF($U19="","",IF(COUNTIF(choice!$D:$D,CONCATENATE($U19,"@",BW$7))=0,"",VLOOKUP(CONCATENATE($U19,"@",BW$7),choice!$D:$E,2,0)))</f>
        <v/>
      </c>
      <c r="BX19" s="74" t="str">
        <f>IF($U19="","",IF(COUNTIF(choice!$D:$D,CONCATENATE($U19,"@",BX$7))=0,"",VLOOKUP(CONCATENATE($U19,"@",BX$7),choice!$D:$E,2,0)))</f>
        <v/>
      </c>
      <c r="BY19" s="74" t="str">
        <f>IF($U19="","",IF(COUNTIF(choice!$D:$D,CONCATENATE($U19,"@",BY$7))=0,"",VLOOKUP(CONCATENATE($U19,"@",BY$7),choice!$D:$E,2,0)))</f>
        <v/>
      </c>
      <c r="BZ19" s="74" t="str">
        <f>IF($U19="","",IF(COUNTIF(choice!$D:$D,CONCATENATE($U19,"@",BZ$7))=0,"",VLOOKUP(CONCATENATE($U19,"@",BZ$7),choice!$D:$E,2,0)))</f>
        <v/>
      </c>
      <c r="CA19" s="74" t="str">
        <f>IF($U19="","",IF(COUNTIF(choice!$D:$D,CONCATENATE($U19,"@",CA$7))=0,"",VLOOKUP(CONCATENATE($U19,"@",CA$7),choice!$D:$E,2,0)))</f>
        <v/>
      </c>
      <c r="CB19" s="74" t="str">
        <f>IF($U19="","",IF(COUNTIF(choice!$D:$D,CONCATENATE($U19,"@",CB$7))=0,"",VLOOKUP(CONCATENATE($U19,"@",CB$7),choice!$D:$E,2,0)))</f>
        <v/>
      </c>
      <c r="CC19" s="74" t="str">
        <f>IF($U19="","",IF(COUNTIF(choice!$D:$D,CONCATENATE($U19,"@",CC$7))=0,"",VLOOKUP(CONCATENATE($U19,"@",CC$7),choice!$D:$E,2,0)))</f>
        <v/>
      </c>
      <c r="CD19" s="74" t="str">
        <f>IF($U19="","",IF(COUNTIF(choice!$D:$D,CONCATENATE($U19,"@",CD$7))=0,"",VLOOKUP(CONCATENATE($U19,"@",CD$7),choice!$D:$E,2,0)))</f>
        <v/>
      </c>
      <c r="CE19" s="74" t="str">
        <f>IF($U19="","",IF(COUNTIF(choice!$D:$D,CONCATENATE($U19,"@",CE$7))=0,"",VLOOKUP(CONCATENATE($U19,"@",CE$7),choice!$D:$E,2,0)))</f>
        <v/>
      </c>
      <c r="CF19" s="74" t="str">
        <f>IF($U19="","",IF(COUNTIF(choice!$D:$D,CONCATENATE($U19,"@",CF$7))=0,"",VLOOKUP(CONCATENATE($U19,"@",CF$7),choice!$D:$E,2,0)))</f>
        <v/>
      </c>
      <c r="CG19" s="74" t="str">
        <f>IF($U19="","",IF(COUNTIF(choice!$D:$D,CONCATENATE($U19,"@",CG$7))=0,"",VLOOKUP(CONCATENATE($U19,"@",CG$7),choice!$D:$E,2,0)))</f>
        <v/>
      </c>
      <c r="CH19" s="74" t="str">
        <f>IF($U19="","",IF(COUNTIF(choice!$D:$D,CONCATENATE($U19,"@",CH$7))=0,"",VLOOKUP(CONCATENATE($U19,"@",CH$7),choice!$D:$E,2,0)))</f>
        <v/>
      </c>
      <c r="CI19" s="74" t="str">
        <f>IF($U19="","",IF(COUNTIF(choice!$D:$D,CONCATENATE($U19,"@",CI$7))=0,"",VLOOKUP(CONCATENATE($U19,"@",CI$7),choice!$D:$E,2,0)))</f>
        <v/>
      </c>
      <c r="CJ19" s="81" t="str">
        <f>IF($U19="","",IF(COUNTIF(choice!$D:$D,CONCATENATE($U19,"@",CJ$7))=0,"",VLOOKUP(CONCATENATE($U19,"@",CJ$7),choice!$D:$E,2,0)))</f>
        <v/>
      </c>
      <c r="CK19" s="80" t="str">
        <f>IF($V19="","",IF(COUNTIF(choice!$D:$D,CONCATENATE($V19,"@",CK$7))=0,"",VLOOKUP(CONCATENATE($V19,"@",CK$7),choice!$D:$E,2,0)))</f>
        <v/>
      </c>
      <c r="CL19" s="74" t="str">
        <f>IF($V19="","",IF(COUNTIF(choice!$D:$D,CONCATENATE($V19,"@",CL$7))=0,"",VLOOKUP(CONCATENATE($V19,"@",CL$7),choice!$D:$E,2,0)))</f>
        <v/>
      </c>
      <c r="CM19" s="74" t="str">
        <f>IF($V19="","",IF(COUNTIF(choice!$D:$D,CONCATENATE($V19,"@",CM$7))=0,"",VLOOKUP(CONCATENATE($V19,"@",CM$7),choice!$D:$E,2,0)))</f>
        <v/>
      </c>
      <c r="CN19" s="74" t="str">
        <f>IF($V19="","",IF(COUNTIF(choice!$D:$D,CONCATENATE($V19,"@",CN$7))=0,"",VLOOKUP(CONCATENATE($V19,"@",CN$7),choice!$D:$E,2,0)))</f>
        <v/>
      </c>
      <c r="CO19" s="74" t="str">
        <f>IF($V19="","",IF(COUNTIF(choice!$D:$D,CONCATENATE($V19,"@",CO$7))=0,"",VLOOKUP(CONCATENATE($V19,"@",CO$7),choice!$D:$E,2,0)))</f>
        <v/>
      </c>
      <c r="CP19" s="74" t="str">
        <f>IF($V19="","",IF(COUNTIF(choice!$D:$D,CONCATENATE($V19,"@",CP$7))=0,"",VLOOKUP(CONCATENATE($V19,"@",CP$7),choice!$D:$E,2,0)))</f>
        <v/>
      </c>
      <c r="CQ19" s="74" t="str">
        <f>IF($V19="","",IF(COUNTIF(choice!$D:$D,CONCATENATE($V19,"@",CQ$7))=0,"",VLOOKUP(CONCATENATE($V19,"@",CQ$7),choice!$D:$E,2,0)))</f>
        <v/>
      </c>
      <c r="CR19" s="74" t="str">
        <f>IF($V19="","",IF(COUNTIF(choice!$D:$D,CONCATENATE($V19,"@",CR$7))=0,"",VLOOKUP(CONCATENATE($V19,"@",CR$7),choice!$D:$E,2,0)))</f>
        <v/>
      </c>
      <c r="CS19" s="74" t="str">
        <f>IF($V19="","",IF(COUNTIF(choice!$D:$D,CONCATENATE($V19,"@",CS$7))=0,"",VLOOKUP(CONCATENATE($V19,"@",CS$7),choice!$D:$E,2,0)))</f>
        <v/>
      </c>
      <c r="CT19" s="74" t="str">
        <f>IF($V19="","",IF(COUNTIF(choice!$D:$D,CONCATENATE($V19,"@",CT$7))=0,"",VLOOKUP(CONCATENATE($V19,"@",CT$7),choice!$D:$E,2,0)))</f>
        <v/>
      </c>
      <c r="CU19" s="74" t="str">
        <f>IF($V19="","",IF(COUNTIF(choice!$D:$D,CONCATENATE($V19,"@",CU$7))=0,"",VLOOKUP(CONCATENATE($V19,"@",CU$7),choice!$D:$E,2,0)))</f>
        <v/>
      </c>
      <c r="CV19" s="74" t="str">
        <f>IF($V19="","",IF(COUNTIF(choice!$D:$D,CONCATENATE($V19,"@",CV$7))=0,"",VLOOKUP(CONCATENATE($V19,"@",CV$7),choice!$D:$E,2,0)))</f>
        <v/>
      </c>
      <c r="CW19" s="74" t="str">
        <f>IF($V19="","",IF(COUNTIF(choice!$D:$D,CONCATENATE($V19,"@",CW$7))=0,"",VLOOKUP(CONCATENATE($V19,"@",CW$7),choice!$D:$E,2,0)))</f>
        <v/>
      </c>
      <c r="CX19" s="74" t="str">
        <f>IF($V19="","",IF(COUNTIF(choice!$D:$D,CONCATENATE($V19,"@",CX$7))=0,"",VLOOKUP(CONCATENATE($V19,"@",CX$7),choice!$D:$E,2,0)))</f>
        <v/>
      </c>
      <c r="CY19" s="74" t="str">
        <f>IF($V19="","",IF(COUNTIF(choice!$D:$D,CONCATENATE($V19,"@",CY$7))=0,"",VLOOKUP(CONCATENATE($V19,"@",CY$7),choice!$D:$E,2,0)))</f>
        <v/>
      </c>
      <c r="CZ19" s="74" t="str">
        <f>IF($V19="","",IF(COUNTIF(choice!$D:$D,CONCATENATE($V19,"@",CZ$7))=0,"",VLOOKUP(CONCATENATE($V19,"@",CZ$7),choice!$D:$E,2,0)))</f>
        <v/>
      </c>
      <c r="DA19" s="74" t="str">
        <f>IF($V19="","",IF(COUNTIF(choice!$D:$D,CONCATENATE($V19,"@",DA$7))=0,"",VLOOKUP(CONCATENATE($V19,"@",DA$7),choice!$D:$E,2,0)))</f>
        <v/>
      </c>
      <c r="DB19" s="74" t="str">
        <f>IF($V19="","",IF(COUNTIF(choice!$D:$D,CONCATENATE($V19,"@",DB$7))=0,"",VLOOKUP(CONCATENATE($V19,"@",DB$7),choice!$D:$E,2,0)))</f>
        <v/>
      </c>
      <c r="DC19" s="74" t="str">
        <f>IF($V19="","",IF(COUNTIF(choice!$D:$D,CONCATENATE($V19,"@",DC$7))=0,"",VLOOKUP(CONCATENATE($V19,"@",DC$7),choice!$D:$E,2,0)))</f>
        <v/>
      </c>
      <c r="DD19" s="74" t="str">
        <f>IF($V19="","",IF(COUNTIF(choice!$D:$D,CONCATENATE($V19,"@",DD$7))=0,"",VLOOKUP(CONCATENATE($V19,"@",DD$7),choice!$D:$E,2,0)))</f>
        <v/>
      </c>
      <c r="DE19" s="74" t="str">
        <f>IF($V19="","",IF(COUNTIF(choice!$D:$D,CONCATENATE($V19,"@",DE$7))=0,"",VLOOKUP(CONCATENATE($V19,"@",DE$7),choice!$D:$E,2,0)))</f>
        <v/>
      </c>
      <c r="DF19" s="74" t="str">
        <f>IF($V19="","",IF(COUNTIF(choice!$D:$D,CONCATENATE($V19,"@",DF$7))=0,"",VLOOKUP(CONCATENATE($V19,"@",DF$7),choice!$D:$E,2,0)))</f>
        <v/>
      </c>
      <c r="DG19" s="74" t="str">
        <f>IF($V19="","",IF(COUNTIF(choice!$D:$D,CONCATENATE($V19,"@",DG$7))=0,"",VLOOKUP(CONCATENATE($V19,"@",DG$7),choice!$D:$E,2,0)))</f>
        <v/>
      </c>
      <c r="DH19" s="74" t="str">
        <f>IF($V19="","",IF(COUNTIF(choice!$D:$D,CONCATENATE($V19,"@",DH$7))=0,"",VLOOKUP(CONCATENATE($V19,"@",DH$7),choice!$D:$E,2,0)))</f>
        <v/>
      </c>
      <c r="DI19" s="74" t="str">
        <f>IF($V19="","",IF(COUNTIF(choice!$D:$D,CONCATENATE($V19,"@",DI$7))=0,"",VLOOKUP(CONCATENATE($V19,"@",DI$7),choice!$D:$E,2,0)))</f>
        <v/>
      </c>
      <c r="DJ19" s="74" t="str">
        <f>IF($V19="","",IF(COUNTIF(choice!$D:$D,CONCATENATE($V19,"@",DJ$7))=0,"",VLOOKUP(CONCATENATE($V19,"@",DJ$7),choice!$D:$E,2,0)))</f>
        <v/>
      </c>
      <c r="DK19" s="74" t="str">
        <f>IF($V19="","",IF(COUNTIF(choice!$D:$D,CONCATENATE($V19,"@",DK$7))=0,"",VLOOKUP(CONCATENATE($V19,"@",DK$7),choice!$D:$E,2,0)))</f>
        <v/>
      </c>
      <c r="DL19" s="74" t="str">
        <f>IF($V19="","",IF(COUNTIF(choice!$D:$D,CONCATENATE($V19,"@",DL$7))=0,"",VLOOKUP(CONCATENATE($V19,"@",DL$7),choice!$D:$E,2,0)))</f>
        <v/>
      </c>
      <c r="DM19" s="74" t="str">
        <f>IF($V19="","",IF(COUNTIF(choice!$D:$D,CONCATENATE($V19,"@",DM$7))=0,"",VLOOKUP(CONCATENATE($V19,"@",DM$7),choice!$D:$E,2,0)))</f>
        <v/>
      </c>
      <c r="DN19" s="74" t="str">
        <f>IF($V19="","",IF(COUNTIF(choice!$D:$D,CONCATENATE($V19,"@",DN$7))=0,"",VLOOKUP(CONCATENATE($V19,"@",DN$7),choice!$D:$E,2,0)))</f>
        <v/>
      </c>
      <c r="DO19" s="74" t="str">
        <f>IF($V19="","",IF(COUNTIF(choice!$D:$D,CONCATENATE($V19,"@",DO$7))=0,"",VLOOKUP(CONCATENATE($V19,"@",DO$7),choice!$D:$E,2,0)))</f>
        <v/>
      </c>
      <c r="DP19" s="74" t="str">
        <f>IF($V19="","",IF(COUNTIF(choice!$D:$D,CONCATENATE($V19,"@",DP$7))=0,"",VLOOKUP(CONCATENATE($V19,"@",DP$7),choice!$D:$E,2,0)))</f>
        <v/>
      </c>
      <c r="DQ19" s="74" t="str">
        <f>IF($V19="","",IF(COUNTIF(choice!$D:$D,CONCATENATE($V19,"@",DQ$7))=0,"",VLOOKUP(CONCATENATE($V19,"@",DQ$7),choice!$D:$E,2,0)))</f>
        <v/>
      </c>
      <c r="DR19" s="74" t="str">
        <f>IF($V19="","",IF(COUNTIF(choice!$D:$D,CONCATENATE($V19,"@",DR$7))=0,"",VLOOKUP(CONCATENATE($V19,"@",DR$7),choice!$D:$E,2,0)))</f>
        <v/>
      </c>
      <c r="DS19" s="74" t="str">
        <f>IF($V19="","",IF(COUNTIF(choice!$D:$D,CONCATENATE($V19,"@",DS$7))=0,"",VLOOKUP(CONCATENATE($V19,"@",DS$7),choice!$D:$E,2,0)))</f>
        <v/>
      </c>
      <c r="DT19" s="74" t="str">
        <f>IF($V19="","",IF(COUNTIF(choice!$D:$D,CONCATENATE($V19,"@",DT$7))=0,"",VLOOKUP(CONCATENATE($V19,"@",DT$7),choice!$D:$E,2,0)))</f>
        <v/>
      </c>
      <c r="DU19" s="74" t="str">
        <f>IF($V19="","",IF(COUNTIF(choice!$D:$D,CONCATENATE($V19,"@",DU$7))=0,"",VLOOKUP(CONCATENATE($V19,"@",DU$7),choice!$D:$E,2,0)))</f>
        <v/>
      </c>
      <c r="DV19" s="74" t="str">
        <f>IF($V19="","",IF(COUNTIF(choice!$D:$D,CONCATENATE($V19,"@",DV$7))=0,"",VLOOKUP(CONCATENATE($V19,"@",DV$7),choice!$D:$E,2,0)))</f>
        <v/>
      </c>
      <c r="DW19" s="74" t="str">
        <f>IF($V19="","",IF(COUNTIF(choice!$D:$D,CONCATENATE($V19,"@",DW$7))=0,"",VLOOKUP(CONCATENATE($V19,"@",DW$7),choice!$D:$E,2,0)))</f>
        <v/>
      </c>
      <c r="DX19" s="74" t="str">
        <f>IF($V19="","",IF(COUNTIF(choice!$D:$D,CONCATENATE($V19,"@",DX$7))=0,"",VLOOKUP(CONCATENATE($V19,"@",DX$7),choice!$D:$E,2,0)))</f>
        <v/>
      </c>
      <c r="DY19" s="74" t="str">
        <f>IF($V19="","",IF(COUNTIF(choice!$D:$D,CONCATENATE($V19,"@",DY$7))=0,"",VLOOKUP(CONCATENATE($V19,"@",DY$7),choice!$D:$E,2,0)))</f>
        <v/>
      </c>
      <c r="DZ19" s="74" t="str">
        <f>IF($V19="","",IF(COUNTIF(choice!$D:$D,CONCATENATE($V19,"@",DZ$7))=0,"",VLOOKUP(CONCATENATE($V19,"@",DZ$7),choice!$D:$E,2,0)))</f>
        <v/>
      </c>
      <c r="EA19" s="74" t="str">
        <f>IF($V19="","",IF(COUNTIF(choice!$D:$D,CONCATENATE($V19,"@",EA$7))=0,"",VLOOKUP(CONCATENATE($V19,"@",EA$7),choice!$D:$E,2,0)))</f>
        <v/>
      </c>
      <c r="EB19" s="74" t="str">
        <f>IF($V19="","",IF(COUNTIF(choice!$D:$D,CONCATENATE($V19,"@",EB$7))=0,"",VLOOKUP(CONCATENATE($V19,"@",EB$7),choice!$D:$E,2,0)))</f>
        <v/>
      </c>
      <c r="EC19" s="81" t="str">
        <f>IF($V19="","",IF(COUNTIF(choice!$D:$D,CONCATENATE($V19,"@",EC$7))=0,"",VLOOKUP(CONCATENATE($V19,"@",EC$7),choice!$D:$E,2,0)))</f>
        <v/>
      </c>
      <c r="ED19" s="80" t="str">
        <f>IF($W19="","",IF(COUNTIF(choice!$D:$D,CONCATENATE($W19,"@",ED$7))=0,"",VLOOKUP(CONCATENATE($W19,"@",ED$7),choice!$D:$E,2,0)))</f>
        <v/>
      </c>
      <c r="EE19" s="74" t="str">
        <f>IF($W19="","",IF(COUNTIF(choice!$D:$D,CONCATENATE($W19,"@",EE$7))=0,"",VLOOKUP(CONCATENATE($W19,"@",EE$7),choice!$D:$E,2,0)))</f>
        <v/>
      </c>
      <c r="EF19" s="74" t="str">
        <f>IF($W19="","",IF(COUNTIF(choice!$D:$D,CONCATENATE($W19,"@",EF$7))=0,"",VLOOKUP(CONCATENATE($W19,"@",EF$7),choice!$D:$E,2,0)))</f>
        <v/>
      </c>
      <c r="EG19" s="74" t="str">
        <f>IF($W19="","",IF(COUNTIF(choice!$D:$D,CONCATENATE($W19,"@",EG$7))=0,"",VLOOKUP(CONCATENATE($W19,"@",EG$7),choice!$D:$E,2,0)))</f>
        <v/>
      </c>
      <c r="EH19" s="74" t="str">
        <f>IF($W19="","",IF(COUNTIF(choice!$D:$D,CONCATENATE($W19,"@",EH$7))=0,"",VLOOKUP(CONCATENATE($W19,"@",EH$7),choice!$D:$E,2,0)))</f>
        <v/>
      </c>
      <c r="EI19" s="74" t="str">
        <f>IF($W19="","",IF(COUNTIF(choice!$D:$D,CONCATENATE($W19,"@",EI$7))=0,"",VLOOKUP(CONCATENATE($W19,"@",EI$7),choice!$D:$E,2,0)))</f>
        <v/>
      </c>
      <c r="EJ19" s="74" t="str">
        <f>IF($W19="","",IF(COUNTIF(choice!$D:$D,CONCATENATE($W19,"@",EJ$7))=0,"",VLOOKUP(CONCATENATE($W19,"@",EJ$7),choice!$D:$E,2,0)))</f>
        <v/>
      </c>
      <c r="EK19" s="74" t="str">
        <f>IF($W19="","",IF(COUNTIF(choice!$D:$D,CONCATENATE($W19,"@",EK$7))=0,"",VLOOKUP(CONCATENATE($W19,"@",EK$7),choice!$D:$E,2,0)))</f>
        <v/>
      </c>
      <c r="EL19" s="74" t="str">
        <f>IF($W19="","",IF(COUNTIF(choice!$D:$D,CONCATENATE($W19,"@",EL$7))=0,"",VLOOKUP(CONCATENATE($W19,"@",EL$7),choice!$D:$E,2,0)))</f>
        <v/>
      </c>
      <c r="EM19" s="74" t="str">
        <f>IF($W19="","",IF(COUNTIF(choice!$D:$D,CONCATENATE($W19,"@",EM$7))=0,"",VLOOKUP(CONCATENATE($W19,"@",EM$7),choice!$D:$E,2,0)))</f>
        <v/>
      </c>
      <c r="EN19" s="74" t="str">
        <f>IF($W19="","",IF(COUNTIF(choice!$D:$D,CONCATENATE($W19,"@",EN$7))=0,"",VLOOKUP(CONCATENATE($W19,"@",EN$7),choice!$D:$E,2,0)))</f>
        <v/>
      </c>
      <c r="EO19" s="74" t="str">
        <f>IF($W19="","",IF(COUNTIF(choice!$D:$D,CONCATENATE($W19,"@",EO$7))=0,"",VLOOKUP(CONCATENATE($W19,"@",EO$7),choice!$D:$E,2,0)))</f>
        <v/>
      </c>
      <c r="EP19" s="74" t="str">
        <f>IF($W19="","",IF(COUNTIF(choice!$D:$D,CONCATENATE($W19,"@",EP$7))=0,"",VLOOKUP(CONCATENATE($W19,"@",EP$7),choice!$D:$E,2,0)))</f>
        <v/>
      </c>
      <c r="EQ19" s="74" t="str">
        <f>IF($W19="","",IF(COUNTIF(choice!$D:$D,CONCATENATE($W19,"@",EQ$7))=0,"",VLOOKUP(CONCATENATE($W19,"@",EQ$7),choice!$D:$E,2,0)))</f>
        <v/>
      </c>
      <c r="ER19" s="74" t="str">
        <f>IF($W19="","",IF(COUNTIF(choice!$D:$D,CONCATENATE($W19,"@",ER$7))=0,"",VLOOKUP(CONCATENATE($W19,"@",ER$7),choice!$D:$E,2,0)))</f>
        <v/>
      </c>
      <c r="ES19" s="74" t="str">
        <f>IF($W19="","",IF(COUNTIF(choice!$D:$D,CONCATENATE($W19,"@",ES$7))=0,"",VLOOKUP(CONCATENATE($W19,"@",ES$7),choice!$D:$E,2,0)))</f>
        <v/>
      </c>
      <c r="ET19" s="74" t="str">
        <f>IF($W19="","",IF(COUNTIF(choice!$D:$D,CONCATENATE($W19,"@",ET$7))=0,"",VLOOKUP(CONCATENATE($W19,"@",ET$7),choice!$D:$E,2,0)))</f>
        <v/>
      </c>
      <c r="EU19" s="74" t="str">
        <f>IF($W19="","",IF(COUNTIF(choice!$D:$D,CONCATENATE($W19,"@",EU$7))=0,"",VLOOKUP(CONCATENATE($W19,"@",EU$7),choice!$D:$E,2,0)))</f>
        <v/>
      </c>
      <c r="EV19" s="74" t="str">
        <f>IF($W19="","",IF(COUNTIF(choice!$D:$D,CONCATENATE($W19,"@",EV$7))=0,"",VLOOKUP(CONCATENATE($W19,"@",EV$7),choice!$D:$E,2,0)))</f>
        <v/>
      </c>
      <c r="EW19" s="74" t="str">
        <f>IF($W19="","",IF(COUNTIF(choice!$D:$D,CONCATENATE($W19,"@",EW$7))=0,"",VLOOKUP(CONCATENATE($W19,"@",EW$7),choice!$D:$E,2,0)))</f>
        <v/>
      </c>
      <c r="EX19" s="74" t="str">
        <f>IF($W19="","",IF(COUNTIF(choice!$D:$D,CONCATENATE($W19,"@",EX$7))=0,"",VLOOKUP(CONCATENATE($W19,"@",EX$7),choice!$D:$E,2,0)))</f>
        <v/>
      </c>
      <c r="EY19" s="74" t="str">
        <f>IF($W19="","",IF(COUNTIF(choice!$D:$D,CONCATENATE($W19,"@",EY$7))=0,"",VLOOKUP(CONCATENATE($W19,"@",EY$7),choice!$D:$E,2,0)))</f>
        <v/>
      </c>
      <c r="EZ19" s="74" t="str">
        <f>IF($W19="","",IF(COUNTIF(choice!$D:$D,CONCATENATE($W19,"@",EZ$7))=0,"",VLOOKUP(CONCATENATE($W19,"@",EZ$7),choice!$D:$E,2,0)))</f>
        <v/>
      </c>
      <c r="FA19" s="74" t="str">
        <f>IF($W19="","",IF(COUNTIF(choice!$D:$D,CONCATENATE($W19,"@",FA$7))=0,"",VLOOKUP(CONCATENATE($W19,"@",FA$7),choice!$D:$E,2,0)))</f>
        <v/>
      </c>
      <c r="FB19" s="74" t="str">
        <f>IF($W19="","",IF(COUNTIF(choice!$D:$D,CONCATENATE($W19,"@",FB$7))=0,"",VLOOKUP(CONCATENATE($W19,"@",FB$7),choice!$D:$E,2,0)))</f>
        <v/>
      </c>
      <c r="FC19" s="74" t="str">
        <f>IF($W19="","",IF(COUNTIF(choice!$D:$D,CONCATENATE($W19,"@",FC$7))=0,"",VLOOKUP(CONCATENATE($W19,"@",FC$7),choice!$D:$E,2,0)))</f>
        <v/>
      </c>
      <c r="FD19" s="74" t="str">
        <f>IF($W19="","",IF(COUNTIF(choice!$D:$D,CONCATENATE($W19,"@",FD$7))=0,"",VLOOKUP(CONCATENATE($W19,"@",FD$7),choice!$D:$E,2,0)))</f>
        <v/>
      </c>
      <c r="FE19" s="74" t="str">
        <f>IF($W19="","",IF(COUNTIF(choice!$D:$D,CONCATENATE($W19,"@",FE$7))=0,"",VLOOKUP(CONCATENATE($W19,"@",FE$7),choice!$D:$E,2,0)))</f>
        <v/>
      </c>
      <c r="FF19" s="74" t="str">
        <f>IF($W19="","",IF(COUNTIF(choice!$D:$D,CONCATENATE($W19,"@",FF$7))=0,"",VLOOKUP(CONCATENATE($W19,"@",FF$7),choice!$D:$E,2,0)))</f>
        <v/>
      </c>
      <c r="FG19" s="74" t="str">
        <f>IF($W19="","",IF(COUNTIF(choice!$D:$D,CONCATENATE($W19,"@",FG$7))=0,"",VLOOKUP(CONCATENATE($W19,"@",FG$7),choice!$D:$E,2,0)))</f>
        <v/>
      </c>
      <c r="FH19" s="74" t="str">
        <f>IF($W19="","",IF(COUNTIF(choice!$D:$D,CONCATENATE($W19,"@",FH$7))=0,"",VLOOKUP(CONCATENATE($W19,"@",FH$7),choice!$D:$E,2,0)))</f>
        <v/>
      </c>
      <c r="FI19" s="74" t="str">
        <f>IF($W19="","",IF(COUNTIF(choice!$D:$D,CONCATENATE($W19,"@",FI$7))=0,"",VLOOKUP(CONCATENATE($W19,"@",FI$7),choice!$D:$E,2,0)))</f>
        <v/>
      </c>
      <c r="FJ19" s="74" t="str">
        <f>IF($W19="","",IF(COUNTIF(choice!$D:$D,CONCATENATE($W19,"@",FJ$7))=0,"",VLOOKUP(CONCATENATE($W19,"@",FJ$7),choice!$D:$E,2,0)))</f>
        <v/>
      </c>
      <c r="FK19" s="74" t="str">
        <f>IF($W19="","",IF(COUNTIF(choice!$D:$D,CONCATENATE($W19,"@",FK$7))=0,"",VLOOKUP(CONCATENATE($W19,"@",FK$7),choice!$D:$E,2,0)))</f>
        <v/>
      </c>
      <c r="FL19" s="74" t="str">
        <f>IF($W19="","",IF(COUNTIF(choice!$D:$D,CONCATENATE($W19,"@",FL$7))=0,"",VLOOKUP(CONCATENATE($W19,"@",FL$7),choice!$D:$E,2,0)))</f>
        <v/>
      </c>
      <c r="FM19" s="74" t="str">
        <f>IF($W19="","",IF(COUNTIF(choice!$D:$D,CONCATENATE($W19,"@",FM$7))=0,"",VLOOKUP(CONCATENATE($W19,"@",FM$7),choice!$D:$E,2,0)))</f>
        <v/>
      </c>
      <c r="FN19" s="74" t="str">
        <f>IF($W19="","",IF(COUNTIF(choice!$D:$D,CONCATENATE($W19,"@",FN$7))=0,"",VLOOKUP(CONCATENATE($W19,"@",FN$7),choice!$D:$E,2,0)))</f>
        <v/>
      </c>
      <c r="FO19" s="74" t="str">
        <f>IF($W19="","",IF(COUNTIF(choice!$D:$D,CONCATENATE($W19,"@",FO$7))=0,"",VLOOKUP(CONCATENATE($W19,"@",FO$7),choice!$D:$E,2,0)))</f>
        <v/>
      </c>
      <c r="FP19" s="74" t="str">
        <f>IF($W19="","",IF(COUNTIF(choice!$D:$D,CONCATENATE($W19,"@",FP$7))=0,"",VLOOKUP(CONCATENATE($W19,"@",FP$7),choice!$D:$E,2,0)))</f>
        <v/>
      </c>
      <c r="FQ19" s="74" t="str">
        <f>IF($W19="","",IF(COUNTIF(choice!$D:$D,CONCATENATE($W19,"@",FQ$7))=0,"",VLOOKUP(CONCATENATE($W19,"@",FQ$7),choice!$D:$E,2,0)))</f>
        <v/>
      </c>
      <c r="FR19" s="74" t="str">
        <f>IF($W19="","",IF(COUNTIF(choice!$D:$D,CONCATENATE($W19,"@",FR$7))=0,"",VLOOKUP(CONCATENATE($W19,"@",FR$7),choice!$D:$E,2,0)))</f>
        <v/>
      </c>
      <c r="FS19" s="74" t="str">
        <f>IF($W19="","",IF(COUNTIF(choice!$D:$D,CONCATENATE($W19,"@",FS$7))=0,"",VLOOKUP(CONCATENATE($W19,"@",FS$7),choice!$D:$E,2,0)))</f>
        <v/>
      </c>
      <c r="FT19" s="74" t="str">
        <f>IF($W19="","",IF(COUNTIF(choice!$D:$D,CONCATENATE($W19,"@",FT$7))=0,"",VLOOKUP(CONCATENATE($W19,"@",FT$7),choice!$D:$E,2,0)))</f>
        <v/>
      </c>
      <c r="FU19" s="74" t="str">
        <f>IF($W19="","",IF(COUNTIF(choice!$D:$D,CONCATENATE($W19,"@",FU$7))=0,"",VLOOKUP(CONCATENATE($W19,"@",FU$7),choice!$D:$E,2,0)))</f>
        <v/>
      </c>
      <c r="FV19" s="81" t="str">
        <f>IF($W19="","",IF(COUNTIF(choice!$D:$D,CONCATENATE($W19,"@",FV$7))=0,"",VLOOKUP(CONCATENATE($W19,"@",FV$7),choice!$D:$E,2,0)))</f>
        <v/>
      </c>
      <c r="FW19" s="80" t="str">
        <f>IF($X19="","",IF(COUNTIF(choice!$D:$D,CONCATENATE($X19,"@",FW$7))=0,"",VLOOKUP(CONCATENATE($X19,"@",FW$7),choice!$D:$E,2,0)))</f>
        <v/>
      </c>
      <c r="FX19" s="74" t="str">
        <f>IF($X19="","",IF(COUNTIF(choice!$D:$D,CONCATENATE($X19,"@",FX$7))=0,"",VLOOKUP(CONCATENATE($X19,"@",FX$7),choice!$D:$E,2,0)))</f>
        <v/>
      </c>
      <c r="FY19" s="74" t="str">
        <f>IF($X19="","",IF(COUNTIF(choice!$D:$D,CONCATENATE($X19,"@",FY$7))=0,"",VLOOKUP(CONCATENATE($X19,"@",FY$7),choice!$D:$E,2,0)))</f>
        <v/>
      </c>
      <c r="FZ19" s="74" t="str">
        <f>IF($X19="","",IF(COUNTIF(choice!$D:$D,CONCATENATE($X19,"@",FZ$7))=0,"",VLOOKUP(CONCATENATE($X19,"@",FZ$7),choice!$D:$E,2,0)))</f>
        <v/>
      </c>
      <c r="GA19" s="74" t="str">
        <f>IF($X19="","",IF(COUNTIF(choice!$D:$D,CONCATENATE($X19,"@",GA$7))=0,"",VLOOKUP(CONCATENATE($X19,"@",GA$7),choice!$D:$E,2,0)))</f>
        <v/>
      </c>
      <c r="GB19" s="74" t="str">
        <f>IF($X19="","",IF(COUNTIF(choice!$D:$D,CONCATENATE($X19,"@",GB$7))=0,"",VLOOKUP(CONCATENATE($X19,"@",GB$7),choice!$D:$E,2,0)))</f>
        <v/>
      </c>
      <c r="GC19" s="74" t="str">
        <f>IF($X19="","",IF(COUNTIF(choice!$D:$D,CONCATENATE($X19,"@",GC$7))=0,"",VLOOKUP(CONCATENATE($X19,"@",GC$7),choice!$D:$E,2,0)))</f>
        <v/>
      </c>
      <c r="GD19" s="74" t="str">
        <f>IF($X19="","",IF(COUNTIF(choice!$D:$D,CONCATENATE($X19,"@",GD$7))=0,"",VLOOKUP(CONCATENATE($X19,"@",GD$7),choice!$D:$E,2,0)))</f>
        <v/>
      </c>
      <c r="GE19" s="74" t="str">
        <f>IF($X19="","",IF(COUNTIF(choice!$D:$D,CONCATENATE($X19,"@",GE$7))=0,"",VLOOKUP(CONCATENATE($X19,"@",GE$7),choice!$D:$E,2,0)))</f>
        <v/>
      </c>
      <c r="GF19" s="74" t="str">
        <f>IF($X19="","",IF(COUNTIF(choice!$D:$D,CONCATENATE($X19,"@",GF$7))=0,"",VLOOKUP(CONCATENATE($X19,"@",GF$7),choice!$D:$E,2,0)))</f>
        <v/>
      </c>
      <c r="GG19" s="74" t="str">
        <f>IF($X19="","",IF(COUNTIF(choice!$D:$D,CONCATENATE($X19,"@",GG$7))=0,"",VLOOKUP(CONCATENATE($X19,"@",GG$7),choice!$D:$E,2,0)))</f>
        <v/>
      </c>
      <c r="GH19" s="74" t="str">
        <f>IF($X19="","",IF(COUNTIF(choice!$D:$D,CONCATENATE($X19,"@",GH$7))=0,"",VLOOKUP(CONCATENATE($X19,"@",GH$7),choice!$D:$E,2,0)))</f>
        <v/>
      </c>
      <c r="GI19" s="74" t="str">
        <f>IF($X19="","",IF(COUNTIF(choice!$D:$D,CONCATENATE($X19,"@",GI$7))=0,"",VLOOKUP(CONCATENATE($X19,"@",GI$7),choice!$D:$E,2,0)))</f>
        <v/>
      </c>
      <c r="GJ19" s="74" t="str">
        <f>IF($X19="","",IF(COUNTIF(choice!$D:$D,CONCATENATE($X19,"@",GJ$7))=0,"",VLOOKUP(CONCATENATE($X19,"@",GJ$7),choice!$D:$E,2,0)))</f>
        <v/>
      </c>
      <c r="GK19" s="74" t="str">
        <f>IF($X19="","",IF(COUNTIF(choice!$D:$D,CONCATENATE($X19,"@",GK$7))=0,"",VLOOKUP(CONCATENATE($X19,"@",GK$7),choice!$D:$E,2,0)))</f>
        <v/>
      </c>
      <c r="GL19" s="74" t="str">
        <f>IF($X19="","",IF(COUNTIF(choice!$D:$D,CONCATENATE($X19,"@",GL$7))=0,"",VLOOKUP(CONCATENATE($X19,"@",GL$7),choice!$D:$E,2,0)))</f>
        <v/>
      </c>
      <c r="GM19" s="74" t="str">
        <f>IF($X19="","",IF(COUNTIF(choice!$D:$D,CONCATENATE($X19,"@",GM$7))=0,"",VLOOKUP(CONCATENATE($X19,"@",GM$7),choice!$D:$E,2,0)))</f>
        <v/>
      </c>
      <c r="GN19" s="74" t="str">
        <f>IF($X19="","",IF(COUNTIF(choice!$D:$D,CONCATENATE($X19,"@",GN$7))=0,"",VLOOKUP(CONCATENATE($X19,"@",GN$7),choice!$D:$E,2,0)))</f>
        <v/>
      </c>
      <c r="GO19" s="74" t="str">
        <f>IF($X19="","",IF(COUNTIF(choice!$D:$D,CONCATENATE($X19,"@",GO$7))=0,"",VLOOKUP(CONCATENATE($X19,"@",GO$7),choice!$D:$E,2,0)))</f>
        <v/>
      </c>
      <c r="GP19" s="74" t="str">
        <f>IF($X19="","",IF(COUNTIF(choice!$D:$D,CONCATENATE($X19,"@",GP$7))=0,"",VLOOKUP(CONCATENATE($X19,"@",GP$7),choice!$D:$E,2,0)))</f>
        <v/>
      </c>
      <c r="GQ19" s="74" t="str">
        <f>IF($X19="","",IF(COUNTIF(choice!$D:$D,CONCATENATE($X19,"@",GQ$7))=0,"",VLOOKUP(CONCATENATE($X19,"@",GQ$7),choice!$D:$E,2,0)))</f>
        <v/>
      </c>
      <c r="GR19" s="74" t="str">
        <f>IF($X19="","",IF(COUNTIF(choice!$D:$D,CONCATENATE($X19,"@",GR$7))=0,"",VLOOKUP(CONCATENATE($X19,"@",GR$7),choice!$D:$E,2,0)))</f>
        <v/>
      </c>
      <c r="GS19" s="74" t="str">
        <f>IF($X19="","",IF(COUNTIF(choice!$D:$D,CONCATENATE($X19,"@",GS$7))=0,"",VLOOKUP(CONCATENATE($X19,"@",GS$7),choice!$D:$E,2,0)))</f>
        <v/>
      </c>
      <c r="GT19" s="74" t="str">
        <f>IF($X19="","",IF(COUNTIF(choice!$D:$D,CONCATENATE($X19,"@",GT$7))=0,"",VLOOKUP(CONCATENATE($X19,"@",GT$7),choice!$D:$E,2,0)))</f>
        <v/>
      </c>
      <c r="GU19" s="74" t="str">
        <f>IF($X19="","",IF(COUNTIF(choice!$D:$D,CONCATENATE($X19,"@",GU$7))=0,"",VLOOKUP(CONCATENATE($X19,"@",GU$7),choice!$D:$E,2,0)))</f>
        <v/>
      </c>
      <c r="GV19" s="74" t="str">
        <f>IF($X19="","",IF(COUNTIF(choice!$D:$D,CONCATENATE($X19,"@",GV$7))=0,"",VLOOKUP(CONCATENATE($X19,"@",GV$7),choice!$D:$E,2,0)))</f>
        <v/>
      </c>
      <c r="GW19" s="74" t="str">
        <f>IF($X19="","",IF(COUNTIF(choice!$D:$D,CONCATENATE($X19,"@",GW$7))=0,"",VLOOKUP(CONCATENATE($X19,"@",GW$7),choice!$D:$E,2,0)))</f>
        <v/>
      </c>
      <c r="GX19" s="74" t="str">
        <f>IF($X19="","",IF(COUNTIF(choice!$D:$D,CONCATENATE($X19,"@",GX$7))=0,"",VLOOKUP(CONCATENATE($X19,"@",GX$7),choice!$D:$E,2,0)))</f>
        <v/>
      </c>
      <c r="GY19" s="74" t="str">
        <f>IF($X19="","",IF(COUNTIF(choice!$D:$D,CONCATENATE($X19,"@",GY$7))=0,"",VLOOKUP(CONCATENATE($X19,"@",GY$7),choice!$D:$E,2,0)))</f>
        <v/>
      </c>
      <c r="GZ19" s="74" t="str">
        <f>IF($X19="","",IF(COUNTIF(choice!$D:$D,CONCATENATE($X19,"@",GZ$7))=0,"",VLOOKUP(CONCATENATE($X19,"@",GZ$7),choice!$D:$E,2,0)))</f>
        <v/>
      </c>
      <c r="HA19" s="74" t="str">
        <f>IF($X19="","",IF(COUNTIF(choice!$D:$D,CONCATENATE($X19,"@",HA$7))=0,"",VLOOKUP(CONCATENATE($X19,"@",HA$7),choice!$D:$E,2,0)))</f>
        <v/>
      </c>
      <c r="HB19" s="74" t="str">
        <f>IF($X19="","",IF(COUNTIF(choice!$D:$D,CONCATENATE($X19,"@",HB$7))=0,"",VLOOKUP(CONCATENATE($X19,"@",HB$7),choice!$D:$E,2,0)))</f>
        <v/>
      </c>
      <c r="HC19" s="74" t="str">
        <f>IF($X19="","",IF(COUNTIF(choice!$D:$D,CONCATENATE($X19,"@",HC$7))=0,"",VLOOKUP(CONCATENATE($X19,"@",HC$7),choice!$D:$E,2,0)))</f>
        <v/>
      </c>
      <c r="HD19" s="74" t="str">
        <f>IF($X19="","",IF(COUNTIF(choice!$D:$D,CONCATENATE($X19,"@",HD$7))=0,"",VLOOKUP(CONCATENATE($X19,"@",HD$7),choice!$D:$E,2,0)))</f>
        <v/>
      </c>
      <c r="HE19" s="74" t="str">
        <f>IF($X19="","",IF(COUNTIF(choice!$D:$D,CONCATENATE($X19,"@",HE$7))=0,"",VLOOKUP(CONCATENATE($X19,"@",HE$7),choice!$D:$E,2,0)))</f>
        <v/>
      </c>
      <c r="HF19" s="74" t="str">
        <f>IF($X19="","",IF(COUNTIF(choice!$D:$D,CONCATENATE($X19,"@",HF$7))=0,"",VLOOKUP(CONCATENATE($X19,"@",HF$7),choice!$D:$E,2,0)))</f>
        <v/>
      </c>
      <c r="HG19" s="74" t="str">
        <f>IF($X19="","",IF(COUNTIF(choice!$D:$D,CONCATENATE($X19,"@",HG$7))=0,"",VLOOKUP(CONCATENATE($X19,"@",HG$7),choice!$D:$E,2,0)))</f>
        <v/>
      </c>
      <c r="HH19" s="74" t="str">
        <f>IF($X19="","",IF(COUNTIF(choice!$D:$D,CONCATENATE($X19,"@",HH$7))=0,"",VLOOKUP(CONCATENATE($X19,"@",HH$7),choice!$D:$E,2,0)))</f>
        <v/>
      </c>
      <c r="HI19" s="74" t="str">
        <f>IF($X19="","",IF(COUNTIF(choice!$D:$D,CONCATENATE($X19,"@",HI$7))=0,"",VLOOKUP(CONCATENATE($X19,"@",HI$7),choice!$D:$E,2,0)))</f>
        <v/>
      </c>
      <c r="HJ19" s="74" t="str">
        <f>IF($X19="","",IF(COUNTIF(choice!$D:$D,CONCATENATE($X19,"@",HJ$7))=0,"",VLOOKUP(CONCATENATE($X19,"@",HJ$7),choice!$D:$E,2,0)))</f>
        <v/>
      </c>
      <c r="HK19" s="74" t="str">
        <f>IF($X19="","",IF(COUNTIF(choice!$D:$D,CONCATENATE($X19,"@",HK$7))=0,"",VLOOKUP(CONCATENATE($X19,"@",HK$7),choice!$D:$E,2,0)))</f>
        <v/>
      </c>
      <c r="HL19" s="74" t="str">
        <f>IF($X19="","",IF(COUNTIF(choice!$D:$D,CONCATENATE($X19,"@",HL$7))=0,"",VLOOKUP(CONCATENATE($X19,"@",HL$7),choice!$D:$E,2,0)))</f>
        <v/>
      </c>
      <c r="HM19" s="74" t="str">
        <f>IF($X19="","",IF(COUNTIF(choice!$D:$D,CONCATENATE($X19,"@",HM$7))=0,"",VLOOKUP(CONCATENATE($X19,"@",HM$7),choice!$D:$E,2,0)))</f>
        <v/>
      </c>
      <c r="HN19" s="74" t="str">
        <f>IF($X19="","",IF(COUNTIF(choice!$D:$D,CONCATENATE($X19,"@",HN$7))=0,"",VLOOKUP(CONCATENATE($X19,"@",HN$7),choice!$D:$E,2,0)))</f>
        <v/>
      </c>
      <c r="HO19" s="81" t="str">
        <f>IF($X19="","",IF(COUNTIF(choice!$D:$D,CONCATENATE($X19,"@",HO$7))=0,"",VLOOKUP(CONCATENATE($X19,"@",HO$7),choice!$D:$E,2,0)))</f>
        <v/>
      </c>
      <c r="HP19" s="20" t="s">
        <v>73</v>
      </c>
      <c r="HQ19" s="20" t="s">
        <v>74</v>
      </c>
      <c r="HU19" s="74" t="s">
        <v>6</v>
      </c>
      <c r="HV19" s="74">
        <f t="shared" si="10"/>
        <v>0</v>
      </c>
      <c r="HW19" s="74">
        <f t="shared" si="11"/>
        <v>0</v>
      </c>
      <c r="HX19" s="74">
        <f t="shared" si="12"/>
        <v>0</v>
      </c>
      <c r="HY19" s="74">
        <f t="shared" si="13"/>
        <v>0</v>
      </c>
      <c r="HZ19" s="74">
        <f t="shared" si="19"/>
        <v>0</v>
      </c>
      <c r="IA19" s="74">
        <f t="shared" si="20"/>
        <v>0</v>
      </c>
      <c r="IB19" s="74" t="str">
        <f t="shared" si="21"/>
        <v/>
      </c>
      <c r="IC19" s="74" t="str">
        <f t="shared" si="22"/>
        <v/>
      </c>
      <c r="ID19" s="74" t="str">
        <f t="shared" si="14"/>
        <v/>
      </c>
      <c r="IE19" s="74">
        <f t="shared" si="15"/>
        <v>12</v>
      </c>
      <c r="IF19" s="74">
        <f>COUNTIFS(ID$8:ID19,"BLUE")</f>
        <v>0</v>
      </c>
      <c r="IG19" s="74" t="str">
        <f t="shared" si="16"/>
        <v/>
      </c>
      <c r="IH19" s="74" t="str">
        <f>IF(COUNTIFS($AQ19,"*02*")=0,"",COUNTIFS(IJ$8:IJ19,"BLUE"))</f>
        <v/>
      </c>
      <c r="II19" s="74" t="str">
        <f>IF(COUNTIFS($AQ19,"*04*")=0,"",COUNTIFS(IK$8:IK19,"BLUE"))</f>
        <v/>
      </c>
      <c r="IJ19" s="74" t="str">
        <f t="shared" si="23"/>
        <v/>
      </c>
      <c r="IK19" s="74" t="str">
        <f t="shared" si="24"/>
        <v/>
      </c>
      <c r="IL19" s="74" t="str">
        <f t="shared" si="17"/>
        <v/>
      </c>
      <c r="IM19" s="74" t="str">
        <f t="shared" si="18"/>
        <v/>
      </c>
      <c r="IN19" s="74">
        <f>COUNTIFS(IJ$8:IJ19,"BLUE")</f>
        <v>0</v>
      </c>
      <c r="IO19" s="74">
        <f>COUNTIFS(IK$8:IK19,"BLUE")</f>
        <v>0</v>
      </c>
    </row>
    <row r="20" spans="1:249" s="20" customFormat="1" ht="25.5" customHeight="1" thickBot="1">
      <c r="A20" s="33"/>
      <c r="B20" s="31">
        <v>13</v>
      </c>
      <c r="C20" s="178"/>
      <c r="D20" s="174"/>
      <c r="E20" s="92" t="e">
        <f>VLOOKUP(F20,'Radio Call Sign'!A:B,2)</f>
        <v>#N/A</v>
      </c>
      <c r="F20" s="92"/>
      <c r="G20" s="92" t="e">
        <f>VLOOKUP(H20,'Radio Call Sign'!A:B,2)</f>
        <v>#N/A</v>
      </c>
      <c r="H20" s="176"/>
      <c r="I20" s="92"/>
      <c r="J20" s="94"/>
      <c r="K20" s="93"/>
      <c r="L20" s="178"/>
      <c r="M20" s="192" t="str">
        <f t="shared" si="9"/>
        <v/>
      </c>
      <c r="N20" s="25"/>
      <c r="O20" s="25"/>
      <c r="P20" s="54"/>
      <c r="Q20" s="162" t="str">
        <f>IF(AA20="","",IF(COUNTIFS('overhead line area'!$D$3:$D$100,AA20)+COUNTIFS('overhead line area'!$D$3:$D$100,AB20)+COUNTIFS('overhead line area'!$D$3:$D$100,AC20)+COUNTIFS('overhead line area'!$D$3:$D$100,AD20)=0,"","*               "))</f>
        <v/>
      </c>
      <c r="R20" s="25"/>
      <c r="S20" s="28"/>
      <c r="U20" s="74"/>
      <c r="V20" s="74"/>
      <c r="W20" s="74"/>
      <c r="X20" s="74"/>
      <c r="Y20" s="74"/>
      <c r="AA20" s="74" t="str">
        <f>IF(U20="","",CONCATENATE(U20,"-",V20))</f>
        <v/>
      </c>
      <c r="AB20" s="74" t="str">
        <f t="shared" si="6"/>
        <v/>
      </c>
      <c r="AC20" s="74" t="str">
        <f t="shared" si="6"/>
        <v/>
      </c>
      <c r="AD20" s="74" t="str">
        <f t="shared" si="6"/>
        <v/>
      </c>
      <c r="AF20" s="74" t="str">
        <f>IF(AA20="","",IF(COUNTIF(Route!$AM:$AM,'Train Movement Log (page.1)'!AA20)=0,"未有資料",VLOOKUP('Train Movement Log (page.1)'!AA20,Route!$AM:$AP,3,0)))</f>
        <v/>
      </c>
      <c r="AG20" s="74" t="str">
        <f>IF(AB20="","",IF(COUNTIF(Route!$AM:$AM,'Train Movement Log (page.1)'!AB20)=0,"未有資料",VLOOKUP('Train Movement Log (page.1)'!AB20,Route!$AM:$AP,3,0)))</f>
        <v/>
      </c>
      <c r="AH20" s="74" t="str">
        <f>IF(AC20="","",IF(COUNTIF(Route!$AM:$AM,'Train Movement Log (page.1)'!AC20)=0,"未有資料",VLOOKUP('Train Movement Log (page.1)'!AC20,Route!$AM:$AP,3,0)))</f>
        <v/>
      </c>
      <c r="AI20" s="74" t="str">
        <f>IF(AD20="","",IF(COUNTIF(Route!$AM:$AM,'Train Movement Log (page.1)'!AD20)=0,"未有資料",VLOOKUP('Train Movement Log (page.1)'!AD20,Route!$AM:$AP,3,0)))</f>
        <v/>
      </c>
      <c r="AK20" s="74" t="str">
        <f>IF(AA20="","",IF(COUNTIF(Route!$AM:$AM,'Train Movement Log (page.1)'!AA20)=0,"未有資料",VLOOKUP('Train Movement Log (page.1)'!AA20,Route!$AM:$AP,4,0)))</f>
        <v/>
      </c>
      <c r="AL20" s="74" t="str">
        <f>IF(AB20="","",IF(COUNTIF(Route!$AM:$AM,'Train Movement Log (page.1)'!AB20)=0,"未有資料",VLOOKUP('Train Movement Log (page.1)'!AB20,Route!$AM:$AP,4,0)))</f>
        <v/>
      </c>
      <c r="AM20" s="74" t="str">
        <f>IF(AC20="","",IF(COUNTIF(Route!$AM:$AM,'Train Movement Log (page.1)'!AC20)=0,"未有資料",VLOOKUP('Train Movement Log (page.1)'!AC20,Route!$AM:$AP,4,0)))</f>
        <v/>
      </c>
      <c r="AN20" s="74" t="str">
        <f>IF(AD20="","",IF(COUNTIF(Route!$AM:$AM,'Train Movement Log (page.1)'!AD20)=0,"未有資料",VLOOKUP('Train Movement Log (page.1)'!AD20,Route!$AM:$AP,4,0)))</f>
        <v/>
      </c>
      <c r="AP20" s="74" t="str">
        <f t="shared" si="7"/>
        <v/>
      </c>
      <c r="AQ20" s="76" t="str">
        <f t="shared" si="8"/>
        <v/>
      </c>
      <c r="AR20" s="82" t="str">
        <f>IF($U20="","",IF(COUNTIF(choice!$D:$D,CONCATENATE($U20,"@",AR$7))=0,"",VLOOKUP(CONCATENATE($U20,"@",AR$7),choice!$D:$E,2,0)))</f>
        <v/>
      </c>
      <c r="AS20" s="83" t="str">
        <f>IF($U20="","",IF(COUNTIF(choice!$D:$D,CONCATENATE($U20,"@",AS$7))=0,"",VLOOKUP(CONCATENATE($U20,"@",AS$7),choice!$D:$E,2,0)))</f>
        <v/>
      </c>
      <c r="AT20" s="83" t="str">
        <f>IF($U20="","",IF(COUNTIF(choice!$D:$D,CONCATENATE($U20,"@",AT$7))=0,"",VLOOKUP(CONCATENATE($U20,"@",AT$7),choice!$D:$E,2,0)))</f>
        <v/>
      </c>
      <c r="AU20" s="83" t="str">
        <f>IF($U20="","",IF(COUNTIF(choice!$D:$D,CONCATENATE($U20,"@",AU$7))=0,"",VLOOKUP(CONCATENATE($U20,"@",AU$7),choice!$D:$E,2,0)))</f>
        <v/>
      </c>
      <c r="AV20" s="83" t="str">
        <f>IF($U20="","",IF(COUNTIF(choice!$D:$D,CONCATENATE($U20,"@",AV$7))=0,"",VLOOKUP(CONCATENATE($U20,"@",AV$7),choice!$D:$E,2,0)))</f>
        <v/>
      </c>
      <c r="AW20" s="83" t="str">
        <f>IF($U20="","",IF(COUNTIF(choice!$D:$D,CONCATENATE($U20,"@",AW$7))=0,"",VLOOKUP(CONCATENATE($U20,"@",AW$7),choice!$D:$E,2,0)))</f>
        <v/>
      </c>
      <c r="AX20" s="83" t="str">
        <f>IF($U20="","",IF(COUNTIF(choice!$D:$D,CONCATENATE($U20,"@",AX$7))=0,"",VLOOKUP(CONCATENATE($U20,"@",AX$7),choice!$D:$E,2,0)))</f>
        <v/>
      </c>
      <c r="AY20" s="83" t="str">
        <f>IF($U20="","",IF(COUNTIF(choice!$D:$D,CONCATENATE($U20,"@",AY$7))=0,"",VLOOKUP(CONCATENATE($U20,"@",AY$7),choice!$D:$E,2,0)))</f>
        <v/>
      </c>
      <c r="AZ20" s="83" t="str">
        <f>IF($U20="","",IF(COUNTIF(choice!$D:$D,CONCATENATE($U20,"@",AZ$7))=0,"",VLOOKUP(CONCATENATE($U20,"@",AZ$7),choice!$D:$E,2,0)))</f>
        <v/>
      </c>
      <c r="BA20" s="83" t="str">
        <f>IF($U20="","",IF(COUNTIF(choice!$D:$D,CONCATENATE($U20,"@",BA$7))=0,"",VLOOKUP(CONCATENATE($U20,"@",BA$7),choice!$D:$E,2,0)))</f>
        <v/>
      </c>
      <c r="BB20" s="83" t="str">
        <f>IF($U20="","",IF(COUNTIF(choice!$D:$D,CONCATENATE($U20,"@",BB$7))=0,"",VLOOKUP(CONCATENATE($U20,"@",BB$7),choice!$D:$E,2,0)))</f>
        <v/>
      </c>
      <c r="BC20" s="83" t="str">
        <f>IF($U20="","",IF(COUNTIF(choice!$D:$D,CONCATENATE($U20,"@",BC$7))=0,"",VLOOKUP(CONCATENATE($U20,"@",BC$7),choice!$D:$E,2,0)))</f>
        <v/>
      </c>
      <c r="BD20" s="83" t="str">
        <f>IF($U20="","",IF(COUNTIF(choice!$D:$D,CONCATENATE($U20,"@",BD$7))=0,"",VLOOKUP(CONCATENATE($U20,"@",BD$7),choice!$D:$E,2,0)))</f>
        <v/>
      </c>
      <c r="BE20" s="83" t="str">
        <f>IF($U20="","",IF(COUNTIF(choice!$D:$D,CONCATENATE($U20,"@",BE$7))=0,"",VLOOKUP(CONCATENATE($U20,"@",BE$7),choice!$D:$E,2,0)))</f>
        <v/>
      </c>
      <c r="BF20" s="83" t="str">
        <f>IF($U20="","",IF(COUNTIF(choice!$D:$D,CONCATENATE($U20,"@",BF$7))=0,"",VLOOKUP(CONCATENATE($U20,"@",BF$7),choice!$D:$E,2,0)))</f>
        <v/>
      </c>
      <c r="BG20" s="83" t="str">
        <f>IF($U20="","",IF(COUNTIF(choice!$D:$D,CONCATENATE($U20,"@",BG$7))=0,"",VLOOKUP(CONCATENATE($U20,"@",BG$7),choice!$D:$E,2,0)))</f>
        <v/>
      </c>
      <c r="BH20" s="83" t="str">
        <f>IF($U20="","",IF(COUNTIF(choice!$D:$D,CONCATENATE($U20,"@",BH$7))=0,"",VLOOKUP(CONCATENATE($U20,"@",BH$7),choice!$D:$E,2,0)))</f>
        <v/>
      </c>
      <c r="BI20" s="83" t="str">
        <f>IF($U20="","",IF(COUNTIF(choice!$D:$D,CONCATENATE($U20,"@",BI$7))=0,"",VLOOKUP(CONCATENATE($U20,"@",BI$7),choice!$D:$E,2,0)))</f>
        <v/>
      </c>
      <c r="BJ20" s="83" t="str">
        <f>IF($U20="","",IF(COUNTIF(choice!$D:$D,CONCATENATE($U20,"@",BJ$7))=0,"",VLOOKUP(CONCATENATE($U20,"@",BJ$7),choice!$D:$E,2,0)))</f>
        <v/>
      </c>
      <c r="BK20" s="83" t="str">
        <f>IF($U20="","",IF(COUNTIF(choice!$D:$D,CONCATENATE($U20,"@",BK$7))=0,"",VLOOKUP(CONCATENATE($U20,"@",BK$7),choice!$D:$E,2,0)))</f>
        <v/>
      </c>
      <c r="BL20" s="83" t="str">
        <f>IF($U20="","",IF(COUNTIF(choice!$D:$D,CONCATENATE($U20,"@",BL$7))=0,"",VLOOKUP(CONCATENATE($U20,"@",BL$7),choice!$D:$E,2,0)))</f>
        <v/>
      </c>
      <c r="BM20" s="83" t="str">
        <f>IF($U20="","",IF(COUNTIF(choice!$D:$D,CONCATENATE($U20,"@",BM$7))=0,"",VLOOKUP(CONCATENATE($U20,"@",BM$7),choice!$D:$E,2,0)))</f>
        <v/>
      </c>
      <c r="BN20" s="83" t="str">
        <f>IF($U20="","",IF(COUNTIF(choice!$D:$D,CONCATENATE($U20,"@",BN$7))=0,"",VLOOKUP(CONCATENATE($U20,"@",BN$7),choice!$D:$E,2,0)))</f>
        <v/>
      </c>
      <c r="BO20" s="83" t="str">
        <f>IF($U20="","",IF(COUNTIF(choice!$D:$D,CONCATENATE($U20,"@",BO$7))=0,"",VLOOKUP(CONCATENATE($U20,"@",BO$7),choice!$D:$E,2,0)))</f>
        <v/>
      </c>
      <c r="BP20" s="83" t="str">
        <f>IF($U20="","",IF(COUNTIF(choice!$D:$D,CONCATENATE($U20,"@",BP$7))=0,"",VLOOKUP(CONCATENATE($U20,"@",BP$7),choice!$D:$E,2,0)))</f>
        <v/>
      </c>
      <c r="BQ20" s="83" t="str">
        <f>IF($U20="","",IF(COUNTIF(choice!$D:$D,CONCATENATE($U20,"@",BQ$7))=0,"",VLOOKUP(CONCATENATE($U20,"@",BQ$7),choice!$D:$E,2,0)))</f>
        <v/>
      </c>
      <c r="BR20" s="83" t="str">
        <f>IF($U20="","",IF(COUNTIF(choice!$D:$D,CONCATENATE($U20,"@",BR$7))=0,"",VLOOKUP(CONCATENATE($U20,"@",BR$7),choice!$D:$E,2,0)))</f>
        <v/>
      </c>
      <c r="BS20" s="83" t="str">
        <f>IF($U20="","",IF(COUNTIF(choice!$D:$D,CONCATENATE($U20,"@",BS$7))=0,"",VLOOKUP(CONCATENATE($U20,"@",BS$7),choice!$D:$E,2,0)))</f>
        <v/>
      </c>
      <c r="BT20" s="83" t="str">
        <f>IF($U20="","",IF(COUNTIF(choice!$D:$D,CONCATENATE($U20,"@",BT$7))=0,"",VLOOKUP(CONCATENATE($U20,"@",BT$7),choice!$D:$E,2,0)))</f>
        <v/>
      </c>
      <c r="BU20" s="83" t="str">
        <f>IF($U20="","",IF(COUNTIF(choice!$D:$D,CONCATENATE($U20,"@",BU$7))=0,"",VLOOKUP(CONCATENATE($U20,"@",BU$7),choice!$D:$E,2,0)))</f>
        <v/>
      </c>
      <c r="BV20" s="83" t="str">
        <f>IF($U20="","",IF(COUNTIF(choice!$D:$D,CONCATENATE($U20,"@",BV$7))=0,"",VLOOKUP(CONCATENATE($U20,"@",BV$7),choice!$D:$E,2,0)))</f>
        <v/>
      </c>
      <c r="BW20" s="83" t="str">
        <f>IF($U20="","",IF(COUNTIF(choice!$D:$D,CONCATENATE($U20,"@",BW$7))=0,"",VLOOKUP(CONCATENATE($U20,"@",BW$7),choice!$D:$E,2,0)))</f>
        <v/>
      </c>
      <c r="BX20" s="83" t="str">
        <f>IF($U20="","",IF(COUNTIF(choice!$D:$D,CONCATENATE($U20,"@",BX$7))=0,"",VLOOKUP(CONCATENATE($U20,"@",BX$7),choice!$D:$E,2,0)))</f>
        <v/>
      </c>
      <c r="BY20" s="83" t="str">
        <f>IF($U20="","",IF(COUNTIF(choice!$D:$D,CONCATENATE($U20,"@",BY$7))=0,"",VLOOKUP(CONCATENATE($U20,"@",BY$7),choice!$D:$E,2,0)))</f>
        <v/>
      </c>
      <c r="BZ20" s="83" t="str">
        <f>IF($U20="","",IF(COUNTIF(choice!$D:$D,CONCATENATE($U20,"@",BZ$7))=0,"",VLOOKUP(CONCATENATE($U20,"@",BZ$7),choice!$D:$E,2,0)))</f>
        <v/>
      </c>
      <c r="CA20" s="83" t="str">
        <f>IF($U20="","",IF(COUNTIF(choice!$D:$D,CONCATENATE($U20,"@",CA$7))=0,"",VLOOKUP(CONCATENATE($U20,"@",CA$7),choice!$D:$E,2,0)))</f>
        <v/>
      </c>
      <c r="CB20" s="83" t="str">
        <f>IF($U20="","",IF(COUNTIF(choice!$D:$D,CONCATENATE($U20,"@",CB$7))=0,"",VLOOKUP(CONCATENATE($U20,"@",CB$7),choice!$D:$E,2,0)))</f>
        <v/>
      </c>
      <c r="CC20" s="83" t="str">
        <f>IF($U20="","",IF(COUNTIF(choice!$D:$D,CONCATENATE($U20,"@",CC$7))=0,"",VLOOKUP(CONCATENATE($U20,"@",CC$7),choice!$D:$E,2,0)))</f>
        <v/>
      </c>
      <c r="CD20" s="83" t="str">
        <f>IF($U20="","",IF(COUNTIF(choice!$D:$D,CONCATENATE($U20,"@",CD$7))=0,"",VLOOKUP(CONCATENATE($U20,"@",CD$7),choice!$D:$E,2,0)))</f>
        <v/>
      </c>
      <c r="CE20" s="83" t="str">
        <f>IF($U20="","",IF(COUNTIF(choice!$D:$D,CONCATENATE($U20,"@",CE$7))=0,"",VLOOKUP(CONCATENATE($U20,"@",CE$7),choice!$D:$E,2,0)))</f>
        <v/>
      </c>
      <c r="CF20" s="83" t="str">
        <f>IF($U20="","",IF(COUNTIF(choice!$D:$D,CONCATENATE($U20,"@",CF$7))=0,"",VLOOKUP(CONCATENATE($U20,"@",CF$7),choice!$D:$E,2,0)))</f>
        <v/>
      </c>
      <c r="CG20" s="83" t="str">
        <f>IF($U20="","",IF(COUNTIF(choice!$D:$D,CONCATENATE($U20,"@",CG$7))=0,"",VLOOKUP(CONCATENATE($U20,"@",CG$7),choice!$D:$E,2,0)))</f>
        <v/>
      </c>
      <c r="CH20" s="83" t="str">
        <f>IF($U20="","",IF(COUNTIF(choice!$D:$D,CONCATENATE($U20,"@",CH$7))=0,"",VLOOKUP(CONCATENATE($U20,"@",CH$7),choice!$D:$E,2,0)))</f>
        <v/>
      </c>
      <c r="CI20" s="83" t="str">
        <f>IF($U20="","",IF(COUNTIF(choice!$D:$D,CONCATENATE($U20,"@",CI$7))=0,"",VLOOKUP(CONCATENATE($U20,"@",CI$7),choice!$D:$E,2,0)))</f>
        <v/>
      </c>
      <c r="CJ20" s="84" t="str">
        <f>IF($U20="","",IF(COUNTIF(choice!$D:$D,CONCATENATE($U20,"@",CJ$7))=0,"",VLOOKUP(CONCATENATE($U20,"@",CJ$7),choice!$D:$E,2,0)))</f>
        <v/>
      </c>
      <c r="CK20" s="82" t="str">
        <f>IF($V20="","",IF(COUNTIF(choice!$D:$D,CONCATENATE($V20,"@",CK$7))=0,"",VLOOKUP(CONCATENATE($V20,"@",CK$7),choice!$D:$E,2,0)))</f>
        <v/>
      </c>
      <c r="CL20" s="83" t="str">
        <f>IF($V20="","",IF(COUNTIF(choice!$D:$D,CONCATENATE($V20,"@",CL$7))=0,"",VLOOKUP(CONCATENATE($V20,"@",CL$7),choice!$D:$E,2,0)))</f>
        <v/>
      </c>
      <c r="CM20" s="83" t="str">
        <f>IF($V20="","",IF(COUNTIF(choice!$D:$D,CONCATENATE($V20,"@",CM$7))=0,"",VLOOKUP(CONCATENATE($V20,"@",CM$7),choice!$D:$E,2,0)))</f>
        <v/>
      </c>
      <c r="CN20" s="83" t="str">
        <f>IF($V20="","",IF(COUNTIF(choice!$D:$D,CONCATENATE($V20,"@",CN$7))=0,"",VLOOKUP(CONCATENATE($V20,"@",CN$7),choice!$D:$E,2,0)))</f>
        <v/>
      </c>
      <c r="CO20" s="83" t="str">
        <f>IF($V20="","",IF(COUNTIF(choice!$D:$D,CONCATENATE($V20,"@",CO$7))=0,"",VLOOKUP(CONCATENATE($V20,"@",CO$7),choice!$D:$E,2,0)))</f>
        <v/>
      </c>
      <c r="CP20" s="83" t="str">
        <f>IF($V20="","",IF(COUNTIF(choice!$D:$D,CONCATENATE($V20,"@",CP$7))=0,"",VLOOKUP(CONCATENATE($V20,"@",CP$7),choice!$D:$E,2,0)))</f>
        <v/>
      </c>
      <c r="CQ20" s="83" t="str">
        <f>IF($V20="","",IF(COUNTIF(choice!$D:$D,CONCATENATE($V20,"@",CQ$7))=0,"",VLOOKUP(CONCATENATE($V20,"@",CQ$7),choice!$D:$E,2,0)))</f>
        <v/>
      </c>
      <c r="CR20" s="83" t="str">
        <f>IF($V20="","",IF(COUNTIF(choice!$D:$D,CONCATENATE($V20,"@",CR$7))=0,"",VLOOKUP(CONCATENATE($V20,"@",CR$7),choice!$D:$E,2,0)))</f>
        <v/>
      </c>
      <c r="CS20" s="83" t="str">
        <f>IF($V20="","",IF(COUNTIF(choice!$D:$D,CONCATENATE($V20,"@",CS$7))=0,"",VLOOKUP(CONCATENATE($V20,"@",CS$7),choice!$D:$E,2,0)))</f>
        <v/>
      </c>
      <c r="CT20" s="83" t="str">
        <f>IF($V20="","",IF(COUNTIF(choice!$D:$D,CONCATENATE($V20,"@",CT$7))=0,"",VLOOKUP(CONCATENATE($V20,"@",CT$7),choice!$D:$E,2,0)))</f>
        <v/>
      </c>
      <c r="CU20" s="83" t="str">
        <f>IF($V20="","",IF(COUNTIF(choice!$D:$D,CONCATENATE($V20,"@",CU$7))=0,"",VLOOKUP(CONCATENATE($V20,"@",CU$7),choice!$D:$E,2,0)))</f>
        <v/>
      </c>
      <c r="CV20" s="83" t="str">
        <f>IF($V20="","",IF(COUNTIF(choice!$D:$D,CONCATENATE($V20,"@",CV$7))=0,"",VLOOKUP(CONCATENATE($V20,"@",CV$7),choice!$D:$E,2,0)))</f>
        <v/>
      </c>
      <c r="CW20" s="83" t="str">
        <f>IF($V20="","",IF(COUNTIF(choice!$D:$D,CONCATENATE($V20,"@",CW$7))=0,"",VLOOKUP(CONCATENATE($V20,"@",CW$7),choice!$D:$E,2,0)))</f>
        <v/>
      </c>
      <c r="CX20" s="83" t="str">
        <f>IF($V20="","",IF(COUNTIF(choice!$D:$D,CONCATENATE($V20,"@",CX$7))=0,"",VLOOKUP(CONCATENATE($V20,"@",CX$7),choice!$D:$E,2,0)))</f>
        <v/>
      </c>
      <c r="CY20" s="83" t="str">
        <f>IF($V20="","",IF(COUNTIF(choice!$D:$D,CONCATENATE($V20,"@",CY$7))=0,"",VLOOKUP(CONCATENATE($V20,"@",CY$7),choice!$D:$E,2,0)))</f>
        <v/>
      </c>
      <c r="CZ20" s="83" t="str">
        <f>IF($V20="","",IF(COUNTIF(choice!$D:$D,CONCATENATE($V20,"@",CZ$7))=0,"",VLOOKUP(CONCATENATE($V20,"@",CZ$7),choice!$D:$E,2,0)))</f>
        <v/>
      </c>
      <c r="DA20" s="83" t="str">
        <f>IF($V20="","",IF(COUNTIF(choice!$D:$D,CONCATENATE($V20,"@",DA$7))=0,"",VLOOKUP(CONCATENATE($V20,"@",DA$7),choice!$D:$E,2,0)))</f>
        <v/>
      </c>
      <c r="DB20" s="83" t="str">
        <f>IF($V20="","",IF(COUNTIF(choice!$D:$D,CONCATENATE($V20,"@",DB$7))=0,"",VLOOKUP(CONCATENATE($V20,"@",DB$7),choice!$D:$E,2,0)))</f>
        <v/>
      </c>
      <c r="DC20" s="83" t="str">
        <f>IF($V20="","",IF(COUNTIF(choice!$D:$D,CONCATENATE($V20,"@",DC$7))=0,"",VLOOKUP(CONCATENATE($V20,"@",DC$7),choice!$D:$E,2,0)))</f>
        <v/>
      </c>
      <c r="DD20" s="83" t="str">
        <f>IF($V20="","",IF(COUNTIF(choice!$D:$D,CONCATENATE($V20,"@",DD$7))=0,"",VLOOKUP(CONCATENATE($V20,"@",DD$7),choice!$D:$E,2,0)))</f>
        <v/>
      </c>
      <c r="DE20" s="83" t="str">
        <f>IF($V20="","",IF(COUNTIF(choice!$D:$D,CONCATENATE($V20,"@",DE$7))=0,"",VLOOKUP(CONCATENATE($V20,"@",DE$7),choice!$D:$E,2,0)))</f>
        <v/>
      </c>
      <c r="DF20" s="83" t="str">
        <f>IF($V20="","",IF(COUNTIF(choice!$D:$D,CONCATENATE($V20,"@",DF$7))=0,"",VLOOKUP(CONCATENATE($V20,"@",DF$7),choice!$D:$E,2,0)))</f>
        <v/>
      </c>
      <c r="DG20" s="83" t="str">
        <f>IF($V20="","",IF(COUNTIF(choice!$D:$D,CONCATENATE($V20,"@",DG$7))=0,"",VLOOKUP(CONCATENATE($V20,"@",DG$7),choice!$D:$E,2,0)))</f>
        <v/>
      </c>
      <c r="DH20" s="83" t="str">
        <f>IF($V20="","",IF(COUNTIF(choice!$D:$D,CONCATENATE($V20,"@",DH$7))=0,"",VLOOKUP(CONCATENATE($V20,"@",DH$7),choice!$D:$E,2,0)))</f>
        <v/>
      </c>
      <c r="DI20" s="83" t="str">
        <f>IF($V20="","",IF(COUNTIF(choice!$D:$D,CONCATENATE($V20,"@",DI$7))=0,"",VLOOKUP(CONCATENATE($V20,"@",DI$7),choice!$D:$E,2,0)))</f>
        <v/>
      </c>
      <c r="DJ20" s="83" t="str">
        <f>IF($V20="","",IF(COUNTIF(choice!$D:$D,CONCATENATE($V20,"@",DJ$7))=0,"",VLOOKUP(CONCATENATE($V20,"@",DJ$7),choice!$D:$E,2,0)))</f>
        <v/>
      </c>
      <c r="DK20" s="83" t="str">
        <f>IF($V20="","",IF(COUNTIF(choice!$D:$D,CONCATENATE($V20,"@",DK$7))=0,"",VLOOKUP(CONCATENATE($V20,"@",DK$7),choice!$D:$E,2,0)))</f>
        <v/>
      </c>
      <c r="DL20" s="83" t="str">
        <f>IF($V20="","",IF(COUNTIF(choice!$D:$D,CONCATENATE($V20,"@",DL$7))=0,"",VLOOKUP(CONCATENATE($V20,"@",DL$7),choice!$D:$E,2,0)))</f>
        <v/>
      </c>
      <c r="DM20" s="83" t="str">
        <f>IF($V20="","",IF(COUNTIF(choice!$D:$D,CONCATENATE($V20,"@",DM$7))=0,"",VLOOKUP(CONCATENATE($V20,"@",DM$7),choice!$D:$E,2,0)))</f>
        <v/>
      </c>
      <c r="DN20" s="83" t="str">
        <f>IF($V20="","",IF(COUNTIF(choice!$D:$D,CONCATENATE($V20,"@",DN$7))=0,"",VLOOKUP(CONCATENATE($V20,"@",DN$7),choice!$D:$E,2,0)))</f>
        <v/>
      </c>
      <c r="DO20" s="83" t="str">
        <f>IF($V20="","",IF(COUNTIF(choice!$D:$D,CONCATENATE($V20,"@",DO$7))=0,"",VLOOKUP(CONCATENATE($V20,"@",DO$7),choice!$D:$E,2,0)))</f>
        <v/>
      </c>
      <c r="DP20" s="83" t="str">
        <f>IF($V20="","",IF(COUNTIF(choice!$D:$D,CONCATENATE($V20,"@",DP$7))=0,"",VLOOKUP(CONCATENATE($V20,"@",DP$7),choice!$D:$E,2,0)))</f>
        <v/>
      </c>
      <c r="DQ20" s="83" t="str">
        <f>IF($V20="","",IF(COUNTIF(choice!$D:$D,CONCATENATE($V20,"@",DQ$7))=0,"",VLOOKUP(CONCATENATE($V20,"@",DQ$7),choice!$D:$E,2,0)))</f>
        <v/>
      </c>
      <c r="DR20" s="83" t="str">
        <f>IF($V20="","",IF(COUNTIF(choice!$D:$D,CONCATENATE($V20,"@",DR$7))=0,"",VLOOKUP(CONCATENATE($V20,"@",DR$7),choice!$D:$E,2,0)))</f>
        <v/>
      </c>
      <c r="DS20" s="83" t="str">
        <f>IF($V20="","",IF(COUNTIF(choice!$D:$D,CONCATENATE($V20,"@",DS$7))=0,"",VLOOKUP(CONCATENATE($V20,"@",DS$7),choice!$D:$E,2,0)))</f>
        <v/>
      </c>
      <c r="DT20" s="83" t="str">
        <f>IF($V20="","",IF(COUNTIF(choice!$D:$D,CONCATENATE($V20,"@",DT$7))=0,"",VLOOKUP(CONCATENATE($V20,"@",DT$7),choice!$D:$E,2,0)))</f>
        <v/>
      </c>
      <c r="DU20" s="83" t="str">
        <f>IF($V20="","",IF(COUNTIF(choice!$D:$D,CONCATENATE($V20,"@",DU$7))=0,"",VLOOKUP(CONCATENATE($V20,"@",DU$7),choice!$D:$E,2,0)))</f>
        <v/>
      </c>
      <c r="DV20" s="83" t="str">
        <f>IF($V20="","",IF(COUNTIF(choice!$D:$D,CONCATENATE($V20,"@",DV$7))=0,"",VLOOKUP(CONCATENATE($V20,"@",DV$7),choice!$D:$E,2,0)))</f>
        <v/>
      </c>
      <c r="DW20" s="83" t="str">
        <f>IF($V20="","",IF(COUNTIF(choice!$D:$D,CONCATENATE($V20,"@",DW$7))=0,"",VLOOKUP(CONCATENATE($V20,"@",DW$7),choice!$D:$E,2,0)))</f>
        <v/>
      </c>
      <c r="DX20" s="83" t="str">
        <f>IF($V20="","",IF(COUNTIF(choice!$D:$D,CONCATENATE($V20,"@",DX$7))=0,"",VLOOKUP(CONCATENATE($V20,"@",DX$7),choice!$D:$E,2,0)))</f>
        <v/>
      </c>
      <c r="DY20" s="83" t="str">
        <f>IF($V20="","",IF(COUNTIF(choice!$D:$D,CONCATENATE($V20,"@",DY$7))=0,"",VLOOKUP(CONCATENATE($V20,"@",DY$7),choice!$D:$E,2,0)))</f>
        <v/>
      </c>
      <c r="DZ20" s="83" t="str">
        <f>IF($V20="","",IF(COUNTIF(choice!$D:$D,CONCATENATE($V20,"@",DZ$7))=0,"",VLOOKUP(CONCATENATE($V20,"@",DZ$7),choice!$D:$E,2,0)))</f>
        <v/>
      </c>
      <c r="EA20" s="83" t="str">
        <f>IF($V20="","",IF(COUNTIF(choice!$D:$D,CONCATENATE($V20,"@",EA$7))=0,"",VLOOKUP(CONCATENATE($V20,"@",EA$7),choice!$D:$E,2,0)))</f>
        <v/>
      </c>
      <c r="EB20" s="83" t="str">
        <f>IF($V20="","",IF(COUNTIF(choice!$D:$D,CONCATENATE($V20,"@",EB$7))=0,"",VLOOKUP(CONCATENATE($V20,"@",EB$7),choice!$D:$E,2,0)))</f>
        <v/>
      </c>
      <c r="EC20" s="84" t="str">
        <f>IF($V20="","",IF(COUNTIF(choice!$D:$D,CONCATENATE($V20,"@",EC$7))=0,"",VLOOKUP(CONCATENATE($V20,"@",EC$7),choice!$D:$E,2,0)))</f>
        <v/>
      </c>
      <c r="ED20" s="82" t="str">
        <f>IF($W20="","",IF(COUNTIF(choice!$D:$D,CONCATENATE($W20,"@",ED$7))=0,"",VLOOKUP(CONCATENATE($W20,"@",ED$7),choice!$D:$E,2,0)))</f>
        <v/>
      </c>
      <c r="EE20" s="83" t="str">
        <f>IF($W20="","",IF(COUNTIF(choice!$D:$D,CONCATENATE($W20,"@",EE$7))=0,"",VLOOKUP(CONCATENATE($W20,"@",EE$7),choice!$D:$E,2,0)))</f>
        <v/>
      </c>
      <c r="EF20" s="83" t="str">
        <f>IF($W20="","",IF(COUNTIF(choice!$D:$D,CONCATENATE($W20,"@",EF$7))=0,"",VLOOKUP(CONCATENATE($W20,"@",EF$7),choice!$D:$E,2,0)))</f>
        <v/>
      </c>
      <c r="EG20" s="83" t="str">
        <f>IF($W20="","",IF(COUNTIF(choice!$D:$D,CONCATENATE($W20,"@",EG$7))=0,"",VLOOKUP(CONCATENATE($W20,"@",EG$7),choice!$D:$E,2,0)))</f>
        <v/>
      </c>
      <c r="EH20" s="83" t="str">
        <f>IF($W20="","",IF(COUNTIF(choice!$D:$D,CONCATENATE($W20,"@",EH$7))=0,"",VLOOKUP(CONCATENATE($W20,"@",EH$7),choice!$D:$E,2,0)))</f>
        <v/>
      </c>
      <c r="EI20" s="83" t="str">
        <f>IF($W20="","",IF(COUNTIF(choice!$D:$D,CONCATENATE($W20,"@",EI$7))=0,"",VLOOKUP(CONCATENATE($W20,"@",EI$7),choice!$D:$E,2,0)))</f>
        <v/>
      </c>
      <c r="EJ20" s="83" t="str">
        <f>IF($W20="","",IF(COUNTIF(choice!$D:$D,CONCATENATE($W20,"@",EJ$7))=0,"",VLOOKUP(CONCATENATE($W20,"@",EJ$7),choice!$D:$E,2,0)))</f>
        <v/>
      </c>
      <c r="EK20" s="83" t="str">
        <f>IF($W20="","",IF(COUNTIF(choice!$D:$D,CONCATENATE($W20,"@",EK$7))=0,"",VLOOKUP(CONCATENATE($W20,"@",EK$7),choice!$D:$E,2,0)))</f>
        <v/>
      </c>
      <c r="EL20" s="83" t="str">
        <f>IF($W20="","",IF(COUNTIF(choice!$D:$D,CONCATENATE($W20,"@",EL$7))=0,"",VLOOKUP(CONCATENATE($W20,"@",EL$7),choice!$D:$E,2,0)))</f>
        <v/>
      </c>
      <c r="EM20" s="83" t="str">
        <f>IF($W20="","",IF(COUNTIF(choice!$D:$D,CONCATENATE($W20,"@",EM$7))=0,"",VLOOKUP(CONCATENATE($W20,"@",EM$7),choice!$D:$E,2,0)))</f>
        <v/>
      </c>
      <c r="EN20" s="83" t="str">
        <f>IF($W20="","",IF(COUNTIF(choice!$D:$D,CONCATENATE($W20,"@",EN$7))=0,"",VLOOKUP(CONCATENATE($W20,"@",EN$7),choice!$D:$E,2,0)))</f>
        <v/>
      </c>
      <c r="EO20" s="83" t="str">
        <f>IF($W20="","",IF(COUNTIF(choice!$D:$D,CONCATENATE($W20,"@",EO$7))=0,"",VLOOKUP(CONCATENATE($W20,"@",EO$7),choice!$D:$E,2,0)))</f>
        <v/>
      </c>
      <c r="EP20" s="83" t="str">
        <f>IF($W20="","",IF(COUNTIF(choice!$D:$D,CONCATENATE($W20,"@",EP$7))=0,"",VLOOKUP(CONCATENATE($W20,"@",EP$7),choice!$D:$E,2,0)))</f>
        <v/>
      </c>
      <c r="EQ20" s="83" t="str">
        <f>IF($W20="","",IF(COUNTIF(choice!$D:$D,CONCATENATE($W20,"@",EQ$7))=0,"",VLOOKUP(CONCATENATE($W20,"@",EQ$7),choice!$D:$E,2,0)))</f>
        <v/>
      </c>
      <c r="ER20" s="83" t="str">
        <f>IF($W20="","",IF(COUNTIF(choice!$D:$D,CONCATENATE($W20,"@",ER$7))=0,"",VLOOKUP(CONCATENATE($W20,"@",ER$7),choice!$D:$E,2,0)))</f>
        <v/>
      </c>
      <c r="ES20" s="83" t="str">
        <f>IF($W20="","",IF(COUNTIF(choice!$D:$D,CONCATENATE($W20,"@",ES$7))=0,"",VLOOKUP(CONCATENATE($W20,"@",ES$7),choice!$D:$E,2,0)))</f>
        <v/>
      </c>
      <c r="ET20" s="83" t="str">
        <f>IF($W20="","",IF(COUNTIF(choice!$D:$D,CONCATENATE($W20,"@",ET$7))=0,"",VLOOKUP(CONCATENATE($W20,"@",ET$7),choice!$D:$E,2,0)))</f>
        <v/>
      </c>
      <c r="EU20" s="83" t="str">
        <f>IF($W20="","",IF(COUNTIF(choice!$D:$D,CONCATENATE($W20,"@",EU$7))=0,"",VLOOKUP(CONCATENATE($W20,"@",EU$7),choice!$D:$E,2,0)))</f>
        <v/>
      </c>
      <c r="EV20" s="83" t="str">
        <f>IF($W20="","",IF(COUNTIF(choice!$D:$D,CONCATENATE($W20,"@",EV$7))=0,"",VLOOKUP(CONCATENATE($W20,"@",EV$7),choice!$D:$E,2,0)))</f>
        <v/>
      </c>
      <c r="EW20" s="83" t="str">
        <f>IF($W20="","",IF(COUNTIF(choice!$D:$D,CONCATENATE($W20,"@",EW$7))=0,"",VLOOKUP(CONCATENATE($W20,"@",EW$7),choice!$D:$E,2,0)))</f>
        <v/>
      </c>
      <c r="EX20" s="83" t="str">
        <f>IF($W20="","",IF(COUNTIF(choice!$D:$D,CONCATENATE($W20,"@",EX$7))=0,"",VLOOKUP(CONCATENATE($W20,"@",EX$7),choice!$D:$E,2,0)))</f>
        <v/>
      </c>
      <c r="EY20" s="83" t="str">
        <f>IF($W20="","",IF(COUNTIF(choice!$D:$D,CONCATENATE($W20,"@",EY$7))=0,"",VLOOKUP(CONCATENATE($W20,"@",EY$7),choice!$D:$E,2,0)))</f>
        <v/>
      </c>
      <c r="EZ20" s="83" t="str">
        <f>IF($W20="","",IF(COUNTIF(choice!$D:$D,CONCATENATE($W20,"@",EZ$7))=0,"",VLOOKUP(CONCATENATE($W20,"@",EZ$7),choice!$D:$E,2,0)))</f>
        <v/>
      </c>
      <c r="FA20" s="83" t="str">
        <f>IF($W20="","",IF(COUNTIF(choice!$D:$D,CONCATENATE($W20,"@",FA$7))=0,"",VLOOKUP(CONCATENATE($W20,"@",FA$7),choice!$D:$E,2,0)))</f>
        <v/>
      </c>
      <c r="FB20" s="83" t="str">
        <f>IF($W20="","",IF(COUNTIF(choice!$D:$D,CONCATENATE($W20,"@",FB$7))=0,"",VLOOKUP(CONCATENATE($W20,"@",FB$7),choice!$D:$E,2,0)))</f>
        <v/>
      </c>
      <c r="FC20" s="83" t="str">
        <f>IF($W20="","",IF(COUNTIF(choice!$D:$D,CONCATENATE($W20,"@",FC$7))=0,"",VLOOKUP(CONCATENATE($W20,"@",FC$7),choice!$D:$E,2,0)))</f>
        <v/>
      </c>
      <c r="FD20" s="83" t="str">
        <f>IF($W20="","",IF(COUNTIF(choice!$D:$D,CONCATENATE($W20,"@",FD$7))=0,"",VLOOKUP(CONCATENATE($W20,"@",FD$7),choice!$D:$E,2,0)))</f>
        <v/>
      </c>
      <c r="FE20" s="83" t="str">
        <f>IF($W20="","",IF(COUNTIF(choice!$D:$D,CONCATENATE($W20,"@",FE$7))=0,"",VLOOKUP(CONCATENATE($W20,"@",FE$7),choice!$D:$E,2,0)))</f>
        <v/>
      </c>
      <c r="FF20" s="83" t="str">
        <f>IF($W20="","",IF(COUNTIF(choice!$D:$D,CONCATENATE($W20,"@",FF$7))=0,"",VLOOKUP(CONCATENATE($W20,"@",FF$7),choice!$D:$E,2,0)))</f>
        <v/>
      </c>
      <c r="FG20" s="83" t="str">
        <f>IF($W20="","",IF(COUNTIF(choice!$D:$D,CONCATENATE($W20,"@",FG$7))=0,"",VLOOKUP(CONCATENATE($W20,"@",FG$7),choice!$D:$E,2,0)))</f>
        <v/>
      </c>
      <c r="FH20" s="83" t="str">
        <f>IF($W20="","",IF(COUNTIF(choice!$D:$D,CONCATENATE($W20,"@",FH$7))=0,"",VLOOKUP(CONCATENATE($W20,"@",FH$7),choice!$D:$E,2,0)))</f>
        <v/>
      </c>
      <c r="FI20" s="83" t="str">
        <f>IF($W20="","",IF(COUNTIF(choice!$D:$D,CONCATENATE($W20,"@",FI$7))=0,"",VLOOKUP(CONCATENATE($W20,"@",FI$7),choice!$D:$E,2,0)))</f>
        <v/>
      </c>
      <c r="FJ20" s="83" t="str">
        <f>IF($W20="","",IF(COUNTIF(choice!$D:$D,CONCATENATE($W20,"@",FJ$7))=0,"",VLOOKUP(CONCATENATE($W20,"@",FJ$7),choice!$D:$E,2,0)))</f>
        <v/>
      </c>
      <c r="FK20" s="83" t="str">
        <f>IF($W20="","",IF(COUNTIF(choice!$D:$D,CONCATENATE($W20,"@",FK$7))=0,"",VLOOKUP(CONCATENATE($W20,"@",FK$7),choice!$D:$E,2,0)))</f>
        <v/>
      </c>
      <c r="FL20" s="83" t="str">
        <f>IF($W20="","",IF(COUNTIF(choice!$D:$D,CONCATENATE($W20,"@",FL$7))=0,"",VLOOKUP(CONCATENATE($W20,"@",FL$7),choice!$D:$E,2,0)))</f>
        <v/>
      </c>
      <c r="FM20" s="83" t="str">
        <f>IF($W20="","",IF(COUNTIF(choice!$D:$D,CONCATENATE($W20,"@",FM$7))=0,"",VLOOKUP(CONCATENATE($W20,"@",FM$7),choice!$D:$E,2,0)))</f>
        <v/>
      </c>
      <c r="FN20" s="83" t="str">
        <f>IF($W20="","",IF(COUNTIF(choice!$D:$D,CONCATENATE($W20,"@",FN$7))=0,"",VLOOKUP(CONCATENATE($W20,"@",FN$7),choice!$D:$E,2,0)))</f>
        <v/>
      </c>
      <c r="FO20" s="83" t="str">
        <f>IF($W20="","",IF(COUNTIF(choice!$D:$D,CONCATENATE($W20,"@",FO$7))=0,"",VLOOKUP(CONCATENATE($W20,"@",FO$7),choice!$D:$E,2,0)))</f>
        <v/>
      </c>
      <c r="FP20" s="83" t="str">
        <f>IF($W20="","",IF(COUNTIF(choice!$D:$D,CONCATENATE($W20,"@",FP$7))=0,"",VLOOKUP(CONCATENATE($W20,"@",FP$7),choice!$D:$E,2,0)))</f>
        <v/>
      </c>
      <c r="FQ20" s="83" t="str">
        <f>IF($W20="","",IF(COUNTIF(choice!$D:$D,CONCATENATE($W20,"@",FQ$7))=0,"",VLOOKUP(CONCATENATE($W20,"@",FQ$7),choice!$D:$E,2,0)))</f>
        <v/>
      </c>
      <c r="FR20" s="83" t="str">
        <f>IF($W20="","",IF(COUNTIF(choice!$D:$D,CONCATENATE($W20,"@",FR$7))=0,"",VLOOKUP(CONCATENATE($W20,"@",FR$7),choice!$D:$E,2,0)))</f>
        <v/>
      </c>
      <c r="FS20" s="83" t="str">
        <f>IF($W20="","",IF(COUNTIF(choice!$D:$D,CONCATENATE($W20,"@",FS$7))=0,"",VLOOKUP(CONCATENATE($W20,"@",FS$7),choice!$D:$E,2,0)))</f>
        <v/>
      </c>
      <c r="FT20" s="83" t="str">
        <f>IF($W20="","",IF(COUNTIF(choice!$D:$D,CONCATENATE($W20,"@",FT$7))=0,"",VLOOKUP(CONCATENATE($W20,"@",FT$7),choice!$D:$E,2,0)))</f>
        <v/>
      </c>
      <c r="FU20" s="83" t="str">
        <f>IF($W20="","",IF(COUNTIF(choice!$D:$D,CONCATENATE($W20,"@",FU$7))=0,"",VLOOKUP(CONCATENATE($W20,"@",FU$7),choice!$D:$E,2,0)))</f>
        <v/>
      </c>
      <c r="FV20" s="84" t="str">
        <f>IF($W20="","",IF(COUNTIF(choice!$D:$D,CONCATENATE($W20,"@",FV$7))=0,"",VLOOKUP(CONCATENATE($W20,"@",FV$7),choice!$D:$E,2,0)))</f>
        <v/>
      </c>
      <c r="FW20" s="82" t="str">
        <f>IF($X20="","",IF(COUNTIF(choice!$D:$D,CONCATENATE($X20,"@",FW$7))=0,"",VLOOKUP(CONCATENATE($X20,"@",FW$7),choice!$D:$E,2,0)))</f>
        <v/>
      </c>
      <c r="FX20" s="83" t="str">
        <f>IF($X20="","",IF(COUNTIF(choice!$D:$D,CONCATENATE($X20,"@",FX$7))=0,"",VLOOKUP(CONCATENATE($X20,"@",FX$7),choice!$D:$E,2,0)))</f>
        <v/>
      </c>
      <c r="FY20" s="83" t="str">
        <f>IF($X20="","",IF(COUNTIF(choice!$D:$D,CONCATENATE($X20,"@",FY$7))=0,"",VLOOKUP(CONCATENATE($X20,"@",FY$7),choice!$D:$E,2,0)))</f>
        <v/>
      </c>
      <c r="FZ20" s="83" t="str">
        <f>IF($X20="","",IF(COUNTIF(choice!$D:$D,CONCATENATE($X20,"@",FZ$7))=0,"",VLOOKUP(CONCATENATE($X20,"@",FZ$7),choice!$D:$E,2,0)))</f>
        <v/>
      </c>
      <c r="GA20" s="83" t="str">
        <f>IF($X20="","",IF(COUNTIF(choice!$D:$D,CONCATENATE($X20,"@",GA$7))=0,"",VLOOKUP(CONCATENATE($X20,"@",GA$7),choice!$D:$E,2,0)))</f>
        <v/>
      </c>
      <c r="GB20" s="83" t="str">
        <f>IF($X20="","",IF(COUNTIF(choice!$D:$D,CONCATENATE($X20,"@",GB$7))=0,"",VLOOKUP(CONCATENATE($X20,"@",GB$7),choice!$D:$E,2,0)))</f>
        <v/>
      </c>
      <c r="GC20" s="83" t="str">
        <f>IF($X20="","",IF(COUNTIF(choice!$D:$D,CONCATENATE($X20,"@",GC$7))=0,"",VLOOKUP(CONCATENATE($X20,"@",GC$7),choice!$D:$E,2,0)))</f>
        <v/>
      </c>
      <c r="GD20" s="83" t="str">
        <f>IF($X20="","",IF(COUNTIF(choice!$D:$D,CONCATENATE($X20,"@",GD$7))=0,"",VLOOKUP(CONCATENATE($X20,"@",GD$7),choice!$D:$E,2,0)))</f>
        <v/>
      </c>
      <c r="GE20" s="83" t="str">
        <f>IF($X20="","",IF(COUNTIF(choice!$D:$D,CONCATENATE($X20,"@",GE$7))=0,"",VLOOKUP(CONCATENATE($X20,"@",GE$7),choice!$D:$E,2,0)))</f>
        <v/>
      </c>
      <c r="GF20" s="83" t="str">
        <f>IF($X20="","",IF(COUNTIF(choice!$D:$D,CONCATENATE($X20,"@",GF$7))=0,"",VLOOKUP(CONCATENATE($X20,"@",GF$7),choice!$D:$E,2,0)))</f>
        <v/>
      </c>
      <c r="GG20" s="83" t="str">
        <f>IF($X20="","",IF(COUNTIF(choice!$D:$D,CONCATENATE($X20,"@",GG$7))=0,"",VLOOKUP(CONCATENATE($X20,"@",GG$7),choice!$D:$E,2,0)))</f>
        <v/>
      </c>
      <c r="GH20" s="83" t="str">
        <f>IF($X20="","",IF(COUNTIF(choice!$D:$D,CONCATENATE($X20,"@",GH$7))=0,"",VLOOKUP(CONCATENATE($X20,"@",GH$7),choice!$D:$E,2,0)))</f>
        <v/>
      </c>
      <c r="GI20" s="83" t="str">
        <f>IF($X20="","",IF(COUNTIF(choice!$D:$D,CONCATENATE($X20,"@",GI$7))=0,"",VLOOKUP(CONCATENATE($X20,"@",GI$7),choice!$D:$E,2,0)))</f>
        <v/>
      </c>
      <c r="GJ20" s="83" t="str">
        <f>IF($X20="","",IF(COUNTIF(choice!$D:$D,CONCATENATE($X20,"@",GJ$7))=0,"",VLOOKUP(CONCATENATE($X20,"@",GJ$7),choice!$D:$E,2,0)))</f>
        <v/>
      </c>
      <c r="GK20" s="83" t="str">
        <f>IF($X20="","",IF(COUNTIF(choice!$D:$D,CONCATENATE($X20,"@",GK$7))=0,"",VLOOKUP(CONCATENATE($X20,"@",GK$7),choice!$D:$E,2,0)))</f>
        <v/>
      </c>
      <c r="GL20" s="83" t="str">
        <f>IF($X20="","",IF(COUNTIF(choice!$D:$D,CONCATENATE($X20,"@",GL$7))=0,"",VLOOKUP(CONCATENATE($X20,"@",GL$7),choice!$D:$E,2,0)))</f>
        <v/>
      </c>
      <c r="GM20" s="83" t="str">
        <f>IF($X20="","",IF(COUNTIF(choice!$D:$D,CONCATENATE($X20,"@",GM$7))=0,"",VLOOKUP(CONCATENATE($X20,"@",GM$7),choice!$D:$E,2,0)))</f>
        <v/>
      </c>
      <c r="GN20" s="83" t="str">
        <f>IF($X20="","",IF(COUNTIF(choice!$D:$D,CONCATENATE($X20,"@",GN$7))=0,"",VLOOKUP(CONCATENATE($X20,"@",GN$7),choice!$D:$E,2,0)))</f>
        <v/>
      </c>
      <c r="GO20" s="83" t="str">
        <f>IF($X20="","",IF(COUNTIF(choice!$D:$D,CONCATENATE($X20,"@",GO$7))=0,"",VLOOKUP(CONCATENATE($X20,"@",GO$7),choice!$D:$E,2,0)))</f>
        <v/>
      </c>
      <c r="GP20" s="83" t="str">
        <f>IF($X20="","",IF(COUNTIF(choice!$D:$D,CONCATENATE($X20,"@",GP$7))=0,"",VLOOKUP(CONCATENATE($X20,"@",GP$7),choice!$D:$E,2,0)))</f>
        <v/>
      </c>
      <c r="GQ20" s="83" t="str">
        <f>IF($X20="","",IF(COUNTIF(choice!$D:$D,CONCATENATE($X20,"@",GQ$7))=0,"",VLOOKUP(CONCATENATE($X20,"@",GQ$7),choice!$D:$E,2,0)))</f>
        <v/>
      </c>
      <c r="GR20" s="83" t="str">
        <f>IF($X20="","",IF(COUNTIF(choice!$D:$D,CONCATENATE($X20,"@",GR$7))=0,"",VLOOKUP(CONCATENATE($X20,"@",GR$7),choice!$D:$E,2,0)))</f>
        <v/>
      </c>
      <c r="GS20" s="83" t="str">
        <f>IF($X20="","",IF(COUNTIF(choice!$D:$D,CONCATENATE($X20,"@",GS$7))=0,"",VLOOKUP(CONCATENATE($X20,"@",GS$7),choice!$D:$E,2,0)))</f>
        <v/>
      </c>
      <c r="GT20" s="83" t="str">
        <f>IF($X20="","",IF(COUNTIF(choice!$D:$D,CONCATENATE($X20,"@",GT$7))=0,"",VLOOKUP(CONCATENATE($X20,"@",GT$7),choice!$D:$E,2,0)))</f>
        <v/>
      </c>
      <c r="GU20" s="83" t="str">
        <f>IF($X20="","",IF(COUNTIF(choice!$D:$D,CONCATENATE($X20,"@",GU$7))=0,"",VLOOKUP(CONCATENATE($X20,"@",GU$7),choice!$D:$E,2,0)))</f>
        <v/>
      </c>
      <c r="GV20" s="83" t="str">
        <f>IF($X20="","",IF(COUNTIF(choice!$D:$D,CONCATENATE($X20,"@",GV$7))=0,"",VLOOKUP(CONCATENATE($X20,"@",GV$7),choice!$D:$E,2,0)))</f>
        <v/>
      </c>
      <c r="GW20" s="83" t="str">
        <f>IF($X20="","",IF(COUNTIF(choice!$D:$D,CONCATENATE($X20,"@",GW$7))=0,"",VLOOKUP(CONCATENATE($X20,"@",GW$7),choice!$D:$E,2,0)))</f>
        <v/>
      </c>
      <c r="GX20" s="83" t="str">
        <f>IF($X20="","",IF(COUNTIF(choice!$D:$D,CONCATENATE($X20,"@",GX$7))=0,"",VLOOKUP(CONCATENATE($X20,"@",GX$7),choice!$D:$E,2,0)))</f>
        <v/>
      </c>
      <c r="GY20" s="83" t="str">
        <f>IF($X20="","",IF(COUNTIF(choice!$D:$D,CONCATENATE($X20,"@",GY$7))=0,"",VLOOKUP(CONCATENATE($X20,"@",GY$7),choice!$D:$E,2,0)))</f>
        <v/>
      </c>
      <c r="GZ20" s="83" t="str">
        <f>IF($X20="","",IF(COUNTIF(choice!$D:$D,CONCATENATE($X20,"@",GZ$7))=0,"",VLOOKUP(CONCATENATE($X20,"@",GZ$7),choice!$D:$E,2,0)))</f>
        <v/>
      </c>
      <c r="HA20" s="83" t="str">
        <f>IF($X20="","",IF(COUNTIF(choice!$D:$D,CONCATENATE($X20,"@",HA$7))=0,"",VLOOKUP(CONCATENATE($X20,"@",HA$7),choice!$D:$E,2,0)))</f>
        <v/>
      </c>
      <c r="HB20" s="83" t="str">
        <f>IF($X20="","",IF(COUNTIF(choice!$D:$D,CONCATENATE($X20,"@",HB$7))=0,"",VLOOKUP(CONCATENATE($X20,"@",HB$7),choice!$D:$E,2,0)))</f>
        <v/>
      </c>
      <c r="HC20" s="83" t="str">
        <f>IF($X20="","",IF(COUNTIF(choice!$D:$D,CONCATENATE($X20,"@",HC$7))=0,"",VLOOKUP(CONCATENATE($X20,"@",HC$7),choice!$D:$E,2,0)))</f>
        <v/>
      </c>
      <c r="HD20" s="83" t="str">
        <f>IF($X20="","",IF(COUNTIF(choice!$D:$D,CONCATENATE($X20,"@",HD$7))=0,"",VLOOKUP(CONCATENATE($X20,"@",HD$7),choice!$D:$E,2,0)))</f>
        <v/>
      </c>
      <c r="HE20" s="83" t="str">
        <f>IF($X20="","",IF(COUNTIF(choice!$D:$D,CONCATENATE($X20,"@",HE$7))=0,"",VLOOKUP(CONCATENATE($X20,"@",HE$7),choice!$D:$E,2,0)))</f>
        <v/>
      </c>
      <c r="HF20" s="83" t="str">
        <f>IF($X20="","",IF(COUNTIF(choice!$D:$D,CONCATENATE($X20,"@",HF$7))=0,"",VLOOKUP(CONCATENATE($X20,"@",HF$7),choice!$D:$E,2,0)))</f>
        <v/>
      </c>
      <c r="HG20" s="83" t="str">
        <f>IF($X20="","",IF(COUNTIF(choice!$D:$D,CONCATENATE($X20,"@",HG$7))=0,"",VLOOKUP(CONCATENATE($X20,"@",HG$7),choice!$D:$E,2,0)))</f>
        <v/>
      </c>
      <c r="HH20" s="83" t="str">
        <f>IF($X20="","",IF(COUNTIF(choice!$D:$D,CONCATENATE($X20,"@",HH$7))=0,"",VLOOKUP(CONCATENATE($X20,"@",HH$7),choice!$D:$E,2,0)))</f>
        <v/>
      </c>
      <c r="HI20" s="83" t="str">
        <f>IF($X20="","",IF(COUNTIF(choice!$D:$D,CONCATENATE($X20,"@",HI$7))=0,"",VLOOKUP(CONCATENATE($X20,"@",HI$7),choice!$D:$E,2,0)))</f>
        <v/>
      </c>
      <c r="HJ20" s="83" t="str">
        <f>IF($X20="","",IF(COUNTIF(choice!$D:$D,CONCATENATE($X20,"@",HJ$7))=0,"",VLOOKUP(CONCATENATE($X20,"@",HJ$7),choice!$D:$E,2,0)))</f>
        <v/>
      </c>
      <c r="HK20" s="83" t="str">
        <f>IF($X20="","",IF(COUNTIF(choice!$D:$D,CONCATENATE($X20,"@",HK$7))=0,"",VLOOKUP(CONCATENATE($X20,"@",HK$7),choice!$D:$E,2,0)))</f>
        <v/>
      </c>
      <c r="HL20" s="83" t="str">
        <f>IF($X20="","",IF(COUNTIF(choice!$D:$D,CONCATENATE($X20,"@",HL$7))=0,"",VLOOKUP(CONCATENATE($X20,"@",HL$7),choice!$D:$E,2,0)))</f>
        <v/>
      </c>
      <c r="HM20" s="83" t="str">
        <f>IF($X20="","",IF(COUNTIF(choice!$D:$D,CONCATENATE($X20,"@",HM$7))=0,"",VLOOKUP(CONCATENATE($X20,"@",HM$7),choice!$D:$E,2,0)))</f>
        <v/>
      </c>
      <c r="HN20" s="83" t="str">
        <f>IF($X20="","",IF(COUNTIF(choice!$D:$D,CONCATENATE($X20,"@",HN$7))=0,"",VLOOKUP(CONCATENATE($X20,"@",HN$7),choice!$D:$E,2,0)))</f>
        <v/>
      </c>
      <c r="HO20" s="84" t="str">
        <f>IF($X20="","",IF(COUNTIF(choice!$D:$D,CONCATENATE($X20,"@",HO$7))=0,"",VLOOKUP(CONCATENATE($X20,"@",HO$7),choice!$D:$E,2,0)))</f>
        <v/>
      </c>
      <c r="HP20" s="20" t="s">
        <v>75</v>
      </c>
      <c r="HQ20" s="20" t="s">
        <v>76</v>
      </c>
      <c r="HU20" s="183" t="s">
        <v>6</v>
      </c>
      <c r="HV20" s="74">
        <f t="shared" si="10"/>
        <v>0</v>
      </c>
      <c r="HW20" s="74">
        <f t="shared" si="11"/>
        <v>0</v>
      </c>
      <c r="HX20" s="74">
        <f t="shared" si="12"/>
        <v>0</v>
      </c>
      <c r="HY20" s="74">
        <f t="shared" si="13"/>
        <v>0</v>
      </c>
      <c r="HZ20" s="74">
        <f t="shared" si="19"/>
        <v>0</v>
      </c>
      <c r="IA20" s="74">
        <f t="shared" si="20"/>
        <v>0</v>
      </c>
      <c r="IB20" s="74" t="str">
        <f t="shared" si="21"/>
        <v/>
      </c>
      <c r="IC20" s="74" t="str">
        <f t="shared" si="22"/>
        <v/>
      </c>
      <c r="ID20" s="74" t="str">
        <f t="shared" si="14"/>
        <v/>
      </c>
      <c r="IE20" s="74">
        <f t="shared" si="15"/>
        <v>13</v>
      </c>
      <c r="IF20" s="74">
        <f>COUNTIFS(ID$8:ID20,"BLUE")</f>
        <v>0</v>
      </c>
      <c r="IG20" s="74" t="str">
        <f t="shared" si="16"/>
        <v/>
      </c>
      <c r="IH20" s="74" t="str">
        <f>IF(COUNTIFS($AQ20,"*02*")=0,"",COUNTIFS(IJ$8:IJ20,"BLUE"))</f>
        <v/>
      </c>
      <c r="II20" s="74" t="str">
        <f>IF(COUNTIFS($AQ20,"*04*")=0,"",COUNTIFS(IK$8:IK20,"BLUE"))</f>
        <v/>
      </c>
      <c r="IJ20" s="74" t="str">
        <f t="shared" si="23"/>
        <v/>
      </c>
      <c r="IK20" s="74" t="str">
        <f t="shared" si="24"/>
        <v/>
      </c>
      <c r="IL20" s="74" t="str">
        <f t="shared" si="17"/>
        <v/>
      </c>
      <c r="IM20" s="74" t="str">
        <f t="shared" si="18"/>
        <v/>
      </c>
      <c r="IN20" s="74">
        <f>COUNTIFS(IJ$8:IJ20,"BLUE")</f>
        <v>0</v>
      </c>
      <c r="IO20" s="74">
        <f>COUNTIFS(IK$8:IK20,"BLUE")</f>
        <v>0</v>
      </c>
    </row>
    <row r="21" spans="1:249" s="2" customFormat="1" ht="16.2" thickTop="1">
      <c r="B21" s="14" t="s">
        <v>77</v>
      </c>
      <c r="C21" s="12" t="s">
        <v>78</v>
      </c>
      <c r="D21" s="204" t="s">
        <v>79</v>
      </c>
      <c r="E21" s="204"/>
      <c r="F21" s="204"/>
      <c r="G21" s="204"/>
      <c r="H21" s="204"/>
      <c r="I21" s="204"/>
      <c r="J21" s="204"/>
      <c r="K21" s="204"/>
      <c r="HP21" s="2" t="s">
        <v>80</v>
      </c>
      <c r="HQ21" s="2" t="s">
        <v>81</v>
      </c>
      <c r="HR21" s="2" t="s">
        <v>82</v>
      </c>
      <c r="HS21" s="2" t="s">
        <v>83</v>
      </c>
      <c r="HU21" s="20"/>
      <c r="HV21" s="74">
        <f t="shared" si="10"/>
        <v>0</v>
      </c>
      <c r="HW21" s="74">
        <f t="shared" si="11"/>
        <v>0</v>
      </c>
      <c r="HX21" s="74">
        <f t="shared" si="12"/>
        <v>0</v>
      </c>
      <c r="HY21" s="74">
        <f t="shared" si="13"/>
        <v>0</v>
      </c>
      <c r="HZ21" s="20"/>
      <c r="IA21" s="20"/>
      <c r="IB21" s="20"/>
      <c r="IF21" s="20"/>
      <c r="IG21" s="74"/>
      <c r="IL21" s="74"/>
      <c r="IM21" s="74"/>
    </row>
    <row r="22" spans="1:249" s="2" customFormat="1" ht="25.5" customHeight="1">
      <c r="C22" s="60" t="s">
        <v>84</v>
      </c>
      <c r="D22" s="204" t="s">
        <v>85</v>
      </c>
      <c r="E22" s="204"/>
      <c r="F22" s="204"/>
      <c r="G22" s="204"/>
      <c r="H22" s="204"/>
      <c r="I22" s="3"/>
      <c r="J22" s="3"/>
      <c r="K22" s="13"/>
      <c r="L22" s="4"/>
      <c r="HP22" s="20" t="s">
        <v>86</v>
      </c>
      <c r="HQ22" s="20" t="s">
        <v>87</v>
      </c>
    </row>
    <row r="23" spans="1:249" s="185" customFormat="1" ht="20.100000000000001" customHeight="1">
      <c r="B23" s="186"/>
      <c r="C23" s="186"/>
      <c r="D23" s="203" t="str">
        <f>CONCATENATE(IF(IN20=0,"",CONCATENATE("項目",IL8,IL9,IL10,IL11,IL12,IL13,IL14,IL15,IL16,IL17,IL18,IL19,IL20,"需獲SHD02藍燈授權到SHD01或SHD03附近鈎接")),IF(IN20=0,"","          "),IF(IO20=0,"",CONCATENATE("項目",IM8,IM9,IM10,IM11,IM12,IM13,IM14,IM15,IM16,IM17,IM18,IM19,IM20,"需獲SHD04藍燈授權到SHD01或SHD03附近鈎接")))</f>
        <v/>
      </c>
      <c r="E23" s="203"/>
      <c r="F23" s="203"/>
      <c r="G23" s="203"/>
      <c r="H23" s="203"/>
      <c r="I23" s="203"/>
      <c r="J23" s="203"/>
      <c r="K23" s="203"/>
      <c r="L23" s="203"/>
      <c r="M23" s="203"/>
      <c r="N23" s="203"/>
      <c r="O23" s="203"/>
      <c r="P23" s="203"/>
      <c r="Q23" s="203"/>
      <c r="R23" s="203"/>
      <c r="S23" s="203"/>
      <c r="HP23" s="187" t="s">
        <v>88</v>
      </c>
      <c r="HQ23" s="187" t="s">
        <v>89</v>
      </c>
      <c r="HT23" s="188"/>
    </row>
    <row r="24" spans="1:249">
      <c r="B24" s="2"/>
      <c r="D24" s="3"/>
      <c r="E24" s="2"/>
      <c r="G24" s="3"/>
      <c r="J24" s="3"/>
      <c r="L24" s="4"/>
      <c r="M24" s="5"/>
      <c r="N24" s="5"/>
      <c r="O24" s="5"/>
      <c r="P24" s="5"/>
      <c r="Q24" s="5"/>
      <c r="R24" s="5"/>
      <c r="S24" s="5"/>
    </row>
    <row r="25" spans="1:249">
      <c r="B25" s="2"/>
      <c r="D25" s="3"/>
      <c r="E25" s="2"/>
      <c r="G25" s="3"/>
      <c r="J25" s="3"/>
      <c r="L25" s="4"/>
      <c r="M25" s="5"/>
      <c r="N25" s="5"/>
      <c r="O25" s="5"/>
      <c r="P25" s="5"/>
      <c r="Q25" s="5"/>
      <c r="R25" s="5"/>
      <c r="S25" s="5"/>
    </row>
    <row r="26" spans="1:249">
      <c r="B26" s="2"/>
      <c r="D26" s="3"/>
      <c r="E26" s="2"/>
      <c r="G26" s="3"/>
      <c r="J26" s="3"/>
      <c r="L26" s="4"/>
      <c r="M26" s="5"/>
      <c r="N26" s="5"/>
      <c r="O26" s="5"/>
      <c r="P26" s="5"/>
      <c r="Q26" s="5"/>
      <c r="R26" s="5"/>
      <c r="S26" s="5"/>
    </row>
    <row r="27" spans="1:249">
      <c r="B27" s="2"/>
      <c r="D27" s="3"/>
      <c r="E27" s="2"/>
      <c r="G27" s="3"/>
      <c r="J27" s="3"/>
      <c r="L27" s="4"/>
      <c r="M27" s="5"/>
      <c r="N27" s="5"/>
      <c r="O27" s="5"/>
      <c r="P27" s="5"/>
      <c r="Q27" s="5"/>
      <c r="R27" s="5"/>
      <c r="S27" s="5"/>
    </row>
    <row r="28" spans="1:249">
      <c r="B28" s="2"/>
      <c r="D28" s="3"/>
      <c r="E28" s="2"/>
      <c r="G28" s="3"/>
      <c r="J28" s="3"/>
      <c r="L28" s="4"/>
      <c r="M28" s="5"/>
      <c r="N28" s="5"/>
      <c r="O28" s="5"/>
      <c r="P28" s="5"/>
      <c r="Q28" s="5"/>
      <c r="R28" s="5"/>
      <c r="S28" s="5"/>
    </row>
    <row r="29" spans="1:249">
      <c r="B29" s="2"/>
      <c r="D29" s="3"/>
      <c r="E29" s="2"/>
      <c r="G29" s="3"/>
      <c r="J29" s="3"/>
      <c r="L29" s="4"/>
      <c r="M29" s="5"/>
      <c r="N29" s="5"/>
      <c r="O29" s="5"/>
      <c r="P29" s="5"/>
      <c r="Q29" s="5"/>
      <c r="R29" s="5"/>
      <c r="S29" s="5"/>
    </row>
    <row r="30" spans="1:249">
      <c r="B30" s="2"/>
      <c r="D30" s="3"/>
      <c r="E30" s="2"/>
      <c r="G30" s="3"/>
      <c r="J30" s="3"/>
      <c r="L30" s="4"/>
      <c r="M30" s="5"/>
      <c r="N30" s="5"/>
      <c r="O30" s="5"/>
      <c r="P30" s="5"/>
      <c r="Q30" s="5"/>
      <c r="R30" s="5"/>
      <c r="S30" s="5"/>
    </row>
    <row r="31" spans="1:249">
      <c r="B31" s="2"/>
      <c r="D31" s="3"/>
      <c r="E31" s="2"/>
      <c r="G31" s="3"/>
      <c r="J31" s="3"/>
      <c r="L31" s="4"/>
      <c r="M31" s="5"/>
      <c r="N31" s="5"/>
      <c r="O31" s="5"/>
      <c r="P31" s="5"/>
      <c r="Q31" s="5"/>
      <c r="R31" s="5"/>
      <c r="S31" s="5"/>
    </row>
    <row r="32" spans="1:249">
      <c r="B32" s="2"/>
      <c r="D32" s="3"/>
      <c r="E32" s="2"/>
      <c r="G32" s="3"/>
      <c r="J32" s="3"/>
      <c r="L32" s="4"/>
      <c r="M32" s="5"/>
      <c r="N32" s="5"/>
      <c r="O32" s="5"/>
      <c r="P32" s="5"/>
      <c r="Q32" s="5"/>
      <c r="R32" s="5"/>
      <c r="S32" s="5"/>
    </row>
    <row r="33" spans="2:19">
      <c r="B33" s="2"/>
      <c r="D33" s="3"/>
      <c r="E33" s="2"/>
      <c r="G33" s="3"/>
      <c r="J33" s="3"/>
      <c r="L33" s="4"/>
      <c r="M33" s="5"/>
      <c r="N33" s="5"/>
      <c r="O33" s="5"/>
      <c r="P33" s="5"/>
      <c r="Q33" s="5"/>
      <c r="R33" s="5"/>
      <c r="S33" s="5"/>
    </row>
    <row r="34" spans="2:19">
      <c r="B34" s="2"/>
      <c r="D34" s="3"/>
      <c r="E34" s="2"/>
      <c r="G34" s="3"/>
      <c r="J34" s="3"/>
      <c r="L34" s="4"/>
      <c r="M34" s="5"/>
      <c r="N34" s="5"/>
      <c r="O34" s="5"/>
      <c r="P34" s="5"/>
      <c r="Q34" s="5"/>
      <c r="R34" s="5"/>
      <c r="S34" s="5"/>
    </row>
    <row r="35" spans="2:19">
      <c r="B35" s="2"/>
      <c r="D35" s="3"/>
      <c r="E35" s="2"/>
      <c r="G35" s="3"/>
      <c r="J35" s="3"/>
      <c r="L35" s="4"/>
      <c r="M35" s="5"/>
      <c r="N35" s="5"/>
      <c r="O35" s="5"/>
      <c r="P35" s="5"/>
      <c r="Q35" s="5"/>
      <c r="R35" s="5"/>
      <c r="S35" s="5"/>
    </row>
    <row r="36" spans="2:19">
      <c r="B36" s="2"/>
      <c r="D36" s="3"/>
      <c r="E36" s="2"/>
      <c r="G36" s="3"/>
      <c r="J36" s="3"/>
      <c r="L36" s="4"/>
      <c r="M36" s="5"/>
      <c r="N36" s="5"/>
      <c r="O36" s="5"/>
      <c r="P36" s="5"/>
      <c r="Q36" s="5"/>
      <c r="R36" s="5"/>
      <c r="S36" s="5"/>
    </row>
    <row r="37" spans="2:19">
      <c r="B37" s="2"/>
      <c r="D37" s="3"/>
      <c r="E37" s="2"/>
      <c r="G37" s="3"/>
      <c r="J37" s="3"/>
      <c r="L37" s="4"/>
      <c r="M37" s="5"/>
      <c r="N37" s="5"/>
      <c r="O37" s="5"/>
      <c r="P37" s="5"/>
      <c r="Q37" s="5"/>
      <c r="R37" s="5"/>
      <c r="S37" s="5"/>
    </row>
    <row r="38" spans="2:19">
      <c r="B38" s="2"/>
      <c r="D38" s="3"/>
      <c r="E38" s="2"/>
      <c r="G38" s="3"/>
      <c r="J38" s="3"/>
      <c r="L38" s="4"/>
      <c r="M38" s="5"/>
      <c r="N38" s="5"/>
      <c r="O38" s="5"/>
      <c r="P38" s="5"/>
      <c r="Q38" s="5"/>
      <c r="R38" s="5"/>
      <c r="S38" s="5"/>
    </row>
    <row r="39" spans="2:19">
      <c r="B39" s="2"/>
      <c r="D39" s="3"/>
      <c r="E39" s="2"/>
      <c r="G39" s="3"/>
      <c r="J39" s="3"/>
      <c r="L39" s="4"/>
      <c r="M39" s="5"/>
      <c r="N39" s="5"/>
      <c r="O39" s="5"/>
      <c r="P39" s="5"/>
      <c r="Q39" s="5"/>
      <c r="R39" s="5"/>
      <c r="S39" s="5"/>
    </row>
    <row r="40" spans="2:19">
      <c r="B40" s="2"/>
      <c r="D40" s="3"/>
      <c r="E40" s="2"/>
      <c r="G40" s="3"/>
      <c r="J40" s="3"/>
      <c r="L40" s="4"/>
      <c r="M40" s="5"/>
      <c r="N40" s="5"/>
      <c r="O40" s="5"/>
      <c r="P40" s="5"/>
      <c r="Q40" s="5"/>
      <c r="R40" s="5"/>
      <c r="S40" s="5"/>
    </row>
    <row r="41" spans="2:19">
      <c r="B41" s="2"/>
      <c r="D41" s="3"/>
      <c r="E41" s="2"/>
      <c r="G41" s="3"/>
      <c r="J41" s="3"/>
      <c r="L41" s="4"/>
      <c r="M41" s="5"/>
      <c r="N41" s="5"/>
      <c r="O41" s="5"/>
      <c r="P41" s="5"/>
      <c r="Q41" s="5"/>
      <c r="R41" s="5"/>
      <c r="S41" s="5"/>
    </row>
    <row r="42" spans="2:19">
      <c r="B42" s="2"/>
      <c r="D42" s="3"/>
      <c r="E42" s="2"/>
      <c r="G42" s="3"/>
      <c r="J42" s="3"/>
      <c r="L42" s="4"/>
      <c r="M42" s="5"/>
      <c r="N42" s="5"/>
      <c r="O42" s="5"/>
      <c r="P42" s="5"/>
      <c r="Q42" s="5"/>
      <c r="R42" s="5"/>
      <c r="S42" s="5"/>
    </row>
    <row r="43" spans="2:19">
      <c r="B43" s="2"/>
      <c r="D43" s="3"/>
      <c r="E43" s="2"/>
      <c r="G43" s="3"/>
      <c r="J43" s="3"/>
      <c r="L43" s="4"/>
      <c r="M43" s="5"/>
      <c r="N43" s="5"/>
      <c r="O43" s="5"/>
      <c r="P43" s="5"/>
      <c r="Q43" s="5"/>
      <c r="R43" s="5"/>
      <c r="S43" s="5"/>
    </row>
    <row r="44" spans="2:19">
      <c r="B44" s="2"/>
      <c r="D44" s="3"/>
      <c r="E44" s="2"/>
      <c r="G44" s="3"/>
      <c r="J44" s="3"/>
      <c r="L44" s="4"/>
      <c r="M44" s="5"/>
      <c r="N44" s="5"/>
      <c r="O44" s="5"/>
      <c r="P44" s="5"/>
      <c r="Q44" s="5"/>
      <c r="R44" s="5"/>
      <c r="S44" s="5"/>
    </row>
    <row r="45" spans="2:19">
      <c r="B45" s="2"/>
      <c r="D45" s="3"/>
      <c r="E45" s="2"/>
      <c r="G45" s="3"/>
      <c r="J45" s="3"/>
      <c r="L45" s="4"/>
      <c r="M45" s="5"/>
      <c r="N45" s="5"/>
      <c r="O45" s="5"/>
      <c r="P45" s="5"/>
      <c r="Q45" s="5"/>
      <c r="R45" s="5"/>
      <c r="S45" s="5"/>
    </row>
    <row r="46" spans="2:19">
      <c r="B46" s="2"/>
      <c r="D46" s="3"/>
      <c r="E46" s="2"/>
      <c r="G46" s="3"/>
      <c r="J46" s="3"/>
      <c r="L46" s="4"/>
      <c r="M46" s="5"/>
      <c r="N46" s="5"/>
      <c r="O46" s="5"/>
      <c r="P46" s="5"/>
      <c r="Q46" s="5"/>
      <c r="R46" s="5"/>
      <c r="S46" s="5"/>
    </row>
    <row r="47" spans="2:19">
      <c r="B47" s="2"/>
      <c r="D47" s="3"/>
      <c r="E47" s="2"/>
      <c r="G47" s="3"/>
      <c r="J47" s="3"/>
      <c r="L47" s="4"/>
      <c r="M47" s="5"/>
      <c r="N47" s="5"/>
      <c r="O47" s="5"/>
      <c r="P47" s="5"/>
      <c r="Q47" s="5"/>
      <c r="R47" s="5"/>
      <c r="S47" s="5"/>
    </row>
    <row r="48" spans="2:19">
      <c r="B48" s="2"/>
      <c r="D48" s="3"/>
      <c r="E48" s="2"/>
      <c r="G48" s="3"/>
      <c r="J48" s="3"/>
      <c r="L48" s="4"/>
      <c r="M48" s="5"/>
      <c r="N48" s="5"/>
      <c r="O48" s="5"/>
      <c r="P48" s="5"/>
      <c r="Q48" s="5"/>
      <c r="R48" s="5"/>
      <c r="S48" s="5"/>
    </row>
    <row r="49" spans="2:19">
      <c r="B49" s="2"/>
      <c r="D49" s="3"/>
      <c r="E49" s="2"/>
      <c r="G49" s="3"/>
      <c r="J49" s="3"/>
      <c r="L49" s="4"/>
      <c r="M49" s="5"/>
      <c r="N49" s="5"/>
      <c r="O49" s="5"/>
      <c r="P49" s="5"/>
      <c r="Q49" s="5"/>
      <c r="R49" s="5"/>
      <c r="S49" s="5"/>
    </row>
    <row r="50" spans="2:19">
      <c r="B50" s="2"/>
      <c r="D50" s="3"/>
      <c r="E50" s="2"/>
      <c r="G50" s="3"/>
      <c r="J50" s="3"/>
      <c r="L50" s="4"/>
      <c r="M50" s="5"/>
      <c r="N50" s="5"/>
      <c r="O50" s="5"/>
      <c r="P50" s="5"/>
      <c r="Q50" s="5"/>
      <c r="R50" s="5"/>
      <c r="S50" s="5"/>
    </row>
    <row r="51" spans="2:19">
      <c r="B51" s="2"/>
      <c r="D51" s="3"/>
      <c r="E51" s="2"/>
      <c r="G51" s="3"/>
      <c r="J51" s="3"/>
      <c r="L51" s="4"/>
      <c r="M51" s="5"/>
      <c r="N51" s="5"/>
      <c r="O51" s="5"/>
      <c r="P51" s="5"/>
      <c r="Q51" s="5"/>
      <c r="R51" s="5"/>
      <c r="S51" s="5"/>
    </row>
    <row r="52" spans="2:19">
      <c r="B52" s="2"/>
      <c r="D52" s="3"/>
      <c r="E52" s="2"/>
      <c r="G52" s="3"/>
      <c r="J52" s="3"/>
      <c r="L52" s="4"/>
      <c r="M52" s="5"/>
      <c r="N52" s="5"/>
      <c r="O52" s="5"/>
      <c r="P52" s="5"/>
      <c r="Q52" s="5"/>
      <c r="R52" s="5"/>
      <c r="S52" s="5"/>
    </row>
    <row r="53" spans="2:19">
      <c r="B53" s="2"/>
      <c r="D53" s="3"/>
      <c r="E53" s="2"/>
      <c r="G53" s="3"/>
      <c r="J53" s="3"/>
      <c r="L53" s="4"/>
      <c r="M53" s="5"/>
      <c r="N53" s="5"/>
      <c r="O53" s="5"/>
      <c r="P53" s="5"/>
      <c r="Q53" s="5"/>
      <c r="R53" s="5"/>
      <c r="S53" s="5"/>
    </row>
    <row r="54" spans="2:19">
      <c r="B54" s="2"/>
      <c r="D54" s="3"/>
      <c r="E54" s="2"/>
      <c r="G54" s="3"/>
      <c r="J54" s="3"/>
      <c r="L54" s="4"/>
      <c r="M54" s="5"/>
      <c r="N54" s="5"/>
      <c r="O54" s="5"/>
      <c r="P54" s="5"/>
      <c r="Q54" s="5"/>
      <c r="R54" s="5"/>
      <c r="S54" s="5"/>
    </row>
    <row r="55" spans="2:19">
      <c r="B55" s="2"/>
      <c r="D55" s="3"/>
      <c r="E55" s="2"/>
      <c r="G55" s="3"/>
      <c r="J55" s="3"/>
      <c r="L55" s="4"/>
      <c r="M55" s="5"/>
      <c r="N55" s="5"/>
      <c r="O55" s="5"/>
      <c r="P55" s="5"/>
      <c r="Q55" s="5"/>
      <c r="R55" s="5"/>
      <c r="S55" s="5"/>
    </row>
    <row r="56" spans="2:19">
      <c r="B56" s="2"/>
      <c r="D56" s="3"/>
      <c r="E56" s="2"/>
      <c r="G56" s="3"/>
      <c r="J56" s="3"/>
      <c r="L56" s="4"/>
      <c r="M56" s="5"/>
      <c r="N56" s="5"/>
      <c r="O56" s="5"/>
      <c r="P56" s="5"/>
      <c r="Q56" s="5"/>
      <c r="R56" s="5"/>
      <c r="S56" s="5"/>
    </row>
    <row r="57" spans="2:19">
      <c r="B57" s="2"/>
      <c r="D57" s="3"/>
      <c r="E57" s="2"/>
      <c r="G57" s="3"/>
      <c r="J57" s="3"/>
      <c r="L57" s="4"/>
      <c r="M57" s="5"/>
      <c r="N57" s="5"/>
      <c r="O57" s="5"/>
      <c r="P57" s="5"/>
      <c r="Q57" s="5"/>
      <c r="R57" s="5"/>
      <c r="S57" s="5"/>
    </row>
    <row r="58" spans="2:19">
      <c r="B58" s="2"/>
      <c r="D58" s="3"/>
      <c r="E58" s="2"/>
      <c r="G58" s="3"/>
      <c r="J58" s="3"/>
      <c r="L58" s="4"/>
      <c r="M58" s="5"/>
      <c r="N58" s="5"/>
      <c r="O58" s="5"/>
      <c r="P58" s="5"/>
      <c r="Q58" s="5"/>
      <c r="R58" s="5"/>
      <c r="S58" s="5"/>
    </row>
    <row r="59" spans="2:19">
      <c r="B59" s="2"/>
      <c r="D59" s="3"/>
      <c r="E59" s="2"/>
      <c r="G59" s="3"/>
      <c r="J59" s="3"/>
      <c r="L59" s="4"/>
      <c r="M59" s="5"/>
      <c r="N59" s="5"/>
      <c r="O59" s="5"/>
      <c r="P59" s="5"/>
      <c r="Q59" s="5"/>
      <c r="R59" s="5"/>
      <c r="S59" s="5"/>
    </row>
  </sheetData>
  <sheetProtection formatCells="0" formatColumns="0" formatRows="0"/>
  <protectedRanges>
    <protectedRange sqref="F8:F20 H8:H20 L8:L20 C4 V8:Y20 C8:D20" name="範圍1"/>
    <protectedRange sqref="U8:U20" name="範圍1_1"/>
  </protectedRanges>
  <mergeCells count="19">
    <mergeCell ref="N1:S1"/>
    <mergeCell ref="N2:S2"/>
    <mergeCell ref="B3:S3"/>
    <mergeCell ref="C4:D4"/>
    <mergeCell ref="O4:S4"/>
    <mergeCell ref="D23:S23"/>
    <mergeCell ref="D21:K21"/>
    <mergeCell ref="D22:H22"/>
    <mergeCell ref="B5:S5"/>
    <mergeCell ref="B6:B7"/>
    <mergeCell ref="C6:C7"/>
    <mergeCell ref="D6:D7"/>
    <mergeCell ref="E6:F6"/>
    <mergeCell ref="G6:H6"/>
    <mergeCell ref="I6:I7"/>
    <mergeCell ref="J6:J7"/>
    <mergeCell ref="K6:K7"/>
    <mergeCell ref="L6:L7"/>
    <mergeCell ref="M6:S6"/>
  </mergeCells>
  <phoneticPr fontId="10" type="noConversion"/>
  <conditionalFormatting sqref="J8:J20">
    <cfRule type="containsText" dxfId="9" priority="2" operator="containsText" text="要獲授權">
      <formula>NOT(ISERROR(SEARCH("要獲授權",J8)))</formula>
    </cfRule>
    <cfRule type="containsText" dxfId="8" priority="3" operator="containsText" text="SPAD">
      <formula>NOT(ISERROR(SEARCH("SPAD",J8)))</formula>
    </cfRule>
  </conditionalFormatting>
  <conditionalFormatting sqref="J8:K20">
    <cfRule type="containsText" dxfId="7" priority="7" stopIfTrue="1" operator="containsText" text="未">
      <formula>NOT(ISERROR(SEARCH("未",J8)))</formula>
    </cfRule>
  </conditionalFormatting>
  <dataValidations count="5">
    <dataValidation type="list" allowBlank="1" showInputMessage="1" showErrorMessage="1" sqref="Y8:Y20" xr:uid="{47B798B0-5259-4087-938B-C5888C0590A8}">
      <formula1>$FW8:$HO8</formula1>
    </dataValidation>
    <dataValidation type="list" allowBlank="1" showInputMessage="1" showErrorMessage="1" sqref="X8:X20" xr:uid="{00F16A55-FFEE-49F1-BB5A-BCD58FDC98A6}">
      <formula1>$ED8:$FV8</formula1>
    </dataValidation>
    <dataValidation type="list" allowBlank="1" showInputMessage="1" showErrorMessage="1" sqref="W8:W20" xr:uid="{92628565-C967-4C2C-BC1D-320B287EC6F4}">
      <formula1>$CK8:$EC8</formula1>
    </dataValidation>
    <dataValidation type="list" allowBlank="1" showInputMessage="1" showErrorMessage="1" sqref="V20 V8:V18" xr:uid="{698CB9E9-83C0-4CF1-A337-D7D87DED0AA5}">
      <formula1>$AR8:$CJ8</formula1>
    </dataValidation>
    <dataValidation type="list" allowBlank="1" showInputMessage="1" showErrorMessage="1" sqref="C4:D4" xr:uid="{8E629E83-5341-410D-B65A-ABEBBF1FFFCF}">
      <formula1>$HU$8:$HU$10</formula1>
    </dataValidation>
  </dataValidations>
  <printOptions horizontalCentered="1" verticalCentered="1"/>
  <pageMargins left="0" right="0" top="0" bottom="0" header="0" footer="0"/>
  <pageSetup paperSize="9" scale="95" orientation="landscape" errors="blank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0862E-C42A-46C6-B994-E72ABC8F9F2F}">
  <sheetPr codeName="Sheet6"/>
  <dimension ref="A1:Q103"/>
  <sheetViews>
    <sheetView view="pageBreakPreview" topLeftCell="B1" zoomScale="125" zoomScaleNormal="85" zoomScaleSheetLayoutView="125" workbookViewId="0">
      <selection activeCell="H9" sqref="H9"/>
    </sheetView>
  </sheetViews>
  <sheetFormatPr defaultRowHeight="15"/>
  <cols>
    <col min="2" max="2" width="12" bestFit="1" customWidth="1"/>
    <col min="3" max="3" width="34.109375" customWidth="1"/>
    <col min="4" max="4" width="10.109375" customWidth="1"/>
    <col min="6" max="6" width="10.109375" customWidth="1"/>
    <col min="8" max="8" width="11.33203125" customWidth="1"/>
    <col min="9" max="9" width="12.44140625" customWidth="1"/>
    <col min="10" max="10" width="28.109375" customWidth="1"/>
    <col min="11" max="11" width="11" customWidth="1"/>
    <col min="12" max="12" width="11.109375" customWidth="1"/>
    <col min="15" max="15" width="10.44140625" customWidth="1"/>
  </cols>
  <sheetData>
    <row r="1" spans="1:17" ht="10.5" customHeight="1">
      <c r="A1" s="2"/>
      <c r="B1" s="2"/>
      <c r="C1" s="3"/>
      <c r="D1" s="2"/>
      <c r="E1" s="2"/>
      <c r="F1" s="3"/>
      <c r="G1" s="3"/>
      <c r="H1" s="3"/>
      <c r="I1" s="3"/>
      <c r="J1" s="106"/>
      <c r="K1" s="107"/>
      <c r="L1" s="108"/>
      <c r="M1" s="231"/>
      <c r="N1" s="232"/>
      <c r="O1" s="232"/>
      <c r="P1" s="232"/>
      <c r="Q1" s="232"/>
    </row>
    <row r="2" spans="1:17" ht="19.2">
      <c r="A2" s="233" t="s">
        <v>107</v>
      </c>
      <c r="B2" s="234"/>
      <c r="C2" s="234"/>
      <c r="D2" s="234"/>
      <c r="E2" s="234"/>
      <c r="F2" s="234"/>
      <c r="G2" s="234"/>
      <c r="H2" s="234"/>
      <c r="I2" s="234"/>
      <c r="J2" s="234"/>
      <c r="K2" s="234"/>
      <c r="L2" s="234"/>
      <c r="M2" s="234"/>
      <c r="N2" s="234"/>
      <c r="O2" s="234"/>
      <c r="P2" s="234"/>
      <c r="Q2" s="234"/>
    </row>
    <row r="3" spans="1:17">
      <c r="A3" s="109" t="s">
        <v>108</v>
      </c>
      <c r="B3" s="235" t="str">
        <f>'Train Movement Log (page.1)'!C4</f>
        <v>SHD Early (Planning &amp; Briefing)</v>
      </c>
      <c r="C3" s="236"/>
      <c r="D3" s="2"/>
      <c r="E3" s="2"/>
      <c r="F3" s="3"/>
      <c r="G3" s="3"/>
      <c r="H3" s="3"/>
      <c r="I3" s="3"/>
      <c r="J3" s="11"/>
      <c r="K3" s="4"/>
      <c r="L3" s="5"/>
      <c r="M3" s="110" t="s">
        <v>11</v>
      </c>
      <c r="N3" s="237">
        <f ca="1">'Train Movement Log (page.1)'!O4</f>
        <v>45526</v>
      </c>
      <c r="O3" s="237"/>
      <c r="P3" s="237"/>
      <c r="Q3" s="237"/>
    </row>
    <row r="4" spans="1:17" ht="15" customHeight="1">
      <c r="A4" s="205"/>
      <c r="B4" s="205"/>
      <c r="C4" s="205"/>
      <c r="D4" s="205"/>
      <c r="E4" s="205"/>
      <c r="F4" s="205"/>
      <c r="G4" s="205"/>
      <c r="H4" s="205"/>
      <c r="I4" s="205"/>
      <c r="J4" s="205"/>
      <c r="K4" s="205"/>
      <c r="L4" s="205"/>
      <c r="M4" s="205"/>
      <c r="N4" s="205"/>
      <c r="O4" s="205"/>
      <c r="P4" s="205"/>
      <c r="Q4" s="205"/>
    </row>
    <row r="5" spans="1:17" ht="23.4" thickBot="1">
      <c r="A5" s="238" t="s">
        <v>109</v>
      </c>
      <c r="B5" s="239"/>
      <c r="C5" s="239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111"/>
      <c r="P5" s="111"/>
      <c r="Q5" s="111"/>
    </row>
    <row r="6" spans="1:17" ht="28.5" customHeight="1" thickTop="1" thickBot="1">
      <c r="A6" s="255" t="s">
        <v>12</v>
      </c>
      <c r="B6" s="257" t="s">
        <v>104</v>
      </c>
      <c r="C6" s="259" t="s">
        <v>110</v>
      </c>
      <c r="D6" s="260" t="s">
        <v>111</v>
      </c>
      <c r="E6" s="261"/>
      <c r="F6" s="262" t="s">
        <v>112</v>
      </c>
      <c r="G6" s="263"/>
      <c r="H6" s="264" t="s">
        <v>113</v>
      </c>
      <c r="I6" s="240" t="s">
        <v>114</v>
      </c>
      <c r="J6" s="240" t="s">
        <v>115</v>
      </c>
      <c r="K6" s="242" t="s">
        <v>116</v>
      </c>
      <c r="L6" s="244" t="s">
        <v>21</v>
      </c>
      <c r="M6" s="245"/>
      <c r="N6" s="245"/>
      <c r="O6" s="246"/>
      <c r="P6" s="247" t="s">
        <v>117</v>
      </c>
      <c r="Q6" s="248"/>
    </row>
    <row r="7" spans="1:17" ht="23.4" thickTop="1">
      <c r="A7" s="256"/>
      <c r="B7" s="258"/>
      <c r="C7" s="259"/>
      <c r="D7" s="112" t="s">
        <v>22</v>
      </c>
      <c r="E7" s="113" t="s">
        <v>23</v>
      </c>
      <c r="F7" s="114" t="s">
        <v>22</v>
      </c>
      <c r="G7" s="115" t="s">
        <v>23</v>
      </c>
      <c r="H7" s="265"/>
      <c r="I7" s="241"/>
      <c r="J7" s="241"/>
      <c r="K7" s="243"/>
      <c r="L7" s="251" t="s">
        <v>118</v>
      </c>
      <c r="M7" s="252"/>
      <c r="N7" s="253" t="s">
        <v>119</v>
      </c>
      <c r="O7" s="254"/>
      <c r="P7" s="249"/>
      <c r="Q7" s="250"/>
    </row>
    <row r="8" spans="1:17" ht="25.5" customHeight="1">
      <c r="A8" s="116">
        <f>IF('Train Movement Log (page.1)'!B8=0,"",'Train Movement Log (page.1)'!B8)</f>
        <v>1</v>
      </c>
      <c r="B8" s="156" t="str">
        <f>IF('Train Movement Log (page.1)'!C8=0,"",'Train Movement Log (page.1)'!C8)</f>
        <v/>
      </c>
      <c r="C8" s="153" t="str">
        <f>IF('Train Movement Log (page.1)'!D8="","",'Train Movement Log (page.1)'!D8)</f>
        <v/>
      </c>
      <c r="D8" s="153" t="e">
        <f>IF('Train Movement Log (page.1)'!E8=0,"",'Train Movement Log (page.1)'!E8)</f>
        <v>#N/A</v>
      </c>
      <c r="E8" s="153" t="str">
        <f>IF('Train Movement Log (page.1)'!F8=0,"",'Train Movement Log (page.1)'!F8)</f>
        <v/>
      </c>
      <c r="F8" s="153" t="e">
        <f>IF('Train Movement Log (page.1)'!G8=0,"",'Train Movement Log (page.1)'!G8)</f>
        <v>#N/A</v>
      </c>
      <c r="G8" s="153" t="str">
        <f>IF('Train Movement Log (page.1)'!H8=0,"",'Train Movement Log (page.1)'!H8)</f>
        <v/>
      </c>
      <c r="H8" s="153" t="str">
        <f>IF('Train Movement Log (page.1)'!I8=0,"",'Train Movement Log (page.1)'!I8)</f>
        <v/>
      </c>
      <c r="I8" s="153" t="str">
        <f>IF('Train Movement Log (page.1)'!J8=0,"",'Train Movement Log (page.1)'!J8)</f>
        <v/>
      </c>
      <c r="J8" s="153" t="str">
        <f>IF('Train Movement Log (page.1)'!K8=0,"",'Train Movement Log (page.1)'!K8)</f>
        <v/>
      </c>
      <c r="K8" s="156" t="str">
        <f>B8</f>
        <v/>
      </c>
      <c r="L8" s="269"/>
      <c r="M8" s="270"/>
      <c r="N8" s="269"/>
      <c r="O8" s="270"/>
      <c r="P8" s="269"/>
      <c r="Q8" s="271"/>
    </row>
    <row r="9" spans="1:17" ht="25.5" customHeight="1">
      <c r="A9" s="116">
        <f>IF('Train Movement Log (page.1)'!B9=0,"",'Train Movement Log (page.1)'!B9)</f>
        <v>2</v>
      </c>
      <c r="B9" s="156" t="str">
        <f>IF('Train Movement Log (page.1)'!C9=0,"",'Train Movement Log (page.1)'!C9)</f>
        <v/>
      </c>
      <c r="C9" s="153" t="str">
        <f>IF('Train Movement Log (page.1)'!D9="","",'Train Movement Log (page.1)'!D9)</f>
        <v/>
      </c>
      <c r="D9" s="153" t="e">
        <f>IF('Train Movement Log (page.1)'!E9=0,"",'Train Movement Log (page.1)'!E9)</f>
        <v>#N/A</v>
      </c>
      <c r="E9" s="153" t="str">
        <f>IF('Train Movement Log (page.1)'!F9=0,"",'Train Movement Log (page.1)'!F9)</f>
        <v/>
      </c>
      <c r="F9" s="153" t="e">
        <f>IF('Train Movement Log (page.1)'!G9=0,"",'Train Movement Log (page.1)'!G9)</f>
        <v>#N/A</v>
      </c>
      <c r="G9" s="153" t="str">
        <f>IF('Train Movement Log (page.1)'!H9=0,"",'Train Movement Log (page.1)'!H9)</f>
        <v/>
      </c>
      <c r="H9" s="153" t="str">
        <f>IF('Train Movement Log (page.1)'!I9=0,"",'Train Movement Log (page.1)'!I9)</f>
        <v/>
      </c>
      <c r="I9" s="153" t="str">
        <f>IF('Train Movement Log (page.1)'!J9=0,"",'Train Movement Log (page.1)'!J9)</f>
        <v/>
      </c>
      <c r="J9" s="153" t="str">
        <f>IF('Train Movement Log (page.1)'!K9=0,"",'Train Movement Log (page.1)'!K9)</f>
        <v/>
      </c>
      <c r="K9" s="156" t="str">
        <f t="shared" ref="K9:K33" si="0">B9</f>
        <v/>
      </c>
      <c r="L9" s="266"/>
      <c r="M9" s="267"/>
      <c r="N9" s="266"/>
      <c r="O9" s="267"/>
      <c r="P9" s="267"/>
      <c r="Q9" s="268"/>
    </row>
    <row r="10" spans="1:17" ht="25.5" customHeight="1">
      <c r="A10" s="116">
        <f>IF('Train Movement Log (page.1)'!B10=0,"",'Train Movement Log (page.1)'!B10)</f>
        <v>3</v>
      </c>
      <c r="B10" s="156" t="str">
        <f>IF('Train Movement Log (page.1)'!C10=0,"",'Train Movement Log (page.1)'!C10)</f>
        <v/>
      </c>
      <c r="C10" s="153" t="str">
        <f>IF('Train Movement Log (page.1)'!D10="","",'Train Movement Log (page.1)'!D10)</f>
        <v/>
      </c>
      <c r="D10" s="153" t="e">
        <f>IF('Train Movement Log (page.1)'!E10=0,"",'Train Movement Log (page.1)'!E10)</f>
        <v>#N/A</v>
      </c>
      <c r="E10" s="153" t="str">
        <f>IF('Train Movement Log (page.1)'!F10=0,"",'Train Movement Log (page.1)'!F10)</f>
        <v/>
      </c>
      <c r="F10" s="153" t="e">
        <f>IF('Train Movement Log (page.1)'!G10=0,"",'Train Movement Log (page.1)'!G10)</f>
        <v>#N/A</v>
      </c>
      <c r="G10" s="153" t="str">
        <f>IF('Train Movement Log (page.1)'!H10=0,"",'Train Movement Log (page.1)'!H10)</f>
        <v/>
      </c>
      <c r="H10" s="153" t="str">
        <f>IF('Train Movement Log (page.1)'!I10=0,"",'Train Movement Log (page.1)'!I10)</f>
        <v/>
      </c>
      <c r="I10" s="153" t="str">
        <f>IF('Train Movement Log (page.1)'!J10=0,"",'Train Movement Log (page.1)'!J10)</f>
        <v/>
      </c>
      <c r="J10" s="153" t="str">
        <f>IF('Train Movement Log (page.1)'!K10=0,"",'Train Movement Log (page.1)'!K10)</f>
        <v/>
      </c>
      <c r="K10" s="156" t="str">
        <f t="shared" si="0"/>
        <v/>
      </c>
      <c r="L10" s="266"/>
      <c r="M10" s="267"/>
      <c r="N10" s="266"/>
      <c r="O10" s="267"/>
      <c r="P10" s="267"/>
      <c r="Q10" s="268"/>
    </row>
    <row r="11" spans="1:17" ht="25.5" customHeight="1">
      <c r="A11" s="116">
        <f>IF('Train Movement Log (page.1)'!B11=0,"",'Train Movement Log (page.1)'!B11)</f>
        <v>4</v>
      </c>
      <c r="B11" s="156" t="str">
        <f>IF('Train Movement Log (page.1)'!C11=0,"",'Train Movement Log (page.1)'!C11)</f>
        <v/>
      </c>
      <c r="C11" s="153" t="str">
        <f>IF('Train Movement Log (page.1)'!D11="","",'Train Movement Log (page.1)'!D11)</f>
        <v/>
      </c>
      <c r="D11" s="153" t="e">
        <f>IF('Train Movement Log (page.1)'!E11=0,"",'Train Movement Log (page.1)'!E11)</f>
        <v>#N/A</v>
      </c>
      <c r="E11" s="153" t="str">
        <f>IF('Train Movement Log (page.1)'!F11=0,"",'Train Movement Log (page.1)'!F11)</f>
        <v/>
      </c>
      <c r="F11" s="153" t="e">
        <f>IF('Train Movement Log (page.1)'!G11=0,"",'Train Movement Log (page.1)'!G11)</f>
        <v>#N/A</v>
      </c>
      <c r="G11" s="153" t="str">
        <f>IF('Train Movement Log (page.1)'!H11=0,"",'Train Movement Log (page.1)'!H11)</f>
        <v/>
      </c>
      <c r="H11" s="153" t="str">
        <f>IF('Train Movement Log (page.1)'!I11=0,"",'Train Movement Log (page.1)'!I11)</f>
        <v/>
      </c>
      <c r="I11" s="153" t="str">
        <f>IF('Train Movement Log (page.1)'!J11=0,"",'Train Movement Log (page.1)'!J11)</f>
        <v/>
      </c>
      <c r="J11" s="153" t="str">
        <f>IF('Train Movement Log (page.1)'!K11=0,"",'Train Movement Log (page.1)'!K11)</f>
        <v/>
      </c>
      <c r="K11" s="156" t="str">
        <f t="shared" si="0"/>
        <v/>
      </c>
      <c r="L11" s="266"/>
      <c r="M11" s="267"/>
      <c r="N11" s="266"/>
      <c r="O11" s="267"/>
      <c r="P11" s="267"/>
      <c r="Q11" s="268"/>
    </row>
    <row r="12" spans="1:17" ht="25.5" customHeight="1">
      <c r="A12" s="116">
        <f>IF('Train Movement Log (page.1)'!B12=0,"",'Train Movement Log (page.1)'!B12)</f>
        <v>5</v>
      </c>
      <c r="B12" s="156" t="str">
        <f>IF('Train Movement Log (page.1)'!C12=0,"",'Train Movement Log (page.1)'!C12)</f>
        <v/>
      </c>
      <c r="C12" s="153" t="str">
        <f>IF('Train Movement Log (page.1)'!D12="","",'Train Movement Log (page.1)'!D12)</f>
        <v/>
      </c>
      <c r="D12" s="153" t="e">
        <f>IF('Train Movement Log (page.1)'!E12=0,"",'Train Movement Log (page.1)'!E12)</f>
        <v>#N/A</v>
      </c>
      <c r="E12" s="153" t="str">
        <f>IF('Train Movement Log (page.1)'!F12=0,"",'Train Movement Log (page.1)'!F12)</f>
        <v/>
      </c>
      <c r="F12" s="153" t="e">
        <f>IF('Train Movement Log (page.1)'!G12=0,"",'Train Movement Log (page.1)'!G12)</f>
        <v>#N/A</v>
      </c>
      <c r="G12" s="153" t="str">
        <f>IF('Train Movement Log (page.1)'!H12=0,"",'Train Movement Log (page.1)'!H12)</f>
        <v/>
      </c>
      <c r="H12" s="153" t="str">
        <f>IF('Train Movement Log (page.1)'!I12=0,"",'Train Movement Log (page.1)'!I12)</f>
        <v/>
      </c>
      <c r="I12" s="153" t="str">
        <f>IF('Train Movement Log (page.1)'!J12=0,"",'Train Movement Log (page.1)'!J12)</f>
        <v/>
      </c>
      <c r="J12" s="153" t="str">
        <f>IF('Train Movement Log (page.1)'!K12=0,"",'Train Movement Log (page.1)'!K12)</f>
        <v/>
      </c>
      <c r="K12" s="156" t="str">
        <f t="shared" si="0"/>
        <v/>
      </c>
      <c r="L12" s="266"/>
      <c r="M12" s="267"/>
      <c r="N12" s="266"/>
      <c r="O12" s="267"/>
      <c r="P12" s="267"/>
      <c r="Q12" s="268"/>
    </row>
    <row r="13" spans="1:17" ht="25.5" customHeight="1">
      <c r="A13" s="116">
        <f>IF('Train Movement Log (page.1)'!B13=0,"",'Train Movement Log (page.1)'!B13)</f>
        <v>6</v>
      </c>
      <c r="B13" s="156" t="str">
        <f>IF('Train Movement Log (page.1)'!C13=0,"",'Train Movement Log (page.1)'!C13)</f>
        <v/>
      </c>
      <c r="C13" s="153" t="str">
        <f>IF('Train Movement Log (page.1)'!D13="","",'Train Movement Log (page.1)'!D13)</f>
        <v/>
      </c>
      <c r="D13" s="153" t="e">
        <f>IF('Train Movement Log (page.1)'!E13=0,"",'Train Movement Log (page.1)'!E13)</f>
        <v>#N/A</v>
      </c>
      <c r="E13" s="153" t="str">
        <f>IF('Train Movement Log (page.1)'!F13=0,"",'Train Movement Log (page.1)'!F13)</f>
        <v/>
      </c>
      <c r="F13" s="153" t="e">
        <f>IF('Train Movement Log (page.1)'!G13=0,"",'Train Movement Log (page.1)'!G13)</f>
        <v>#N/A</v>
      </c>
      <c r="G13" s="153" t="str">
        <f>IF('Train Movement Log (page.1)'!H13=0,"",'Train Movement Log (page.1)'!H13)</f>
        <v/>
      </c>
      <c r="H13" s="153" t="str">
        <f>IF('Train Movement Log (page.1)'!I13=0,"",'Train Movement Log (page.1)'!I13)</f>
        <v/>
      </c>
      <c r="I13" s="153" t="str">
        <f>IF('Train Movement Log (page.1)'!J13=0,"",'Train Movement Log (page.1)'!J13)</f>
        <v/>
      </c>
      <c r="J13" s="153" t="str">
        <f>IF('Train Movement Log (page.1)'!K13=0,"",'Train Movement Log (page.1)'!K13)</f>
        <v/>
      </c>
      <c r="K13" s="156" t="str">
        <f t="shared" si="0"/>
        <v/>
      </c>
      <c r="L13" s="266"/>
      <c r="M13" s="267"/>
      <c r="N13" s="266"/>
      <c r="O13" s="267"/>
      <c r="P13" s="267"/>
      <c r="Q13" s="268"/>
    </row>
    <row r="14" spans="1:17" ht="25.5" customHeight="1">
      <c r="A14" s="116">
        <f>IF('Train Movement Log (page.1)'!B14=0,"",'Train Movement Log (page.1)'!B14)</f>
        <v>7</v>
      </c>
      <c r="B14" s="156" t="str">
        <f>IF('Train Movement Log (page.1)'!C14=0,"",'Train Movement Log (page.1)'!C14)</f>
        <v/>
      </c>
      <c r="C14" s="153" t="str">
        <f>IF('Train Movement Log (page.1)'!D14="","",'Train Movement Log (page.1)'!D14)</f>
        <v/>
      </c>
      <c r="D14" s="153" t="e">
        <f>IF('Train Movement Log (page.1)'!E14=0,"",'Train Movement Log (page.1)'!E14)</f>
        <v>#N/A</v>
      </c>
      <c r="E14" s="153" t="str">
        <f>IF('Train Movement Log (page.1)'!F14=0,"",'Train Movement Log (page.1)'!F14)</f>
        <v/>
      </c>
      <c r="F14" s="153" t="e">
        <f>IF('Train Movement Log (page.1)'!G14=0,"",'Train Movement Log (page.1)'!G14)</f>
        <v>#N/A</v>
      </c>
      <c r="G14" s="153" t="str">
        <f>IF('Train Movement Log (page.1)'!H14=0,"",'Train Movement Log (page.1)'!H14)</f>
        <v/>
      </c>
      <c r="H14" s="153" t="str">
        <f>IF('Train Movement Log (page.1)'!I14=0,"",'Train Movement Log (page.1)'!I14)</f>
        <v/>
      </c>
      <c r="I14" s="153" t="str">
        <f>IF('Train Movement Log (page.1)'!J14=0,"",'Train Movement Log (page.1)'!J14)</f>
        <v/>
      </c>
      <c r="J14" s="153" t="str">
        <f>IF('Train Movement Log (page.1)'!K14=0,"",'Train Movement Log (page.1)'!K14)</f>
        <v/>
      </c>
      <c r="K14" s="156" t="str">
        <f t="shared" si="0"/>
        <v/>
      </c>
      <c r="L14" s="266"/>
      <c r="M14" s="267"/>
      <c r="N14" s="266"/>
      <c r="O14" s="267"/>
      <c r="P14" s="267"/>
      <c r="Q14" s="268"/>
    </row>
    <row r="15" spans="1:17" ht="25.5" customHeight="1">
      <c r="A15" s="116">
        <f>IF('Train Movement Log (page.1)'!B15=0,"",'Train Movement Log (page.1)'!B15)</f>
        <v>8</v>
      </c>
      <c r="B15" s="156" t="str">
        <f>IF('Train Movement Log (page.1)'!C15=0,"",'Train Movement Log (page.1)'!C15)</f>
        <v/>
      </c>
      <c r="C15" s="153" t="str">
        <f>IF('Train Movement Log (page.1)'!D15="","",'Train Movement Log (page.1)'!D15)</f>
        <v/>
      </c>
      <c r="D15" s="153" t="e">
        <f>IF('Train Movement Log (page.1)'!E15=0,"",'Train Movement Log (page.1)'!E15)</f>
        <v>#N/A</v>
      </c>
      <c r="E15" s="153" t="str">
        <f>IF('Train Movement Log (page.1)'!F15=0,"",'Train Movement Log (page.1)'!F15)</f>
        <v/>
      </c>
      <c r="F15" s="153" t="e">
        <f>IF('Train Movement Log (page.1)'!G15=0,"",'Train Movement Log (page.1)'!G15)</f>
        <v>#N/A</v>
      </c>
      <c r="G15" s="153" t="str">
        <f>IF('Train Movement Log (page.1)'!H15=0,"",'Train Movement Log (page.1)'!H15)</f>
        <v/>
      </c>
      <c r="H15" s="153" t="str">
        <f>IF('Train Movement Log (page.1)'!I15=0,"",'Train Movement Log (page.1)'!I15)</f>
        <v/>
      </c>
      <c r="I15" s="153" t="str">
        <f>IF('Train Movement Log (page.1)'!J15=0,"",'Train Movement Log (page.1)'!J15)</f>
        <v/>
      </c>
      <c r="J15" s="153" t="str">
        <f>IF('Train Movement Log (page.1)'!K15=0,"",'Train Movement Log (page.1)'!K15)</f>
        <v/>
      </c>
      <c r="K15" s="156" t="str">
        <f t="shared" si="0"/>
        <v/>
      </c>
      <c r="L15" s="266"/>
      <c r="M15" s="267"/>
      <c r="N15" s="266"/>
      <c r="O15" s="267"/>
      <c r="P15" s="267"/>
      <c r="Q15" s="268"/>
    </row>
    <row r="16" spans="1:17" ht="25.5" customHeight="1">
      <c r="A16" s="116">
        <f>IF('Train Movement Log (page.1)'!B16=0,"",'Train Movement Log (page.1)'!B16)</f>
        <v>9</v>
      </c>
      <c r="B16" s="156" t="str">
        <f>IF('Train Movement Log (page.1)'!C16=0,"",'Train Movement Log (page.1)'!C16)</f>
        <v/>
      </c>
      <c r="C16" s="153" t="str">
        <f>IF('Train Movement Log (page.1)'!D16="","",'Train Movement Log (page.1)'!D16)</f>
        <v/>
      </c>
      <c r="D16" s="153" t="e">
        <f>IF('Train Movement Log (page.1)'!E16=0,"",'Train Movement Log (page.1)'!E16)</f>
        <v>#N/A</v>
      </c>
      <c r="E16" s="153" t="str">
        <f>IF('Train Movement Log (page.1)'!F16=0,"",'Train Movement Log (page.1)'!F16)</f>
        <v/>
      </c>
      <c r="F16" s="153" t="e">
        <f>IF('Train Movement Log (page.1)'!G16=0,"",'Train Movement Log (page.1)'!G16)</f>
        <v>#N/A</v>
      </c>
      <c r="G16" s="153" t="str">
        <f>IF('Train Movement Log (page.1)'!H16=0,"",'Train Movement Log (page.1)'!H16)</f>
        <v/>
      </c>
      <c r="H16" s="153" t="str">
        <f>IF('Train Movement Log (page.1)'!I16=0,"",'Train Movement Log (page.1)'!I16)</f>
        <v/>
      </c>
      <c r="I16" s="153" t="str">
        <f>IF('Train Movement Log (page.1)'!J16=0,"",'Train Movement Log (page.1)'!J16)</f>
        <v/>
      </c>
      <c r="J16" s="153" t="str">
        <f>IF('Train Movement Log (page.1)'!K16=0,"",'Train Movement Log (page.1)'!K16)</f>
        <v/>
      </c>
      <c r="K16" s="156" t="str">
        <f t="shared" si="0"/>
        <v/>
      </c>
      <c r="L16" s="266"/>
      <c r="M16" s="267"/>
      <c r="N16" s="266"/>
      <c r="O16" s="267"/>
      <c r="P16" s="267"/>
      <c r="Q16" s="268"/>
    </row>
    <row r="17" spans="1:17" ht="25.5" customHeight="1">
      <c r="A17" s="116">
        <f>IF('Train Movement Log (page.1)'!B17=0,"",'Train Movement Log (page.1)'!B17)</f>
        <v>10</v>
      </c>
      <c r="B17" s="156" t="str">
        <f>IF('Train Movement Log (page.1)'!C17=0,"",'Train Movement Log (page.1)'!C17)</f>
        <v/>
      </c>
      <c r="C17" s="153" t="str">
        <f>IF('Train Movement Log (page.1)'!D17="","",'Train Movement Log (page.1)'!D17)</f>
        <v/>
      </c>
      <c r="D17" s="153" t="e">
        <f>IF('Train Movement Log (page.1)'!E17=0,"",'Train Movement Log (page.1)'!E17)</f>
        <v>#N/A</v>
      </c>
      <c r="E17" s="153" t="str">
        <f>IF('Train Movement Log (page.1)'!F17=0,"",'Train Movement Log (page.1)'!F17)</f>
        <v/>
      </c>
      <c r="F17" s="153" t="e">
        <f>IF('Train Movement Log (page.1)'!G17=0,"",'Train Movement Log (page.1)'!G17)</f>
        <v>#N/A</v>
      </c>
      <c r="G17" s="153" t="str">
        <f>IF('Train Movement Log (page.1)'!H17=0,"",'Train Movement Log (page.1)'!H17)</f>
        <v/>
      </c>
      <c r="H17" s="153" t="str">
        <f>IF('Train Movement Log (page.1)'!I17=0,"",'Train Movement Log (page.1)'!I17)</f>
        <v/>
      </c>
      <c r="I17" s="153" t="str">
        <f>IF('Train Movement Log (page.1)'!J17=0,"",'Train Movement Log (page.1)'!J17)</f>
        <v/>
      </c>
      <c r="J17" s="153" t="str">
        <f>IF('Train Movement Log (page.1)'!K17=0,"",'Train Movement Log (page.1)'!K17)</f>
        <v/>
      </c>
      <c r="K17" s="156" t="str">
        <f t="shared" si="0"/>
        <v/>
      </c>
      <c r="L17" s="266"/>
      <c r="M17" s="267"/>
      <c r="N17" s="266"/>
      <c r="O17" s="267"/>
      <c r="P17" s="267"/>
      <c r="Q17" s="268"/>
    </row>
    <row r="18" spans="1:17" ht="25.5" customHeight="1">
      <c r="A18" s="116">
        <f>IF('Train Movement Log (page.1)'!B18=0,"",'Train Movement Log (page.1)'!B18)</f>
        <v>11</v>
      </c>
      <c r="B18" s="156" t="str">
        <f>IF('Train Movement Log (page.1)'!C18=0,"",'Train Movement Log (page.1)'!C18)</f>
        <v/>
      </c>
      <c r="C18" s="153" t="str">
        <f>IF('Train Movement Log (page.1)'!D18="","",'Train Movement Log (page.1)'!D18)</f>
        <v/>
      </c>
      <c r="D18" s="153" t="e">
        <f>IF('Train Movement Log (page.1)'!E18=0,"",'Train Movement Log (page.1)'!E18)</f>
        <v>#N/A</v>
      </c>
      <c r="E18" s="153" t="str">
        <f>IF('Train Movement Log (page.1)'!F18=0,"",'Train Movement Log (page.1)'!F18)</f>
        <v/>
      </c>
      <c r="F18" s="153" t="e">
        <f>IF('Train Movement Log (page.1)'!G18=0,"",'Train Movement Log (page.1)'!G18)</f>
        <v>#N/A</v>
      </c>
      <c r="G18" s="153" t="str">
        <f>IF('Train Movement Log (page.1)'!H18=0,"",'Train Movement Log (page.1)'!H18)</f>
        <v/>
      </c>
      <c r="H18" s="153" t="str">
        <f>IF('Train Movement Log (page.1)'!I18=0,"",'Train Movement Log (page.1)'!I18)</f>
        <v/>
      </c>
      <c r="I18" s="153" t="str">
        <f>IF('Train Movement Log (page.1)'!J18=0,"",'Train Movement Log (page.1)'!J18)</f>
        <v/>
      </c>
      <c r="J18" s="153" t="str">
        <f>IF('Train Movement Log (page.1)'!K18=0,"",'Train Movement Log (page.1)'!K18)</f>
        <v/>
      </c>
      <c r="K18" s="156" t="str">
        <f t="shared" si="0"/>
        <v/>
      </c>
      <c r="L18" s="266"/>
      <c r="M18" s="267"/>
      <c r="N18" s="266"/>
      <c r="O18" s="267"/>
      <c r="P18" s="267"/>
      <c r="Q18" s="268"/>
    </row>
    <row r="19" spans="1:17" ht="25.5" customHeight="1">
      <c r="A19" s="116">
        <f>IF('Train Movement Log (page.1)'!B19=0,"",'Train Movement Log (page.1)'!B19)</f>
        <v>12</v>
      </c>
      <c r="B19" s="156" t="str">
        <f>IF('Train Movement Log (page.1)'!C19=0,"",'Train Movement Log (page.1)'!C19)</f>
        <v/>
      </c>
      <c r="C19" s="153" t="str">
        <f>IF('Train Movement Log (page.1)'!D19="","",'Train Movement Log (page.1)'!D19)</f>
        <v/>
      </c>
      <c r="D19" s="153" t="e">
        <f>IF('Train Movement Log (page.1)'!E19=0,"",'Train Movement Log (page.1)'!E19)</f>
        <v>#N/A</v>
      </c>
      <c r="E19" s="153" t="str">
        <f>IF('Train Movement Log (page.1)'!F19=0,"",'Train Movement Log (page.1)'!F19)</f>
        <v/>
      </c>
      <c r="F19" s="153" t="e">
        <f>IF('Train Movement Log (page.1)'!G19=0,"",'Train Movement Log (page.1)'!G19)</f>
        <v>#N/A</v>
      </c>
      <c r="G19" s="153" t="str">
        <f>IF('Train Movement Log (page.1)'!H19=0,"",'Train Movement Log (page.1)'!H19)</f>
        <v/>
      </c>
      <c r="H19" s="153" t="str">
        <f>IF('Train Movement Log (page.1)'!I19=0,"",'Train Movement Log (page.1)'!I19)</f>
        <v/>
      </c>
      <c r="I19" s="153" t="str">
        <f>IF('Train Movement Log (page.1)'!J19=0,"",'Train Movement Log (page.1)'!J19)</f>
        <v/>
      </c>
      <c r="J19" s="153" t="str">
        <f>IF('Train Movement Log (page.1)'!K19=0,"",'Train Movement Log (page.1)'!K19)</f>
        <v/>
      </c>
      <c r="K19" s="156" t="str">
        <f t="shared" si="0"/>
        <v/>
      </c>
      <c r="L19" s="266"/>
      <c r="M19" s="267"/>
      <c r="N19" s="266"/>
      <c r="O19" s="267"/>
      <c r="P19" s="267"/>
      <c r="Q19" s="268"/>
    </row>
    <row r="20" spans="1:17" ht="25.5" customHeight="1">
      <c r="A20" s="116">
        <f>IF('Train Movement Log (page.1)'!B20=0,"",'Train Movement Log (page.1)'!B20)</f>
        <v>13</v>
      </c>
      <c r="B20" s="156" t="str">
        <f>IF(C21="",IF('Train Movement Log (page.1)'!C20=0,"",'Train Movement Log (page.1)'!C20),"")</f>
        <v/>
      </c>
      <c r="C20" s="153" t="str">
        <f>IF('Train Movement Log (page.1)'!D20="","",'Train Movement Log (page.1)'!D20)</f>
        <v/>
      </c>
      <c r="D20" s="153" t="e">
        <f>IF('Train Movement Log (page.1)'!E20=0,"",'Train Movement Log (page.1)'!E20)</f>
        <v>#N/A</v>
      </c>
      <c r="E20" s="153" t="str">
        <f>IF('Train Movement Log (page.1)'!F20=0,"",'Train Movement Log (page.1)'!F20)</f>
        <v/>
      </c>
      <c r="F20" s="153" t="e">
        <f>IF('Train Movement Log (page.1)'!G20=0,"",'Train Movement Log (page.1)'!G20)</f>
        <v>#N/A</v>
      </c>
      <c r="G20" s="153" t="str">
        <f>IF('Train Movement Log (page.1)'!H20=0,"",'Train Movement Log (page.1)'!H20)</f>
        <v/>
      </c>
      <c r="H20" s="153" t="str">
        <f>IF('Train Movement Log (page.1)'!I20=0,"",'Train Movement Log (page.1)'!I20)</f>
        <v/>
      </c>
      <c r="I20" s="153" t="str">
        <f>IF('Train Movement Log (page.1)'!J20=0,"",'Train Movement Log (page.1)'!J20)</f>
        <v/>
      </c>
      <c r="J20" s="153" t="str">
        <f>IF('Train Movement Log (page.1)'!K20=0,"",'Train Movement Log (page.1)'!K20)</f>
        <v/>
      </c>
      <c r="K20" s="156" t="str">
        <f t="shared" si="0"/>
        <v/>
      </c>
      <c r="L20" s="266"/>
      <c r="M20" s="267"/>
      <c r="N20" s="266"/>
      <c r="O20" s="267"/>
      <c r="P20" s="267"/>
      <c r="Q20" s="268"/>
    </row>
    <row r="21" spans="1:17" ht="25.5" customHeight="1">
      <c r="A21" s="116">
        <f>IF('Train Movement Log (page.2)'!B8=0,"",'Train Movement Log (page.2)'!B8)</f>
        <v>14</v>
      </c>
      <c r="B21" s="156" t="str">
        <f>IF('Train Movement Record'!C22="",IF('Train Movement Log (page.2)'!C8="","",'Train Movement Log (page.2)'!C8),"")</f>
        <v/>
      </c>
      <c r="C21" s="153" t="str">
        <f>IF('Train Movement Log (page.2)'!D8="","",'Train Movement Log (page.2)'!D8)</f>
        <v/>
      </c>
      <c r="D21" s="153" t="e">
        <f>IF('Train Movement Log (page.2)'!E8=0,"",'Train Movement Log (page.2)'!E8)</f>
        <v>#N/A</v>
      </c>
      <c r="E21" s="153" t="str">
        <f>IF('Train Movement Log (page.2)'!F8=0,"",'Train Movement Log (page.2)'!F8)</f>
        <v/>
      </c>
      <c r="F21" s="153" t="e">
        <f>IF('Train Movement Log (page.2)'!G8=0,"",'Train Movement Log (page.2)'!G8)</f>
        <v>#N/A</v>
      </c>
      <c r="G21" s="153" t="str">
        <f>IF('Train Movement Log (page.2)'!H8=0,"",'Train Movement Log (page.2)'!H8)</f>
        <v/>
      </c>
      <c r="H21" s="153" t="str">
        <f>IF('Train Movement Log (page.2)'!I8=0,"",'Train Movement Log (page.2)'!I8)</f>
        <v/>
      </c>
      <c r="I21" s="153" t="str">
        <f>IF('Train Movement Log (page.2)'!J8=0,"",'Train Movement Log (page.2)'!J8)</f>
        <v/>
      </c>
      <c r="J21" s="153" t="str">
        <f>IF('Train Movement Log (page.2)'!K8=0,"",'Train Movement Log (page.2)'!K8)</f>
        <v/>
      </c>
      <c r="K21" s="156" t="str">
        <f t="shared" si="0"/>
        <v/>
      </c>
      <c r="L21" s="266"/>
      <c r="M21" s="267"/>
      <c r="N21" s="266"/>
      <c r="O21" s="267"/>
      <c r="P21" s="267"/>
      <c r="Q21" s="268"/>
    </row>
    <row r="22" spans="1:17" ht="25.5" customHeight="1">
      <c r="A22" s="116">
        <f>IF('Train Movement Log (page.2)'!B9=0,"",'Train Movement Log (page.2)'!B9)</f>
        <v>15</v>
      </c>
      <c r="B22" s="156" t="str">
        <f>IF('Train Movement Record'!C23="",IF('Train Movement Log (page.2)'!C9="","",'Train Movement Log (page.2)'!C9),"")</f>
        <v/>
      </c>
      <c r="C22" s="153" t="str">
        <f>IF('Train Movement Log (page.2)'!D9="","",'Train Movement Log (page.2)'!D9)</f>
        <v/>
      </c>
      <c r="D22" s="153" t="e">
        <f>IF('Train Movement Log (page.2)'!E9=0,"",'Train Movement Log (page.2)'!E9)</f>
        <v>#N/A</v>
      </c>
      <c r="E22" s="153" t="str">
        <f>IF('Train Movement Log (page.2)'!F9=0,"",'Train Movement Log (page.2)'!F9)</f>
        <v/>
      </c>
      <c r="F22" s="153" t="e">
        <f>IF('Train Movement Log (page.2)'!G9=0,"",'Train Movement Log (page.2)'!G9)</f>
        <v>#N/A</v>
      </c>
      <c r="G22" s="153" t="str">
        <f>IF('Train Movement Log (page.2)'!H9=0,"",'Train Movement Log (page.2)'!H9)</f>
        <v/>
      </c>
      <c r="H22" s="153" t="str">
        <f>IF('Train Movement Log (page.2)'!I9=0,"",'Train Movement Log (page.2)'!I9)</f>
        <v/>
      </c>
      <c r="I22" s="153" t="str">
        <f>IF('Train Movement Log (page.2)'!J9=0,"",'Train Movement Log (page.2)'!J9)</f>
        <v/>
      </c>
      <c r="J22" s="153" t="str">
        <f>IF('Train Movement Log (page.2)'!K9=0,"",'Train Movement Log (page.2)'!K9)</f>
        <v/>
      </c>
      <c r="K22" s="156" t="str">
        <f t="shared" si="0"/>
        <v/>
      </c>
      <c r="L22" s="266"/>
      <c r="M22" s="267"/>
      <c r="N22" s="266"/>
      <c r="O22" s="267"/>
      <c r="P22" s="267"/>
      <c r="Q22" s="268"/>
    </row>
    <row r="23" spans="1:17" ht="25.5" customHeight="1">
      <c r="A23" s="116">
        <f>IF('Train Movement Log (page.2)'!B10=0,"",'Train Movement Log (page.2)'!B10)</f>
        <v>16</v>
      </c>
      <c r="B23" s="156" t="str">
        <f>IF('Train Movement Record'!C24="",IF('Train Movement Log (page.2)'!C10="","",'Train Movement Log (page.2)'!C10),"")</f>
        <v/>
      </c>
      <c r="C23" s="153" t="str">
        <f>IF('Train Movement Log (page.2)'!D10="","",'Train Movement Log (page.2)'!D10)</f>
        <v/>
      </c>
      <c r="D23" s="153" t="e">
        <f>IF('Train Movement Log (page.2)'!E10=0,"",'Train Movement Log (page.2)'!E10)</f>
        <v>#N/A</v>
      </c>
      <c r="E23" s="153" t="str">
        <f>IF('Train Movement Log (page.2)'!F10=0,"",'Train Movement Log (page.2)'!F10)</f>
        <v/>
      </c>
      <c r="F23" s="153" t="e">
        <f>IF('Train Movement Log (page.2)'!G10=0,"",'Train Movement Log (page.2)'!G10)</f>
        <v>#N/A</v>
      </c>
      <c r="G23" s="153" t="str">
        <f>IF('Train Movement Log (page.2)'!H10=0,"",'Train Movement Log (page.2)'!H10)</f>
        <v/>
      </c>
      <c r="H23" s="153" t="str">
        <f>IF('Train Movement Log (page.2)'!I10=0,"",'Train Movement Log (page.2)'!I10)</f>
        <v/>
      </c>
      <c r="I23" s="153" t="str">
        <f>IF('Train Movement Log (page.2)'!J10=0,"",'Train Movement Log (page.2)'!J10)</f>
        <v/>
      </c>
      <c r="J23" s="153" t="str">
        <f>IF('Train Movement Log (page.2)'!K10=0,"",'Train Movement Log (page.2)'!K10)</f>
        <v/>
      </c>
      <c r="K23" s="156" t="str">
        <f t="shared" si="0"/>
        <v/>
      </c>
      <c r="L23" s="266"/>
      <c r="M23" s="267"/>
      <c r="N23" s="266"/>
      <c r="O23" s="267"/>
      <c r="P23" s="267"/>
      <c r="Q23" s="268"/>
    </row>
    <row r="24" spans="1:17" ht="25.5" customHeight="1">
      <c r="A24" s="116">
        <f>IF('Train Movement Log (page.2)'!B11=0,"",'Train Movement Log (page.2)'!B11)</f>
        <v>17</v>
      </c>
      <c r="B24" s="156" t="str">
        <f>IF('Train Movement Record'!C25="",IF('Train Movement Log (page.2)'!C11="","",'Train Movement Log (page.2)'!C11),"")</f>
        <v/>
      </c>
      <c r="C24" s="153" t="str">
        <f>IF('Train Movement Log (page.2)'!D11="","",'Train Movement Log (page.2)'!D11)</f>
        <v/>
      </c>
      <c r="D24" s="153" t="e">
        <f>IF('Train Movement Log (page.2)'!E11=0,"",'Train Movement Log (page.2)'!E11)</f>
        <v>#N/A</v>
      </c>
      <c r="E24" s="153" t="str">
        <f>IF('Train Movement Log (page.2)'!F11=0,"",'Train Movement Log (page.2)'!F11)</f>
        <v/>
      </c>
      <c r="F24" s="153" t="e">
        <f>IF('Train Movement Log (page.2)'!G11=0,"",'Train Movement Log (page.2)'!G11)</f>
        <v>#N/A</v>
      </c>
      <c r="G24" s="153" t="str">
        <f>IF('Train Movement Log (page.2)'!H11=0,"",'Train Movement Log (page.2)'!H11)</f>
        <v/>
      </c>
      <c r="H24" s="153" t="str">
        <f>IF('Train Movement Log (page.2)'!I11=0,"",'Train Movement Log (page.2)'!I11)</f>
        <v/>
      </c>
      <c r="I24" s="153" t="str">
        <f>IF('Train Movement Log (page.2)'!J11=0,"",'Train Movement Log (page.2)'!J11)</f>
        <v/>
      </c>
      <c r="J24" s="153" t="str">
        <f>IF('Train Movement Log (page.2)'!K11=0,"",'Train Movement Log (page.2)'!K11)</f>
        <v/>
      </c>
      <c r="K24" s="156" t="str">
        <f t="shared" si="0"/>
        <v/>
      </c>
      <c r="L24" s="266"/>
      <c r="M24" s="267"/>
      <c r="N24" s="266"/>
      <c r="O24" s="267"/>
      <c r="P24" s="267"/>
      <c r="Q24" s="268"/>
    </row>
    <row r="25" spans="1:17" ht="25.5" customHeight="1">
      <c r="A25" s="116">
        <f>IF('Train Movement Log (page.2)'!B12=0,"",'Train Movement Log (page.2)'!B12)</f>
        <v>18</v>
      </c>
      <c r="B25" s="156" t="str">
        <f>IF('Train Movement Record'!C26="",IF('Train Movement Log (page.2)'!C12="","",'Train Movement Log (page.2)'!C12),"")</f>
        <v/>
      </c>
      <c r="C25" s="153" t="str">
        <f>IF('Train Movement Log (page.2)'!D12="","",'Train Movement Log (page.2)'!D12)</f>
        <v/>
      </c>
      <c r="D25" s="153" t="e">
        <f>IF('Train Movement Log (page.2)'!E12=0,"",'Train Movement Log (page.2)'!E12)</f>
        <v>#N/A</v>
      </c>
      <c r="E25" s="153" t="str">
        <f>IF('Train Movement Log (page.2)'!F12=0,"",'Train Movement Log (page.2)'!F12)</f>
        <v/>
      </c>
      <c r="F25" s="153" t="e">
        <f>IF('Train Movement Log (page.2)'!G12=0,"",'Train Movement Log (page.2)'!G12)</f>
        <v>#N/A</v>
      </c>
      <c r="G25" s="153" t="str">
        <f>IF('Train Movement Log (page.2)'!H12=0,"",'Train Movement Log (page.2)'!H12)</f>
        <v/>
      </c>
      <c r="H25" s="153" t="str">
        <f>IF('Train Movement Log (page.2)'!I12=0,"",'Train Movement Log (page.2)'!I12)</f>
        <v/>
      </c>
      <c r="I25" s="153" t="str">
        <f>IF('Train Movement Log (page.2)'!J12=0,"",'Train Movement Log (page.2)'!J12)</f>
        <v/>
      </c>
      <c r="J25" s="153" t="str">
        <f>IF('Train Movement Log (page.2)'!K12=0,"",'Train Movement Log (page.2)'!K12)</f>
        <v/>
      </c>
      <c r="K25" s="156" t="str">
        <f t="shared" si="0"/>
        <v/>
      </c>
      <c r="L25" s="266"/>
      <c r="M25" s="267"/>
      <c r="N25" s="266"/>
      <c r="O25" s="267"/>
      <c r="P25" s="267"/>
      <c r="Q25" s="268"/>
    </row>
    <row r="26" spans="1:17" ht="25.5" customHeight="1">
      <c r="A26" s="116">
        <f>IF('Train Movement Log (page.2)'!B13=0,"",'Train Movement Log (page.2)'!B13)</f>
        <v>19</v>
      </c>
      <c r="B26" s="156" t="str">
        <f>IF('Train Movement Record'!C27="",IF('Train Movement Log (page.2)'!C13="","",'Train Movement Log (page.2)'!C13),"")</f>
        <v/>
      </c>
      <c r="C26" s="153" t="str">
        <f>IF('Train Movement Log (page.2)'!D13="","",'Train Movement Log (page.2)'!D13)</f>
        <v/>
      </c>
      <c r="D26" s="153" t="e">
        <f>IF('Train Movement Log (page.2)'!E13=0,"",'Train Movement Log (page.2)'!E13)</f>
        <v>#N/A</v>
      </c>
      <c r="E26" s="153" t="str">
        <f>IF('Train Movement Log (page.2)'!F13=0,"",'Train Movement Log (page.2)'!F13)</f>
        <v/>
      </c>
      <c r="F26" s="153" t="e">
        <f>IF('Train Movement Log (page.2)'!G13=0,"",'Train Movement Log (page.2)'!G13)</f>
        <v>#N/A</v>
      </c>
      <c r="G26" s="153" t="str">
        <f>IF('Train Movement Log (page.2)'!H13=0,"",'Train Movement Log (page.2)'!H13)</f>
        <v/>
      </c>
      <c r="H26" s="153" t="str">
        <f>IF('Train Movement Log (page.2)'!I13=0,"",'Train Movement Log (page.2)'!I13)</f>
        <v/>
      </c>
      <c r="I26" s="153" t="str">
        <f>IF('Train Movement Log (page.2)'!J13=0,"",'Train Movement Log (page.2)'!J13)</f>
        <v/>
      </c>
      <c r="J26" s="153" t="str">
        <f>IF('Train Movement Log (page.2)'!K13=0,"",'Train Movement Log (page.2)'!K13)</f>
        <v/>
      </c>
      <c r="K26" s="156" t="str">
        <f t="shared" si="0"/>
        <v/>
      </c>
      <c r="L26" s="266"/>
      <c r="M26" s="267"/>
      <c r="N26" s="266"/>
      <c r="O26" s="267"/>
      <c r="P26" s="267"/>
      <c r="Q26" s="268"/>
    </row>
    <row r="27" spans="1:17" ht="25.5" customHeight="1">
      <c r="A27" s="116">
        <f>IF('Train Movement Log (page.2)'!B14=0,"",'Train Movement Log (page.2)'!B14)</f>
        <v>20</v>
      </c>
      <c r="B27" s="156" t="str">
        <f>IF('Train Movement Record'!C28="",IF('Train Movement Log (page.2)'!C14="","",'Train Movement Log (page.2)'!C14),"")</f>
        <v/>
      </c>
      <c r="C27" s="153" t="str">
        <f>IF('Train Movement Log (page.2)'!D14="","",'Train Movement Log (page.2)'!D14)</f>
        <v/>
      </c>
      <c r="D27" s="153" t="e">
        <f>IF('Train Movement Log (page.2)'!E14=0,"",'Train Movement Log (page.2)'!E14)</f>
        <v>#N/A</v>
      </c>
      <c r="E27" s="153" t="str">
        <f>IF('Train Movement Log (page.2)'!F14=0,"",'Train Movement Log (page.2)'!F14)</f>
        <v/>
      </c>
      <c r="F27" s="153" t="e">
        <f>IF('Train Movement Log (page.2)'!G14=0,"",'Train Movement Log (page.2)'!G14)</f>
        <v>#N/A</v>
      </c>
      <c r="G27" s="153" t="str">
        <f>IF('Train Movement Log (page.2)'!H14=0,"",'Train Movement Log (page.2)'!H14)</f>
        <v/>
      </c>
      <c r="H27" s="153" t="str">
        <f>IF('Train Movement Log (page.2)'!I14=0,"",'Train Movement Log (page.2)'!I14)</f>
        <v/>
      </c>
      <c r="I27" s="153" t="str">
        <f>IF('Train Movement Log (page.2)'!J14=0,"",'Train Movement Log (page.2)'!J14)</f>
        <v/>
      </c>
      <c r="J27" s="153" t="str">
        <f>IF('Train Movement Log (page.2)'!K14=0,"",'Train Movement Log (page.2)'!K14)</f>
        <v/>
      </c>
      <c r="K27" s="156" t="str">
        <f t="shared" si="0"/>
        <v/>
      </c>
      <c r="L27" s="266"/>
      <c r="M27" s="267"/>
      <c r="N27" s="266"/>
      <c r="O27" s="267"/>
      <c r="P27" s="267"/>
      <c r="Q27" s="268"/>
    </row>
    <row r="28" spans="1:17" ht="25.5" customHeight="1">
      <c r="A28" s="116">
        <f>IF('Train Movement Log (page.2)'!B15=0,"",'Train Movement Log (page.2)'!B15)</f>
        <v>21</v>
      </c>
      <c r="B28" s="156" t="str">
        <f>IF('Train Movement Record'!C29="",IF('Train Movement Log (page.2)'!C15="","",'Train Movement Log (page.2)'!C15),"")</f>
        <v/>
      </c>
      <c r="C28" s="153" t="str">
        <f>IF('Train Movement Log (page.2)'!D15="","",'Train Movement Log (page.2)'!D15)</f>
        <v/>
      </c>
      <c r="D28" s="153" t="e">
        <f>IF('Train Movement Log (page.2)'!E15=0,"",'Train Movement Log (page.2)'!E15)</f>
        <v>#N/A</v>
      </c>
      <c r="E28" s="153" t="str">
        <f>IF('Train Movement Log (page.2)'!F15=0,"",'Train Movement Log (page.2)'!F15)</f>
        <v/>
      </c>
      <c r="F28" s="153" t="e">
        <f>IF('Train Movement Log (page.2)'!G15=0,"",'Train Movement Log (page.2)'!G15)</f>
        <v>#N/A</v>
      </c>
      <c r="G28" s="153" t="str">
        <f>IF('Train Movement Log (page.2)'!H15=0,"",'Train Movement Log (page.2)'!H15)</f>
        <v/>
      </c>
      <c r="H28" s="153" t="str">
        <f>IF('Train Movement Log (page.2)'!I15=0,"",'Train Movement Log (page.2)'!I15)</f>
        <v/>
      </c>
      <c r="I28" s="153" t="str">
        <f>IF('Train Movement Log (page.2)'!J15=0,"",'Train Movement Log (page.2)'!J15)</f>
        <v/>
      </c>
      <c r="J28" s="153" t="str">
        <f>IF('Train Movement Log (page.2)'!K15=0,"",'Train Movement Log (page.2)'!K15)</f>
        <v/>
      </c>
      <c r="K28" s="156" t="str">
        <f t="shared" si="0"/>
        <v/>
      </c>
      <c r="L28" s="266"/>
      <c r="M28" s="267"/>
      <c r="N28" s="266"/>
      <c r="O28" s="267"/>
      <c r="P28" s="267"/>
      <c r="Q28" s="268"/>
    </row>
    <row r="29" spans="1:17" ht="25.5" customHeight="1">
      <c r="A29" s="116">
        <f>IF('Train Movement Log (page.2)'!B16=0,"",'Train Movement Log (page.2)'!B16)</f>
        <v>22</v>
      </c>
      <c r="B29" s="156" t="str">
        <f>IF('Train Movement Record'!C30="",IF('Train Movement Log (page.2)'!C16="","",'Train Movement Log (page.2)'!C16),"")</f>
        <v/>
      </c>
      <c r="C29" s="153" t="str">
        <f>IF('Train Movement Log (page.2)'!D16="","",'Train Movement Log (page.2)'!D16)</f>
        <v/>
      </c>
      <c r="D29" s="153" t="e">
        <f>IF('Train Movement Log (page.2)'!E16=0,"",'Train Movement Log (page.2)'!E16)</f>
        <v>#N/A</v>
      </c>
      <c r="E29" s="153" t="str">
        <f>IF('Train Movement Log (page.2)'!F16=0,"",'Train Movement Log (page.2)'!F16)</f>
        <v/>
      </c>
      <c r="F29" s="153" t="e">
        <f>IF('Train Movement Log (page.2)'!G16=0,"",'Train Movement Log (page.2)'!G16)</f>
        <v>#N/A</v>
      </c>
      <c r="G29" s="153" t="str">
        <f>IF('Train Movement Log (page.2)'!H16=0,"",'Train Movement Log (page.2)'!H16)</f>
        <v/>
      </c>
      <c r="H29" s="153" t="str">
        <f>IF('Train Movement Log (page.2)'!I16=0,"",'Train Movement Log (page.2)'!I16)</f>
        <v/>
      </c>
      <c r="I29" s="153" t="str">
        <f>IF('Train Movement Log (page.2)'!J16=0,"",'Train Movement Log (page.2)'!J16)</f>
        <v/>
      </c>
      <c r="J29" s="153" t="str">
        <f>IF('Train Movement Log (page.2)'!K16=0,"",'Train Movement Log (page.2)'!K16)</f>
        <v/>
      </c>
      <c r="K29" s="156" t="str">
        <f t="shared" si="0"/>
        <v/>
      </c>
      <c r="L29" s="266"/>
      <c r="M29" s="267"/>
      <c r="N29" s="266"/>
      <c r="O29" s="267"/>
      <c r="P29" s="267"/>
      <c r="Q29" s="268"/>
    </row>
    <row r="30" spans="1:17" ht="25.5" customHeight="1">
      <c r="A30" s="116">
        <f>IF('Train Movement Log (page.2)'!B17=0,"",'Train Movement Log (page.2)'!B17)</f>
        <v>23</v>
      </c>
      <c r="B30" s="156" t="str">
        <f>IF('Train Movement Record'!C31="",IF('Train Movement Log (page.2)'!C17="","",'Train Movement Log (page.2)'!C17),"")</f>
        <v/>
      </c>
      <c r="C30" s="153" t="str">
        <f>IF('Train Movement Log (page.2)'!D17="","",'Train Movement Log (page.2)'!D17)</f>
        <v/>
      </c>
      <c r="D30" s="153" t="e">
        <f>IF('Train Movement Log (page.2)'!E17=0,"",'Train Movement Log (page.2)'!E17)</f>
        <v>#N/A</v>
      </c>
      <c r="E30" s="153" t="str">
        <f>IF('Train Movement Log (page.2)'!F17=0,"",'Train Movement Log (page.2)'!F17)</f>
        <v/>
      </c>
      <c r="F30" s="153" t="e">
        <f>IF('Train Movement Log (page.2)'!G17=0,"",'Train Movement Log (page.2)'!G17)</f>
        <v>#N/A</v>
      </c>
      <c r="G30" s="153" t="str">
        <f>IF('Train Movement Log (page.2)'!H17=0,"",'Train Movement Log (page.2)'!H17)</f>
        <v/>
      </c>
      <c r="H30" s="153" t="str">
        <f>IF('Train Movement Log (page.2)'!I17=0,"",'Train Movement Log (page.2)'!I17)</f>
        <v/>
      </c>
      <c r="I30" s="153" t="str">
        <f>IF('Train Movement Log (page.2)'!J17=0,"",'Train Movement Log (page.2)'!J17)</f>
        <v/>
      </c>
      <c r="J30" s="153" t="str">
        <f>IF('Train Movement Log (page.2)'!K17=0,"",'Train Movement Log (page.2)'!K17)</f>
        <v/>
      </c>
      <c r="K30" s="156" t="str">
        <f t="shared" si="0"/>
        <v/>
      </c>
      <c r="L30" s="266"/>
      <c r="M30" s="267"/>
      <c r="N30" s="266"/>
      <c r="O30" s="267"/>
      <c r="P30" s="267"/>
      <c r="Q30" s="268"/>
    </row>
    <row r="31" spans="1:17" ht="25.5" customHeight="1">
      <c r="A31" s="116">
        <f>IF('Train Movement Log (page.2)'!B18=0,"",'Train Movement Log (page.2)'!B18)</f>
        <v>24</v>
      </c>
      <c r="B31" s="156" t="str">
        <f>IF('Train Movement Record'!C32="",IF('Train Movement Log (page.2)'!C18="","",'Train Movement Log (page.2)'!C18),"")</f>
        <v/>
      </c>
      <c r="C31" s="153" t="str">
        <f>IF('Train Movement Log (page.2)'!D18="","",'Train Movement Log (page.2)'!D18)</f>
        <v/>
      </c>
      <c r="D31" s="153" t="e">
        <f>IF('Train Movement Log (page.2)'!E18=0,"",'Train Movement Log (page.2)'!E18)</f>
        <v>#N/A</v>
      </c>
      <c r="E31" s="153" t="str">
        <f>IF('Train Movement Log (page.2)'!F18=0,"",'Train Movement Log (page.2)'!F18)</f>
        <v/>
      </c>
      <c r="F31" s="153" t="e">
        <f>IF('Train Movement Log (page.2)'!G18=0,"",'Train Movement Log (page.2)'!G18)</f>
        <v>#N/A</v>
      </c>
      <c r="G31" s="153" t="str">
        <f>IF('Train Movement Log (page.2)'!H18=0,"",'Train Movement Log (page.2)'!H18)</f>
        <v/>
      </c>
      <c r="H31" s="153" t="str">
        <f>IF('Train Movement Log (page.2)'!I18=0,"",'Train Movement Log (page.2)'!I18)</f>
        <v/>
      </c>
      <c r="I31" s="153" t="str">
        <f>IF('Train Movement Log (page.2)'!J18=0,"",'Train Movement Log (page.2)'!J18)</f>
        <v/>
      </c>
      <c r="J31" s="153" t="str">
        <f>IF('Train Movement Log (page.2)'!K18=0,"",'Train Movement Log (page.2)'!K18)</f>
        <v/>
      </c>
      <c r="K31" s="156" t="str">
        <f t="shared" si="0"/>
        <v/>
      </c>
      <c r="L31" s="266"/>
      <c r="M31" s="267"/>
      <c r="N31" s="266"/>
      <c r="O31" s="267"/>
      <c r="P31" s="267"/>
      <c r="Q31" s="268"/>
    </row>
    <row r="32" spans="1:17" ht="25.5" customHeight="1">
      <c r="A32" s="116">
        <f>IF('Train Movement Log (page.2)'!B19=0,"",'Train Movement Log (page.2)'!B19)</f>
        <v>25</v>
      </c>
      <c r="B32" s="156" t="str">
        <f>IF('Train Movement Record'!C33="",IF('Train Movement Log (page.2)'!C19="","",'Train Movement Log (page.2)'!C19),"")</f>
        <v/>
      </c>
      <c r="C32" s="153" t="str">
        <f>IF('Train Movement Log (page.2)'!D19="","",'Train Movement Log (page.2)'!D19)</f>
        <v/>
      </c>
      <c r="D32" s="153" t="e">
        <f>IF('Train Movement Log (page.2)'!E19=0,"",'Train Movement Log (page.2)'!E19)</f>
        <v>#N/A</v>
      </c>
      <c r="E32" s="153" t="str">
        <f>IF('Train Movement Log (page.2)'!F19=0,"",'Train Movement Log (page.2)'!F19)</f>
        <v/>
      </c>
      <c r="F32" s="153" t="e">
        <f>IF('Train Movement Log (page.2)'!G19=0,"",'Train Movement Log (page.2)'!G19)</f>
        <v>#N/A</v>
      </c>
      <c r="G32" s="153" t="str">
        <f>IF('Train Movement Log (page.2)'!H19=0,"",'Train Movement Log (page.2)'!H19)</f>
        <v/>
      </c>
      <c r="H32" s="153" t="str">
        <f>IF('Train Movement Log (page.2)'!I19=0,"",'Train Movement Log (page.2)'!I19)</f>
        <v/>
      </c>
      <c r="I32" s="153" t="str">
        <f>IF('Train Movement Log (page.2)'!J19=0,"",'Train Movement Log (page.2)'!J19)</f>
        <v/>
      </c>
      <c r="J32" s="153" t="str">
        <f>IF('Train Movement Log (page.2)'!K19=0,"",'Train Movement Log (page.2)'!K19)</f>
        <v/>
      </c>
      <c r="K32" s="156" t="str">
        <f t="shared" si="0"/>
        <v/>
      </c>
      <c r="L32" s="266"/>
      <c r="M32" s="267"/>
      <c r="N32" s="266"/>
      <c r="O32" s="267"/>
      <c r="P32" s="267"/>
      <c r="Q32" s="268"/>
    </row>
    <row r="33" spans="1:17" ht="25.5" customHeight="1" thickBot="1">
      <c r="A33" s="117">
        <f>IF('Train Movement Log (page.2)'!B20=0,"",'Train Movement Log (page.2)'!B20)</f>
        <v>26</v>
      </c>
      <c r="B33" s="159" t="str">
        <f>IF('Train Movement Record'!C34="",IF('Train Movement Log (page.2)'!C20="","",'Train Movement Log (page.2)'!C20),"")</f>
        <v/>
      </c>
      <c r="C33" s="154" t="str">
        <f>IF('Train Movement Log (page.2)'!D20="","",'Train Movement Log (page.2)'!D20)</f>
        <v/>
      </c>
      <c r="D33" s="154" t="e">
        <f>IF('Train Movement Log (page.2)'!E20=0,"",'Train Movement Log (page.2)'!E20)</f>
        <v>#N/A</v>
      </c>
      <c r="E33" s="154" t="str">
        <f>IF('Train Movement Log (page.2)'!F20=0,"",'Train Movement Log (page.2)'!F20)</f>
        <v/>
      </c>
      <c r="F33" s="154" t="e">
        <f>IF('Train Movement Log (page.2)'!G20=0,"",'Train Movement Log (page.2)'!G20)</f>
        <v>#N/A</v>
      </c>
      <c r="G33" s="154" t="str">
        <f>IF('Train Movement Log (page.2)'!H20=0,"",'Train Movement Log (page.2)'!H20)</f>
        <v/>
      </c>
      <c r="H33" s="154" t="str">
        <f>IF('Train Movement Log (page.2)'!I20=0,"",'Train Movement Log (page.2)'!I20)</f>
        <v/>
      </c>
      <c r="I33" s="154" t="str">
        <f>IF('Train Movement Log (page.2)'!J20=0,"",'Train Movement Log (page.2)'!J20)</f>
        <v/>
      </c>
      <c r="J33" s="154" t="str">
        <f>IF('Train Movement Log (page.2)'!K20=0,"",'Train Movement Log (page.2)'!K20)</f>
        <v/>
      </c>
      <c r="K33" s="159" t="str">
        <f t="shared" si="0"/>
        <v/>
      </c>
      <c r="L33" s="279"/>
      <c r="M33" s="280"/>
      <c r="N33" s="279"/>
      <c r="O33" s="280"/>
      <c r="P33" s="280"/>
      <c r="Q33" s="281"/>
    </row>
    <row r="34" spans="1:17" ht="11.25" customHeight="1" thickTop="1">
      <c r="A34" s="118"/>
      <c r="B34" s="119"/>
      <c r="C34" s="120"/>
      <c r="D34" s="118"/>
      <c r="E34" s="121"/>
      <c r="F34" s="122"/>
      <c r="G34" s="122"/>
      <c r="H34" s="122"/>
      <c r="I34" s="122"/>
      <c r="J34" s="123"/>
      <c r="K34" s="120" t="str">
        <f>IF(B34&lt;&gt;"",B34,"")</f>
        <v/>
      </c>
      <c r="L34" s="124"/>
      <c r="M34" s="124"/>
      <c r="N34" s="273"/>
      <c r="O34" s="274"/>
      <c r="P34" s="273"/>
      <c r="Q34" s="274"/>
    </row>
    <row r="35" spans="1:17" ht="18" thickBot="1">
      <c r="A35" s="238" t="s">
        <v>120</v>
      </c>
      <c r="B35" s="239"/>
      <c r="C35" s="239"/>
      <c r="D35" s="118"/>
      <c r="E35" s="121"/>
      <c r="F35" s="122"/>
      <c r="G35" s="122"/>
      <c r="H35" s="122"/>
      <c r="I35" s="122"/>
      <c r="J35" s="123"/>
      <c r="K35" s="120" t="str">
        <f>IF(B35&lt;&gt;"",B35,"")</f>
        <v/>
      </c>
      <c r="L35" s="124"/>
      <c r="M35" s="124"/>
      <c r="N35" s="273"/>
      <c r="O35" s="274"/>
      <c r="P35" s="273"/>
      <c r="Q35" s="274"/>
    </row>
    <row r="36" spans="1:17" ht="27" customHeight="1" thickTop="1" thickBot="1">
      <c r="A36" s="298" t="s">
        <v>12</v>
      </c>
      <c r="B36" s="264" t="s">
        <v>104</v>
      </c>
      <c r="C36" s="264" t="s">
        <v>110</v>
      </c>
      <c r="D36" s="260" t="s">
        <v>111</v>
      </c>
      <c r="E36" s="261"/>
      <c r="F36" s="260" t="s">
        <v>121</v>
      </c>
      <c r="G36" s="261"/>
      <c r="H36" s="264" t="s">
        <v>113</v>
      </c>
      <c r="I36" s="264" t="s">
        <v>114</v>
      </c>
      <c r="J36" s="264" t="s">
        <v>115</v>
      </c>
      <c r="K36" s="288" t="s">
        <v>116</v>
      </c>
      <c r="L36" s="264" t="s">
        <v>122</v>
      </c>
      <c r="M36" s="290" t="s">
        <v>123</v>
      </c>
      <c r="N36" s="244" t="s">
        <v>21</v>
      </c>
      <c r="O36" s="292"/>
      <c r="P36" s="292"/>
      <c r="Q36" s="293"/>
    </row>
    <row r="37" spans="1:17" ht="24" thickTop="1" thickBot="1">
      <c r="A37" s="299"/>
      <c r="B37" s="272"/>
      <c r="C37" s="272"/>
      <c r="D37" s="139" t="s">
        <v>22</v>
      </c>
      <c r="E37" s="125" t="s">
        <v>23</v>
      </c>
      <c r="F37" s="139" t="s">
        <v>22</v>
      </c>
      <c r="G37" s="145" t="s">
        <v>23</v>
      </c>
      <c r="H37" s="272"/>
      <c r="I37" s="272"/>
      <c r="J37" s="272"/>
      <c r="K37" s="289"/>
      <c r="L37" s="272"/>
      <c r="M37" s="291"/>
      <c r="N37" s="294" t="s">
        <v>118</v>
      </c>
      <c r="O37" s="295"/>
      <c r="P37" s="296" t="s">
        <v>119</v>
      </c>
      <c r="Q37" s="297"/>
    </row>
    <row r="38" spans="1:17" ht="20.100000000000001" customHeight="1" thickTop="1">
      <c r="A38" s="144">
        <f>IF('Add-on Train Movement Log'!B8=0,"",'Add-on Train Movement Log'!B8)</f>
        <v>27</v>
      </c>
      <c r="B38" s="143" t="str">
        <f>IF('Add-on Train Movement Log'!C8=0,"",'Add-on Train Movement Log'!C8)</f>
        <v/>
      </c>
      <c r="C38" s="143" t="str">
        <f>IF('Add-on Train Movement Log'!D8=0,"",'Add-on Train Movement Log'!D8)</f>
        <v/>
      </c>
      <c r="D38" s="143" t="e">
        <f>IF('Add-on Train Movement Log'!E8=0,"",'Add-on Train Movement Log'!E8)</f>
        <v>#N/A</v>
      </c>
      <c r="E38" s="143"/>
      <c r="F38" s="143" t="e">
        <f>IF('Add-on Train Movement Log'!G8=0,"",'Add-on Train Movement Log'!G8)</f>
        <v>#N/A</v>
      </c>
      <c r="G38" s="143"/>
      <c r="H38" s="143" t="str">
        <f>IF('Add-on Train Movement Log'!I8=0,"",'Add-on Train Movement Log'!I8)</f>
        <v/>
      </c>
      <c r="I38" s="143" t="str">
        <f>IF('Add-on Train Movement Log'!J8=0,"",'Add-on Train Movement Log'!J8)</f>
        <v/>
      </c>
      <c r="J38" s="143" t="str">
        <f>IF('Add-on Train Movement Log'!K8=0,"",'Add-on Train Movement Log'!K8)</f>
        <v/>
      </c>
      <c r="K38" s="143" t="str">
        <f>IF('Add-on Train Movement Log'!L8=0,"",'Add-on Train Movement Log'!L8)</f>
        <v/>
      </c>
      <c r="L38" s="126"/>
      <c r="M38" s="127"/>
      <c r="N38" s="282"/>
      <c r="O38" s="283"/>
      <c r="P38" s="282"/>
      <c r="Q38" s="284"/>
    </row>
    <row r="39" spans="1:17" ht="20.100000000000001" customHeight="1">
      <c r="A39" s="131">
        <f>IF('Add-on Train Movement Log'!B9=0,"",'Add-on Train Movement Log'!B9)</f>
        <v>28</v>
      </c>
      <c r="B39" s="140" t="str">
        <f>IF('Add-on Train Movement Log'!C9=0,"",'Add-on Train Movement Log'!C9)</f>
        <v/>
      </c>
      <c r="C39" s="140" t="str">
        <f>IF('Add-on Train Movement Log'!D9=0,"",'Add-on Train Movement Log'!D9)</f>
        <v/>
      </c>
      <c r="D39" s="140" t="e">
        <f>IF('Add-on Train Movement Log'!E9=0,"",'Add-on Train Movement Log'!E9)</f>
        <v>#N/A</v>
      </c>
      <c r="E39" s="140" t="str">
        <f>IF('Add-on Train Movement Log'!F9=0,"",'Add-on Train Movement Log'!F9)</f>
        <v/>
      </c>
      <c r="F39" s="140" t="e">
        <f>IF('Add-on Train Movement Log'!G9=0,"",'Add-on Train Movement Log'!G9)</f>
        <v>#N/A</v>
      </c>
      <c r="G39" s="140"/>
      <c r="H39" s="140" t="str">
        <f>IF('Add-on Train Movement Log'!I9=0,"",'Add-on Train Movement Log'!I9)</f>
        <v/>
      </c>
      <c r="I39" s="140" t="str">
        <f>IF('Add-on Train Movement Log'!J9=0,"",'Add-on Train Movement Log'!J9)</f>
        <v/>
      </c>
      <c r="J39" s="140" t="str">
        <f>IF('Add-on Train Movement Log'!K9=0,"",'Add-on Train Movement Log'!K9)</f>
        <v/>
      </c>
      <c r="K39" s="140" t="str">
        <f>IF('Add-on Train Movement Log'!L9=0,"",'Add-on Train Movement Log'!L9)</f>
        <v/>
      </c>
      <c r="L39" s="129"/>
      <c r="M39" s="130"/>
      <c r="N39" s="285"/>
      <c r="O39" s="286"/>
      <c r="P39" s="285"/>
      <c r="Q39" s="287"/>
    </row>
    <row r="40" spans="1:17" ht="20.100000000000001" customHeight="1">
      <c r="A40" s="128">
        <f>IF('Add-on Train Movement Log'!B10=0,"",'Add-on Train Movement Log'!B10)</f>
        <v>29</v>
      </c>
      <c r="B40" s="141" t="str">
        <f>IF('Add-on Train Movement Log'!C10=0,"",'Add-on Train Movement Log'!C10)</f>
        <v/>
      </c>
      <c r="C40" s="141" t="str">
        <f>IF('Add-on Train Movement Log'!D10=0,"",'Add-on Train Movement Log'!D10)</f>
        <v/>
      </c>
      <c r="D40" s="141" t="e">
        <f>IF('Add-on Train Movement Log'!E10=0,"",'Add-on Train Movement Log'!E10)</f>
        <v>#N/A</v>
      </c>
      <c r="E40" s="141" t="str">
        <f>IF('Add-on Train Movement Log'!F10=0,"",'Add-on Train Movement Log'!F10)</f>
        <v/>
      </c>
      <c r="F40" s="141" t="e">
        <f>IF('Add-on Train Movement Log'!G10=0,"",'Add-on Train Movement Log'!G10)</f>
        <v>#N/A</v>
      </c>
      <c r="G40" s="141"/>
      <c r="H40" s="141" t="str">
        <f>IF('Add-on Train Movement Log'!I10=0,"",'Add-on Train Movement Log'!I10)</f>
        <v/>
      </c>
      <c r="I40" s="141" t="str">
        <f>IF('Add-on Train Movement Log'!J10=0,"",'Add-on Train Movement Log'!J10)</f>
        <v/>
      </c>
      <c r="J40" s="141" t="str">
        <f>IF('Add-on Train Movement Log'!K10=0,"",'Add-on Train Movement Log'!K10)</f>
        <v/>
      </c>
      <c r="K40" s="141" t="str">
        <f>IF('Add-on Train Movement Log'!L10=0,"",'Add-on Train Movement Log'!L10)</f>
        <v/>
      </c>
      <c r="L40" s="132"/>
      <c r="M40" s="133"/>
      <c r="N40" s="285"/>
      <c r="O40" s="286"/>
      <c r="P40" s="285"/>
      <c r="Q40" s="287"/>
    </row>
    <row r="41" spans="1:17" ht="20.100000000000001" customHeight="1" thickBot="1">
      <c r="A41" s="134">
        <f>IF('Add-on Train Movement Log'!B11=0,"",'Add-on Train Movement Log'!B11)</f>
        <v>30</v>
      </c>
      <c r="B41" s="142" t="str">
        <f>IF('Add-on Train Movement Log'!C11=0,"",'Add-on Train Movement Log'!C11)</f>
        <v/>
      </c>
      <c r="C41" s="142" t="str">
        <f>IF('Add-on Train Movement Log'!D11=0,"",'Add-on Train Movement Log'!D11)</f>
        <v/>
      </c>
      <c r="D41" s="142" t="e">
        <f>IF('Add-on Train Movement Log'!E11=0,"",'Add-on Train Movement Log'!E11)</f>
        <v>#N/A</v>
      </c>
      <c r="E41" s="142" t="str">
        <f>IF('Add-on Train Movement Log'!F11=0,"",'Add-on Train Movement Log'!F11)</f>
        <v/>
      </c>
      <c r="F41" s="142" t="e">
        <f>IF('Add-on Train Movement Log'!G11=0,"",'Add-on Train Movement Log'!G11)</f>
        <v>#N/A</v>
      </c>
      <c r="G41" s="142"/>
      <c r="H41" s="142" t="str">
        <f>IF('Add-on Train Movement Log'!I11=0,"",'Add-on Train Movement Log'!I11)</f>
        <v/>
      </c>
      <c r="I41" s="142" t="str">
        <f>IF('Add-on Train Movement Log'!J11=0,"",'Add-on Train Movement Log'!J11)</f>
        <v/>
      </c>
      <c r="J41" s="142" t="str">
        <f>IF('Add-on Train Movement Log'!K11=0,"",'Add-on Train Movement Log'!K11)</f>
        <v/>
      </c>
      <c r="K41" s="142" t="str">
        <f>IF('Add-on Train Movement Log'!L11=0,"",'Add-on Train Movement Log'!L11)</f>
        <v/>
      </c>
      <c r="L41" s="135"/>
      <c r="M41" s="136"/>
      <c r="N41" s="276"/>
      <c r="O41" s="277"/>
      <c r="P41" s="276"/>
      <c r="Q41" s="278"/>
    </row>
    <row r="42" spans="1:17" ht="15.6" thickTop="1">
      <c r="A42" s="137"/>
      <c r="B42" s="12"/>
      <c r="C42" s="138"/>
      <c r="D42" s="2"/>
      <c r="E42" s="2"/>
      <c r="F42" s="3"/>
      <c r="G42" s="3"/>
      <c r="H42" s="3"/>
      <c r="I42" s="3"/>
      <c r="J42" s="11"/>
      <c r="K42" s="4"/>
      <c r="L42" s="5"/>
      <c r="M42" s="5"/>
      <c r="N42" s="5"/>
      <c r="O42" s="5"/>
      <c r="P42" s="5"/>
      <c r="Q42" s="5"/>
    </row>
    <row r="100" spans="1:13" ht="18.600000000000001">
      <c r="A100" s="275" t="s">
        <v>124</v>
      </c>
      <c r="B100" s="275"/>
      <c r="C100" s="275"/>
      <c r="D100" s="275"/>
      <c r="E100" s="275"/>
      <c r="F100" s="275"/>
      <c r="G100" s="275"/>
      <c r="H100" s="275"/>
      <c r="I100" s="275"/>
      <c r="J100" s="275"/>
      <c r="K100" s="275"/>
      <c r="L100" s="275"/>
      <c r="M100" s="275"/>
    </row>
    <row r="101" spans="1:13" ht="18.600000000000001">
      <c r="A101" s="146" t="s">
        <v>125</v>
      </c>
      <c r="B101" s="146"/>
      <c r="C101" s="146"/>
      <c r="D101" s="146"/>
      <c r="E101" s="146"/>
      <c r="F101" s="146"/>
      <c r="G101" s="146"/>
      <c r="H101" s="146"/>
      <c r="I101" s="146"/>
      <c r="J101" s="146"/>
      <c r="K101" s="146"/>
      <c r="L101" s="146"/>
      <c r="M101" s="146"/>
    </row>
    <row r="103" spans="1:13" ht="67.5" customHeight="1"/>
  </sheetData>
  <sheetProtection sheet="1" objects="1" scenarios="1"/>
  <mergeCells count="125">
    <mergeCell ref="A100:M100"/>
    <mergeCell ref="N41:O41"/>
    <mergeCell ref="P41:Q41"/>
    <mergeCell ref="L33:M33"/>
    <mergeCell ref="N33:O33"/>
    <mergeCell ref="P33:Q33"/>
    <mergeCell ref="N38:O38"/>
    <mergeCell ref="P38:Q38"/>
    <mergeCell ref="N39:O39"/>
    <mergeCell ref="P39:Q39"/>
    <mergeCell ref="N40:O40"/>
    <mergeCell ref="P40:Q40"/>
    <mergeCell ref="I36:I37"/>
    <mergeCell ref="J36:J37"/>
    <mergeCell ref="K36:K37"/>
    <mergeCell ref="L36:L37"/>
    <mergeCell ref="M36:M37"/>
    <mergeCell ref="N36:Q36"/>
    <mergeCell ref="N37:O37"/>
    <mergeCell ref="P37:Q37"/>
    <mergeCell ref="A36:A37"/>
    <mergeCell ref="B36:B37"/>
    <mergeCell ref="C36:C37"/>
    <mergeCell ref="D36:E36"/>
    <mergeCell ref="F36:G36"/>
    <mergeCell ref="H36:H37"/>
    <mergeCell ref="L32:M32"/>
    <mergeCell ref="N32:O32"/>
    <mergeCell ref="P32:Q32"/>
    <mergeCell ref="N34:O34"/>
    <mergeCell ref="P34:Q34"/>
    <mergeCell ref="A35:C35"/>
    <mergeCell ref="N35:O35"/>
    <mergeCell ref="P35:Q35"/>
    <mergeCell ref="L30:M30"/>
    <mergeCell ref="N30:O30"/>
    <mergeCell ref="P30:Q30"/>
    <mergeCell ref="L31:M31"/>
    <mergeCell ref="N31:O31"/>
    <mergeCell ref="P31:Q31"/>
    <mergeCell ref="L28:M28"/>
    <mergeCell ref="N28:O28"/>
    <mergeCell ref="P28:Q28"/>
    <mergeCell ref="L29:M29"/>
    <mergeCell ref="N29:O29"/>
    <mergeCell ref="P29:Q29"/>
    <mergeCell ref="L26:M26"/>
    <mergeCell ref="N26:O26"/>
    <mergeCell ref="P26:Q26"/>
    <mergeCell ref="L27:M27"/>
    <mergeCell ref="N27:O27"/>
    <mergeCell ref="P27:Q27"/>
    <mergeCell ref="L24:M24"/>
    <mergeCell ref="N24:O24"/>
    <mergeCell ref="P24:Q24"/>
    <mergeCell ref="L25:M25"/>
    <mergeCell ref="N25:O25"/>
    <mergeCell ref="P25:Q25"/>
    <mergeCell ref="L22:M22"/>
    <mergeCell ref="N22:O22"/>
    <mergeCell ref="P22:Q22"/>
    <mergeCell ref="L23:M23"/>
    <mergeCell ref="N23:O23"/>
    <mergeCell ref="P23:Q23"/>
    <mergeCell ref="L20:M20"/>
    <mergeCell ref="N20:O20"/>
    <mergeCell ref="P20:Q20"/>
    <mergeCell ref="L21:M21"/>
    <mergeCell ref="N21:O21"/>
    <mergeCell ref="P21:Q21"/>
    <mergeCell ref="L18:M18"/>
    <mergeCell ref="N18:O18"/>
    <mergeCell ref="P18:Q18"/>
    <mergeCell ref="L19:M19"/>
    <mergeCell ref="N19:O19"/>
    <mergeCell ref="P19:Q19"/>
    <mergeCell ref="L16:M16"/>
    <mergeCell ref="N16:O16"/>
    <mergeCell ref="P16:Q16"/>
    <mergeCell ref="L17:M17"/>
    <mergeCell ref="N17:O17"/>
    <mergeCell ref="P17:Q17"/>
    <mergeCell ref="L14:M14"/>
    <mergeCell ref="N14:O14"/>
    <mergeCell ref="P14:Q14"/>
    <mergeCell ref="L15:M15"/>
    <mergeCell ref="N15:O15"/>
    <mergeCell ref="P15:Q15"/>
    <mergeCell ref="L12:M12"/>
    <mergeCell ref="N12:O12"/>
    <mergeCell ref="P12:Q12"/>
    <mergeCell ref="L13:M13"/>
    <mergeCell ref="N13:O13"/>
    <mergeCell ref="P13:Q13"/>
    <mergeCell ref="L10:M10"/>
    <mergeCell ref="N10:O10"/>
    <mergeCell ref="P10:Q10"/>
    <mergeCell ref="L11:M11"/>
    <mergeCell ref="N11:O11"/>
    <mergeCell ref="P11:Q11"/>
    <mergeCell ref="L8:M8"/>
    <mergeCell ref="N8:O8"/>
    <mergeCell ref="P8:Q8"/>
    <mergeCell ref="L9:M9"/>
    <mergeCell ref="N9:O9"/>
    <mergeCell ref="P9:Q9"/>
    <mergeCell ref="M1:Q1"/>
    <mergeCell ref="A2:Q2"/>
    <mergeCell ref="B3:C3"/>
    <mergeCell ref="N3:Q3"/>
    <mergeCell ref="A4:Q4"/>
    <mergeCell ref="A5:C5"/>
    <mergeCell ref="I6:I7"/>
    <mergeCell ref="J6:J7"/>
    <mergeCell ref="K6:K7"/>
    <mergeCell ref="L6:O6"/>
    <mergeCell ref="P6:Q7"/>
    <mergeCell ref="L7:M7"/>
    <mergeCell ref="N7:O7"/>
    <mergeCell ref="A6:A7"/>
    <mergeCell ref="B6:B7"/>
    <mergeCell ref="C6:C7"/>
    <mergeCell ref="D6:E6"/>
    <mergeCell ref="F6:G6"/>
    <mergeCell ref="H6:H7"/>
  </mergeCells>
  <phoneticPr fontId="3" type="noConversion"/>
  <printOptions horizontalCentered="1" verticalCentered="1"/>
  <pageMargins left="0" right="0" top="0" bottom="0" header="0" footer="0"/>
  <pageSetup paperSize="9" scale="61" orientation="landscape" errors="blank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W59"/>
  <sheetViews>
    <sheetView view="pageBreakPreview" topLeftCell="A7" zoomScale="115" zoomScaleNormal="100" zoomScaleSheetLayoutView="115" workbookViewId="0">
      <selection activeCell="D21" sqref="D21:K21"/>
    </sheetView>
  </sheetViews>
  <sheetFormatPr defaultColWidth="9" defaultRowHeight="15"/>
  <cols>
    <col min="1" max="1" width="1.109375" style="5" customWidth="1"/>
    <col min="2" max="2" width="3.77734375" style="6" customWidth="1"/>
    <col min="3" max="3" width="5.33203125" style="2" customWidth="1"/>
    <col min="4" max="4" width="21.5546875" style="48" customWidth="1"/>
    <col min="5" max="5" width="6.5546875" style="6" customWidth="1"/>
    <col min="6" max="6" width="6.5546875" style="2" customWidth="1"/>
    <col min="7" max="7" width="6.5546875" style="9" customWidth="1"/>
    <col min="8" max="8" width="6.5546875" style="3" customWidth="1"/>
    <col min="9" max="9" width="6.33203125" style="3" bestFit="1" customWidth="1"/>
    <col min="10" max="10" width="7.5546875" style="9" bestFit="1" customWidth="1"/>
    <col min="11" max="11" width="15.5546875" style="11" bestFit="1" customWidth="1"/>
    <col min="12" max="12" width="6.109375" style="10" customWidth="1"/>
    <col min="13" max="13" width="8.33203125" style="7" customWidth="1"/>
    <col min="14" max="14" width="8.21875" style="7" bestFit="1" customWidth="1"/>
    <col min="15" max="15" width="6.77734375" style="7" bestFit="1" customWidth="1"/>
    <col min="16" max="17" width="7.21875" style="7" bestFit="1" customWidth="1"/>
    <col min="18" max="18" width="10.33203125" style="8" bestFit="1" customWidth="1"/>
    <col min="19" max="16384" width="9" style="5"/>
  </cols>
  <sheetData>
    <row r="1" spans="1:23" ht="24" customHeight="1">
      <c r="B1" s="2"/>
      <c r="D1" s="3"/>
      <c r="E1" s="2"/>
      <c r="G1" s="3"/>
      <c r="J1" s="3"/>
      <c r="K1" s="16"/>
      <c r="L1" s="17" t="s">
        <v>0</v>
      </c>
      <c r="M1" s="56" t="s">
        <v>1</v>
      </c>
      <c r="N1" s="215" t="s">
        <v>102</v>
      </c>
      <c r="O1" s="216"/>
      <c r="P1" s="216"/>
      <c r="Q1" s="216"/>
      <c r="R1" s="217"/>
    </row>
    <row r="2" spans="1:23" ht="19.5" customHeight="1">
      <c r="B2" s="2"/>
      <c r="D2" s="3"/>
      <c r="E2" s="2"/>
      <c r="G2" s="3"/>
      <c r="J2" s="3"/>
      <c r="K2" s="16"/>
      <c r="L2" s="19" t="s">
        <v>126</v>
      </c>
      <c r="M2" s="18" t="s">
        <v>5</v>
      </c>
      <c r="N2" s="218">
        <v>43735</v>
      </c>
      <c r="O2" s="219"/>
      <c r="P2" s="219"/>
      <c r="Q2" s="219"/>
      <c r="R2" s="220"/>
    </row>
    <row r="3" spans="1:23" s="2" customFormat="1" ht="24" customHeight="1">
      <c r="B3" s="221" t="s">
        <v>8</v>
      </c>
      <c r="C3" s="222"/>
      <c r="D3" s="222"/>
      <c r="E3" s="222"/>
      <c r="F3" s="222"/>
      <c r="G3" s="222"/>
      <c r="H3" s="222"/>
      <c r="I3" s="222"/>
      <c r="J3" s="222"/>
      <c r="K3" s="222"/>
      <c r="L3" s="222"/>
      <c r="M3" s="222"/>
      <c r="N3" s="222"/>
      <c r="O3" s="222"/>
      <c r="P3" s="222"/>
      <c r="Q3" s="222"/>
      <c r="R3" s="222"/>
    </row>
    <row r="4" spans="1:23" s="34" customFormat="1" ht="15" customHeight="1">
      <c r="B4" s="35" t="s">
        <v>10</v>
      </c>
      <c r="C4" s="229" t="s">
        <v>105</v>
      </c>
      <c r="D4" s="230"/>
      <c r="G4" s="36"/>
      <c r="H4" s="36"/>
      <c r="I4" s="36"/>
      <c r="J4" s="36"/>
      <c r="K4" s="36"/>
      <c r="L4" s="37"/>
      <c r="N4" s="38" t="s">
        <v>11</v>
      </c>
      <c r="O4" s="225">
        <f ca="1">NOW()</f>
        <v>45526.690391666663</v>
      </c>
      <c r="P4" s="225"/>
      <c r="Q4" s="225"/>
      <c r="R4" s="225"/>
    </row>
    <row r="5" spans="1:23" s="2" customFormat="1" ht="1.5" customHeight="1" thickBot="1">
      <c r="B5" s="205"/>
      <c r="C5" s="205"/>
      <c r="D5" s="205"/>
      <c r="E5" s="205"/>
      <c r="F5" s="205"/>
      <c r="G5" s="205"/>
      <c r="H5" s="205"/>
      <c r="I5" s="205"/>
      <c r="J5" s="205"/>
      <c r="K5" s="205"/>
      <c r="L5" s="205"/>
      <c r="M5" s="205"/>
      <c r="N5" s="205"/>
      <c r="O5" s="205"/>
      <c r="P5" s="205"/>
      <c r="Q5" s="205"/>
      <c r="R5" s="205"/>
    </row>
    <row r="6" spans="1:23" s="2" customFormat="1" ht="24.9" customHeight="1" thickTop="1">
      <c r="B6" s="206" t="s">
        <v>12</v>
      </c>
      <c r="C6" s="208" t="s">
        <v>104</v>
      </c>
      <c r="D6" s="208" t="s">
        <v>92</v>
      </c>
      <c r="E6" s="208" t="s">
        <v>15</v>
      </c>
      <c r="F6" s="211"/>
      <c r="G6" s="208" t="s">
        <v>16</v>
      </c>
      <c r="H6" s="211"/>
      <c r="I6" s="208" t="s">
        <v>17</v>
      </c>
      <c r="J6" s="208" t="s">
        <v>18</v>
      </c>
      <c r="K6" s="208" t="s">
        <v>19</v>
      </c>
      <c r="L6" s="212" t="s">
        <v>20</v>
      </c>
      <c r="M6" s="208" t="s">
        <v>21</v>
      </c>
      <c r="N6" s="211"/>
      <c r="O6" s="211"/>
      <c r="P6" s="213"/>
      <c r="Q6" s="213"/>
      <c r="R6" s="214"/>
    </row>
    <row r="7" spans="1:23" s="2" customFormat="1" ht="111" customHeight="1" thickBot="1">
      <c r="B7" s="207"/>
      <c r="C7" s="209"/>
      <c r="D7" s="210"/>
      <c r="E7" s="15" t="s">
        <v>22</v>
      </c>
      <c r="F7" s="15" t="s">
        <v>23</v>
      </c>
      <c r="G7" s="15" t="s">
        <v>22</v>
      </c>
      <c r="H7" s="15" t="s">
        <v>23</v>
      </c>
      <c r="I7" s="209"/>
      <c r="J7" s="209"/>
      <c r="K7" s="209"/>
      <c r="L7" s="209"/>
      <c r="M7" s="55" t="s">
        <v>93</v>
      </c>
      <c r="N7" s="55" t="s">
        <v>94</v>
      </c>
      <c r="O7" s="55" t="s">
        <v>95</v>
      </c>
      <c r="P7" s="57" t="s">
        <v>96</v>
      </c>
      <c r="Q7" s="58" t="s">
        <v>97</v>
      </c>
      <c r="R7" s="59" t="s">
        <v>98</v>
      </c>
      <c r="S7" s="2" t="s">
        <v>127</v>
      </c>
    </row>
    <row r="8" spans="1:23" s="20" customFormat="1" ht="24.9" customHeight="1" thickTop="1">
      <c r="A8" s="33"/>
      <c r="B8" s="39">
        <v>1</v>
      </c>
      <c r="C8" s="49"/>
      <c r="D8" s="51" t="s">
        <v>128</v>
      </c>
      <c r="E8" s="29" t="str">
        <f>VLOOKUP(F8,'Radio Call Sign'!A:B,2)</f>
        <v>C C Cheung</v>
      </c>
      <c r="F8" s="29">
        <v>90</v>
      </c>
      <c r="G8" s="29" t="str">
        <f>VLOOKUP(H8,'Radio Call Sign'!A:B,2)</f>
        <v>T W Yeung</v>
      </c>
      <c r="H8" s="40">
        <v>89</v>
      </c>
      <c r="I8" s="41" t="s">
        <v>129</v>
      </c>
      <c r="J8" s="63" t="str">
        <f>IF(D8="","",IF(S8="","未入方向",IF(COUNTIF(Route!L:L,U8)=0,"未有資料",VLOOKUP(U8,Route!L:N,3,0))))</f>
        <v>05</v>
      </c>
      <c r="K8" s="23" t="str">
        <f>IF(D8="","",IF(S8="","未入方向",IF(COUNTIF(Route!L:L,U8)=0,"未有資料",VLOOKUP(U8,Route!L:N,2,0))))</f>
        <v>302, 305, 307, 306, M5, 301</v>
      </c>
      <c r="L8" s="42"/>
      <c r="M8" s="43"/>
      <c r="N8" s="43"/>
      <c r="O8" s="43"/>
      <c r="P8" s="52"/>
      <c r="Q8" s="52"/>
      <c r="R8" s="44"/>
      <c r="S8" s="74" t="s">
        <v>130</v>
      </c>
      <c r="U8" s="20" t="str">
        <f>CONCATENATE(I8,"@",S8)</f>
        <v>LB-E AV@E</v>
      </c>
      <c r="W8" s="20" t="s">
        <v>130</v>
      </c>
    </row>
    <row r="9" spans="1:23" s="20" customFormat="1" ht="27.75" customHeight="1">
      <c r="A9" s="33"/>
      <c r="B9" s="30"/>
      <c r="C9" s="49"/>
      <c r="D9" s="61"/>
      <c r="E9" s="29" t="e">
        <f>VLOOKUP(F9,'Radio Call Sign'!A:B,2)</f>
        <v>#N/A</v>
      </c>
      <c r="F9" s="29"/>
      <c r="G9" s="29" t="e">
        <f>VLOOKUP(H9,'Radio Call Sign'!A:B,2)</f>
        <v>#N/A</v>
      </c>
      <c r="H9" s="29"/>
      <c r="I9" s="46"/>
      <c r="J9" s="62" t="str">
        <f>IF(D9="","",IF(S9="","未入方向",IF(COUNTIF(Route!L:L,U9)=0,"未有資料",VLOOKUP(U9,Route!L:N,3,0))))</f>
        <v/>
      </c>
      <c r="K9" s="23" t="str">
        <f>IF(D9="","",IF(S9="","未入方向",IF(COUNTIF(Route!L:L,U9)=0,"未有資料",VLOOKUP(U9,Route!L:N,2,0))))</f>
        <v/>
      </c>
      <c r="L9" s="22"/>
      <c r="M9" s="21"/>
      <c r="N9" s="21"/>
      <c r="O9" s="21"/>
      <c r="P9" s="53"/>
      <c r="Q9" s="53"/>
      <c r="R9" s="24"/>
      <c r="S9" s="74"/>
      <c r="U9" s="20" t="str">
        <f t="shared" ref="U9:U20" si="0">CONCATENATE(I9,"@",S9)</f>
        <v>@</v>
      </c>
      <c r="W9" s="20" t="s">
        <v>131</v>
      </c>
    </row>
    <row r="10" spans="1:23" s="20" customFormat="1" ht="28.5" customHeight="1">
      <c r="A10" s="33"/>
      <c r="B10" s="30">
        <v>2</v>
      </c>
      <c r="C10" s="49"/>
      <c r="D10" s="65" t="s">
        <v>132</v>
      </c>
      <c r="E10" s="29" t="str">
        <f>VLOOKUP(F10,'Radio Call Sign'!A:B,2)</f>
        <v>C C Cheung</v>
      </c>
      <c r="F10" s="29">
        <v>90</v>
      </c>
      <c r="G10" s="29" t="str">
        <f>VLOOKUP(H10,'Radio Call Sign'!A:B,2)</f>
        <v>C H Po</v>
      </c>
      <c r="H10" s="29">
        <v>85</v>
      </c>
      <c r="I10" s="46" t="s">
        <v>133</v>
      </c>
      <c r="J10" s="62" t="str">
        <f>IF(D10="","",IF(S10="","未入方向",IF(COUNTIF(Route!L:L,U10)=0,"未有資料",VLOOKUP(U10,Route!L:N,3,0))))</f>
        <v>06, 03, 10, 16</v>
      </c>
      <c r="K10" s="23" t="str">
        <f>IF(D10="","",IF(S10="","未入方向",IF(COUNTIF(Route!L:L,U10)=0,"未有資料",VLOOKUP(U10,Route!L:N,2,0))))</f>
        <v>302, 305, 307, 306, M1, M2, M3, M4, 333, 331, 318, 317, 316, 311, 303, 305, 302</v>
      </c>
      <c r="L10" s="22"/>
      <c r="M10" s="21"/>
      <c r="N10" s="21"/>
      <c r="O10" s="21"/>
      <c r="P10" s="53"/>
      <c r="Q10" s="53"/>
      <c r="R10" s="24"/>
      <c r="S10" s="74" t="s">
        <v>130</v>
      </c>
      <c r="U10" s="20" t="str">
        <f t="shared" si="0"/>
        <v>M4-5E@E</v>
      </c>
    </row>
    <row r="11" spans="1:23" s="20" customFormat="1" ht="24.9" customHeight="1">
      <c r="A11" s="33"/>
      <c r="B11" s="30"/>
      <c r="C11" s="49"/>
      <c r="D11" s="51"/>
      <c r="E11" s="29" t="e">
        <f>VLOOKUP(F11,'Radio Call Sign'!A:B,2)</f>
        <v>#N/A</v>
      </c>
      <c r="F11" s="29"/>
      <c r="G11" s="29" t="e">
        <f>VLOOKUP(H11,'Radio Call Sign'!A:B,2)</f>
        <v>#N/A</v>
      </c>
      <c r="H11" s="29"/>
      <c r="I11" s="46"/>
      <c r="J11" s="62" t="str">
        <f>IF(D11="","",IF(S11="","未入方向",IF(COUNTIF(Route!L:L,U11)=0,"未有資料",VLOOKUP(U11,Route!L:N,3,0))))</f>
        <v/>
      </c>
      <c r="K11" s="23" t="str">
        <f>IF(D11="","",IF(S11="","未入方向",IF(COUNTIF(Route!L:L,U11)=0,"未有資料",VLOOKUP(U11,Route!L:N,2,0))))</f>
        <v/>
      </c>
      <c r="L11" s="22"/>
      <c r="M11" s="21"/>
      <c r="N11" s="21"/>
      <c r="O11" s="21"/>
      <c r="P11" s="53"/>
      <c r="Q11" s="53"/>
      <c r="R11" s="24"/>
      <c r="S11" s="74"/>
      <c r="U11" s="20" t="str">
        <f t="shared" si="0"/>
        <v>@</v>
      </c>
    </row>
    <row r="12" spans="1:23" s="20" customFormat="1" ht="24.9" customHeight="1">
      <c r="A12" s="33"/>
      <c r="B12" s="30">
        <v>3</v>
      </c>
      <c r="C12" s="49"/>
      <c r="D12" s="51" t="s">
        <v>134</v>
      </c>
      <c r="E12" s="29" t="str">
        <f>VLOOKUP(F12,'Radio Call Sign'!A:B,2)</f>
        <v>C C Cheung</v>
      </c>
      <c r="F12" s="29">
        <v>90</v>
      </c>
      <c r="G12" s="29" t="str">
        <f>VLOOKUP(H12,'Radio Call Sign'!A:B,2)</f>
        <v>T W Yeung</v>
      </c>
      <c r="H12" s="29">
        <v>89</v>
      </c>
      <c r="I12" s="46" t="s">
        <v>135</v>
      </c>
      <c r="J12" s="62" t="str">
        <f>IF(D12="","",IF(S12="","未入方向",IF(COUNTIF(Route!L:L,U12)=0,"未有資料",VLOOKUP(U12,Route!L:N,3,0))))</f>
        <v>05, 03, 10, 16</v>
      </c>
      <c r="K12" s="23" t="str">
        <f>IF(D12="","",IF(S12="","未入方向",IF(COUNTIF(Route!L:L,U12)=0,"未有資料",VLOOKUP(U12,Route!L:N,2,0))))</f>
        <v>302, 305, 307, 306, M5, M6, M7, M8, 333, 331, 318, 317, 316, 311, 303, 305, 302</v>
      </c>
      <c r="L12" s="22"/>
      <c r="M12" s="21"/>
      <c r="N12" s="21"/>
      <c r="O12" s="21"/>
      <c r="P12" s="53"/>
      <c r="Q12" s="53"/>
      <c r="R12" s="24"/>
      <c r="S12" s="74" t="s">
        <v>130</v>
      </c>
      <c r="U12" s="20" t="str">
        <f t="shared" si="0"/>
        <v>LS2-5E@E</v>
      </c>
    </row>
    <row r="13" spans="1:23" s="20" customFormat="1" ht="25.5" customHeight="1">
      <c r="A13" s="33"/>
      <c r="B13" s="30"/>
      <c r="C13" s="49"/>
      <c r="D13" s="51"/>
      <c r="E13" s="67" t="e">
        <f>VLOOKUP(F13,'Radio Call Sign'!A:B,2)</f>
        <v>#N/A</v>
      </c>
      <c r="F13" s="29"/>
      <c r="G13" s="67" t="e">
        <f>VLOOKUP(H13,'Radio Call Sign'!A:B,2)</f>
        <v>#N/A</v>
      </c>
      <c r="H13" s="29"/>
      <c r="I13" s="46"/>
      <c r="J13" s="62" t="str">
        <f>IF(D13="","",IF(S13="","未入方向",IF(COUNTIF(Route!L:L,U13)=0,"未有資料",VLOOKUP(U13,Route!L:N,3,0))))</f>
        <v/>
      </c>
      <c r="K13" s="23" t="str">
        <f>IF(D13="","",IF(S13="","未入方向",IF(COUNTIF(Route!L:L,U13)=0,"未有資料",VLOOKUP(U13,Route!L:N,2,0))))</f>
        <v/>
      </c>
      <c r="L13" s="22"/>
      <c r="M13" s="21"/>
      <c r="N13" s="21"/>
      <c r="O13" s="21"/>
      <c r="P13" s="53"/>
      <c r="Q13" s="53"/>
      <c r="R13" s="24"/>
      <c r="S13" s="74"/>
      <c r="U13" s="20" t="str">
        <f t="shared" si="0"/>
        <v>@</v>
      </c>
    </row>
    <row r="14" spans="1:23" s="20" customFormat="1" ht="24.9" customHeight="1">
      <c r="A14" s="33"/>
      <c r="B14" s="30">
        <v>4</v>
      </c>
      <c r="C14" s="49"/>
      <c r="D14" s="51" t="s">
        <v>136</v>
      </c>
      <c r="E14" s="29" t="str">
        <f>VLOOKUP(F14,'Radio Call Sign'!A:B,2)</f>
        <v>C C Cheung</v>
      </c>
      <c r="F14" s="68">
        <v>90</v>
      </c>
      <c r="G14" s="29" t="str">
        <f>VLOOKUP(H14,'Radio Call Sign'!A:B,2)</f>
        <v>C H Po</v>
      </c>
      <c r="H14" s="66">
        <v>85</v>
      </c>
      <c r="I14" s="46" t="s">
        <v>137</v>
      </c>
      <c r="J14" s="62" t="str">
        <f>IF(D14="","",IF(S14="","未入方向",IF(COUNTIF(Route!L:L,U14)=0,"未有資料",VLOOKUP(U14,Route!L:N,3,0))))</f>
        <v>20, 04, 03</v>
      </c>
      <c r="K14" s="23" t="str">
        <f>IF(D14="","",IF(S14="","未入方向",IF(COUNTIF(Route!L:L,U14)=0,"未有資料",VLOOKUP(U14,Route!L:N,2,0))))</f>
        <v>323, 322, 319, 316, 311, 303, 305, 302, 302, 305, 307, 306, M5, M6</v>
      </c>
      <c r="L14" s="22"/>
      <c r="M14" s="21"/>
      <c r="N14" s="21"/>
      <c r="O14" s="21"/>
      <c r="P14" s="53"/>
      <c r="Q14" s="53"/>
      <c r="R14" s="24"/>
      <c r="S14" s="74" t="s">
        <v>130</v>
      </c>
      <c r="U14" s="20" t="str">
        <f t="shared" si="0"/>
        <v>LF3-LS3@E</v>
      </c>
    </row>
    <row r="15" spans="1:23" s="20" customFormat="1" ht="24.9" customHeight="1">
      <c r="A15" s="33"/>
      <c r="B15" s="30"/>
      <c r="C15" s="49"/>
      <c r="D15" s="51"/>
      <c r="E15" s="40" t="e">
        <f>VLOOKUP(F15,'Radio Call Sign'!A:B,2)</f>
        <v>#N/A</v>
      </c>
      <c r="F15" s="29"/>
      <c r="G15" s="40" t="e">
        <f>VLOOKUP(H15,'Radio Call Sign'!A:B,2)</f>
        <v>#N/A</v>
      </c>
      <c r="H15" s="29"/>
      <c r="I15" s="46"/>
      <c r="J15" s="62" t="str">
        <f>IF(D15="","",IF(S15="","未入方向",IF(COUNTIF(Route!L:L,U15)=0,"未有資料",VLOOKUP(U15,Route!L:N,3,0))))</f>
        <v/>
      </c>
      <c r="K15" s="23" t="str">
        <f>IF(D15="","",IF(S15="","未入方向",IF(COUNTIF(Route!L:L,U15)=0,"未有資料",VLOOKUP(U15,Route!L:N,2,0))))</f>
        <v/>
      </c>
      <c r="L15" s="22"/>
      <c r="M15" s="21"/>
      <c r="N15" s="21"/>
      <c r="O15" s="21"/>
      <c r="P15" s="53"/>
      <c r="Q15" s="53"/>
      <c r="R15" s="24"/>
      <c r="S15" s="74"/>
      <c r="U15" s="20" t="str">
        <f t="shared" si="0"/>
        <v>@</v>
      </c>
    </row>
    <row r="16" spans="1:23" s="20" customFormat="1" ht="24.9" customHeight="1">
      <c r="A16" s="33"/>
      <c r="B16" s="30"/>
      <c r="C16" s="49"/>
      <c r="D16" s="51"/>
      <c r="E16" s="40" t="e">
        <f>VLOOKUP(F16,'Radio Call Sign'!A:B,2)</f>
        <v>#N/A</v>
      </c>
      <c r="F16" s="29"/>
      <c r="G16" s="29" t="e">
        <f>VLOOKUP(H16,'Radio Call Sign'!A:B,2)</f>
        <v>#N/A</v>
      </c>
      <c r="H16" s="29"/>
      <c r="I16" s="46"/>
      <c r="J16" s="62" t="str">
        <f>IF(D16="","",IF(S16="","未入方向",IF(COUNTIF(Route!L:L,U16)=0,"未有資料",VLOOKUP(U16,Route!L:N,3,0))))</f>
        <v/>
      </c>
      <c r="K16" s="23" t="str">
        <f>IF(D16="","",IF(S16="","未入方向",IF(COUNTIF(Route!L:L,U16)=0,"未有資料",VLOOKUP(U16,Route!L:N,2,0))))</f>
        <v/>
      </c>
      <c r="L16" s="22"/>
      <c r="M16" s="21"/>
      <c r="N16" s="21"/>
      <c r="O16" s="21"/>
      <c r="P16" s="53"/>
      <c r="Q16" s="53"/>
      <c r="R16" s="24"/>
      <c r="S16" s="74"/>
      <c r="U16" s="20" t="str">
        <f t="shared" si="0"/>
        <v>@</v>
      </c>
    </row>
    <row r="17" spans="1:21" s="20" customFormat="1" ht="20.25" customHeight="1">
      <c r="A17" s="33"/>
      <c r="B17" s="30"/>
      <c r="C17" s="49"/>
      <c r="D17" s="61"/>
      <c r="E17" s="29" t="e">
        <f>VLOOKUP(F17,'Radio Call Sign'!A:B,2)</f>
        <v>#N/A</v>
      </c>
      <c r="F17" s="29"/>
      <c r="G17" s="29" t="e">
        <f>VLOOKUP(H17,'Radio Call Sign'!A:B,2)</f>
        <v>#N/A</v>
      </c>
      <c r="H17" s="29"/>
      <c r="I17" s="46"/>
      <c r="J17" s="62" t="str">
        <f>IF(D17="","",IF(S17="","未入方向",IF(COUNTIF(Route!L:L,U17)=0,"未有資料",VLOOKUP(U17,Route!L:N,3,0))))</f>
        <v/>
      </c>
      <c r="K17" s="23" t="str">
        <f>IF(D17="","",IF(S17="","未入方向",IF(COUNTIF(Route!L:L,U17)=0,"未有資料",VLOOKUP(U17,Route!L:N,2,0))))</f>
        <v/>
      </c>
      <c r="L17" s="22"/>
      <c r="M17" s="21"/>
      <c r="N17" s="21"/>
      <c r="O17" s="21"/>
      <c r="P17" s="53"/>
      <c r="Q17" s="53"/>
      <c r="R17" s="24"/>
      <c r="S17" s="74"/>
      <c r="U17" s="20" t="str">
        <f t="shared" si="0"/>
        <v>@</v>
      </c>
    </row>
    <row r="18" spans="1:21" s="20" customFormat="1" ht="24.9" customHeight="1">
      <c r="A18" s="33"/>
      <c r="B18" s="30"/>
      <c r="C18" s="49"/>
      <c r="D18" s="51"/>
      <c r="E18" s="29" t="e">
        <f>VLOOKUP(F18,'Radio Call Sign'!A:B,2)</f>
        <v>#N/A</v>
      </c>
      <c r="F18" s="29"/>
      <c r="G18" s="29" t="e">
        <f>VLOOKUP(H18,'Radio Call Sign'!A:B,2)</f>
        <v>#N/A</v>
      </c>
      <c r="H18" s="29"/>
      <c r="I18" s="46"/>
      <c r="J18" s="62" t="str">
        <f>IF(D18="","",IF(S18="","未入方向",IF(COUNTIF(Route!L:L,U18)=0,"未有資料",VLOOKUP(U18,Route!L:N,3,0))))</f>
        <v/>
      </c>
      <c r="K18" s="23" t="str">
        <f>IF(D18="","",IF(S18="","未入方向",IF(COUNTIF(Route!L:L,U18)=0,"未有資料",VLOOKUP(U18,Route!L:N,2,0))))</f>
        <v/>
      </c>
      <c r="L18" s="22"/>
      <c r="M18" s="21"/>
      <c r="N18" s="21"/>
      <c r="O18" s="21"/>
      <c r="P18" s="53"/>
      <c r="Q18" s="53"/>
      <c r="R18" s="24"/>
      <c r="S18" s="74"/>
      <c r="U18" s="20" t="str">
        <f t="shared" si="0"/>
        <v>@</v>
      </c>
    </row>
    <row r="19" spans="1:21" s="20" customFormat="1" ht="24.9" customHeight="1">
      <c r="A19" s="33"/>
      <c r="B19" s="30"/>
      <c r="C19" s="49"/>
      <c r="D19" s="51"/>
      <c r="E19" s="29" t="e">
        <f>VLOOKUP(F19,'Radio Call Sign'!A:B,2)</f>
        <v>#N/A</v>
      </c>
      <c r="F19" s="29"/>
      <c r="G19" s="29" t="e">
        <f>VLOOKUP(H19,'Radio Call Sign'!A:B,2)</f>
        <v>#N/A</v>
      </c>
      <c r="H19" s="29"/>
      <c r="I19" s="46"/>
      <c r="J19" s="62" t="str">
        <f>IF(D19="","",IF(S19="","未入方向",IF(COUNTIF(Route!L:L,U19)=0,"未有資料",VLOOKUP(U19,Route!L:N,3,0))))</f>
        <v/>
      </c>
      <c r="K19" s="23" t="str">
        <f>IF(D19="","",IF(S19="","未入方向",IF(COUNTIF(Route!L:L,U19)=0,"未有資料",VLOOKUP(U19,Route!L:N,2,0))))</f>
        <v/>
      </c>
      <c r="L19" s="22"/>
      <c r="M19" s="21"/>
      <c r="N19" s="21"/>
      <c r="O19" s="21"/>
      <c r="P19" s="53"/>
      <c r="Q19" s="53"/>
      <c r="R19" s="24"/>
      <c r="S19" s="74"/>
      <c r="U19" s="20" t="str">
        <f t="shared" si="0"/>
        <v>@</v>
      </c>
    </row>
    <row r="20" spans="1:21" s="20" customFormat="1" ht="24.9" customHeight="1" thickBot="1">
      <c r="A20" s="33"/>
      <c r="B20" s="31"/>
      <c r="C20" s="50"/>
      <c r="D20" s="51"/>
      <c r="E20" s="32" t="e">
        <f>VLOOKUP(F20,'Radio Call Sign'!A:B,2)</f>
        <v>#N/A</v>
      </c>
      <c r="F20" s="32"/>
      <c r="G20" s="32" t="e">
        <f>VLOOKUP(H20,'Radio Call Sign'!A:B,2)</f>
        <v>#N/A</v>
      </c>
      <c r="H20" s="32"/>
      <c r="I20" s="47"/>
      <c r="J20" s="64" t="str">
        <f>IF(D20="","",IF(S20="","未入方向",IF(COUNTIF(Route!L:L,U20)=0,"未有資料",VLOOKUP(U20,Route!L:N,3,0))))</f>
        <v/>
      </c>
      <c r="K20" s="27" t="str">
        <f>IF(D20="","",IF(S20="","未入方向",IF(COUNTIF(Route!L:L,U20)=0,"未有資料",VLOOKUP(U20,Route!L:N,2,0))))</f>
        <v/>
      </c>
      <c r="L20" s="26"/>
      <c r="M20" s="25"/>
      <c r="N20" s="25"/>
      <c r="O20" s="25"/>
      <c r="P20" s="54"/>
      <c r="Q20" s="54"/>
      <c r="R20" s="28"/>
      <c r="S20" s="74"/>
      <c r="U20" s="20" t="str">
        <f t="shared" si="0"/>
        <v>@</v>
      </c>
    </row>
    <row r="21" spans="1:21" s="2" customFormat="1" ht="15.6" thickTop="1">
      <c r="B21" s="14" t="s">
        <v>77</v>
      </c>
      <c r="C21" s="12" t="s">
        <v>100</v>
      </c>
      <c r="D21" s="300" t="s">
        <v>138</v>
      </c>
      <c r="E21" s="300"/>
      <c r="F21" s="300"/>
      <c r="G21" s="300"/>
      <c r="H21" s="300"/>
      <c r="I21" s="300"/>
      <c r="J21" s="300"/>
      <c r="K21" s="300"/>
    </row>
    <row r="22" spans="1:21" s="2" customFormat="1" ht="25.5" customHeight="1">
      <c r="C22" s="60" t="s">
        <v>84</v>
      </c>
      <c r="D22" s="204" t="s">
        <v>139</v>
      </c>
      <c r="E22" s="204"/>
      <c r="F22" s="204"/>
      <c r="G22" s="204"/>
      <c r="H22" s="204"/>
      <c r="I22" s="3"/>
      <c r="J22" s="3"/>
      <c r="K22" s="13"/>
      <c r="L22" s="4"/>
    </row>
    <row r="23" spans="1:21">
      <c r="B23" s="3"/>
      <c r="C23" s="3"/>
      <c r="D23" s="11"/>
      <c r="E23" s="4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</row>
    <row r="24" spans="1:21">
      <c r="B24" s="2"/>
      <c r="D24" s="3"/>
      <c r="E24" s="2"/>
      <c r="G24" s="3"/>
      <c r="J24" s="3"/>
      <c r="L24" s="4"/>
      <c r="M24" s="5"/>
      <c r="N24" s="5"/>
      <c r="O24" s="5"/>
      <c r="P24" s="5"/>
      <c r="Q24" s="5"/>
      <c r="R24" s="5"/>
    </row>
    <row r="25" spans="1:21">
      <c r="B25" s="2"/>
      <c r="D25" s="3"/>
      <c r="E25" s="2"/>
      <c r="G25" s="3"/>
      <c r="J25" s="3"/>
      <c r="L25" s="4"/>
      <c r="M25" s="5"/>
      <c r="N25" s="5"/>
      <c r="O25" s="5"/>
      <c r="P25" s="5"/>
      <c r="Q25" s="5"/>
      <c r="R25" s="5"/>
    </row>
    <row r="26" spans="1:21">
      <c r="B26" s="2"/>
      <c r="D26" s="3"/>
      <c r="E26" s="2"/>
      <c r="G26" s="3"/>
      <c r="J26" s="3"/>
      <c r="L26" s="4"/>
      <c r="M26" s="5"/>
      <c r="N26" s="5"/>
      <c r="O26" s="5"/>
      <c r="P26" s="5"/>
      <c r="Q26" s="5"/>
      <c r="R26" s="5"/>
    </row>
    <row r="27" spans="1:21">
      <c r="B27" s="2"/>
      <c r="D27" s="3"/>
      <c r="E27" s="2"/>
      <c r="G27" s="3"/>
      <c r="J27" s="3"/>
      <c r="L27" s="4"/>
      <c r="M27" s="5"/>
      <c r="N27" s="5"/>
      <c r="O27" s="5"/>
      <c r="P27" s="5"/>
      <c r="Q27" s="5"/>
      <c r="R27" s="5"/>
    </row>
    <row r="28" spans="1:21">
      <c r="B28" s="2"/>
      <c r="D28" s="3"/>
      <c r="E28" s="2"/>
      <c r="G28" s="3"/>
      <c r="J28" s="3"/>
      <c r="L28" s="4"/>
      <c r="M28" s="5"/>
      <c r="N28" s="5"/>
      <c r="O28" s="5"/>
      <c r="P28" s="5"/>
      <c r="Q28" s="5"/>
      <c r="R28" s="5"/>
    </row>
    <row r="29" spans="1:21">
      <c r="B29" s="2"/>
      <c r="D29" s="3"/>
      <c r="E29" s="2"/>
      <c r="G29" s="3"/>
      <c r="J29" s="3"/>
      <c r="L29" s="4"/>
      <c r="M29" s="5"/>
      <c r="N29" s="5"/>
      <c r="O29" s="5"/>
      <c r="P29" s="5"/>
      <c r="Q29" s="5"/>
      <c r="R29" s="5"/>
    </row>
    <row r="30" spans="1:21">
      <c r="B30" s="2"/>
      <c r="D30" s="3"/>
      <c r="E30" s="2"/>
      <c r="G30" s="3"/>
      <c r="J30" s="3"/>
      <c r="L30" s="4"/>
      <c r="M30" s="5"/>
      <c r="N30" s="5"/>
      <c r="O30" s="5"/>
      <c r="P30" s="5"/>
      <c r="Q30" s="5"/>
      <c r="R30" s="5"/>
    </row>
    <row r="31" spans="1:21">
      <c r="B31" s="2"/>
      <c r="D31" s="3"/>
      <c r="E31" s="2"/>
      <c r="G31" s="3"/>
      <c r="J31" s="3"/>
      <c r="L31" s="4"/>
      <c r="M31" s="5"/>
      <c r="N31" s="5"/>
      <c r="O31" s="5"/>
      <c r="P31" s="5"/>
      <c r="Q31" s="5"/>
      <c r="R31" s="5"/>
    </row>
    <row r="32" spans="1:21">
      <c r="B32" s="2"/>
      <c r="D32" s="3"/>
      <c r="E32" s="2"/>
      <c r="G32" s="3"/>
      <c r="J32" s="3"/>
      <c r="L32" s="4"/>
      <c r="M32" s="5"/>
      <c r="N32" s="5"/>
      <c r="O32" s="5"/>
      <c r="P32" s="5"/>
      <c r="Q32" s="5"/>
      <c r="R32" s="5"/>
    </row>
    <row r="33" spans="2:18">
      <c r="B33" s="2"/>
      <c r="D33" s="3"/>
      <c r="E33" s="2"/>
      <c r="G33" s="3"/>
      <c r="J33" s="3"/>
      <c r="L33" s="4"/>
      <c r="M33" s="5"/>
      <c r="N33" s="5"/>
      <c r="O33" s="5"/>
      <c r="P33" s="5"/>
      <c r="Q33" s="5"/>
      <c r="R33" s="5"/>
    </row>
    <row r="34" spans="2:18">
      <c r="B34" s="2"/>
      <c r="D34" s="3"/>
      <c r="E34" s="2"/>
      <c r="G34" s="3"/>
      <c r="J34" s="3"/>
      <c r="L34" s="4"/>
      <c r="M34" s="5"/>
      <c r="N34" s="5"/>
      <c r="O34" s="5"/>
      <c r="P34" s="5"/>
      <c r="Q34" s="5"/>
      <c r="R34" s="5"/>
    </row>
    <row r="35" spans="2:18">
      <c r="B35" s="2"/>
      <c r="D35" s="3"/>
      <c r="E35" s="2"/>
      <c r="G35" s="3"/>
      <c r="J35" s="3"/>
      <c r="L35" s="4"/>
      <c r="M35" s="5"/>
      <c r="N35" s="5"/>
      <c r="O35" s="5"/>
      <c r="P35" s="5"/>
      <c r="Q35" s="5"/>
      <c r="R35" s="5"/>
    </row>
    <row r="36" spans="2:18">
      <c r="B36" s="2"/>
      <c r="D36" s="3"/>
      <c r="E36" s="2"/>
      <c r="G36" s="3"/>
      <c r="J36" s="3"/>
      <c r="L36" s="4"/>
      <c r="M36" s="5"/>
      <c r="N36" s="5"/>
      <c r="O36" s="5"/>
      <c r="P36" s="5"/>
      <c r="Q36" s="5"/>
      <c r="R36" s="5"/>
    </row>
    <row r="37" spans="2:18">
      <c r="B37" s="2"/>
      <c r="D37" s="3"/>
      <c r="E37" s="2"/>
      <c r="G37" s="3"/>
      <c r="J37" s="3"/>
      <c r="L37" s="4"/>
      <c r="M37" s="5"/>
      <c r="N37" s="5"/>
      <c r="O37" s="5"/>
      <c r="P37" s="5"/>
      <c r="Q37" s="5"/>
      <c r="R37" s="5"/>
    </row>
    <row r="38" spans="2:18">
      <c r="B38" s="2"/>
      <c r="D38" s="3"/>
      <c r="E38" s="2"/>
      <c r="G38" s="3"/>
      <c r="J38" s="3"/>
      <c r="L38" s="4"/>
      <c r="M38" s="5"/>
      <c r="N38" s="5"/>
      <c r="O38" s="5"/>
      <c r="P38" s="5"/>
      <c r="Q38" s="5"/>
      <c r="R38" s="5"/>
    </row>
    <row r="39" spans="2:18">
      <c r="B39" s="2"/>
      <c r="D39" s="3"/>
      <c r="E39" s="2"/>
      <c r="G39" s="3"/>
      <c r="J39" s="3"/>
      <c r="L39" s="4"/>
      <c r="M39" s="5"/>
      <c r="N39" s="5"/>
      <c r="O39" s="5"/>
      <c r="P39" s="5"/>
      <c r="Q39" s="5"/>
      <c r="R39" s="5"/>
    </row>
    <row r="40" spans="2:18">
      <c r="B40" s="2"/>
      <c r="D40" s="3"/>
      <c r="E40" s="2"/>
      <c r="G40" s="3"/>
      <c r="J40" s="3"/>
      <c r="L40" s="4"/>
      <c r="M40" s="5"/>
      <c r="N40" s="5"/>
      <c r="O40" s="5"/>
      <c r="P40" s="5"/>
      <c r="Q40" s="5"/>
      <c r="R40" s="5"/>
    </row>
    <row r="41" spans="2:18">
      <c r="B41" s="2"/>
      <c r="D41" s="3"/>
      <c r="E41" s="2"/>
      <c r="G41" s="3"/>
      <c r="J41" s="3"/>
      <c r="L41" s="4"/>
      <c r="M41" s="5"/>
      <c r="N41" s="5"/>
      <c r="O41" s="5"/>
      <c r="P41" s="5"/>
      <c r="Q41" s="5"/>
      <c r="R41" s="5"/>
    </row>
    <row r="42" spans="2:18">
      <c r="B42" s="2"/>
      <c r="D42" s="3"/>
      <c r="E42" s="2"/>
      <c r="G42" s="3"/>
      <c r="J42" s="3"/>
      <c r="L42" s="4"/>
      <c r="M42" s="5"/>
      <c r="N42" s="5"/>
      <c r="O42" s="5"/>
      <c r="P42" s="5"/>
      <c r="Q42" s="5"/>
      <c r="R42" s="5"/>
    </row>
    <row r="43" spans="2:18">
      <c r="B43" s="2"/>
      <c r="D43" s="3"/>
      <c r="E43" s="2"/>
      <c r="G43" s="3"/>
      <c r="J43" s="3"/>
      <c r="L43" s="4"/>
      <c r="M43" s="5"/>
      <c r="N43" s="5"/>
      <c r="O43" s="5"/>
      <c r="P43" s="5"/>
      <c r="Q43" s="5"/>
      <c r="R43" s="5"/>
    </row>
    <row r="44" spans="2:18">
      <c r="B44" s="2"/>
      <c r="D44" s="3"/>
      <c r="E44" s="2"/>
      <c r="G44" s="3"/>
      <c r="J44" s="3"/>
      <c r="L44" s="4"/>
      <c r="M44" s="5"/>
      <c r="N44" s="5"/>
      <c r="O44" s="5"/>
      <c r="P44" s="5"/>
      <c r="Q44" s="5"/>
      <c r="R44" s="5"/>
    </row>
    <row r="45" spans="2:18">
      <c r="B45" s="2"/>
      <c r="D45" s="3"/>
      <c r="E45" s="2"/>
      <c r="G45" s="3"/>
      <c r="J45" s="3"/>
      <c r="L45" s="4"/>
      <c r="M45" s="5"/>
      <c r="N45" s="5"/>
      <c r="O45" s="5"/>
      <c r="P45" s="5"/>
      <c r="Q45" s="5"/>
      <c r="R45" s="5"/>
    </row>
    <row r="46" spans="2:18">
      <c r="B46" s="2"/>
      <c r="D46" s="3"/>
      <c r="E46" s="2"/>
      <c r="G46" s="3"/>
      <c r="J46" s="3"/>
      <c r="L46" s="4"/>
      <c r="M46" s="5"/>
      <c r="N46" s="5"/>
      <c r="O46" s="5"/>
      <c r="P46" s="5"/>
      <c r="Q46" s="5"/>
      <c r="R46" s="5"/>
    </row>
    <row r="47" spans="2:18">
      <c r="B47" s="2"/>
      <c r="D47" s="3"/>
      <c r="E47" s="2"/>
      <c r="G47" s="3"/>
      <c r="J47" s="3"/>
      <c r="L47" s="4"/>
      <c r="M47" s="5"/>
      <c r="N47" s="5"/>
      <c r="O47" s="5"/>
      <c r="P47" s="5"/>
      <c r="Q47" s="5"/>
      <c r="R47" s="5"/>
    </row>
    <row r="48" spans="2:18">
      <c r="B48" s="2"/>
      <c r="D48" s="3"/>
      <c r="E48" s="2"/>
      <c r="G48" s="3"/>
      <c r="J48" s="3"/>
      <c r="L48" s="4"/>
      <c r="M48" s="5"/>
      <c r="N48" s="5"/>
      <c r="O48" s="5"/>
      <c r="P48" s="5"/>
      <c r="Q48" s="5"/>
      <c r="R48" s="5"/>
    </row>
    <row r="49" spans="2:18">
      <c r="B49" s="2"/>
      <c r="D49" s="3"/>
      <c r="E49" s="2"/>
      <c r="G49" s="3"/>
      <c r="J49" s="3"/>
      <c r="L49" s="4"/>
      <c r="M49" s="5"/>
      <c r="N49" s="5"/>
      <c r="O49" s="5"/>
      <c r="P49" s="5"/>
      <c r="Q49" s="5"/>
      <c r="R49" s="5"/>
    </row>
    <row r="50" spans="2:18">
      <c r="B50" s="2"/>
      <c r="D50" s="3"/>
      <c r="E50" s="2"/>
      <c r="G50" s="3"/>
      <c r="J50" s="3"/>
      <c r="L50" s="4"/>
      <c r="M50" s="5"/>
      <c r="N50" s="5"/>
      <c r="O50" s="5"/>
      <c r="P50" s="5"/>
      <c r="Q50" s="5"/>
      <c r="R50" s="5"/>
    </row>
    <row r="51" spans="2:18">
      <c r="B51" s="2"/>
      <c r="D51" s="3"/>
      <c r="E51" s="2"/>
      <c r="G51" s="3"/>
      <c r="J51" s="3"/>
      <c r="L51" s="4"/>
      <c r="M51" s="5"/>
      <c r="N51" s="5"/>
      <c r="O51" s="5"/>
      <c r="P51" s="5"/>
      <c r="Q51" s="5"/>
      <c r="R51" s="5"/>
    </row>
    <row r="52" spans="2:18">
      <c r="B52" s="2"/>
      <c r="D52" s="3"/>
      <c r="E52" s="2"/>
      <c r="G52" s="3"/>
      <c r="J52" s="3"/>
      <c r="L52" s="4"/>
      <c r="M52" s="5"/>
      <c r="N52" s="5"/>
      <c r="O52" s="5"/>
      <c r="P52" s="5"/>
      <c r="Q52" s="5"/>
      <c r="R52" s="5"/>
    </row>
    <row r="53" spans="2:18">
      <c r="B53" s="2"/>
      <c r="D53" s="3"/>
      <c r="E53" s="2"/>
      <c r="G53" s="3"/>
      <c r="J53" s="3"/>
      <c r="L53" s="4"/>
      <c r="M53" s="5"/>
      <c r="N53" s="5"/>
      <c r="O53" s="5"/>
      <c r="P53" s="5"/>
      <c r="Q53" s="5"/>
      <c r="R53" s="5"/>
    </row>
    <row r="54" spans="2:18">
      <c r="B54" s="2"/>
      <c r="D54" s="3"/>
      <c r="E54" s="2"/>
      <c r="G54" s="3"/>
      <c r="J54" s="3"/>
      <c r="L54" s="4"/>
      <c r="M54" s="5"/>
      <c r="N54" s="5"/>
      <c r="O54" s="5"/>
      <c r="P54" s="5"/>
      <c r="Q54" s="5"/>
      <c r="R54" s="5"/>
    </row>
    <row r="55" spans="2:18">
      <c r="B55" s="2"/>
      <c r="D55" s="3"/>
      <c r="E55" s="2"/>
      <c r="G55" s="3"/>
      <c r="J55" s="3"/>
      <c r="L55" s="4"/>
      <c r="M55" s="5"/>
      <c r="N55" s="5"/>
      <c r="O55" s="5"/>
      <c r="P55" s="5"/>
      <c r="Q55" s="5"/>
      <c r="R55" s="5"/>
    </row>
    <row r="56" spans="2:18">
      <c r="B56" s="2"/>
      <c r="D56" s="3"/>
      <c r="E56" s="2"/>
      <c r="G56" s="3"/>
      <c r="J56" s="3"/>
      <c r="L56" s="4"/>
      <c r="M56" s="5"/>
      <c r="N56" s="5"/>
      <c r="O56" s="5"/>
      <c r="P56" s="5"/>
      <c r="Q56" s="5"/>
      <c r="R56" s="5"/>
    </row>
    <row r="57" spans="2:18">
      <c r="B57" s="2"/>
      <c r="D57" s="3"/>
      <c r="E57" s="2"/>
      <c r="G57" s="3"/>
      <c r="J57" s="3"/>
      <c r="L57" s="4"/>
      <c r="M57" s="5"/>
      <c r="N57" s="5"/>
      <c r="O57" s="5"/>
      <c r="P57" s="5"/>
      <c r="Q57" s="5"/>
      <c r="R57" s="5"/>
    </row>
    <row r="58" spans="2:18">
      <c r="B58" s="2"/>
      <c r="D58" s="3"/>
      <c r="E58" s="2"/>
      <c r="G58" s="3"/>
      <c r="J58" s="3"/>
      <c r="L58" s="4"/>
      <c r="M58" s="5"/>
      <c r="N58" s="5"/>
      <c r="O58" s="5"/>
      <c r="P58" s="5"/>
      <c r="Q58" s="5"/>
      <c r="R58" s="5"/>
    </row>
    <row r="59" spans="2:18">
      <c r="B59" s="2"/>
      <c r="D59" s="3"/>
      <c r="E59" s="2"/>
      <c r="G59" s="3"/>
      <c r="J59" s="3"/>
      <c r="L59" s="4"/>
      <c r="M59" s="5"/>
      <c r="N59" s="5"/>
      <c r="O59" s="5"/>
      <c r="P59" s="5"/>
      <c r="Q59" s="5"/>
      <c r="R59" s="5"/>
    </row>
  </sheetData>
  <protectedRanges>
    <protectedRange sqref="D8:I20 L8:S20" name="範圍1"/>
  </protectedRanges>
  <mergeCells count="18">
    <mergeCell ref="N1:R1"/>
    <mergeCell ref="N2:R2"/>
    <mergeCell ref="B3:R3"/>
    <mergeCell ref="I6:I7"/>
    <mergeCell ref="C6:C7"/>
    <mergeCell ref="E6:F6"/>
    <mergeCell ref="B5:R5"/>
    <mergeCell ref="D6:D7"/>
    <mergeCell ref="G6:H6"/>
    <mergeCell ref="J6:J7"/>
    <mergeCell ref="B6:B7"/>
    <mergeCell ref="K6:K7"/>
    <mergeCell ref="O4:R4"/>
    <mergeCell ref="C4:D4"/>
    <mergeCell ref="L6:L7"/>
    <mergeCell ref="M6:R6"/>
    <mergeCell ref="D22:H22"/>
    <mergeCell ref="D21:K21"/>
  </mergeCells>
  <phoneticPr fontId="3" type="noConversion"/>
  <conditionalFormatting sqref="J8:K20">
    <cfRule type="containsText" dxfId="0" priority="1" stopIfTrue="1" operator="containsText" text="未">
      <formula>NOT(ISERROR(SEARCH("未",J8)))</formula>
    </cfRule>
  </conditionalFormatting>
  <dataValidations count="1">
    <dataValidation type="list" allowBlank="1" showInputMessage="1" showErrorMessage="1" sqref="S8:S20" xr:uid="{00000000-0002-0000-0200-000000000000}">
      <formula1>$W$8:$W$9</formula1>
    </dataValidation>
  </dataValidations>
  <pageMargins left="0.18" right="0.18" top="0.24" bottom="0.118110236220472" header="0.16" footer="0.19"/>
  <pageSetup paperSize="9" orientation="landscape" errors="blank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6437-86E1-40DE-8053-4A49E65B8F11}">
  <sheetPr codeName="Sheet3"/>
  <dimension ref="A1:BA103"/>
  <sheetViews>
    <sheetView topLeftCell="A2" zoomScale="130" zoomScaleNormal="130" workbookViewId="0">
      <selection activeCell="B9" sqref="B9"/>
    </sheetView>
  </sheetViews>
  <sheetFormatPr defaultColWidth="8.6640625" defaultRowHeight="14.4"/>
  <cols>
    <col min="1" max="1" width="17" style="193" customWidth="1"/>
    <col min="2" max="2" width="48.33203125" style="193" customWidth="1"/>
    <col min="3" max="3" width="13.44140625" style="193" customWidth="1"/>
    <col min="4" max="6" width="8.6640625" style="193"/>
    <col min="7" max="13" width="1.33203125" style="193" customWidth="1"/>
    <col min="14" max="14" width="25.44140625" style="193" customWidth="1"/>
    <col min="15" max="15" width="8.33203125" style="193" customWidth="1"/>
    <col min="16" max="16" width="8.6640625" style="193" customWidth="1"/>
    <col min="17" max="26" width="8.6640625" style="193"/>
    <col min="27" max="27" width="10.33203125" style="193" customWidth="1"/>
    <col min="28" max="16384" width="8.6640625" style="193"/>
  </cols>
  <sheetData>
    <row r="1" spans="1:53">
      <c r="A1" s="201" t="s">
        <v>1666</v>
      </c>
      <c r="B1" s="193" t="s">
        <v>1665</v>
      </c>
      <c r="E1" s="193" t="s">
        <v>1664</v>
      </c>
      <c r="F1" s="193" t="s">
        <v>1660</v>
      </c>
      <c r="K1" s="197"/>
      <c r="N1" s="197" t="s">
        <v>1648</v>
      </c>
      <c r="O1" s="193" t="s">
        <v>1662</v>
      </c>
      <c r="P1" s="193" t="s">
        <v>1658</v>
      </c>
      <c r="Q1" s="193" t="s">
        <v>1663</v>
      </c>
      <c r="W1" s="193" t="s">
        <v>1660</v>
      </c>
      <c r="X1" s="193" t="s">
        <v>1653</v>
      </c>
      <c r="AA1" s="193" t="s">
        <v>1643</v>
      </c>
      <c r="AB1" s="196" t="s">
        <v>1645</v>
      </c>
      <c r="AG1" s="196" t="s">
        <v>1644</v>
      </c>
      <c r="AH1" s="193">
        <v>310</v>
      </c>
      <c r="AI1" s="193">
        <v>311</v>
      </c>
      <c r="AJ1" s="196" t="s">
        <v>1647</v>
      </c>
      <c r="AK1" s="193">
        <v>303</v>
      </c>
      <c r="AL1" s="193">
        <v>305</v>
      </c>
      <c r="AM1" s="193">
        <v>302</v>
      </c>
      <c r="AN1" s="195" t="s">
        <v>1646</v>
      </c>
      <c r="AO1" s="193">
        <v>302</v>
      </c>
      <c r="AP1" s="193">
        <v>305</v>
      </c>
      <c r="AQ1" s="193">
        <v>303</v>
      </c>
      <c r="AR1" s="195" t="s">
        <v>69</v>
      </c>
      <c r="AS1" s="193">
        <v>311</v>
      </c>
      <c r="AU1" s="193">
        <v>310</v>
      </c>
      <c r="BA1" s="193" t="s">
        <v>1643</v>
      </c>
    </row>
    <row r="2" spans="1:53">
      <c r="A2" s="201" t="s">
        <v>1662</v>
      </c>
      <c r="B2" s="200" t="s">
        <v>370</v>
      </c>
      <c r="E2" s="193" t="s">
        <v>1643</v>
      </c>
      <c r="F2" s="193" t="s">
        <v>1646</v>
      </c>
      <c r="K2" s="197"/>
      <c r="N2" s="197" t="s">
        <v>1648</v>
      </c>
      <c r="O2" s="193" t="s">
        <v>1653</v>
      </c>
      <c r="P2" s="193" t="s">
        <v>1659</v>
      </c>
      <c r="Q2" s="193">
        <v>31</v>
      </c>
      <c r="W2" s="193" t="s">
        <v>1646</v>
      </c>
      <c r="X2" s="193" t="s">
        <v>1653</v>
      </c>
      <c r="Y2" s="193" t="s">
        <v>1661</v>
      </c>
      <c r="Z2" s="193">
        <v>1</v>
      </c>
      <c r="AA2" s="193" t="s">
        <v>1640</v>
      </c>
      <c r="AB2" s="196" t="s">
        <v>1642</v>
      </c>
      <c r="AG2" s="196" t="s">
        <v>1641</v>
      </c>
      <c r="AH2" s="193">
        <v>310</v>
      </c>
      <c r="AI2" s="193">
        <v>311</v>
      </c>
      <c r="AJ2" s="196" t="s">
        <v>1647</v>
      </c>
      <c r="AK2" s="193">
        <v>303</v>
      </c>
      <c r="AL2" s="193">
        <v>305</v>
      </c>
      <c r="AM2" s="193">
        <v>302</v>
      </c>
      <c r="AN2" s="195" t="s">
        <v>1646</v>
      </c>
      <c r="AO2" s="193">
        <v>302</v>
      </c>
      <c r="AP2" s="193">
        <v>305</v>
      </c>
      <c r="AQ2" s="193">
        <v>303</v>
      </c>
      <c r="AR2" s="195" t="s">
        <v>69</v>
      </c>
      <c r="AS2" s="193">
        <v>311</v>
      </c>
      <c r="AU2" s="193">
        <v>310</v>
      </c>
      <c r="BA2" s="193" t="s">
        <v>1640</v>
      </c>
    </row>
    <row r="3" spans="1:53">
      <c r="A3" s="201" t="s">
        <v>1660</v>
      </c>
      <c r="B3" s="200" t="s">
        <v>69</v>
      </c>
      <c r="E3" s="193" t="s">
        <v>1640</v>
      </c>
      <c r="F3" s="193" t="s">
        <v>69</v>
      </c>
      <c r="K3" s="197"/>
      <c r="N3" s="197" t="s">
        <v>1648</v>
      </c>
      <c r="W3" s="193" t="s">
        <v>69</v>
      </c>
      <c r="X3" s="193" t="s">
        <v>1653</v>
      </c>
      <c r="Y3" s="193" t="s">
        <v>1659</v>
      </c>
      <c r="Z3" s="193">
        <v>31</v>
      </c>
      <c r="AA3" s="193" t="s">
        <v>1638</v>
      </c>
      <c r="AB3" s="196" t="s">
        <v>1639</v>
      </c>
      <c r="AC3" s="193">
        <v>323</v>
      </c>
      <c r="AD3" s="193">
        <v>322</v>
      </c>
      <c r="AE3" s="193">
        <v>320</v>
      </c>
      <c r="AF3" s="193">
        <v>319</v>
      </c>
      <c r="AH3" s="193">
        <v>316</v>
      </c>
      <c r="AI3" s="193">
        <v>311</v>
      </c>
      <c r="AJ3" s="196" t="s">
        <v>1647</v>
      </c>
      <c r="AK3" s="193">
        <v>303</v>
      </c>
      <c r="AL3" s="193">
        <v>305</v>
      </c>
      <c r="AM3" s="193">
        <v>302</v>
      </c>
      <c r="AN3" s="195" t="s">
        <v>1646</v>
      </c>
      <c r="AO3" s="193">
        <v>302</v>
      </c>
      <c r="AP3" s="193">
        <v>305</v>
      </c>
      <c r="AQ3" s="193">
        <v>303</v>
      </c>
      <c r="AR3" s="195" t="s">
        <v>69</v>
      </c>
      <c r="AS3" s="193">
        <v>311</v>
      </c>
      <c r="AT3" s="195" t="s">
        <v>65</v>
      </c>
      <c r="AU3" s="193">
        <v>316</v>
      </c>
      <c r="AW3" s="193">
        <v>319</v>
      </c>
      <c r="AX3" s="193">
        <v>320</v>
      </c>
      <c r="AY3" s="193">
        <v>322</v>
      </c>
      <c r="AZ3" s="193">
        <v>323</v>
      </c>
      <c r="BA3" s="193" t="s">
        <v>1638</v>
      </c>
    </row>
    <row r="4" spans="1:53">
      <c r="A4" s="201" t="s">
        <v>1658</v>
      </c>
      <c r="B4" s="202" t="s">
        <v>1622</v>
      </c>
      <c r="E4" s="193" t="s">
        <v>1638</v>
      </c>
      <c r="F4" s="193" t="s">
        <v>65</v>
      </c>
      <c r="O4" s="193" t="s">
        <v>1657</v>
      </c>
      <c r="P4" s="193" t="s">
        <v>1656</v>
      </c>
      <c r="W4" s="193" t="s">
        <v>65</v>
      </c>
      <c r="X4" s="193" t="s">
        <v>1653</v>
      </c>
      <c r="Y4" s="193" t="s">
        <v>1652</v>
      </c>
      <c r="Z4" s="193">
        <v>61</v>
      </c>
      <c r="AA4" s="193" t="s">
        <v>1636</v>
      </c>
      <c r="AB4" s="196" t="s">
        <v>1637</v>
      </c>
      <c r="AC4" s="193">
        <v>323</v>
      </c>
      <c r="AD4" s="193">
        <v>322</v>
      </c>
      <c r="AE4" s="193">
        <v>320</v>
      </c>
      <c r="AF4" s="193">
        <v>319</v>
      </c>
      <c r="AH4" s="193">
        <v>316</v>
      </c>
      <c r="AI4" s="193">
        <v>311</v>
      </c>
      <c r="AJ4" s="196" t="s">
        <v>1647</v>
      </c>
      <c r="AK4" s="193">
        <v>303</v>
      </c>
      <c r="AL4" s="193">
        <v>305</v>
      </c>
      <c r="AM4" s="193">
        <v>302</v>
      </c>
      <c r="AN4" s="195" t="s">
        <v>1646</v>
      </c>
      <c r="AO4" s="193">
        <v>302</v>
      </c>
      <c r="AP4" s="193">
        <v>305</v>
      </c>
      <c r="AQ4" s="193">
        <v>303</v>
      </c>
      <c r="AR4" s="195" t="s">
        <v>69</v>
      </c>
      <c r="AS4" s="193">
        <v>311</v>
      </c>
      <c r="AT4" s="195" t="s">
        <v>65</v>
      </c>
      <c r="AU4" s="193">
        <v>316</v>
      </c>
      <c r="AW4" s="193">
        <v>319</v>
      </c>
      <c r="AX4" s="193">
        <v>320</v>
      </c>
      <c r="AY4" s="193">
        <v>322</v>
      </c>
      <c r="AZ4" s="193">
        <v>323</v>
      </c>
      <c r="BA4" s="193" t="s">
        <v>1636</v>
      </c>
    </row>
    <row r="5" spans="1:53">
      <c r="A5" s="193" t="s">
        <v>1655</v>
      </c>
      <c r="B5" s="193" t="s">
        <v>1669</v>
      </c>
      <c r="E5" s="193" t="s">
        <v>1636</v>
      </c>
      <c r="F5" s="193" t="s">
        <v>1608</v>
      </c>
      <c r="N5" s="197" t="s">
        <v>1648</v>
      </c>
      <c r="O5" s="193" t="s">
        <v>1668</v>
      </c>
      <c r="P5" s="193" t="s">
        <v>1654</v>
      </c>
      <c r="W5" s="193" t="s">
        <v>1608</v>
      </c>
      <c r="X5" s="193" t="s">
        <v>1653</v>
      </c>
      <c r="Y5" s="193" t="s">
        <v>1652</v>
      </c>
      <c r="Z5" s="193">
        <v>91</v>
      </c>
      <c r="AA5" s="193" t="s">
        <v>1634</v>
      </c>
      <c r="AB5" s="196" t="s">
        <v>1635</v>
      </c>
      <c r="AD5" s="193">
        <v>322</v>
      </c>
      <c r="AE5" s="193">
        <v>320</v>
      </c>
      <c r="AF5" s="193">
        <v>319</v>
      </c>
      <c r="AH5" s="193">
        <v>316</v>
      </c>
      <c r="AI5" s="193">
        <v>311</v>
      </c>
      <c r="AJ5" s="196" t="s">
        <v>1647</v>
      </c>
      <c r="AK5" s="193">
        <v>303</v>
      </c>
      <c r="AL5" s="193">
        <v>305</v>
      </c>
      <c r="AM5" s="193">
        <v>302</v>
      </c>
      <c r="AN5" s="195" t="s">
        <v>1646</v>
      </c>
      <c r="AO5" s="193">
        <v>302</v>
      </c>
      <c r="AP5" s="193">
        <v>305</v>
      </c>
      <c r="AQ5" s="193">
        <v>303</v>
      </c>
      <c r="AR5" s="195" t="s">
        <v>69</v>
      </c>
      <c r="AS5" s="193">
        <v>311</v>
      </c>
      <c r="AT5" s="195" t="s">
        <v>65</v>
      </c>
      <c r="AU5" s="193">
        <v>316</v>
      </c>
      <c r="AW5" s="193">
        <v>319</v>
      </c>
      <c r="AX5" s="193">
        <v>320</v>
      </c>
      <c r="AY5" s="193">
        <v>322</v>
      </c>
      <c r="BA5" s="193" t="s">
        <v>1634</v>
      </c>
    </row>
    <row r="6" spans="1:53">
      <c r="B6" s="198" t="s">
        <v>1651</v>
      </c>
      <c r="E6" s="193" t="s">
        <v>1634</v>
      </c>
      <c r="N6" s="197" t="s">
        <v>1648</v>
      </c>
      <c r="AA6" s="193" t="s">
        <v>1632</v>
      </c>
      <c r="AB6" s="196" t="s">
        <v>1633</v>
      </c>
      <c r="AC6" s="193">
        <v>324</v>
      </c>
      <c r="AF6" s="193">
        <v>319</v>
      </c>
      <c r="AH6" s="193">
        <v>316</v>
      </c>
      <c r="AI6" s="193">
        <v>311</v>
      </c>
      <c r="AJ6" s="196" t="s">
        <v>1647</v>
      </c>
      <c r="AK6" s="193">
        <v>303</v>
      </c>
      <c r="AL6" s="193">
        <v>305</v>
      </c>
      <c r="AM6" s="193">
        <v>302</v>
      </c>
      <c r="AN6" s="195" t="s">
        <v>1646</v>
      </c>
      <c r="AO6" s="193">
        <v>302</v>
      </c>
      <c r="AP6" s="193">
        <v>305</v>
      </c>
      <c r="AQ6" s="193">
        <v>303</v>
      </c>
      <c r="AR6" s="195" t="s">
        <v>69</v>
      </c>
      <c r="AS6" s="193">
        <v>311</v>
      </c>
      <c r="AT6" s="195" t="s">
        <v>65</v>
      </c>
      <c r="AU6" s="193">
        <v>316</v>
      </c>
      <c r="AW6" s="193">
        <v>319</v>
      </c>
      <c r="AZ6" s="193">
        <v>324</v>
      </c>
      <c r="BA6" s="193" t="s">
        <v>1632</v>
      </c>
    </row>
    <row r="7" spans="1:53">
      <c r="A7" s="193" t="s">
        <v>1650</v>
      </c>
      <c r="B7" s="199" t="s">
        <v>1667</v>
      </c>
      <c r="E7" s="193" t="s">
        <v>1632</v>
      </c>
      <c r="N7" s="197" t="s">
        <v>1648</v>
      </c>
      <c r="AA7" s="193" t="s">
        <v>1630</v>
      </c>
      <c r="AB7" s="196" t="s">
        <v>1631</v>
      </c>
      <c r="AC7" s="193">
        <v>324</v>
      </c>
      <c r="AF7" s="193">
        <v>319</v>
      </c>
      <c r="AH7" s="193">
        <v>316</v>
      </c>
      <c r="AI7" s="193">
        <v>311</v>
      </c>
      <c r="AJ7" s="196" t="s">
        <v>1647</v>
      </c>
      <c r="AK7" s="193">
        <v>303</v>
      </c>
      <c r="AL7" s="193">
        <v>305</v>
      </c>
      <c r="AM7" s="193">
        <v>302</v>
      </c>
      <c r="AN7" s="195" t="s">
        <v>1646</v>
      </c>
      <c r="AO7" s="193">
        <v>302</v>
      </c>
      <c r="AP7" s="193">
        <v>305</v>
      </c>
      <c r="AQ7" s="193">
        <v>303</v>
      </c>
      <c r="AR7" s="195" t="s">
        <v>69</v>
      </c>
      <c r="AS7" s="193">
        <v>311</v>
      </c>
      <c r="AT7" s="195" t="s">
        <v>65</v>
      </c>
      <c r="AU7" s="193">
        <v>316</v>
      </c>
      <c r="AW7" s="193">
        <v>319</v>
      </c>
      <c r="AZ7" s="193">
        <v>324</v>
      </c>
      <c r="BA7" s="193" t="s">
        <v>1630</v>
      </c>
    </row>
    <row r="8" spans="1:53">
      <c r="B8" s="198" t="s">
        <v>1649</v>
      </c>
      <c r="E8" s="193" t="s">
        <v>1630</v>
      </c>
      <c r="AA8" s="193" t="s">
        <v>1628</v>
      </c>
      <c r="AB8" s="196" t="s">
        <v>1629</v>
      </c>
      <c r="AD8" s="193">
        <v>326</v>
      </c>
      <c r="AE8" s="193">
        <v>325</v>
      </c>
      <c r="AF8" s="193">
        <v>318</v>
      </c>
      <c r="AG8" s="193">
        <v>317</v>
      </c>
      <c r="AH8" s="193">
        <v>316</v>
      </c>
      <c r="AI8" s="193">
        <v>311</v>
      </c>
      <c r="AJ8" s="196" t="s">
        <v>1647</v>
      </c>
      <c r="AK8" s="193">
        <v>303</v>
      </c>
      <c r="AL8" s="193">
        <v>305</v>
      </c>
      <c r="AM8" s="193">
        <v>302</v>
      </c>
      <c r="AN8" s="195" t="s">
        <v>1646</v>
      </c>
      <c r="AO8" s="193">
        <v>302</v>
      </c>
      <c r="AP8" s="193">
        <v>305</v>
      </c>
      <c r="AQ8" s="193">
        <v>303</v>
      </c>
      <c r="AR8" s="195" t="s">
        <v>69</v>
      </c>
      <c r="AS8" s="193">
        <v>311</v>
      </c>
      <c r="AT8" s="195" t="s">
        <v>65</v>
      </c>
      <c r="AU8" s="193">
        <v>316</v>
      </c>
      <c r="AV8" s="193">
        <v>317</v>
      </c>
      <c r="AW8" s="193">
        <v>318</v>
      </c>
      <c r="AX8" s="193">
        <v>325</v>
      </c>
      <c r="AY8" s="193">
        <v>326</v>
      </c>
      <c r="BA8" s="193" t="s">
        <v>1628</v>
      </c>
    </row>
    <row r="9" spans="1:53">
      <c r="E9" s="193" t="s">
        <v>1628</v>
      </c>
      <c r="N9" s="197" t="s">
        <v>1648</v>
      </c>
      <c r="AA9" s="193" t="s">
        <v>1626</v>
      </c>
      <c r="AB9" s="196" t="s">
        <v>1627</v>
      </c>
      <c r="AC9" s="193">
        <v>327</v>
      </c>
      <c r="AD9" s="193">
        <v>326</v>
      </c>
      <c r="AE9" s="193">
        <v>325</v>
      </c>
      <c r="AF9" s="193">
        <v>318</v>
      </c>
      <c r="AG9" s="193">
        <v>317</v>
      </c>
      <c r="AH9" s="193">
        <v>316</v>
      </c>
      <c r="AI9" s="193">
        <v>311</v>
      </c>
      <c r="AJ9" s="196" t="s">
        <v>1647</v>
      </c>
      <c r="AK9" s="193">
        <v>303</v>
      </c>
      <c r="AL9" s="193">
        <v>305</v>
      </c>
      <c r="AM9" s="193">
        <v>302</v>
      </c>
      <c r="AN9" s="195" t="s">
        <v>1646</v>
      </c>
      <c r="AO9" s="193">
        <v>302</v>
      </c>
      <c r="AP9" s="193">
        <v>305</v>
      </c>
      <c r="AQ9" s="193">
        <v>303</v>
      </c>
      <c r="AR9" s="195" t="s">
        <v>69</v>
      </c>
      <c r="AS9" s="193">
        <v>311</v>
      </c>
      <c r="AT9" s="195" t="s">
        <v>65</v>
      </c>
      <c r="AU9" s="193">
        <v>316</v>
      </c>
      <c r="AV9" s="193">
        <v>317</v>
      </c>
      <c r="AW9" s="193">
        <v>318</v>
      </c>
      <c r="AX9" s="193">
        <v>325</v>
      </c>
      <c r="AY9" s="193">
        <v>326</v>
      </c>
      <c r="AZ9" s="193">
        <v>327</v>
      </c>
      <c r="BA9" s="193" t="s">
        <v>1626</v>
      </c>
    </row>
    <row r="10" spans="1:53">
      <c r="E10" s="193" t="s">
        <v>1626</v>
      </c>
      <c r="N10" s="197" t="s">
        <v>1648</v>
      </c>
      <c r="AA10" s="193" t="s">
        <v>1624</v>
      </c>
      <c r="AB10" s="196" t="s">
        <v>1625</v>
      </c>
      <c r="AC10" s="193">
        <v>327</v>
      </c>
      <c r="AD10" s="193">
        <v>326</v>
      </c>
      <c r="AE10" s="193">
        <v>325</v>
      </c>
      <c r="AF10" s="193">
        <v>318</v>
      </c>
      <c r="AG10" s="193">
        <v>317</v>
      </c>
      <c r="AH10" s="193">
        <v>316</v>
      </c>
      <c r="AI10" s="193">
        <v>311</v>
      </c>
      <c r="AJ10" s="196" t="s">
        <v>1647</v>
      </c>
      <c r="AK10" s="193">
        <v>303</v>
      </c>
      <c r="AL10" s="193">
        <v>305</v>
      </c>
      <c r="AM10" s="193">
        <v>302</v>
      </c>
      <c r="AN10" s="195" t="s">
        <v>1646</v>
      </c>
      <c r="AO10" s="193">
        <v>302</v>
      </c>
      <c r="AP10" s="193">
        <v>305</v>
      </c>
      <c r="AQ10" s="193">
        <v>303</v>
      </c>
      <c r="AR10" s="195" t="s">
        <v>69</v>
      </c>
      <c r="AS10" s="193">
        <v>311</v>
      </c>
      <c r="AT10" s="195" t="s">
        <v>65</v>
      </c>
      <c r="AU10" s="193">
        <v>316</v>
      </c>
      <c r="AV10" s="193">
        <v>317</v>
      </c>
      <c r="AW10" s="193">
        <v>318</v>
      </c>
      <c r="AX10" s="193">
        <v>325</v>
      </c>
      <c r="AY10" s="193">
        <v>326</v>
      </c>
      <c r="AZ10" s="193">
        <v>327</v>
      </c>
      <c r="BA10" s="193" t="s">
        <v>1624</v>
      </c>
    </row>
    <row r="11" spans="1:53">
      <c r="E11" s="193" t="s">
        <v>1624</v>
      </c>
      <c r="N11" s="197" t="s">
        <v>1648</v>
      </c>
      <c r="AA11" s="193" t="s">
        <v>1622</v>
      </c>
      <c r="AB11" s="196" t="s">
        <v>1623</v>
      </c>
      <c r="AC11" s="193">
        <v>329</v>
      </c>
      <c r="AD11" s="193">
        <v>328</v>
      </c>
      <c r="AE11" s="193">
        <v>325</v>
      </c>
      <c r="AF11" s="193">
        <v>318</v>
      </c>
      <c r="AG11" s="193">
        <v>317</v>
      </c>
      <c r="AH11" s="193">
        <v>316</v>
      </c>
      <c r="AI11" s="193">
        <v>311</v>
      </c>
      <c r="AJ11" s="196" t="s">
        <v>1647</v>
      </c>
      <c r="AK11" s="193">
        <v>303</v>
      </c>
      <c r="AL11" s="193">
        <v>305</v>
      </c>
      <c r="AM11" s="193">
        <v>302</v>
      </c>
      <c r="AN11" s="195" t="s">
        <v>1646</v>
      </c>
      <c r="AO11" s="193">
        <v>302</v>
      </c>
      <c r="AP11" s="193">
        <v>305</v>
      </c>
      <c r="AQ11" s="193">
        <v>303</v>
      </c>
      <c r="AR11" s="195" t="s">
        <v>69</v>
      </c>
      <c r="AS11" s="193">
        <v>311</v>
      </c>
      <c r="AT11" s="195" t="s">
        <v>65</v>
      </c>
      <c r="AU11" s="193">
        <v>316</v>
      </c>
      <c r="AV11" s="193">
        <v>317</v>
      </c>
      <c r="AW11" s="193">
        <v>318</v>
      </c>
      <c r="AX11" s="193">
        <v>325</v>
      </c>
      <c r="AY11" s="193">
        <v>328</v>
      </c>
      <c r="AZ11" s="193">
        <v>329</v>
      </c>
      <c r="BA11" s="193" t="s">
        <v>1622</v>
      </c>
    </row>
    <row r="12" spans="1:53">
      <c r="E12" s="193" t="s">
        <v>1622</v>
      </c>
      <c r="AA12" s="193" t="s">
        <v>261</v>
      </c>
      <c r="AB12" s="196" t="s">
        <v>1621</v>
      </c>
      <c r="AC12" s="193">
        <v>329</v>
      </c>
      <c r="AD12" s="193">
        <v>328</v>
      </c>
      <c r="AE12" s="193">
        <v>325</v>
      </c>
      <c r="AF12" s="193">
        <v>318</v>
      </c>
      <c r="AG12" s="193">
        <v>317</v>
      </c>
      <c r="AH12" s="193">
        <v>316</v>
      </c>
      <c r="AI12" s="193">
        <v>311</v>
      </c>
      <c r="AJ12" s="196" t="s">
        <v>1647</v>
      </c>
      <c r="AK12" s="193">
        <v>303</v>
      </c>
      <c r="AL12" s="193">
        <v>305</v>
      </c>
      <c r="AM12" s="193">
        <v>302</v>
      </c>
      <c r="AN12" s="195" t="s">
        <v>1646</v>
      </c>
      <c r="AO12" s="193">
        <v>302</v>
      </c>
      <c r="AP12" s="193">
        <v>305</v>
      </c>
      <c r="AQ12" s="193">
        <v>303</v>
      </c>
      <c r="AR12" s="195" t="s">
        <v>69</v>
      </c>
      <c r="AS12" s="193">
        <v>311</v>
      </c>
      <c r="AT12" s="195" t="s">
        <v>65</v>
      </c>
      <c r="AU12" s="193">
        <v>316</v>
      </c>
      <c r="AV12" s="193">
        <v>317</v>
      </c>
      <c r="AW12" s="193">
        <v>318</v>
      </c>
      <c r="AX12" s="193">
        <v>325</v>
      </c>
      <c r="AY12" s="193">
        <v>328</v>
      </c>
      <c r="AZ12" s="193">
        <v>329</v>
      </c>
      <c r="BA12" s="193" t="s">
        <v>261</v>
      </c>
    </row>
    <row r="13" spans="1:53">
      <c r="E13" s="193" t="s">
        <v>261</v>
      </c>
      <c r="AA13" s="193" t="s">
        <v>276</v>
      </c>
      <c r="AB13" s="196" t="s">
        <v>1620</v>
      </c>
      <c r="AC13" s="193">
        <v>330</v>
      </c>
      <c r="AD13" s="193">
        <v>328</v>
      </c>
      <c r="AE13" s="193">
        <v>325</v>
      </c>
      <c r="AF13" s="193">
        <v>318</v>
      </c>
      <c r="AG13" s="193">
        <v>317</v>
      </c>
      <c r="AH13" s="193">
        <v>316</v>
      </c>
      <c r="AI13" s="193">
        <v>311</v>
      </c>
      <c r="AJ13" s="196" t="s">
        <v>1647</v>
      </c>
      <c r="AK13" s="193">
        <v>303</v>
      </c>
      <c r="AL13" s="193">
        <v>305</v>
      </c>
      <c r="AM13" s="193">
        <v>302</v>
      </c>
      <c r="AN13" s="195" t="s">
        <v>1646</v>
      </c>
      <c r="AO13" s="193">
        <v>302</v>
      </c>
      <c r="AP13" s="193">
        <v>305</v>
      </c>
      <c r="AQ13" s="193">
        <v>303</v>
      </c>
      <c r="AR13" s="195" t="s">
        <v>69</v>
      </c>
      <c r="AS13" s="193">
        <v>311</v>
      </c>
      <c r="AT13" s="195" t="s">
        <v>65</v>
      </c>
      <c r="AU13" s="193">
        <v>316</v>
      </c>
      <c r="AV13" s="193">
        <v>317</v>
      </c>
      <c r="AW13" s="193">
        <v>318</v>
      </c>
      <c r="AX13" s="193">
        <v>325</v>
      </c>
      <c r="AY13" s="193">
        <v>328</v>
      </c>
      <c r="AZ13" s="193">
        <v>330</v>
      </c>
      <c r="BA13" s="193" t="s">
        <v>276</v>
      </c>
    </row>
    <row r="14" spans="1:53">
      <c r="E14" s="193" t="s">
        <v>276</v>
      </c>
      <c r="AA14" s="193" t="s">
        <v>293</v>
      </c>
      <c r="AB14" s="196" t="s">
        <v>1619</v>
      </c>
      <c r="AC14" s="193">
        <v>330</v>
      </c>
      <c r="AD14" s="193">
        <v>328</v>
      </c>
      <c r="AE14" s="193">
        <v>325</v>
      </c>
      <c r="AF14" s="193">
        <v>318</v>
      </c>
      <c r="AG14" s="193">
        <v>317</v>
      </c>
      <c r="AH14" s="193">
        <v>316</v>
      </c>
      <c r="AI14" s="193">
        <v>311</v>
      </c>
      <c r="AJ14" s="196" t="s">
        <v>1647</v>
      </c>
      <c r="AK14" s="193">
        <v>303</v>
      </c>
      <c r="AL14" s="193">
        <v>305</v>
      </c>
      <c r="AM14" s="193">
        <v>302</v>
      </c>
      <c r="AN14" s="195" t="s">
        <v>1646</v>
      </c>
      <c r="AO14" s="193">
        <v>302</v>
      </c>
      <c r="AP14" s="193">
        <v>305</v>
      </c>
      <c r="AQ14" s="193">
        <v>303</v>
      </c>
      <c r="AR14" s="195" t="s">
        <v>69</v>
      </c>
      <c r="AS14" s="193">
        <v>311</v>
      </c>
      <c r="AT14" s="195" t="s">
        <v>65</v>
      </c>
      <c r="AU14" s="193">
        <v>316</v>
      </c>
      <c r="AV14" s="193">
        <v>317</v>
      </c>
      <c r="AW14" s="193">
        <v>318</v>
      </c>
      <c r="AX14" s="193">
        <v>325</v>
      </c>
      <c r="AY14" s="193">
        <v>328</v>
      </c>
      <c r="AZ14" s="193">
        <v>330</v>
      </c>
      <c r="BA14" s="193" t="s">
        <v>293</v>
      </c>
    </row>
    <row r="15" spans="1:53">
      <c r="E15" s="193" t="s">
        <v>293</v>
      </c>
      <c r="AA15" s="193" t="s">
        <v>309</v>
      </c>
      <c r="AB15" s="196" t="s">
        <v>1618</v>
      </c>
      <c r="AC15" s="193">
        <v>333</v>
      </c>
      <c r="AE15" s="193">
        <v>331</v>
      </c>
      <c r="AF15" s="193">
        <v>318</v>
      </c>
      <c r="AG15" s="193">
        <v>317</v>
      </c>
      <c r="AH15" s="193">
        <v>316</v>
      </c>
      <c r="AI15" s="193">
        <v>311</v>
      </c>
      <c r="AJ15" s="196" t="s">
        <v>1647</v>
      </c>
      <c r="AK15" s="193">
        <v>303</v>
      </c>
      <c r="AL15" s="193">
        <v>305</v>
      </c>
      <c r="AM15" s="193">
        <v>302</v>
      </c>
      <c r="AN15" s="195" t="s">
        <v>1646</v>
      </c>
      <c r="AO15" s="193">
        <v>302</v>
      </c>
      <c r="AP15" s="193">
        <v>305</v>
      </c>
      <c r="AQ15" s="193">
        <v>303</v>
      </c>
      <c r="AR15" s="195" t="s">
        <v>69</v>
      </c>
      <c r="AS15" s="193">
        <v>311</v>
      </c>
      <c r="AT15" s="195" t="s">
        <v>65</v>
      </c>
      <c r="AU15" s="193">
        <v>316</v>
      </c>
      <c r="AV15" s="193">
        <v>317</v>
      </c>
      <c r="AW15" s="193">
        <v>318</v>
      </c>
      <c r="AX15" s="193">
        <v>331</v>
      </c>
      <c r="AZ15" s="193">
        <v>333</v>
      </c>
      <c r="BA15" s="193" t="s">
        <v>309</v>
      </c>
    </row>
    <row r="16" spans="1:53">
      <c r="E16" s="193" t="s">
        <v>309</v>
      </c>
      <c r="AA16" s="193" t="s">
        <v>325</v>
      </c>
      <c r="AB16" s="196" t="s">
        <v>1617</v>
      </c>
      <c r="AC16" s="193">
        <v>333</v>
      </c>
      <c r="AE16" s="193">
        <v>331</v>
      </c>
      <c r="AF16" s="193">
        <v>318</v>
      </c>
      <c r="AG16" s="193">
        <v>317</v>
      </c>
      <c r="AH16" s="193">
        <v>316</v>
      </c>
      <c r="AI16" s="193">
        <v>311</v>
      </c>
      <c r="AJ16" s="196" t="s">
        <v>1647</v>
      </c>
      <c r="AK16" s="193">
        <v>303</v>
      </c>
      <c r="AL16" s="193">
        <v>305</v>
      </c>
      <c r="AM16" s="193">
        <v>302</v>
      </c>
      <c r="AN16" s="195" t="s">
        <v>1646</v>
      </c>
      <c r="AO16" s="193">
        <v>302</v>
      </c>
      <c r="AP16" s="193">
        <v>305</v>
      </c>
      <c r="AQ16" s="193">
        <v>303</v>
      </c>
      <c r="AR16" s="195" t="s">
        <v>69</v>
      </c>
      <c r="AS16" s="193">
        <v>311</v>
      </c>
      <c r="AT16" s="195" t="s">
        <v>65</v>
      </c>
      <c r="AU16" s="193">
        <v>316</v>
      </c>
      <c r="AV16" s="193">
        <v>317</v>
      </c>
      <c r="AW16" s="193">
        <v>318</v>
      </c>
      <c r="AX16" s="193">
        <v>331</v>
      </c>
      <c r="AZ16" s="193">
        <v>333</v>
      </c>
      <c r="BA16" s="193" t="s">
        <v>325</v>
      </c>
    </row>
    <row r="17" spans="5:53">
      <c r="E17" s="193" t="s">
        <v>325</v>
      </c>
      <c r="AA17" s="193" t="s">
        <v>339</v>
      </c>
      <c r="AB17" s="196" t="s">
        <v>1616</v>
      </c>
      <c r="AD17" s="193">
        <v>332</v>
      </c>
      <c r="AE17" s="193">
        <v>331</v>
      </c>
      <c r="AF17" s="193">
        <v>318</v>
      </c>
      <c r="AG17" s="193">
        <v>317</v>
      </c>
      <c r="AH17" s="193">
        <v>316</v>
      </c>
      <c r="AI17" s="193">
        <v>311</v>
      </c>
      <c r="AJ17" s="196" t="s">
        <v>1647</v>
      </c>
      <c r="AK17" s="193">
        <v>303</v>
      </c>
      <c r="AL17" s="193">
        <v>305</v>
      </c>
      <c r="AM17" s="193">
        <v>302</v>
      </c>
      <c r="AN17" s="195" t="s">
        <v>1646</v>
      </c>
      <c r="AO17" s="193">
        <v>302</v>
      </c>
      <c r="AP17" s="193">
        <v>305</v>
      </c>
      <c r="AQ17" s="193">
        <v>303</v>
      </c>
      <c r="AR17" s="195" t="s">
        <v>69</v>
      </c>
      <c r="AS17" s="193">
        <v>311</v>
      </c>
      <c r="AT17" s="195" t="s">
        <v>65</v>
      </c>
      <c r="AU17" s="193">
        <v>316</v>
      </c>
      <c r="AV17" s="193">
        <v>317</v>
      </c>
      <c r="AW17" s="193">
        <v>318</v>
      </c>
      <c r="AX17" s="193">
        <v>331</v>
      </c>
      <c r="AY17" s="193">
        <v>332</v>
      </c>
      <c r="BA17" s="193" t="s">
        <v>339</v>
      </c>
    </row>
    <row r="18" spans="5:53">
      <c r="E18" s="193" t="s">
        <v>339</v>
      </c>
      <c r="AA18" s="193" t="s">
        <v>354</v>
      </c>
      <c r="AB18" s="196" t="s">
        <v>1615</v>
      </c>
      <c r="AC18" s="193">
        <v>334</v>
      </c>
      <c r="AD18" s="193">
        <v>332</v>
      </c>
      <c r="AE18" s="193">
        <v>331</v>
      </c>
      <c r="AF18" s="193">
        <v>318</v>
      </c>
      <c r="AG18" s="193">
        <v>317</v>
      </c>
      <c r="AH18" s="193">
        <v>316</v>
      </c>
      <c r="AI18" s="193">
        <v>311</v>
      </c>
      <c r="AJ18" s="196" t="s">
        <v>1647</v>
      </c>
      <c r="AK18" s="193">
        <v>303</v>
      </c>
      <c r="AL18" s="193">
        <v>305</v>
      </c>
      <c r="AM18" s="193">
        <v>302</v>
      </c>
      <c r="AN18" s="195" t="s">
        <v>1646</v>
      </c>
      <c r="AO18" s="193">
        <v>302</v>
      </c>
      <c r="AP18" s="193">
        <v>305</v>
      </c>
      <c r="AQ18" s="193">
        <v>303</v>
      </c>
      <c r="AR18" s="195" t="s">
        <v>69</v>
      </c>
      <c r="AS18" s="193">
        <v>311</v>
      </c>
      <c r="AT18" s="195" t="s">
        <v>65</v>
      </c>
      <c r="AU18" s="193">
        <v>316</v>
      </c>
      <c r="AV18" s="193">
        <v>317</v>
      </c>
      <c r="AW18" s="193">
        <v>318</v>
      </c>
      <c r="AX18" s="193">
        <v>331</v>
      </c>
      <c r="AY18" s="193">
        <v>332</v>
      </c>
      <c r="AZ18" s="193">
        <v>334</v>
      </c>
      <c r="BA18" s="193" t="s">
        <v>354</v>
      </c>
    </row>
    <row r="19" spans="5:53">
      <c r="E19" s="193" t="s">
        <v>354</v>
      </c>
      <c r="AA19" s="193" t="s">
        <v>370</v>
      </c>
      <c r="AB19" s="196" t="s">
        <v>1614</v>
      </c>
      <c r="AC19" s="193">
        <v>334</v>
      </c>
      <c r="AD19" s="193">
        <v>332</v>
      </c>
      <c r="AE19" s="193">
        <v>331</v>
      </c>
      <c r="AF19" s="193">
        <v>318</v>
      </c>
      <c r="AG19" s="193">
        <v>317</v>
      </c>
      <c r="AH19" s="193">
        <v>316</v>
      </c>
      <c r="AI19" s="193">
        <v>311</v>
      </c>
      <c r="AJ19" s="196" t="s">
        <v>1647</v>
      </c>
      <c r="AK19" s="193">
        <v>303</v>
      </c>
      <c r="AL19" s="193">
        <v>305</v>
      </c>
      <c r="AM19" s="193">
        <v>302</v>
      </c>
      <c r="AN19" s="195" t="s">
        <v>1646</v>
      </c>
      <c r="AO19" s="193">
        <v>302</v>
      </c>
      <c r="AP19" s="193">
        <v>305</v>
      </c>
      <c r="AQ19" s="193">
        <v>303</v>
      </c>
      <c r="AR19" s="195" t="s">
        <v>69</v>
      </c>
      <c r="AS19" s="193">
        <v>311</v>
      </c>
      <c r="AT19" s="195" t="s">
        <v>65</v>
      </c>
      <c r="AU19" s="193">
        <v>316</v>
      </c>
      <c r="AV19" s="193">
        <v>317</v>
      </c>
      <c r="AW19" s="193">
        <v>318</v>
      </c>
      <c r="AX19" s="193">
        <v>331</v>
      </c>
      <c r="AY19" s="193">
        <v>332</v>
      </c>
      <c r="AZ19" s="193">
        <v>334</v>
      </c>
      <c r="BA19" s="193" t="s">
        <v>370</v>
      </c>
    </row>
    <row r="20" spans="5:53">
      <c r="E20" s="193" t="s">
        <v>370</v>
      </c>
      <c r="AN20" s="194"/>
    </row>
    <row r="31" spans="5:53">
      <c r="AA31" s="193" t="s">
        <v>1643</v>
      </c>
      <c r="AB31" s="196" t="s">
        <v>1645</v>
      </c>
      <c r="AG31" s="196" t="s">
        <v>1644</v>
      </c>
      <c r="AH31" s="193">
        <v>310</v>
      </c>
      <c r="AI31" s="193">
        <v>311</v>
      </c>
      <c r="AJ31" s="195" t="s">
        <v>69</v>
      </c>
      <c r="AK31" s="193">
        <v>311</v>
      </c>
      <c r="AM31" s="193">
        <v>310</v>
      </c>
      <c r="AS31" s="193" t="s">
        <v>1643</v>
      </c>
    </row>
    <row r="32" spans="5:53">
      <c r="AA32" s="193" t="s">
        <v>1640</v>
      </c>
      <c r="AB32" s="196" t="s">
        <v>1642</v>
      </c>
      <c r="AG32" s="196" t="s">
        <v>1641</v>
      </c>
      <c r="AH32" s="193">
        <v>310</v>
      </c>
      <c r="AI32" s="193">
        <v>311</v>
      </c>
      <c r="AJ32" s="195" t="s">
        <v>69</v>
      </c>
      <c r="AK32" s="193">
        <v>311</v>
      </c>
      <c r="AM32" s="193">
        <v>310</v>
      </c>
      <c r="AS32" s="193" t="s">
        <v>1640</v>
      </c>
    </row>
    <row r="33" spans="27:45">
      <c r="AA33" s="193" t="s">
        <v>1638</v>
      </c>
      <c r="AB33" s="196" t="s">
        <v>1639</v>
      </c>
      <c r="AC33" s="193">
        <v>323</v>
      </c>
      <c r="AD33" s="193">
        <v>322</v>
      </c>
      <c r="AE33" s="193">
        <v>320</v>
      </c>
      <c r="AF33" s="193">
        <v>319</v>
      </c>
      <c r="AH33" s="193">
        <v>316</v>
      </c>
      <c r="AI33" s="193">
        <v>311</v>
      </c>
      <c r="AJ33" s="195" t="s">
        <v>69</v>
      </c>
      <c r="AK33" s="193">
        <v>311</v>
      </c>
      <c r="AL33" s="195" t="s">
        <v>65</v>
      </c>
      <c r="AM33" s="193">
        <v>316</v>
      </c>
      <c r="AO33" s="193">
        <v>319</v>
      </c>
      <c r="AP33" s="193">
        <v>320</v>
      </c>
      <c r="AQ33" s="193">
        <v>322</v>
      </c>
      <c r="AR33" s="193">
        <v>323</v>
      </c>
      <c r="AS33" s="193" t="s">
        <v>1638</v>
      </c>
    </row>
    <row r="34" spans="27:45">
      <c r="AA34" s="193" t="s">
        <v>1636</v>
      </c>
      <c r="AB34" s="196" t="s">
        <v>1637</v>
      </c>
      <c r="AC34" s="193">
        <v>323</v>
      </c>
      <c r="AD34" s="193">
        <v>322</v>
      </c>
      <c r="AE34" s="193">
        <v>320</v>
      </c>
      <c r="AF34" s="193">
        <v>319</v>
      </c>
      <c r="AH34" s="193">
        <v>316</v>
      </c>
      <c r="AI34" s="193">
        <v>311</v>
      </c>
      <c r="AJ34" s="195" t="s">
        <v>69</v>
      </c>
      <c r="AK34" s="193">
        <v>311</v>
      </c>
      <c r="AL34" s="195" t="s">
        <v>65</v>
      </c>
      <c r="AM34" s="193">
        <v>316</v>
      </c>
      <c r="AO34" s="193">
        <v>319</v>
      </c>
      <c r="AP34" s="193">
        <v>320</v>
      </c>
      <c r="AQ34" s="193">
        <v>322</v>
      </c>
      <c r="AR34" s="193">
        <v>323</v>
      </c>
      <c r="AS34" s="193" t="s">
        <v>1636</v>
      </c>
    </row>
    <row r="35" spans="27:45">
      <c r="AA35" s="193" t="s">
        <v>1634</v>
      </c>
      <c r="AB35" s="196" t="s">
        <v>1635</v>
      </c>
      <c r="AD35" s="193">
        <v>322</v>
      </c>
      <c r="AE35" s="193">
        <v>320</v>
      </c>
      <c r="AF35" s="193">
        <v>319</v>
      </c>
      <c r="AH35" s="193">
        <v>316</v>
      </c>
      <c r="AI35" s="193">
        <v>311</v>
      </c>
      <c r="AJ35" s="195" t="s">
        <v>69</v>
      </c>
      <c r="AK35" s="193">
        <v>311</v>
      </c>
      <c r="AL35" s="195" t="s">
        <v>65</v>
      </c>
      <c r="AM35" s="193">
        <v>316</v>
      </c>
      <c r="AO35" s="193">
        <v>319</v>
      </c>
      <c r="AP35" s="193">
        <v>320</v>
      </c>
      <c r="AQ35" s="193">
        <v>322</v>
      </c>
      <c r="AS35" s="193" t="s">
        <v>1634</v>
      </c>
    </row>
    <row r="36" spans="27:45">
      <c r="AA36" s="193" t="s">
        <v>1632</v>
      </c>
      <c r="AB36" s="196" t="s">
        <v>1633</v>
      </c>
      <c r="AC36" s="193">
        <v>324</v>
      </c>
      <c r="AF36" s="193">
        <v>319</v>
      </c>
      <c r="AH36" s="193">
        <v>316</v>
      </c>
      <c r="AI36" s="193">
        <v>311</v>
      </c>
      <c r="AJ36" s="195" t="s">
        <v>69</v>
      </c>
      <c r="AK36" s="193">
        <v>311</v>
      </c>
      <c r="AL36" s="195" t="s">
        <v>65</v>
      </c>
      <c r="AM36" s="193">
        <v>316</v>
      </c>
      <c r="AO36" s="193">
        <v>319</v>
      </c>
      <c r="AR36" s="193">
        <v>324</v>
      </c>
      <c r="AS36" s="193" t="s">
        <v>1632</v>
      </c>
    </row>
    <row r="37" spans="27:45">
      <c r="AA37" s="193" t="s">
        <v>1630</v>
      </c>
      <c r="AB37" s="196" t="s">
        <v>1631</v>
      </c>
      <c r="AC37" s="193">
        <v>324</v>
      </c>
      <c r="AF37" s="193">
        <v>319</v>
      </c>
      <c r="AH37" s="193">
        <v>316</v>
      </c>
      <c r="AI37" s="193">
        <v>311</v>
      </c>
      <c r="AJ37" s="195" t="s">
        <v>69</v>
      </c>
      <c r="AK37" s="193">
        <v>311</v>
      </c>
      <c r="AL37" s="195" t="s">
        <v>65</v>
      </c>
      <c r="AM37" s="193">
        <v>316</v>
      </c>
      <c r="AO37" s="193">
        <v>319</v>
      </c>
      <c r="AR37" s="193">
        <v>324</v>
      </c>
      <c r="AS37" s="193" t="s">
        <v>1630</v>
      </c>
    </row>
    <row r="38" spans="27:45">
      <c r="AA38" s="193" t="s">
        <v>1628</v>
      </c>
      <c r="AB38" s="196" t="s">
        <v>1629</v>
      </c>
      <c r="AD38" s="193">
        <v>326</v>
      </c>
      <c r="AE38" s="193">
        <v>325</v>
      </c>
      <c r="AF38" s="193">
        <v>318</v>
      </c>
      <c r="AG38" s="193">
        <v>317</v>
      </c>
      <c r="AH38" s="193">
        <v>316</v>
      </c>
      <c r="AI38" s="193">
        <v>311</v>
      </c>
      <c r="AJ38" s="195" t="s">
        <v>69</v>
      </c>
      <c r="AK38" s="193">
        <v>311</v>
      </c>
      <c r="AL38" s="195" t="s">
        <v>65</v>
      </c>
      <c r="AM38" s="193">
        <v>316</v>
      </c>
      <c r="AN38" s="193">
        <v>317</v>
      </c>
      <c r="AO38" s="193">
        <v>318</v>
      </c>
      <c r="AP38" s="193">
        <v>325</v>
      </c>
      <c r="AQ38" s="193">
        <v>326</v>
      </c>
      <c r="AS38" s="193" t="s">
        <v>1628</v>
      </c>
    </row>
    <row r="39" spans="27:45">
      <c r="AA39" s="193" t="s">
        <v>1626</v>
      </c>
      <c r="AB39" s="196" t="s">
        <v>1627</v>
      </c>
      <c r="AC39" s="193">
        <v>327</v>
      </c>
      <c r="AD39" s="193">
        <v>326</v>
      </c>
      <c r="AE39" s="193">
        <v>325</v>
      </c>
      <c r="AF39" s="193">
        <v>318</v>
      </c>
      <c r="AG39" s="193">
        <v>317</v>
      </c>
      <c r="AH39" s="193">
        <v>316</v>
      </c>
      <c r="AI39" s="193">
        <v>311</v>
      </c>
      <c r="AJ39" s="195" t="s">
        <v>69</v>
      </c>
      <c r="AK39" s="193">
        <v>311</v>
      </c>
      <c r="AL39" s="195" t="s">
        <v>65</v>
      </c>
      <c r="AM39" s="193">
        <v>316</v>
      </c>
      <c r="AN39" s="193">
        <v>317</v>
      </c>
      <c r="AO39" s="193">
        <v>318</v>
      </c>
      <c r="AP39" s="193">
        <v>325</v>
      </c>
      <c r="AQ39" s="193">
        <v>326</v>
      </c>
      <c r="AR39" s="193">
        <v>327</v>
      </c>
      <c r="AS39" s="193" t="s">
        <v>1626</v>
      </c>
    </row>
    <row r="40" spans="27:45">
      <c r="AA40" s="193" t="s">
        <v>1624</v>
      </c>
      <c r="AB40" s="196" t="s">
        <v>1625</v>
      </c>
      <c r="AC40" s="193">
        <v>327</v>
      </c>
      <c r="AD40" s="193">
        <v>326</v>
      </c>
      <c r="AE40" s="193">
        <v>325</v>
      </c>
      <c r="AF40" s="193">
        <v>318</v>
      </c>
      <c r="AG40" s="193">
        <v>317</v>
      </c>
      <c r="AH40" s="193">
        <v>316</v>
      </c>
      <c r="AI40" s="193">
        <v>311</v>
      </c>
      <c r="AJ40" s="195" t="s">
        <v>69</v>
      </c>
      <c r="AK40" s="193">
        <v>311</v>
      </c>
      <c r="AL40" s="195" t="s">
        <v>65</v>
      </c>
      <c r="AM40" s="193">
        <v>316</v>
      </c>
      <c r="AN40" s="193">
        <v>317</v>
      </c>
      <c r="AO40" s="193">
        <v>318</v>
      </c>
      <c r="AP40" s="193">
        <v>325</v>
      </c>
      <c r="AQ40" s="193">
        <v>326</v>
      </c>
      <c r="AR40" s="193">
        <v>327</v>
      </c>
      <c r="AS40" s="193" t="s">
        <v>1624</v>
      </c>
    </row>
    <row r="41" spans="27:45">
      <c r="AA41" s="193" t="s">
        <v>1622</v>
      </c>
      <c r="AB41" s="196" t="s">
        <v>1623</v>
      </c>
      <c r="AC41" s="193">
        <v>329</v>
      </c>
      <c r="AD41" s="193">
        <v>328</v>
      </c>
      <c r="AE41" s="193">
        <v>325</v>
      </c>
      <c r="AF41" s="193">
        <v>318</v>
      </c>
      <c r="AG41" s="193">
        <v>317</v>
      </c>
      <c r="AH41" s="193">
        <v>316</v>
      </c>
      <c r="AI41" s="193">
        <v>311</v>
      </c>
      <c r="AJ41" s="195" t="s">
        <v>69</v>
      </c>
      <c r="AK41" s="193">
        <v>311</v>
      </c>
      <c r="AL41" s="195" t="s">
        <v>65</v>
      </c>
      <c r="AM41" s="193">
        <v>316</v>
      </c>
      <c r="AN41" s="193">
        <v>317</v>
      </c>
      <c r="AO41" s="193">
        <v>318</v>
      </c>
      <c r="AP41" s="193">
        <v>325</v>
      </c>
      <c r="AQ41" s="193">
        <v>328</v>
      </c>
      <c r="AR41" s="193">
        <v>329</v>
      </c>
      <c r="AS41" s="193" t="s">
        <v>1622</v>
      </c>
    </row>
    <row r="42" spans="27:45">
      <c r="AA42" s="193" t="s">
        <v>261</v>
      </c>
      <c r="AB42" s="196" t="s">
        <v>1621</v>
      </c>
      <c r="AC42" s="193">
        <v>329</v>
      </c>
      <c r="AD42" s="193">
        <v>328</v>
      </c>
      <c r="AE42" s="193">
        <v>325</v>
      </c>
      <c r="AF42" s="193">
        <v>318</v>
      </c>
      <c r="AG42" s="193">
        <v>317</v>
      </c>
      <c r="AH42" s="193">
        <v>316</v>
      </c>
      <c r="AI42" s="193">
        <v>311</v>
      </c>
      <c r="AJ42" s="195" t="s">
        <v>69</v>
      </c>
      <c r="AK42" s="193">
        <v>311</v>
      </c>
      <c r="AL42" s="195" t="s">
        <v>65</v>
      </c>
      <c r="AM42" s="193">
        <v>316</v>
      </c>
      <c r="AN42" s="193">
        <v>317</v>
      </c>
      <c r="AO42" s="193">
        <v>318</v>
      </c>
      <c r="AP42" s="193">
        <v>325</v>
      </c>
      <c r="AQ42" s="193">
        <v>328</v>
      </c>
      <c r="AR42" s="193">
        <v>329</v>
      </c>
      <c r="AS42" s="193" t="s">
        <v>261</v>
      </c>
    </row>
    <row r="43" spans="27:45">
      <c r="AA43" s="193" t="s">
        <v>276</v>
      </c>
      <c r="AB43" s="196" t="s">
        <v>1620</v>
      </c>
      <c r="AC43" s="193">
        <v>330</v>
      </c>
      <c r="AD43" s="193">
        <v>328</v>
      </c>
      <c r="AE43" s="193">
        <v>325</v>
      </c>
      <c r="AF43" s="193">
        <v>318</v>
      </c>
      <c r="AG43" s="193">
        <v>317</v>
      </c>
      <c r="AH43" s="193">
        <v>316</v>
      </c>
      <c r="AI43" s="193">
        <v>311</v>
      </c>
      <c r="AJ43" s="195" t="s">
        <v>69</v>
      </c>
      <c r="AK43" s="193">
        <v>311</v>
      </c>
      <c r="AL43" s="195" t="s">
        <v>65</v>
      </c>
      <c r="AM43" s="193">
        <v>316</v>
      </c>
      <c r="AN43" s="193">
        <v>317</v>
      </c>
      <c r="AO43" s="193">
        <v>318</v>
      </c>
      <c r="AP43" s="193">
        <v>325</v>
      </c>
      <c r="AQ43" s="193">
        <v>328</v>
      </c>
      <c r="AR43" s="193">
        <v>330</v>
      </c>
      <c r="AS43" s="193" t="s">
        <v>276</v>
      </c>
    </row>
    <row r="44" spans="27:45">
      <c r="AA44" s="193" t="s">
        <v>293</v>
      </c>
      <c r="AB44" s="196" t="s">
        <v>1619</v>
      </c>
      <c r="AC44" s="193">
        <v>330</v>
      </c>
      <c r="AD44" s="193">
        <v>328</v>
      </c>
      <c r="AE44" s="193">
        <v>325</v>
      </c>
      <c r="AF44" s="193">
        <v>318</v>
      </c>
      <c r="AG44" s="193">
        <v>317</v>
      </c>
      <c r="AH44" s="193">
        <v>316</v>
      </c>
      <c r="AI44" s="193">
        <v>311</v>
      </c>
      <c r="AJ44" s="195" t="s">
        <v>69</v>
      </c>
      <c r="AK44" s="193">
        <v>311</v>
      </c>
      <c r="AL44" s="195" t="s">
        <v>65</v>
      </c>
      <c r="AM44" s="193">
        <v>316</v>
      </c>
      <c r="AN44" s="193">
        <v>317</v>
      </c>
      <c r="AO44" s="193">
        <v>318</v>
      </c>
      <c r="AP44" s="193">
        <v>325</v>
      </c>
      <c r="AQ44" s="193">
        <v>328</v>
      </c>
      <c r="AR44" s="193">
        <v>330</v>
      </c>
      <c r="AS44" s="193" t="s">
        <v>293</v>
      </c>
    </row>
    <row r="45" spans="27:45">
      <c r="AA45" s="193" t="s">
        <v>309</v>
      </c>
      <c r="AB45" s="196" t="s">
        <v>1618</v>
      </c>
      <c r="AC45" s="193">
        <v>333</v>
      </c>
      <c r="AE45" s="193">
        <v>331</v>
      </c>
      <c r="AF45" s="193">
        <v>318</v>
      </c>
      <c r="AG45" s="193">
        <v>317</v>
      </c>
      <c r="AH45" s="193">
        <v>316</v>
      </c>
      <c r="AI45" s="193">
        <v>311</v>
      </c>
      <c r="AJ45" s="195" t="s">
        <v>69</v>
      </c>
      <c r="AK45" s="193">
        <v>311</v>
      </c>
      <c r="AL45" s="195" t="s">
        <v>65</v>
      </c>
      <c r="AM45" s="193">
        <v>316</v>
      </c>
      <c r="AN45" s="193">
        <v>317</v>
      </c>
      <c r="AO45" s="193">
        <v>318</v>
      </c>
      <c r="AP45" s="193">
        <v>331</v>
      </c>
      <c r="AR45" s="193">
        <v>333</v>
      </c>
      <c r="AS45" s="193" t="s">
        <v>309</v>
      </c>
    </row>
    <row r="46" spans="27:45">
      <c r="AA46" s="193" t="s">
        <v>325</v>
      </c>
      <c r="AB46" s="196" t="s">
        <v>1617</v>
      </c>
      <c r="AC46" s="193">
        <v>333</v>
      </c>
      <c r="AE46" s="193">
        <v>331</v>
      </c>
      <c r="AF46" s="193">
        <v>318</v>
      </c>
      <c r="AG46" s="193">
        <v>317</v>
      </c>
      <c r="AH46" s="193">
        <v>316</v>
      </c>
      <c r="AI46" s="193">
        <v>311</v>
      </c>
      <c r="AJ46" s="195" t="s">
        <v>69</v>
      </c>
      <c r="AK46" s="193">
        <v>311</v>
      </c>
      <c r="AL46" s="195" t="s">
        <v>65</v>
      </c>
      <c r="AM46" s="193">
        <v>316</v>
      </c>
      <c r="AN46" s="193">
        <v>317</v>
      </c>
      <c r="AO46" s="193">
        <v>318</v>
      </c>
      <c r="AP46" s="193">
        <v>331</v>
      </c>
      <c r="AR46" s="193">
        <v>333</v>
      </c>
      <c r="AS46" s="193" t="s">
        <v>325</v>
      </c>
    </row>
    <row r="47" spans="27:45">
      <c r="AA47" s="193" t="s">
        <v>339</v>
      </c>
      <c r="AB47" s="196" t="s">
        <v>1616</v>
      </c>
      <c r="AD47" s="193">
        <v>332</v>
      </c>
      <c r="AE47" s="193">
        <v>331</v>
      </c>
      <c r="AF47" s="193">
        <v>318</v>
      </c>
      <c r="AG47" s="193">
        <v>317</v>
      </c>
      <c r="AH47" s="193">
        <v>316</v>
      </c>
      <c r="AI47" s="193">
        <v>311</v>
      </c>
      <c r="AJ47" s="195" t="s">
        <v>69</v>
      </c>
      <c r="AK47" s="193">
        <v>311</v>
      </c>
      <c r="AL47" s="195" t="s">
        <v>65</v>
      </c>
      <c r="AM47" s="193">
        <v>316</v>
      </c>
      <c r="AN47" s="193">
        <v>317</v>
      </c>
      <c r="AO47" s="193">
        <v>318</v>
      </c>
      <c r="AP47" s="193">
        <v>331</v>
      </c>
      <c r="AQ47" s="193">
        <v>332</v>
      </c>
      <c r="AS47" s="193" t="s">
        <v>339</v>
      </c>
    </row>
    <row r="48" spans="27:45">
      <c r="AA48" s="193" t="s">
        <v>354</v>
      </c>
      <c r="AB48" s="196" t="s">
        <v>1615</v>
      </c>
      <c r="AC48" s="193">
        <v>334</v>
      </c>
      <c r="AD48" s="193">
        <v>332</v>
      </c>
      <c r="AE48" s="193">
        <v>331</v>
      </c>
      <c r="AF48" s="193">
        <v>318</v>
      </c>
      <c r="AG48" s="193">
        <v>317</v>
      </c>
      <c r="AH48" s="193">
        <v>316</v>
      </c>
      <c r="AI48" s="193">
        <v>311</v>
      </c>
      <c r="AJ48" s="195" t="s">
        <v>69</v>
      </c>
      <c r="AK48" s="193">
        <v>311</v>
      </c>
      <c r="AL48" s="195" t="s">
        <v>65</v>
      </c>
      <c r="AM48" s="193">
        <v>316</v>
      </c>
      <c r="AN48" s="193">
        <v>317</v>
      </c>
      <c r="AO48" s="193">
        <v>318</v>
      </c>
      <c r="AP48" s="193">
        <v>331</v>
      </c>
      <c r="AQ48" s="193">
        <v>332</v>
      </c>
      <c r="AR48" s="193">
        <v>334</v>
      </c>
      <c r="AS48" s="193" t="s">
        <v>354</v>
      </c>
    </row>
    <row r="49" spans="27:45">
      <c r="AA49" s="193" t="s">
        <v>370</v>
      </c>
      <c r="AB49" s="196" t="s">
        <v>1614</v>
      </c>
      <c r="AC49" s="193">
        <v>334</v>
      </c>
      <c r="AD49" s="193">
        <v>332</v>
      </c>
      <c r="AE49" s="193">
        <v>331</v>
      </c>
      <c r="AF49" s="193">
        <v>318</v>
      </c>
      <c r="AG49" s="193">
        <v>317</v>
      </c>
      <c r="AH49" s="193">
        <v>316</v>
      </c>
      <c r="AI49" s="193">
        <v>311</v>
      </c>
      <c r="AJ49" s="195" t="s">
        <v>69</v>
      </c>
      <c r="AK49" s="193">
        <v>311</v>
      </c>
      <c r="AL49" s="195" t="s">
        <v>65</v>
      </c>
      <c r="AM49" s="193">
        <v>316</v>
      </c>
      <c r="AN49" s="193">
        <v>317</v>
      </c>
      <c r="AO49" s="193">
        <v>318</v>
      </c>
      <c r="AP49" s="193">
        <v>331</v>
      </c>
      <c r="AQ49" s="193">
        <v>332</v>
      </c>
      <c r="AR49" s="193">
        <v>334</v>
      </c>
      <c r="AS49" s="193" t="s">
        <v>370</v>
      </c>
    </row>
    <row r="50" spans="27:45">
      <c r="AJ50" s="194"/>
    </row>
    <row r="61" spans="27:45">
      <c r="AA61" s="193" t="s">
        <v>1638</v>
      </c>
      <c r="AB61" s="196" t="s">
        <v>1639</v>
      </c>
      <c r="AC61" s="193">
        <v>323</v>
      </c>
      <c r="AD61" s="193">
        <v>322</v>
      </c>
      <c r="AE61" s="193">
        <v>320</v>
      </c>
      <c r="AF61" s="193">
        <v>319</v>
      </c>
      <c r="AH61" s="193">
        <v>316</v>
      </c>
      <c r="AI61" s="195" t="s">
        <v>65</v>
      </c>
      <c r="AJ61" s="193">
        <v>316</v>
      </c>
      <c r="AL61" s="193">
        <v>319</v>
      </c>
      <c r="AM61" s="193">
        <v>320</v>
      </c>
      <c r="AN61" s="193">
        <v>322</v>
      </c>
      <c r="AO61" s="193">
        <v>323</v>
      </c>
      <c r="AP61" s="193" t="s">
        <v>1638</v>
      </c>
    </row>
    <row r="62" spans="27:45">
      <c r="AA62" s="193" t="s">
        <v>1636</v>
      </c>
      <c r="AB62" s="196" t="s">
        <v>1637</v>
      </c>
      <c r="AC62" s="193">
        <v>323</v>
      </c>
      <c r="AD62" s="193">
        <v>322</v>
      </c>
      <c r="AE62" s="193">
        <v>320</v>
      </c>
      <c r="AF62" s="193">
        <v>319</v>
      </c>
      <c r="AH62" s="193">
        <v>316</v>
      </c>
      <c r="AI62" s="195" t="s">
        <v>65</v>
      </c>
      <c r="AJ62" s="193">
        <v>316</v>
      </c>
      <c r="AL62" s="193">
        <v>319</v>
      </c>
      <c r="AM62" s="193">
        <v>320</v>
      </c>
      <c r="AN62" s="193">
        <v>322</v>
      </c>
      <c r="AO62" s="193">
        <v>323</v>
      </c>
      <c r="AP62" s="193" t="s">
        <v>1636</v>
      </c>
    </row>
    <row r="63" spans="27:45">
      <c r="AA63" s="193" t="s">
        <v>1634</v>
      </c>
      <c r="AB63" s="196" t="s">
        <v>1635</v>
      </c>
      <c r="AD63" s="193">
        <v>322</v>
      </c>
      <c r="AE63" s="193">
        <v>320</v>
      </c>
      <c r="AF63" s="193">
        <v>319</v>
      </c>
      <c r="AH63" s="193">
        <v>316</v>
      </c>
      <c r="AI63" s="195" t="s">
        <v>65</v>
      </c>
      <c r="AJ63" s="193">
        <v>316</v>
      </c>
      <c r="AL63" s="193">
        <v>319</v>
      </c>
      <c r="AM63" s="193">
        <v>320</v>
      </c>
      <c r="AN63" s="193">
        <v>322</v>
      </c>
      <c r="AP63" s="193" t="s">
        <v>1634</v>
      </c>
    </row>
    <row r="64" spans="27:45">
      <c r="AA64" s="193" t="s">
        <v>1632</v>
      </c>
      <c r="AB64" s="196" t="s">
        <v>1633</v>
      </c>
      <c r="AC64" s="193">
        <v>324</v>
      </c>
      <c r="AF64" s="193">
        <v>319</v>
      </c>
      <c r="AH64" s="193">
        <v>316</v>
      </c>
      <c r="AI64" s="195" t="s">
        <v>65</v>
      </c>
      <c r="AJ64" s="193">
        <v>316</v>
      </c>
      <c r="AL64" s="193">
        <v>319</v>
      </c>
      <c r="AO64" s="193">
        <v>324</v>
      </c>
      <c r="AP64" s="193" t="s">
        <v>1632</v>
      </c>
    </row>
    <row r="65" spans="27:42">
      <c r="AA65" s="193" t="s">
        <v>1630</v>
      </c>
      <c r="AB65" s="196" t="s">
        <v>1631</v>
      </c>
      <c r="AC65" s="193">
        <v>324</v>
      </c>
      <c r="AF65" s="193">
        <v>319</v>
      </c>
      <c r="AH65" s="193">
        <v>316</v>
      </c>
      <c r="AI65" s="195" t="s">
        <v>65</v>
      </c>
      <c r="AJ65" s="193">
        <v>316</v>
      </c>
      <c r="AL65" s="193">
        <v>319</v>
      </c>
      <c r="AO65" s="193">
        <v>324</v>
      </c>
      <c r="AP65" s="193" t="s">
        <v>1630</v>
      </c>
    </row>
    <row r="66" spans="27:42">
      <c r="AA66" s="193" t="s">
        <v>1628</v>
      </c>
      <c r="AB66" s="196" t="s">
        <v>1629</v>
      </c>
      <c r="AD66" s="193">
        <v>326</v>
      </c>
      <c r="AE66" s="193">
        <v>325</v>
      </c>
      <c r="AF66" s="193">
        <v>318</v>
      </c>
      <c r="AG66" s="193">
        <v>317</v>
      </c>
      <c r="AH66" s="193">
        <v>316</v>
      </c>
      <c r="AI66" s="195" t="s">
        <v>65</v>
      </c>
      <c r="AJ66" s="193">
        <v>316</v>
      </c>
      <c r="AK66" s="193">
        <v>317</v>
      </c>
      <c r="AL66" s="193">
        <v>318</v>
      </c>
      <c r="AM66" s="193">
        <v>325</v>
      </c>
      <c r="AN66" s="193">
        <v>326</v>
      </c>
      <c r="AP66" s="193" t="s">
        <v>1628</v>
      </c>
    </row>
    <row r="67" spans="27:42">
      <c r="AA67" s="193" t="s">
        <v>1626</v>
      </c>
      <c r="AB67" s="196" t="s">
        <v>1627</v>
      </c>
      <c r="AC67" s="193">
        <v>327</v>
      </c>
      <c r="AD67" s="193">
        <v>326</v>
      </c>
      <c r="AE67" s="193">
        <v>325</v>
      </c>
      <c r="AF67" s="193">
        <v>318</v>
      </c>
      <c r="AG67" s="193">
        <v>317</v>
      </c>
      <c r="AH67" s="193">
        <v>316</v>
      </c>
      <c r="AI67" s="195" t="s">
        <v>65</v>
      </c>
      <c r="AJ67" s="193">
        <v>316</v>
      </c>
      <c r="AK67" s="193">
        <v>317</v>
      </c>
      <c r="AL67" s="193">
        <v>318</v>
      </c>
      <c r="AM67" s="193">
        <v>325</v>
      </c>
      <c r="AN67" s="193">
        <v>326</v>
      </c>
      <c r="AO67" s="193">
        <v>327</v>
      </c>
      <c r="AP67" s="193" t="s">
        <v>1626</v>
      </c>
    </row>
    <row r="68" spans="27:42">
      <c r="AA68" s="193" t="s">
        <v>1624</v>
      </c>
      <c r="AB68" s="196" t="s">
        <v>1625</v>
      </c>
      <c r="AC68" s="193">
        <v>327</v>
      </c>
      <c r="AD68" s="193">
        <v>326</v>
      </c>
      <c r="AE68" s="193">
        <v>325</v>
      </c>
      <c r="AF68" s="193">
        <v>318</v>
      </c>
      <c r="AG68" s="193">
        <v>317</v>
      </c>
      <c r="AH68" s="193">
        <v>316</v>
      </c>
      <c r="AI68" s="195" t="s">
        <v>65</v>
      </c>
      <c r="AJ68" s="193">
        <v>316</v>
      </c>
      <c r="AK68" s="193">
        <v>317</v>
      </c>
      <c r="AL68" s="193">
        <v>318</v>
      </c>
      <c r="AM68" s="193">
        <v>325</v>
      </c>
      <c r="AN68" s="193">
        <v>326</v>
      </c>
      <c r="AO68" s="193">
        <v>327</v>
      </c>
      <c r="AP68" s="193" t="s">
        <v>1624</v>
      </c>
    </row>
    <row r="69" spans="27:42">
      <c r="AA69" s="193" t="s">
        <v>1622</v>
      </c>
      <c r="AB69" s="196" t="s">
        <v>1623</v>
      </c>
      <c r="AC69" s="193">
        <v>329</v>
      </c>
      <c r="AD69" s="193">
        <v>328</v>
      </c>
      <c r="AE69" s="193">
        <v>325</v>
      </c>
      <c r="AF69" s="193">
        <v>318</v>
      </c>
      <c r="AG69" s="193">
        <v>317</v>
      </c>
      <c r="AH69" s="193">
        <v>316</v>
      </c>
      <c r="AI69" s="195" t="s">
        <v>65</v>
      </c>
      <c r="AJ69" s="193">
        <v>316</v>
      </c>
      <c r="AK69" s="193">
        <v>317</v>
      </c>
      <c r="AL69" s="193">
        <v>318</v>
      </c>
      <c r="AM69" s="193">
        <v>325</v>
      </c>
      <c r="AN69" s="193">
        <v>328</v>
      </c>
      <c r="AO69" s="193">
        <v>329</v>
      </c>
      <c r="AP69" s="193" t="s">
        <v>1622</v>
      </c>
    </row>
    <row r="70" spans="27:42">
      <c r="AA70" s="193" t="s">
        <v>261</v>
      </c>
      <c r="AB70" s="196" t="s">
        <v>1621</v>
      </c>
      <c r="AC70" s="193">
        <v>329</v>
      </c>
      <c r="AD70" s="193">
        <v>328</v>
      </c>
      <c r="AE70" s="193">
        <v>325</v>
      </c>
      <c r="AF70" s="193">
        <v>318</v>
      </c>
      <c r="AG70" s="193">
        <v>317</v>
      </c>
      <c r="AH70" s="193">
        <v>316</v>
      </c>
      <c r="AI70" s="195" t="s">
        <v>65</v>
      </c>
      <c r="AJ70" s="193">
        <v>316</v>
      </c>
      <c r="AK70" s="193">
        <v>317</v>
      </c>
      <c r="AL70" s="193">
        <v>318</v>
      </c>
      <c r="AM70" s="193">
        <v>325</v>
      </c>
      <c r="AN70" s="193">
        <v>328</v>
      </c>
      <c r="AO70" s="193">
        <v>329</v>
      </c>
      <c r="AP70" s="193" t="s">
        <v>261</v>
      </c>
    </row>
    <row r="71" spans="27:42">
      <c r="AA71" s="193" t="s">
        <v>276</v>
      </c>
      <c r="AB71" s="196" t="s">
        <v>1620</v>
      </c>
      <c r="AC71" s="193">
        <v>330</v>
      </c>
      <c r="AD71" s="193">
        <v>328</v>
      </c>
      <c r="AE71" s="193">
        <v>325</v>
      </c>
      <c r="AF71" s="193">
        <v>318</v>
      </c>
      <c r="AG71" s="193">
        <v>317</v>
      </c>
      <c r="AH71" s="193">
        <v>316</v>
      </c>
      <c r="AI71" s="195" t="s">
        <v>65</v>
      </c>
      <c r="AJ71" s="193">
        <v>316</v>
      </c>
      <c r="AK71" s="193">
        <v>317</v>
      </c>
      <c r="AL71" s="193">
        <v>318</v>
      </c>
      <c r="AM71" s="193">
        <v>325</v>
      </c>
      <c r="AN71" s="193">
        <v>328</v>
      </c>
      <c r="AO71" s="193">
        <v>330</v>
      </c>
      <c r="AP71" s="193" t="s">
        <v>276</v>
      </c>
    </row>
    <row r="72" spans="27:42">
      <c r="AA72" s="193" t="s">
        <v>293</v>
      </c>
      <c r="AB72" s="196" t="s">
        <v>1619</v>
      </c>
      <c r="AC72" s="193">
        <v>330</v>
      </c>
      <c r="AD72" s="193">
        <v>328</v>
      </c>
      <c r="AE72" s="193">
        <v>325</v>
      </c>
      <c r="AF72" s="193">
        <v>318</v>
      </c>
      <c r="AG72" s="193">
        <v>317</v>
      </c>
      <c r="AH72" s="193">
        <v>316</v>
      </c>
      <c r="AI72" s="195" t="s">
        <v>65</v>
      </c>
      <c r="AJ72" s="193">
        <v>316</v>
      </c>
      <c r="AK72" s="193">
        <v>317</v>
      </c>
      <c r="AL72" s="193">
        <v>318</v>
      </c>
      <c r="AM72" s="193">
        <v>325</v>
      </c>
      <c r="AN72" s="193">
        <v>328</v>
      </c>
      <c r="AO72" s="193">
        <v>330</v>
      </c>
      <c r="AP72" s="193" t="s">
        <v>293</v>
      </c>
    </row>
    <row r="73" spans="27:42">
      <c r="AA73" s="193" t="s">
        <v>309</v>
      </c>
      <c r="AB73" s="196" t="s">
        <v>1618</v>
      </c>
      <c r="AC73" s="193">
        <v>333</v>
      </c>
      <c r="AE73" s="193">
        <v>331</v>
      </c>
      <c r="AF73" s="193">
        <v>318</v>
      </c>
      <c r="AG73" s="193">
        <v>317</v>
      </c>
      <c r="AH73" s="193">
        <v>316</v>
      </c>
      <c r="AI73" s="195" t="s">
        <v>65</v>
      </c>
      <c r="AJ73" s="193">
        <v>316</v>
      </c>
      <c r="AK73" s="193">
        <v>317</v>
      </c>
      <c r="AL73" s="193">
        <v>318</v>
      </c>
      <c r="AM73" s="193">
        <v>331</v>
      </c>
      <c r="AO73" s="193">
        <v>333</v>
      </c>
      <c r="AP73" s="193" t="s">
        <v>309</v>
      </c>
    </row>
    <row r="74" spans="27:42">
      <c r="AA74" s="193" t="s">
        <v>325</v>
      </c>
      <c r="AB74" s="196" t="s">
        <v>1617</v>
      </c>
      <c r="AC74" s="193">
        <v>333</v>
      </c>
      <c r="AE74" s="193">
        <v>331</v>
      </c>
      <c r="AF74" s="193">
        <v>318</v>
      </c>
      <c r="AG74" s="193">
        <v>317</v>
      </c>
      <c r="AH74" s="193">
        <v>316</v>
      </c>
      <c r="AI74" s="195" t="s">
        <v>65</v>
      </c>
      <c r="AJ74" s="193">
        <v>316</v>
      </c>
      <c r="AK74" s="193">
        <v>317</v>
      </c>
      <c r="AL74" s="193">
        <v>318</v>
      </c>
      <c r="AM74" s="193">
        <v>331</v>
      </c>
      <c r="AO74" s="193">
        <v>333</v>
      </c>
      <c r="AP74" s="193" t="s">
        <v>325</v>
      </c>
    </row>
    <row r="75" spans="27:42">
      <c r="AA75" s="193" t="s">
        <v>339</v>
      </c>
      <c r="AB75" s="196" t="s">
        <v>1616</v>
      </c>
      <c r="AD75" s="193">
        <v>332</v>
      </c>
      <c r="AE75" s="193">
        <v>331</v>
      </c>
      <c r="AF75" s="193">
        <v>318</v>
      </c>
      <c r="AG75" s="193">
        <v>317</v>
      </c>
      <c r="AH75" s="193">
        <v>316</v>
      </c>
      <c r="AI75" s="195" t="s">
        <v>65</v>
      </c>
      <c r="AJ75" s="193">
        <v>316</v>
      </c>
      <c r="AK75" s="193">
        <v>317</v>
      </c>
      <c r="AL75" s="193">
        <v>318</v>
      </c>
      <c r="AM75" s="193">
        <v>331</v>
      </c>
      <c r="AN75" s="193">
        <v>332</v>
      </c>
      <c r="AP75" s="193" t="s">
        <v>339</v>
      </c>
    </row>
    <row r="76" spans="27:42">
      <c r="AA76" s="193" t="s">
        <v>354</v>
      </c>
      <c r="AB76" s="196" t="s">
        <v>1615</v>
      </c>
      <c r="AC76" s="193">
        <v>334</v>
      </c>
      <c r="AD76" s="193">
        <v>332</v>
      </c>
      <c r="AE76" s="193">
        <v>331</v>
      </c>
      <c r="AF76" s="193">
        <v>318</v>
      </c>
      <c r="AG76" s="193">
        <v>317</v>
      </c>
      <c r="AH76" s="193">
        <v>316</v>
      </c>
      <c r="AI76" s="195" t="s">
        <v>65</v>
      </c>
      <c r="AJ76" s="193">
        <v>316</v>
      </c>
      <c r="AK76" s="193">
        <v>317</v>
      </c>
      <c r="AL76" s="193">
        <v>318</v>
      </c>
      <c r="AM76" s="193">
        <v>331</v>
      </c>
      <c r="AN76" s="193">
        <v>332</v>
      </c>
      <c r="AO76" s="193">
        <v>334</v>
      </c>
      <c r="AP76" s="193" t="s">
        <v>354</v>
      </c>
    </row>
    <row r="77" spans="27:42">
      <c r="AA77" s="193" t="s">
        <v>370</v>
      </c>
      <c r="AB77" s="196" t="s">
        <v>1614</v>
      </c>
      <c r="AC77" s="193">
        <v>334</v>
      </c>
      <c r="AD77" s="193">
        <v>332</v>
      </c>
      <c r="AE77" s="193">
        <v>331</v>
      </c>
      <c r="AF77" s="193">
        <v>318</v>
      </c>
      <c r="AG77" s="193">
        <v>317</v>
      </c>
      <c r="AH77" s="193">
        <v>316</v>
      </c>
      <c r="AI77" s="195" t="s">
        <v>65</v>
      </c>
      <c r="AJ77" s="193">
        <v>316</v>
      </c>
      <c r="AK77" s="193">
        <v>317</v>
      </c>
      <c r="AL77" s="193">
        <v>318</v>
      </c>
      <c r="AM77" s="193">
        <v>331</v>
      </c>
      <c r="AN77" s="193">
        <v>332</v>
      </c>
      <c r="AO77" s="193">
        <v>334</v>
      </c>
      <c r="AP77" s="193" t="s">
        <v>370</v>
      </c>
    </row>
    <row r="78" spans="27:42">
      <c r="AI78" s="194"/>
    </row>
    <row r="91" spans="27:42">
      <c r="AA91" s="193" t="s">
        <v>1628</v>
      </c>
      <c r="AB91" s="196" t="s">
        <v>1629</v>
      </c>
      <c r="AD91" s="193">
        <v>326</v>
      </c>
      <c r="AE91" s="193">
        <v>325</v>
      </c>
      <c r="AF91" s="193">
        <v>318</v>
      </c>
      <c r="AG91" s="193">
        <v>317</v>
      </c>
      <c r="AH91" s="193" t="s">
        <v>1440</v>
      </c>
      <c r="AI91" s="195" t="s">
        <v>1608</v>
      </c>
      <c r="AJ91" s="193" t="s">
        <v>1440</v>
      </c>
      <c r="AK91" s="193">
        <v>317</v>
      </c>
      <c r="AL91" s="193">
        <v>318</v>
      </c>
      <c r="AM91" s="193">
        <v>325</v>
      </c>
      <c r="AN91" s="193">
        <v>326</v>
      </c>
      <c r="AP91" s="193" t="s">
        <v>1628</v>
      </c>
    </row>
    <row r="92" spans="27:42">
      <c r="AA92" s="193" t="s">
        <v>1626</v>
      </c>
      <c r="AB92" s="196" t="s">
        <v>1627</v>
      </c>
      <c r="AC92" s="193">
        <v>327</v>
      </c>
      <c r="AD92" s="193">
        <v>326</v>
      </c>
      <c r="AE92" s="193">
        <v>325</v>
      </c>
      <c r="AF92" s="193">
        <v>318</v>
      </c>
      <c r="AG92" s="193">
        <v>317</v>
      </c>
      <c r="AH92" s="193" t="s">
        <v>1440</v>
      </c>
      <c r="AI92" s="195" t="s">
        <v>1608</v>
      </c>
      <c r="AJ92" s="193" t="s">
        <v>1440</v>
      </c>
      <c r="AK92" s="193">
        <v>317</v>
      </c>
      <c r="AL92" s="193">
        <v>318</v>
      </c>
      <c r="AM92" s="193">
        <v>325</v>
      </c>
      <c r="AN92" s="193">
        <v>326</v>
      </c>
      <c r="AO92" s="193">
        <v>327</v>
      </c>
      <c r="AP92" s="193" t="s">
        <v>1626</v>
      </c>
    </row>
    <row r="93" spans="27:42">
      <c r="AA93" s="193" t="s">
        <v>1624</v>
      </c>
      <c r="AB93" s="196" t="s">
        <v>1625</v>
      </c>
      <c r="AC93" s="193">
        <v>327</v>
      </c>
      <c r="AD93" s="193">
        <v>326</v>
      </c>
      <c r="AE93" s="193">
        <v>325</v>
      </c>
      <c r="AF93" s="193">
        <v>318</v>
      </c>
      <c r="AG93" s="193">
        <v>317</v>
      </c>
      <c r="AH93" s="193" t="s">
        <v>1440</v>
      </c>
      <c r="AI93" s="195" t="s">
        <v>1608</v>
      </c>
      <c r="AJ93" s="193" t="s">
        <v>1440</v>
      </c>
      <c r="AK93" s="193">
        <v>317</v>
      </c>
      <c r="AL93" s="193">
        <v>318</v>
      </c>
      <c r="AM93" s="193">
        <v>325</v>
      </c>
      <c r="AN93" s="193">
        <v>326</v>
      </c>
      <c r="AO93" s="193">
        <v>327</v>
      </c>
      <c r="AP93" s="193" t="s">
        <v>1624</v>
      </c>
    </row>
    <row r="94" spans="27:42">
      <c r="AA94" s="193" t="s">
        <v>1622</v>
      </c>
      <c r="AB94" s="196" t="s">
        <v>1623</v>
      </c>
      <c r="AC94" s="193">
        <v>329</v>
      </c>
      <c r="AD94" s="193">
        <v>328</v>
      </c>
      <c r="AE94" s="193">
        <v>325</v>
      </c>
      <c r="AF94" s="193">
        <v>318</v>
      </c>
      <c r="AG94" s="193">
        <v>317</v>
      </c>
      <c r="AH94" s="193" t="s">
        <v>1440</v>
      </c>
      <c r="AI94" s="195" t="s">
        <v>1608</v>
      </c>
      <c r="AJ94" s="193" t="s">
        <v>1440</v>
      </c>
      <c r="AK94" s="193">
        <v>317</v>
      </c>
      <c r="AL94" s="193">
        <v>318</v>
      </c>
      <c r="AM94" s="193">
        <v>325</v>
      </c>
      <c r="AN94" s="193">
        <v>328</v>
      </c>
      <c r="AO94" s="193">
        <v>329</v>
      </c>
      <c r="AP94" s="193" t="s">
        <v>1622</v>
      </c>
    </row>
    <row r="95" spans="27:42">
      <c r="AA95" s="193" t="s">
        <v>261</v>
      </c>
      <c r="AB95" s="196" t="s">
        <v>1621</v>
      </c>
      <c r="AC95" s="193">
        <v>329</v>
      </c>
      <c r="AD95" s="193">
        <v>328</v>
      </c>
      <c r="AE95" s="193">
        <v>325</v>
      </c>
      <c r="AF95" s="193">
        <v>318</v>
      </c>
      <c r="AG95" s="193">
        <v>317</v>
      </c>
      <c r="AH95" s="193" t="s">
        <v>1440</v>
      </c>
      <c r="AI95" s="195" t="s">
        <v>1608</v>
      </c>
      <c r="AJ95" s="193" t="s">
        <v>1440</v>
      </c>
      <c r="AK95" s="193">
        <v>317</v>
      </c>
      <c r="AL95" s="193">
        <v>318</v>
      </c>
      <c r="AM95" s="193">
        <v>325</v>
      </c>
      <c r="AN95" s="193">
        <v>328</v>
      </c>
      <c r="AO95" s="193">
        <v>329</v>
      </c>
      <c r="AP95" s="193" t="s">
        <v>261</v>
      </c>
    </row>
    <row r="96" spans="27:42">
      <c r="AA96" s="193" t="s">
        <v>276</v>
      </c>
      <c r="AB96" s="196" t="s">
        <v>1620</v>
      </c>
      <c r="AC96" s="193">
        <v>330</v>
      </c>
      <c r="AD96" s="193">
        <v>328</v>
      </c>
      <c r="AE96" s="193">
        <v>325</v>
      </c>
      <c r="AF96" s="193">
        <v>318</v>
      </c>
      <c r="AG96" s="193">
        <v>317</v>
      </c>
      <c r="AH96" s="193" t="s">
        <v>1440</v>
      </c>
      <c r="AI96" s="195" t="s">
        <v>1608</v>
      </c>
      <c r="AJ96" s="193" t="s">
        <v>1440</v>
      </c>
      <c r="AK96" s="193">
        <v>317</v>
      </c>
      <c r="AL96" s="193">
        <v>318</v>
      </c>
      <c r="AM96" s="193">
        <v>325</v>
      </c>
      <c r="AN96" s="193">
        <v>328</v>
      </c>
      <c r="AO96" s="193">
        <v>330</v>
      </c>
      <c r="AP96" s="193" t="s">
        <v>276</v>
      </c>
    </row>
    <row r="97" spans="27:42">
      <c r="AA97" s="193" t="s">
        <v>293</v>
      </c>
      <c r="AB97" s="196" t="s">
        <v>1619</v>
      </c>
      <c r="AC97" s="193">
        <v>330</v>
      </c>
      <c r="AD97" s="193">
        <v>328</v>
      </c>
      <c r="AE97" s="193">
        <v>325</v>
      </c>
      <c r="AF97" s="193">
        <v>318</v>
      </c>
      <c r="AG97" s="193">
        <v>317</v>
      </c>
      <c r="AH97" s="193" t="s">
        <v>1440</v>
      </c>
      <c r="AI97" s="195" t="s">
        <v>1608</v>
      </c>
      <c r="AJ97" s="193" t="s">
        <v>1440</v>
      </c>
      <c r="AK97" s="193">
        <v>317</v>
      </c>
      <c r="AL97" s="193">
        <v>318</v>
      </c>
      <c r="AM97" s="193">
        <v>325</v>
      </c>
      <c r="AN97" s="193">
        <v>328</v>
      </c>
      <c r="AO97" s="193">
        <v>330</v>
      </c>
      <c r="AP97" s="193" t="s">
        <v>293</v>
      </c>
    </row>
    <row r="98" spans="27:42">
      <c r="AA98" s="193" t="s">
        <v>309</v>
      </c>
      <c r="AB98" s="196" t="s">
        <v>1618</v>
      </c>
      <c r="AC98" s="193">
        <v>333</v>
      </c>
      <c r="AE98" s="193">
        <v>331</v>
      </c>
      <c r="AF98" s="193">
        <v>318</v>
      </c>
      <c r="AG98" s="193">
        <v>317</v>
      </c>
      <c r="AH98" s="193" t="s">
        <v>1440</v>
      </c>
      <c r="AI98" s="195" t="s">
        <v>1608</v>
      </c>
      <c r="AJ98" s="193" t="s">
        <v>1440</v>
      </c>
      <c r="AK98" s="193">
        <v>317</v>
      </c>
      <c r="AL98" s="193">
        <v>318</v>
      </c>
      <c r="AM98" s="193">
        <v>331</v>
      </c>
      <c r="AO98" s="193">
        <v>333</v>
      </c>
      <c r="AP98" s="193" t="s">
        <v>309</v>
      </c>
    </row>
    <row r="99" spans="27:42">
      <c r="AA99" s="193" t="s">
        <v>325</v>
      </c>
      <c r="AB99" s="196" t="s">
        <v>1617</v>
      </c>
      <c r="AC99" s="193">
        <v>333</v>
      </c>
      <c r="AE99" s="193">
        <v>331</v>
      </c>
      <c r="AF99" s="193">
        <v>318</v>
      </c>
      <c r="AG99" s="193">
        <v>317</v>
      </c>
      <c r="AH99" s="193" t="s">
        <v>1440</v>
      </c>
      <c r="AI99" s="195" t="s">
        <v>1608</v>
      </c>
      <c r="AJ99" s="193" t="s">
        <v>1440</v>
      </c>
      <c r="AK99" s="193">
        <v>317</v>
      </c>
      <c r="AL99" s="193">
        <v>318</v>
      </c>
      <c r="AM99" s="193">
        <v>331</v>
      </c>
      <c r="AO99" s="193">
        <v>333</v>
      </c>
      <c r="AP99" s="193" t="s">
        <v>325</v>
      </c>
    </row>
    <row r="100" spans="27:42">
      <c r="AA100" s="193" t="s">
        <v>339</v>
      </c>
      <c r="AB100" s="196" t="s">
        <v>1616</v>
      </c>
      <c r="AD100" s="193">
        <v>332</v>
      </c>
      <c r="AE100" s="193">
        <v>331</v>
      </c>
      <c r="AF100" s="193">
        <v>318</v>
      </c>
      <c r="AG100" s="193">
        <v>317</v>
      </c>
      <c r="AH100" s="193" t="s">
        <v>1440</v>
      </c>
      <c r="AI100" s="195" t="s">
        <v>1608</v>
      </c>
      <c r="AJ100" s="193" t="s">
        <v>1440</v>
      </c>
      <c r="AK100" s="193">
        <v>317</v>
      </c>
      <c r="AL100" s="193">
        <v>318</v>
      </c>
      <c r="AM100" s="193">
        <v>331</v>
      </c>
      <c r="AN100" s="193">
        <v>332</v>
      </c>
      <c r="AP100" s="193" t="s">
        <v>339</v>
      </c>
    </row>
    <row r="101" spans="27:42">
      <c r="AA101" s="193" t="s">
        <v>354</v>
      </c>
      <c r="AB101" s="196" t="s">
        <v>1615</v>
      </c>
      <c r="AC101" s="193">
        <v>334</v>
      </c>
      <c r="AD101" s="193">
        <v>332</v>
      </c>
      <c r="AE101" s="193">
        <v>331</v>
      </c>
      <c r="AF101" s="193">
        <v>318</v>
      </c>
      <c r="AG101" s="193">
        <v>317</v>
      </c>
      <c r="AH101" s="193" t="s">
        <v>1440</v>
      </c>
      <c r="AI101" s="195" t="s">
        <v>1608</v>
      </c>
      <c r="AJ101" s="193" t="s">
        <v>1440</v>
      </c>
      <c r="AK101" s="193">
        <v>317</v>
      </c>
      <c r="AL101" s="193">
        <v>318</v>
      </c>
      <c r="AM101" s="193">
        <v>331</v>
      </c>
      <c r="AN101" s="193">
        <v>332</v>
      </c>
      <c r="AO101" s="193">
        <v>334</v>
      </c>
      <c r="AP101" s="193" t="s">
        <v>354</v>
      </c>
    </row>
    <row r="102" spans="27:42">
      <c r="AA102" s="193" t="s">
        <v>370</v>
      </c>
      <c r="AB102" s="196" t="s">
        <v>1614</v>
      </c>
      <c r="AC102" s="193">
        <v>334</v>
      </c>
      <c r="AD102" s="193">
        <v>332</v>
      </c>
      <c r="AE102" s="193">
        <v>331</v>
      </c>
      <c r="AF102" s="193">
        <v>318</v>
      </c>
      <c r="AG102" s="193">
        <v>317</v>
      </c>
      <c r="AH102" s="193" t="s">
        <v>1440</v>
      </c>
      <c r="AI102" s="195" t="s">
        <v>1608</v>
      </c>
      <c r="AJ102" s="193" t="s">
        <v>1440</v>
      </c>
      <c r="AK102" s="193">
        <v>317</v>
      </c>
      <c r="AL102" s="193">
        <v>318</v>
      </c>
      <c r="AM102" s="193">
        <v>331</v>
      </c>
      <c r="AN102" s="193">
        <v>332</v>
      </c>
      <c r="AO102" s="193">
        <v>334</v>
      </c>
      <c r="AP102" s="193" t="s">
        <v>370</v>
      </c>
    </row>
    <row r="103" spans="27:42">
      <c r="AI103" s="19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hisWorkbook.button1_click">
                <anchor moveWithCells="1" sizeWithCells="1">
                  <from>
                    <xdr:col>0</xdr:col>
                    <xdr:colOff>60960</xdr:colOff>
                    <xdr:row>9</xdr:row>
                    <xdr:rowOff>38100</xdr:rowOff>
                  </from>
                  <to>
                    <xdr:col>0</xdr:col>
                    <xdr:colOff>1524000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DD116-9F32-4751-B1B5-57FB27069CC6}">
  <sheetPr codeName="Sheet4"/>
  <dimension ref="A1:AS43"/>
  <sheetViews>
    <sheetView zoomScale="130" zoomScaleNormal="130" workbookViewId="0">
      <selection activeCell="B13" sqref="B13"/>
    </sheetView>
  </sheetViews>
  <sheetFormatPr defaultColWidth="8.6640625" defaultRowHeight="14.4"/>
  <cols>
    <col min="1" max="1" width="17" style="193" customWidth="1"/>
    <col min="2" max="2" width="48.33203125" style="193" customWidth="1"/>
    <col min="3" max="3" width="13.44140625" style="193" customWidth="1"/>
    <col min="4" max="6" width="8.6640625" style="193"/>
    <col min="7" max="13" width="1.33203125" style="193" customWidth="1"/>
    <col min="14" max="14" width="25.6640625" style="193" customWidth="1"/>
    <col min="15" max="15" width="8.33203125" style="193" customWidth="1"/>
    <col min="16" max="16" width="8.6640625" style="193" customWidth="1"/>
    <col min="17" max="26" width="8.6640625" style="193"/>
    <col min="27" max="27" width="10.33203125" style="193" customWidth="1"/>
    <col min="28" max="16384" width="8.6640625" style="193"/>
  </cols>
  <sheetData>
    <row r="1" spans="1:42">
      <c r="A1" s="201" t="s">
        <v>1666</v>
      </c>
      <c r="B1" s="193" t="s">
        <v>1665</v>
      </c>
      <c r="E1" s="193" t="s">
        <v>1664</v>
      </c>
      <c r="F1" s="193" t="s">
        <v>1660</v>
      </c>
      <c r="K1" s="197"/>
      <c r="N1" s="197" t="s">
        <v>1648</v>
      </c>
      <c r="O1" s="193" t="s">
        <v>1662</v>
      </c>
      <c r="P1" s="193" t="s">
        <v>1658</v>
      </c>
      <c r="Q1" s="193" t="s">
        <v>1663</v>
      </c>
      <c r="W1" s="193" t="s">
        <v>1660</v>
      </c>
      <c r="X1" s="193" t="s">
        <v>1653</v>
      </c>
      <c r="AA1" s="193" t="s">
        <v>1685</v>
      </c>
      <c r="AB1" s="196" t="s">
        <v>1686</v>
      </c>
      <c r="AC1" s="193">
        <v>364</v>
      </c>
      <c r="AD1" s="193">
        <v>362</v>
      </c>
      <c r="AF1" s="193">
        <v>361</v>
      </c>
      <c r="AG1" s="193">
        <v>358</v>
      </c>
      <c r="AH1" s="193">
        <v>359</v>
      </c>
      <c r="AI1" s="195" t="s">
        <v>1687</v>
      </c>
      <c r="AJ1" s="193">
        <v>359</v>
      </c>
      <c r="AK1" s="193">
        <v>358</v>
      </c>
      <c r="AL1" s="193">
        <v>361</v>
      </c>
      <c r="AN1" s="193">
        <v>362</v>
      </c>
      <c r="AO1" s="193">
        <v>364</v>
      </c>
      <c r="AP1" s="193" t="s">
        <v>1685</v>
      </c>
    </row>
    <row r="2" spans="1:42">
      <c r="A2" s="201" t="s">
        <v>1662</v>
      </c>
      <c r="B2" s="200" t="s">
        <v>377</v>
      </c>
      <c r="E2" s="193" t="s">
        <v>1685</v>
      </c>
      <c r="F2" s="193" t="s">
        <v>1687</v>
      </c>
      <c r="K2" s="197"/>
      <c r="N2" s="197" t="s">
        <v>1648</v>
      </c>
      <c r="O2" s="193" t="s">
        <v>1653</v>
      </c>
      <c r="P2" s="193" t="s">
        <v>1652</v>
      </c>
      <c r="Q2" s="193">
        <v>1</v>
      </c>
      <c r="W2" s="193" t="s">
        <v>1687</v>
      </c>
      <c r="X2" s="193" t="s">
        <v>1653</v>
      </c>
      <c r="Y2" s="193" t="s">
        <v>1652</v>
      </c>
      <c r="Z2" s="193">
        <v>1</v>
      </c>
      <c r="AA2" s="193" t="s">
        <v>1683</v>
      </c>
      <c r="AB2" s="196" t="s">
        <v>1684</v>
      </c>
      <c r="AC2" s="193">
        <v>365</v>
      </c>
      <c r="AD2" s="193">
        <v>362</v>
      </c>
      <c r="AF2" s="193">
        <v>361</v>
      </c>
      <c r="AG2" s="193">
        <v>358</v>
      </c>
      <c r="AH2" s="193">
        <v>359</v>
      </c>
      <c r="AI2" s="195" t="s">
        <v>1687</v>
      </c>
      <c r="AJ2" s="193">
        <v>359</v>
      </c>
      <c r="AK2" s="193">
        <v>358</v>
      </c>
      <c r="AL2" s="193">
        <v>361</v>
      </c>
      <c r="AN2" s="193">
        <v>362</v>
      </c>
      <c r="AO2" s="193">
        <v>365</v>
      </c>
      <c r="AP2" s="193" t="s">
        <v>1683</v>
      </c>
    </row>
    <row r="3" spans="1:42">
      <c r="A3" s="201" t="s">
        <v>1660</v>
      </c>
      <c r="B3" s="200" t="s">
        <v>1687</v>
      </c>
      <c r="E3" s="193" t="s">
        <v>1683</v>
      </c>
      <c r="F3" s="193" t="s">
        <v>1670</v>
      </c>
      <c r="K3" s="197"/>
      <c r="N3" s="197" t="s">
        <v>1648</v>
      </c>
      <c r="W3" s="193" t="s">
        <v>1670</v>
      </c>
      <c r="X3" s="193" t="s">
        <v>1653</v>
      </c>
      <c r="Y3" s="193" t="s">
        <v>1659</v>
      </c>
      <c r="Z3" s="193">
        <v>31</v>
      </c>
      <c r="AA3" s="193" t="s">
        <v>1681</v>
      </c>
      <c r="AB3" s="196" t="s">
        <v>1682</v>
      </c>
      <c r="AC3" s="193">
        <v>365</v>
      </c>
      <c r="AD3" s="193">
        <v>362</v>
      </c>
      <c r="AF3" s="193">
        <v>361</v>
      </c>
      <c r="AG3" s="193">
        <v>358</v>
      </c>
      <c r="AH3" s="193">
        <v>359</v>
      </c>
      <c r="AI3" s="195" t="s">
        <v>1687</v>
      </c>
      <c r="AJ3" s="193">
        <v>359</v>
      </c>
      <c r="AK3" s="193">
        <v>358</v>
      </c>
      <c r="AL3" s="193">
        <v>361</v>
      </c>
      <c r="AN3" s="193">
        <v>362</v>
      </c>
      <c r="AO3" s="193">
        <v>365</v>
      </c>
      <c r="AP3" s="193" t="s">
        <v>1681</v>
      </c>
    </row>
    <row r="4" spans="1:42">
      <c r="A4" s="201" t="s">
        <v>1658</v>
      </c>
      <c r="B4" s="200" t="s">
        <v>1622</v>
      </c>
      <c r="E4" s="193" t="s">
        <v>1681</v>
      </c>
      <c r="O4" s="193" t="s">
        <v>1657</v>
      </c>
      <c r="P4" s="193" t="s">
        <v>1656</v>
      </c>
      <c r="AA4" s="193" t="s">
        <v>1622</v>
      </c>
      <c r="AB4" s="196" t="s">
        <v>1680</v>
      </c>
      <c r="AC4" s="193">
        <v>368</v>
      </c>
      <c r="AE4" s="193">
        <v>367</v>
      </c>
      <c r="AF4" s="193">
        <v>361</v>
      </c>
      <c r="AG4" s="193">
        <v>358</v>
      </c>
      <c r="AH4" s="193">
        <v>359</v>
      </c>
      <c r="AI4" s="195" t="s">
        <v>1687</v>
      </c>
      <c r="AJ4" s="193">
        <v>359</v>
      </c>
      <c r="AK4" s="193">
        <v>358</v>
      </c>
      <c r="AL4" s="193">
        <v>361</v>
      </c>
      <c r="AM4" s="193">
        <v>367</v>
      </c>
      <c r="AO4" s="193">
        <v>368</v>
      </c>
      <c r="AP4" s="193" t="s">
        <v>1622</v>
      </c>
    </row>
    <row r="5" spans="1:42">
      <c r="A5" s="193" t="s">
        <v>1655</v>
      </c>
      <c r="B5" s="193" t="s">
        <v>1692</v>
      </c>
      <c r="E5" s="193" t="s">
        <v>1622</v>
      </c>
      <c r="N5" s="197" t="s">
        <v>1648</v>
      </c>
      <c r="O5" s="193" t="s">
        <v>1691</v>
      </c>
      <c r="P5" s="193" t="s">
        <v>1690</v>
      </c>
      <c r="AA5" s="193" t="s">
        <v>269</v>
      </c>
      <c r="AB5" s="196" t="s">
        <v>1679</v>
      </c>
      <c r="AC5" s="193">
        <v>368</v>
      </c>
      <c r="AE5" s="193">
        <v>367</v>
      </c>
      <c r="AF5" s="193">
        <v>361</v>
      </c>
      <c r="AG5" s="193">
        <v>358</v>
      </c>
      <c r="AH5" s="193">
        <v>359</v>
      </c>
      <c r="AI5" s="195" t="s">
        <v>1687</v>
      </c>
      <c r="AJ5" s="193">
        <v>359</v>
      </c>
      <c r="AK5" s="193">
        <v>358</v>
      </c>
      <c r="AL5" s="193">
        <v>361</v>
      </c>
      <c r="AM5" s="193">
        <v>367</v>
      </c>
      <c r="AO5" s="193">
        <v>368</v>
      </c>
      <c r="AP5" s="193" t="s">
        <v>269</v>
      </c>
    </row>
    <row r="6" spans="1:42">
      <c r="B6" s="198" t="s">
        <v>1689</v>
      </c>
      <c r="E6" s="193" t="s">
        <v>269</v>
      </c>
      <c r="N6" s="197" t="s">
        <v>1648</v>
      </c>
      <c r="AA6" s="193" t="s">
        <v>285</v>
      </c>
      <c r="AB6" s="196" t="s">
        <v>1678</v>
      </c>
      <c r="AC6" s="193">
        <v>370</v>
      </c>
      <c r="AD6" s="193">
        <v>369</v>
      </c>
      <c r="AE6" s="193">
        <v>367</v>
      </c>
      <c r="AF6" s="193">
        <v>361</v>
      </c>
      <c r="AG6" s="193">
        <v>358</v>
      </c>
      <c r="AH6" s="193">
        <v>359</v>
      </c>
      <c r="AI6" s="195" t="s">
        <v>1687</v>
      </c>
      <c r="AJ6" s="193">
        <v>359</v>
      </c>
      <c r="AK6" s="193">
        <v>358</v>
      </c>
      <c r="AL6" s="193">
        <v>361</v>
      </c>
      <c r="AM6" s="193">
        <v>367</v>
      </c>
      <c r="AN6" s="193">
        <v>369</v>
      </c>
      <c r="AO6" s="193">
        <v>370</v>
      </c>
      <c r="AP6" s="193" t="s">
        <v>285</v>
      </c>
    </row>
    <row r="7" spans="1:42">
      <c r="A7" s="193" t="s">
        <v>1650</v>
      </c>
      <c r="B7" s="199" t="s">
        <v>1688</v>
      </c>
      <c r="E7" s="193" t="s">
        <v>285</v>
      </c>
      <c r="N7" s="197" t="s">
        <v>1648</v>
      </c>
      <c r="AA7" s="193" t="s">
        <v>301</v>
      </c>
      <c r="AB7" s="196" t="s">
        <v>1677</v>
      </c>
      <c r="AC7" s="193">
        <v>370</v>
      </c>
      <c r="AD7" s="193">
        <v>369</v>
      </c>
      <c r="AE7" s="193">
        <v>367</v>
      </c>
      <c r="AF7" s="193">
        <v>361</v>
      </c>
      <c r="AG7" s="193">
        <v>358</v>
      </c>
      <c r="AH7" s="193">
        <v>359</v>
      </c>
      <c r="AI7" s="195" t="s">
        <v>1687</v>
      </c>
      <c r="AJ7" s="193">
        <v>359</v>
      </c>
      <c r="AK7" s="193">
        <v>358</v>
      </c>
      <c r="AL7" s="193">
        <v>361</v>
      </c>
      <c r="AM7" s="193">
        <v>367</v>
      </c>
      <c r="AN7" s="193">
        <v>369</v>
      </c>
      <c r="AO7" s="193">
        <v>370</v>
      </c>
      <c r="AP7" s="193" t="s">
        <v>301</v>
      </c>
    </row>
    <row r="8" spans="1:42">
      <c r="B8" s="198"/>
      <c r="E8" s="193" t="s">
        <v>301</v>
      </c>
      <c r="AA8" s="193" t="s">
        <v>318</v>
      </c>
      <c r="AB8" s="196" t="s">
        <v>1676</v>
      </c>
      <c r="AD8" s="193">
        <v>369</v>
      </c>
      <c r="AE8" s="193">
        <v>367</v>
      </c>
      <c r="AF8" s="193">
        <v>361</v>
      </c>
      <c r="AG8" s="193">
        <v>358</v>
      </c>
      <c r="AH8" s="193">
        <v>359</v>
      </c>
      <c r="AI8" s="195" t="s">
        <v>1687</v>
      </c>
      <c r="AJ8" s="193">
        <v>359</v>
      </c>
      <c r="AK8" s="193">
        <v>358</v>
      </c>
      <c r="AL8" s="193">
        <v>361</v>
      </c>
      <c r="AM8" s="193">
        <v>367</v>
      </c>
      <c r="AN8" s="193">
        <v>369</v>
      </c>
      <c r="AP8" s="193" t="s">
        <v>318</v>
      </c>
    </row>
    <row r="9" spans="1:42">
      <c r="E9" s="193" t="s">
        <v>318</v>
      </c>
      <c r="N9" s="197" t="s">
        <v>1648</v>
      </c>
      <c r="AA9" s="193" t="s">
        <v>333</v>
      </c>
      <c r="AB9" s="196" t="s">
        <v>1675</v>
      </c>
      <c r="AC9" s="193">
        <v>375</v>
      </c>
      <c r="AD9" s="193">
        <v>374</v>
      </c>
      <c r="AG9" s="193">
        <v>360</v>
      </c>
      <c r="AH9" s="193">
        <v>359</v>
      </c>
      <c r="AI9" s="195" t="s">
        <v>1687</v>
      </c>
      <c r="AJ9" s="193">
        <v>359</v>
      </c>
      <c r="AK9" s="193">
        <v>360</v>
      </c>
      <c r="AN9" s="193">
        <v>374</v>
      </c>
      <c r="AO9" s="193">
        <v>375</v>
      </c>
      <c r="AP9" s="193" t="s">
        <v>333</v>
      </c>
    </row>
    <row r="10" spans="1:42">
      <c r="E10" s="193" t="s">
        <v>333</v>
      </c>
      <c r="N10" s="197" t="s">
        <v>1648</v>
      </c>
      <c r="AA10" s="193" t="s">
        <v>346</v>
      </c>
      <c r="AB10" s="196" t="s">
        <v>1674</v>
      </c>
      <c r="AC10" s="193">
        <v>375</v>
      </c>
      <c r="AD10" s="193">
        <v>374</v>
      </c>
      <c r="AG10" s="193">
        <v>360</v>
      </c>
      <c r="AH10" s="193">
        <v>359</v>
      </c>
      <c r="AI10" s="195" t="s">
        <v>1687</v>
      </c>
      <c r="AJ10" s="193">
        <v>359</v>
      </c>
      <c r="AK10" s="193">
        <v>360</v>
      </c>
      <c r="AN10" s="193">
        <v>374</v>
      </c>
      <c r="AO10" s="193">
        <v>375</v>
      </c>
      <c r="AP10" s="193" t="s">
        <v>346</v>
      </c>
    </row>
    <row r="11" spans="1:42">
      <c r="E11" s="193" t="s">
        <v>346</v>
      </c>
      <c r="N11" s="197" t="s">
        <v>1648</v>
      </c>
      <c r="AA11" s="193" t="s">
        <v>363</v>
      </c>
      <c r="AB11" s="196" t="s">
        <v>1673</v>
      </c>
      <c r="AC11" s="193">
        <v>376</v>
      </c>
      <c r="AD11" s="193">
        <v>374</v>
      </c>
      <c r="AG11" s="193">
        <v>360</v>
      </c>
      <c r="AH11" s="193">
        <v>359</v>
      </c>
      <c r="AI11" s="195" t="s">
        <v>1687</v>
      </c>
      <c r="AJ11" s="193">
        <v>359</v>
      </c>
      <c r="AK11" s="193">
        <v>360</v>
      </c>
      <c r="AN11" s="193">
        <v>374</v>
      </c>
      <c r="AO11" s="193">
        <v>376</v>
      </c>
      <c r="AP11" s="193" t="s">
        <v>363</v>
      </c>
    </row>
    <row r="12" spans="1:42">
      <c r="E12" s="193" t="s">
        <v>363</v>
      </c>
      <c r="AA12" s="193" t="s">
        <v>377</v>
      </c>
      <c r="AB12" s="196" t="s">
        <v>1672</v>
      </c>
      <c r="AC12" s="193">
        <v>376</v>
      </c>
      <c r="AD12" s="193">
        <v>374</v>
      </c>
      <c r="AG12" s="193">
        <v>360</v>
      </c>
      <c r="AH12" s="193">
        <v>359</v>
      </c>
      <c r="AI12" s="195" t="s">
        <v>1687</v>
      </c>
      <c r="AJ12" s="193">
        <v>359</v>
      </c>
      <c r="AK12" s="193">
        <v>360</v>
      </c>
      <c r="AN12" s="193">
        <v>374</v>
      </c>
      <c r="AO12" s="193">
        <v>376</v>
      </c>
      <c r="AP12" s="193" t="s">
        <v>377</v>
      </c>
    </row>
    <row r="13" spans="1:42">
      <c r="E13" s="193" t="s">
        <v>377</v>
      </c>
      <c r="AI13" s="194"/>
    </row>
    <row r="31" spans="27:45">
      <c r="AA31" s="193" t="s">
        <v>1685</v>
      </c>
      <c r="AB31" s="196" t="s">
        <v>1686</v>
      </c>
      <c r="AC31" s="193">
        <v>364</v>
      </c>
      <c r="AD31" s="193">
        <v>362</v>
      </c>
      <c r="AF31" s="193">
        <v>361</v>
      </c>
      <c r="AG31" s="193">
        <v>358</v>
      </c>
      <c r="AH31" s="193">
        <v>357</v>
      </c>
      <c r="AI31" s="196" t="s">
        <v>1671</v>
      </c>
      <c r="AJ31" s="193">
        <v>356</v>
      </c>
      <c r="AK31" s="195" t="s">
        <v>1670</v>
      </c>
      <c r="AL31" s="193">
        <v>356</v>
      </c>
      <c r="AM31" s="193">
        <v>357</v>
      </c>
      <c r="AN31" s="193">
        <v>358</v>
      </c>
      <c r="AO31" s="193">
        <v>361</v>
      </c>
      <c r="AQ31" s="193">
        <v>362</v>
      </c>
      <c r="AR31" s="193">
        <v>364</v>
      </c>
      <c r="AS31" s="193" t="s">
        <v>1685</v>
      </c>
    </row>
    <row r="32" spans="27:45">
      <c r="AA32" s="193" t="s">
        <v>1683</v>
      </c>
      <c r="AB32" s="196" t="s">
        <v>1684</v>
      </c>
      <c r="AC32" s="193">
        <v>365</v>
      </c>
      <c r="AD32" s="193">
        <v>362</v>
      </c>
      <c r="AF32" s="193">
        <v>361</v>
      </c>
      <c r="AG32" s="193">
        <v>358</v>
      </c>
      <c r="AH32" s="193">
        <v>357</v>
      </c>
      <c r="AI32" s="196" t="s">
        <v>1671</v>
      </c>
      <c r="AJ32" s="193">
        <v>356</v>
      </c>
      <c r="AK32" s="195" t="s">
        <v>1670</v>
      </c>
      <c r="AL32" s="193">
        <v>356</v>
      </c>
      <c r="AM32" s="193">
        <v>357</v>
      </c>
      <c r="AN32" s="193">
        <v>358</v>
      </c>
      <c r="AO32" s="193">
        <v>361</v>
      </c>
      <c r="AQ32" s="193">
        <v>362</v>
      </c>
      <c r="AR32" s="193">
        <v>365</v>
      </c>
      <c r="AS32" s="193" t="s">
        <v>1683</v>
      </c>
    </row>
    <row r="33" spans="27:45">
      <c r="AA33" s="193" t="s">
        <v>1681</v>
      </c>
      <c r="AB33" s="196" t="s">
        <v>1682</v>
      </c>
      <c r="AC33" s="193">
        <v>365</v>
      </c>
      <c r="AD33" s="193">
        <v>362</v>
      </c>
      <c r="AF33" s="193">
        <v>361</v>
      </c>
      <c r="AG33" s="193">
        <v>358</v>
      </c>
      <c r="AH33" s="193">
        <v>357</v>
      </c>
      <c r="AI33" s="196" t="s">
        <v>1671</v>
      </c>
      <c r="AJ33" s="193">
        <v>356</v>
      </c>
      <c r="AK33" s="195" t="s">
        <v>1670</v>
      </c>
      <c r="AL33" s="193">
        <v>356</v>
      </c>
      <c r="AM33" s="193">
        <v>357</v>
      </c>
      <c r="AN33" s="193">
        <v>358</v>
      </c>
      <c r="AO33" s="193">
        <v>361</v>
      </c>
      <c r="AQ33" s="193">
        <v>362</v>
      </c>
      <c r="AR33" s="193">
        <v>365</v>
      </c>
      <c r="AS33" s="193" t="s">
        <v>1681</v>
      </c>
    </row>
    <row r="34" spans="27:45">
      <c r="AA34" s="193" t="s">
        <v>1622</v>
      </c>
      <c r="AB34" s="196" t="s">
        <v>1680</v>
      </c>
      <c r="AC34" s="193">
        <v>368</v>
      </c>
      <c r="AE34" s="193">
        <v>367</v>
      </c>
      <c r="AF34" s="193">
        <v>361</v>
      </c>
      <c r="AG34" s="193">
        <v>358</v>
      </c>
      <c r="AH34" s="193">
        <v>357</v>
      </c>
      <c r="AI34" s="196" t="s">
        <v>1671</v>
      </c>
      <c r="AJ34" s="193">
        <v>356</v>
      </c>
      <c r="AK34" s="195" t="s">
        <v>1670</v>
      </c>
      <c r="AL34" s="193">
        <v>356</v>
      </c>
      <c r="AM34" s="193">
        <v>357</v>
      </c>
      <c r="AN34" s="193">
        <v>358</v>
      </c>
      <c r="AO34" s="193">
        <v>361</v>
      </c>
      <c r="AP34" s="193">
        <v>367</v>
      </c>
      <c r="AR34" s="193">
        <v>368</v>
      </c>
      <c r="AS34" s="193" t="s">
        <v>1622</v>
      </c>
    </row>
    <row r="35" spans="27:45">
      <c r="AA35" s="193" t="s">
        <v>269</v>
      </c>
      <c r="AB35" s="196" t="s">
        <v>1679</v>
      </c>
      <c r="AC35" s="193">
        <v>368</v>
      </c>
      <c r="AE35" s="193">
        <v>367</v>
      </c>
      <c r="AF35" s="193">
        <v>361</v>
      </c>
      <c r="AG35" s="193">
        <v>358</v>
      </c>
      <c r="AH35" s="193">
        <v>357</v>
      </c>
      <c r="AI35" s="196" t="s">
        <v>1671</v>
      </c>
      <c r="AJ35" s="193">
        <v>356</v>
      </c>
      <c r="AK35" s="195" t="s">
        <v>1670</v>
      </c>
      <c r="AL35" s="193">
        <v>356</v>
      </c>
      <c r="AM35" s="193">
        <v>357</v>
      </c>
      <c r="AN35" s="193">
        <v>358</v>
      </c>
      <c r="AO35" s="193">
        <v>361</v>
      </c>
      <c r="AP35" s="193">
        <v>367</v>
      </c>
      <c r="AR35" s="193">
        <v>368</v>
      </c>
      <c r="AS35" s="193" t="s">
        <v>269</v>
      </c>
    </row>
    <row r="36" spans="27:45">
      <c r="AA36" s="193" t="s">
        <v>285</v>
      </c>
      <c r="AB36" s="196" t="s">
        <v>1678</v>
      </c>
      <c r="AC36" s="193">
        <v>370</v>
      </c>
      <c r="AD36" s="193">
        <v>369</v>
      </c>
      <c r="AE36" s="193">
        <v>367</v>
      </c>
      <c r="AF36" s="193">
        <v>361</v>
      </c>
      <c r="AG36" s="193">
        <v>358</v>
      </c>
      <c r="AH36" s="193">
        <v>357</v>
      </c>
      <c r="AI36" s="196" t="s">
        <v>1671</v>
      </c>
      <c r="AJ36" s="193">
        <v>356</v>
      </c>
      <c r="AK36" s="195" t="s">
        <v>1670</v>
      </c>
      <c r="AL36" s="193">
        <v>356</v>
      </c>
      <c r="AM36" s="193">
        <v>357</v>
      </c>
      <c r="AN36" s="193">
        <v>358</v>
      </c>
      <c r="AO36" s="193">
        <v>361</v>
      </c>
      <c r="AP36" s="193">
        <v>367</v>
      </c>
      <c r="AQ36" s="193">
        <v>369</v>
      </c>
      <c r="AR36" s="193">
        <v>370</v>
      </c>
      <c r="AS36" s="193" t="s">
        <v>285</v>
      </c>
    </row>
    <row r="37" spans="27:45">
      <c r="AA37" s="193" t="s">
        <v>301</v>
      </c>
      <c r="AB37" s="196" t="s">
        <v>1677</v>
      </c>
      <c r="AC37" s="193">
        <v>370</v>
      </c>
      <c r="AD37" s="193">
        <v>369</v>
      </c>
      <c r="AE37" s="193">
        <v>367</v>
      </c>
      <c r="AF37" s="193">
        <v>361</v>
      </c>
      <c r="AG37" s="193">
        <v>358</v>
      </c>
      <c r="AH37" s="193">
        <v>357</v>
      </c>
      <c r="AI37" s="196" t="s">
        <v>1671</v>
      </c>
      <c r="AJ37" s="193">
        <v>356</v>
      </c>
      <c r="AK37" s="195" t="s">
        <v>1670</v>
      </c>
      <c r="AL37" s="193">
        <v>356</v>
      </c>
      <c r="AM37" s="193">
        <v>357</v>
      </c>
      <c r="AN37" s="193">
        <v>358</v>
      </c>
      <c r="AO37" s="193">
        <v>361</v>
      </c>
      <c r="AP37" s="193">
        <v>367</v>
      </c>
      <c r="AQ37" s="193">
        <v>369</v>
      </c>
      <c r="AR37" s="193">
        <v>370</v>
      </c>
      <c r="AS37" s="193" t="s">
        <v>301</v>
      </c>
    </row>
    <row r="38" spans="27:45">
      <c r="AA38" s="193" t="s">
        <v>318</v>
      </c>
      <c r="AB38" s="196" t="s">
        <v>1676</v>
      </c>
      <c r="AD38" s="193">
        <v>369</v>
      </c>
      <c r="AE38" s="193">
        <v>367</v>
      </c>
      <c r="AF38" s="193">
        <v>361</v>
      </c>
      <c r="AG38" s="193">
        <v>358</v>
      </c>
      <c r="AH38" s="193">
        <v>357</v>
      </c>
      <c r="AI38" s="196" t="s">
        <v>1671</v>
      </c>
      <c r="AJ38" s="193">
        <v>356</v>
      </c>
      <c r="AK38" s="195" t="s">
        <v>1670</v>
      </c>
      <c r="AL38" s="193">
        <v>356</v>
      </c>
      <c r="AM38" s="193">
        <v>357</v>
      </c>
      <c r="AN38" s="193">
        <v>358</v>
      </c>
      <c r="AO38" s="193">
        <v>361</v>
      </c>
      <c r="AP38" s="193">
        <v>367</v>
      </c>
      <c r="AQ38" s="193">
        <v>369</v>
      </c>
      <c r="AS38" s="193" t="s">
        <v>318</v>
      </c>
    </row>
    <row r="39" spans="27:45">
      <c r="AA39" s="193" t="s">
        <v>333</v>
      </c>
      <c r="AB39" s="196" t="s">
        <v>1675</v>
      </c>
      <c r="AC39" s="193">
        <v>375</v>
      </c>
      <c r="AD39" s="193">
        <v>374</v>
      </c>
      <c r="AG39" s="193">
        <v>360</v>
      </c>
      <c r="AH39" s="193">
        <v>357</v>
      </c>
      <c r="AI39" s="196" t="s">
        <v>1671</v>
      </c>
      <c r="AJ39" s="193">
        <v>356</v>
      </c>
      <c r="AK39" s="195" t="s">
        <v>1670</v>
      </c>
      <c r="AL39" s="193">
        <v>356</v>
      </c>
      <c r="AM39" s="193">
        <v>357</v>
      </c>
      <c r="AN39" s="193">
        <v>360</v>
      </c>
      <c r="AQ39" s="193">
        <v>374</v>
      </c>
      <c r="AR39" s="193">
        <v>375</v>
      </c>
      <c r="AS39" s="193" t="s">
        <v>333</v>
      </c>
    </row>
    <row r="40" spans="27:45">
      <c r="AA40" s="193" t="s">
        <v>346</v>
      </c>
      <c r="AB40" s="196" t="s">
        <v>1674</v>
      </c>
      <c r="AC40" s="193">
        <v>375</v>
      </c>
      <c r="AD40" s="193">
        <v>374</v>
      </c>
      <c r="AG40" s="193">
        <v>360</v>
      </c>
      <c r="AH40" s="193">
        <v>357</v>
      </c>
      <c r="AI40" s="196" t="s">
        <v>1671</v>
      </c>
      <c r="AJ40" s="193">
        <v>356</v>
      </c>
      <c r="AK40" s="195" t="s">
        <v>1670</v>
      </c>
      <c r="AL40" s="193">
        <v>356</v>
      </c>
      <c r="AM40" s="193">
        <v>357</v>
      </c>
      <c r="AN40" s="193">
        <v>360</v>
      </c>
      <c r="AQ40" s="193">
        <v>374</v>
      </c>
      <c r="AR40" s="193">
        <v>375</v>
      </c>
      <c r="AS40" s="193" t="s">
        <v>346</v>
      </c>
    </row>
    <row r="41" spans="27:45">
      <c r="AA41" s="193" t="s">
        <v>363</v>
      </c>
      <c r="AB41" s="196" t="s">
        <v>1673</v>
      </c>
      <c r="AC41" s="193">
        <v>376</v>
      </c>
      <c r="AD41" s="193">
        <v>374</v>
      </c>
      <c r="AG41" s="193">
        <v>360</v>
      </c>
      <c r="AH41" s="193">
        <v>357</v>
      </c>
      <c r="AI41" s="196" t="s">
        <v>1671</v>
      </c>
      <c r="AJ41" s="193">
        <v>356</v>
      </c>
      <c r="AK41" s="195" t="s">
        <v>1670</v>
      </c>
      <c r="AL41" s="193">
        <v>356</v>
      </c>
      <c r="AM41" s="193">
        <v>357</v>
      </c>
      <c r="AN41" s="193">
        <v>360</v>
      </c>
      <c r="AQ41" s="193">
        <v>374</v>
      </c>
      <c r="AR41" s="193">
        <v>376</v>
      </c>
      <c r="AS41" s="193" t="s">
        <v>363</v>
      </c>
    </row>
    <row r="42" spans="27:45">
      <c r="AA42" s="193" t="s">
        <v>377</v>
      </c>
      <c r="AB42" s="196" t="s">
        <v>1672</v>
      </c>
      <c r="AC42" s="193">
        <v>376</v>
      </c>
      <c r="AD42" s="193">
        <v>374</v>
      </c>
      <c r="AG42" s="193">
        <v>360</v>
      </c>
      <c r="AH42" s="193">
        <v>357</v>
      </c>
      <c r="AI42" s="196" t="s">
        <v>1671</v>
      </c>
      <c r="AJ42" s="193">
        <v>356</v>
      </c>
      <c r="AK42" s="195" t="s">
        <v>1670</v>
      </c>
      <c r="AL42" s="193">
        <v>356</v>
      </c>
      <c r="AM42" s="193">
        <v>357</v>
      </c>
      <c r="AN42" s="193">
        <v>360</v>
      </c>
      <c r="AQ42" s="193">
        <v>374</v>
      </c>
      <c r="AR42" s="193">
        <v>376</v>
      </c>
      <c r="AS42" s="193" t="s">
        <v>377</v>
      </c>
    </row>
    <row r="43" spans="27:45">
      <c r="AK43" s="19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hisWorkbook.button1_click">
                <anchor moveWithCells="1" sizeWithCells="1">
                  <from>
                    <xdr:col>0</xdr:col>
                    <xdr:colOff>60960</xdr:colOff>
                    <xdr:row>9</xdr:row>
                    <xdr:rowOff>38100</xdr:rowOff>
                  </from>
                  <to>
                    <xdr:col>0</xdr:col>
                    <xdr:colOff>1524000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AV1913"/>
  <sheetViews>
    <sheetView topLeftCell="R1" zoomScale="85" zoomScaleNormal="85" workbookViewId="0">
      <selection activeCell="Q702" sqref="Q702"/>
    </sheetView>
  </sheetViews>
  <sheetFormatPr defaultColWidth="9" defaultRowHeight="20.100000000000001" customHeight="1"/>
  <cols>
    <col min="1" max="2" width="15.5546875" style="45" customWidth="1"/>
    <col min="3" max="3" width="60.5546875" style="45" customWidth="1"/>
    <col min="4" max="11" width="9" style="45" customWidth="1"/>
    <col min="12" max="12" width="12.33203125" style="45" customWidth="1"/>
    <col min="13" max="13" width="63.77734375" style="45" bestFit="1" customWidth="1"/>
    <col min="14" max="17" width="12.33203125" style="45" customWidth="1"/>
    <col min="18" max="23" width="9" style="45" customWidth="1"/>
    <col min="24" max="24" width="13.5546875" style="45" customWidth="1"/>
    <col min="25" max="25" width="12.33203125" style="45" customWidth="1"/>
    <col min="26" max="26" width="11.21875" style="45" customWidth="1"/>
    <col min="27" max="28" width="10" style="45" customWidth="1"/>
    <col min="29" max="29" width="37.21875" style="45" bestFit="1" customWidth="1"/>
    <col min="30" max="30" width="27.21875" style="45" bestFit="1" customWidth="1"/>
    <col min="31" max="31" width="12.109375" style="45" bestFit="1" customWidth="1"/>
    <col min="32" max="32" width="27.21875" style="45" bestFit="1" customWidth="1"/>
    <col min="33" max="33" width="8.77734375" style="45" customWidth="1"/>
    <col min="34" max="38" width="10.5546875" style="45" customWidth="1"/>
    <col min="39" max="39" width="11.44140625" style="166" bestFit="1" customWidth="1"/>
    <col min="40" max="40" width="15.77734375" style="166" bestFit="1" customWidth="1"/>
    <col min="41" max="42" width="37.21875" style="166" bestFit="1" customWidth="1"/>
    <col min="43" max="44" width="34.21875" style="45" bestFit="1" customWidth="1"/>
    <col min="45" max="46" width="34.21875" style="45" customWidth="1"/>
    <col min="47" max="47" width="9" style="45"/>
    <col min="48" max="48" width="18.21875" style="45" bestFit="1" customWidth="1"/>
    <col min="49" max="16384" width="9" style="45"/>
  </cols>
  <sheetData>
    <row r="1" spans="1:48" ht="20.100000000000001" customHeight="1" thickBot="1">
      <c r="A1" s="45" t="s">
        <v>140</v>
      </c>
      <c r="B1" s="45" t="s">
        <v>141</v>
      </c>
      <c r="C1" s="45" t="s">
        <v>142</v>
      </c>
      <c r="E1" s="45" t="s">
        <v>143</v>
      </c>
      <c r="F1" s="45" t="s">
        <v>144</v>
      </c>
      <c r="J1" s="45" t="s">
        <v>145</v>
      </c>
      <c r="K1" s="45" t="s">
        <v>127</v>
      </c>
    </row>
    <row r="2" spans="1:48" ht="20.100000000000001" customHeight="1" thickBot="1">
      <c r="A2" s="45" t="s">
        <v>146</v>
      </c>
      <c r="B2" s="45" t="s">
        <v>147</v>
      </c>
      <c r="C2" s="45" t="s">
        <v>148</v>
      </c>
      <c r="E2" s="45">
        <f>LEN(A2)</f>
        <v>7</v>
      </c>
      <c r="F2" s="45">
        <f>SEARCH("-",A2)</f>
        <v>4</v>
      </c>
      <c r="G2" s="45" t="str">
        <f>LEFT(A2,F2-1)</f>
        <v>LS1</v>
      </c>
      <c r="H2" s="45" t="str">
        <f>RIGHT(A2,E2-F2)</f>
        <v>LF3</v>
      </c>
      <c r="J2" s="45" t="str">
        <f>IF(V2="",IF(U2="",IF(T2="",S2,T2),U2),V2)</f>
        <v>LF3</v>
      </c>
      <c r="K2" s="45" t="s">
        <v>130</v>
      </c>
      <c r="L2" s="45" t="str">
        <f>CONCATENATE(R2,"-",J2,"@",K2)</f>
        <v>LS1-LF3@E</v>
      </c>
      <c r="M2" s="75" t="str">
        <f t="shared" ref="M2:M65" si="0">IF(AF2="",IF(AE2="",IF(AD2="",AC2,CONCATENATE(AC2,", ",AD2)),CONCATENATE(AC2,", ",AD2,", ",AE2)),CONCATENATE(AC2,", ",AD2,", ",AE2,", ",AF2))</f>
        <v>M8, M7, M6, M5, 306, 307, 305, 302, 323, 322, 319, 316, 311, 303, 305, 302</v>
      </c>
      <c r="N2" s="75" t="str">
        <f t="shared" ref="N2:N65" si="1">IF(AK2="",IF(AJ2="",IF(AI2="",AH2,CONCATENATE(AH2,", ",AI2)),CONCATENATE(AH2,", ",AI2,", ",AJ2)),CONCATENATE(AH2,", ",AI2,", ",AJ2,", ",AK2))</f>
        <v>05, 03, 10, 16</v>
      </c>
      <c r="R2" s="70" t="s">
        <v>149</v>
      </c>
      <c r="S2" s="70" t="s">
        <v>53</v>
      </c>
      <c r="T2" s="70" t="s">
        <v>82</v>
      </c>
      <c r="U2" s="70"/>
      <c r="V2" s="70"/>
      <c r="X2" s="70" t="str">
        <f>IF(S2="","",CONCATENATE(R2,"-",S2,"@",$K2))</f>
        <v>LS1-E DT@E</v>
      </c>
      <c r="Y2" s="70" t="str">
        <f>IF(T2="","",CONCATENATE(S2,"-",T2,"@",$K2))</f>
        <v>E DT-LF3@E</v>
      </c>
      <c r="Z2" s="70" t="str">
        <f>IF(U2="","",CONCATENATE(T2,"-",U2,"@",$K2))</f>
        <v/>
      </c>
      <c r="AA2" s="70" t="str">
        <f>IF(V2="","",CONCATENATE(U2,"-",V2,"@",$K2))</f>
        <v/>
      </c>
      <c r="AC2" s="70" t="str">
        <f>IF(X2="","",VLOOKUP(X2,$AN$2:$AP$736,2,0))</f>
        <v>M8, M7, M6, M5, 306, 307, 305, 302</v>
      </c>
      <c r="AD2" s="70" t="str">
        <f>IF(Y2="","",VLOOKUP(Y2,$AN$2:$AP$736,2,0))</f>
        <v>323, 322, 319, 316, 311, 303, 305, 302</v>
      </c>
      <c r="AE2" s="70" t="str">
        <f>IF(Z2="","",VLOOKUP(Z2,$AN$2:$AP$736,2,0))</f>
        <v/>
      </c>
      <c r="AF2" s="70" t="str">
        <f>IF(AA2="","",VLOOKUP(AA2,$AN$2:$AP$736,2,0))</f>
        <v/>
      </c>
      <c r="AH2" s="70" t="str">
        <f>IF(X2="","",VLOOKUP(X2,$AN$2:$AP$162,3,0))</f>
        <v>05</v>
      </c>
      <c r="AI2" s="70" t="str">
        <f>IF(Y2="","",VLOOKUP(Y2,$AN$2:$AP$162,3,0))</f>
        <v>03, 10, 16</v>
      </c>
      <c r="AJ2" s="70" t="str">
        <f>IF(Z2="","",VLOOKUP(Z2,$AN$2:$AP$162,3,0))</f>
        <v/>
      </c>
      <c r="AK2" s="70" t="str">
        <f>IF(AA2="","",VLOOKUP(AA2,$AN$2:$AP$162,3,0))</f>
        <v/>
      </c>
      <c r="AM2" s="166" t="str">
        <f>LEFT(AN2,LEN(AN2)-2)</f>
        <v>LS1-E DT</v>
      </c>
      <c r="AN2" s="167" t="s">
        <v>150</v>
      </c>
      <c r="AO2" s="167" t="s">
        <v>151</v>
      </c>
      <c r="AP2" s="168" t="s">
        <v>152</v>
      </c>
      <c r="AV2" s="45" t="s">
        <v>105</v>
      </c>
    </row>
    <row r="3" spans="1:48" ht="20.100000000000001" customHeight="1" thickBot="1">
      <c r="A3" s="45" t="s">
        <v>153</v>
      </c>
      <c r="B3" s="45" t="s">
        <v>154</v>
      </c>
      <c r="C3" s="45" t="s">
        <v>155</v>
      </c>
      <c r="E3" s="45">
        <f t="shared" ref="E3:E66" si="2">LEN(A3)</f>
        <v>7</v>
      </c>
      <c r="F3" s="45">
        <f t="shared" ref="F3:F66" si="3">SEARCH("-",A3)</f>
        <v>4</v>
      </c>
      <c r="G3" s="45" t="str">
        <f t="shared" ref="G3:G66" si="4">LEFT(A3,F3-1)</f>
        <v>LF3</v>
      </c>
      <c r="H3" s="45" t="str">
        <f t="shared" ref="H3:H66" si="5">RIGHT(A3,E3-F3)</f>
        <v>LS1</v>
      </c>
      <c r="J3" s="45" t="str">
        <f t="shared" ref="J3:J66" si="6">IF(V3="",IF(U3="",IF(T3="",S3,T3),U3),V3)</f>
        <v>LS1</v>
      </c>
      <c r="K3" s="45" t="s">
        <v>130</v>
      </c>
      <c r="L3" s="45" t="str">
        <f t="shared" ref="L3:L66" si="7">CONCATENATE(R3,"-",J3,"@",K3)</f>
        <v>LF3-LS1@E</v>
      </c>
      <c r="M3" s="75" t="str">
        <f t="shared" si="0"/>
        <v>323, 322, 319, 316, 311, 303, 305, 302, M8, M7, M6, M5, 306, 307, 305, 302</v>
      </c>
      <c r="N3" s="75" t="str">
        <f t="shared" si="1"/>
        <v>20, 04, 03</v>
      </c>
      <c r="R3" s="70" t="s">
        <v>82</v>
      </c>
      <c r="S3" s="70" t="s">
        <v>53</v>
      </c>
      <c r="T3" s="70" t="s">
        <v>149</v>
      </c>
      <c r="U3" s="70"/>
      <c r="V3" s="70"/>
      <c r="X3" s="70" t="str">
        <f t="shared" ref="X3:X18" si="8">IF(S3="","",CONCATENATE(R3,"-",S3,"@",$K3))</f>
        <v>LF3-E DT@E</v>
      </c>
      <c r="Y3" s="70" t="str">
        <f t="shared" ref="Y3:Y18" si="9">IF(T3="","",CONCATENATE(S3,"-",T3,"@",$K3))</f>
        <v>E DT-LS1@E</v>
      </c>
      <c r="Z3" s="70" t="str">
        <f t="shared" ref="Z3:Z18" si="10">IF(U3="","",CONCATENATE(T3,"-",U3,"@",$K3))</f>
        <v/>
      </c>
      <c r="AA3" s="70" t="str">
        <f t="shared" ref="AA3:AA18" si="11">IF(V3="","",CONCATENATE(U3,"-",V3,"@",$K3))</f>
        <v/>
      </c>
      <c r="AC3" s="70" t="str">
        <f t="shared" ref="AC3:AC66" si="12">IF(X3="","",VLOOKUP(X3,$AN$2:$AP$736,2,0))</f>
        <v>323, 322, 319, 316, 311, 303, 305, 302</v>
      </c>
      <c r="AD3" s="70" t="str">
        <f t="shared" ref="AD3:AD66" si="13">IF(Y3="","",VLOOKUP(Y3,$AN$2:$AP$736,2,0))</f>
        <v>M8, M7, M6, M5, 306, 307, 305, 302</v>
      </c>
      <c r="AE3" s="70" t="str">
        <f t="shared" ref="AE3:AE66" si="14">IF(Z3="","",VLOOKUP(Z3,$AN$2:$AP$736,2,0))</f>
        <v/>
      </c>
      <c r="AF3" s="70" t="str">
        <f t="shared" ref="AF3:AF66" si="15">IF(AA3="","",VLOOKUP(AA3,$AN$2:$AP$736,2,0))</f>
        <v/>
      </c>
      <c r="AH3" s="70" t="str">
        <f t="shared" ref="AH3:AH66" si="16">IF(X3="","",VLOOKUP(X3,$AN$2:$AP$162,3,0))</f>
        <v>20, 04</v>
      </c>
      <c r="AI3" s="70" t="str">
        <f t="shared" ref="AI3:AI66" si="17">IF(Y3="","",VLOOKUP(Y3,$AN$2:$AP$162,3,0))</f>
        <v>03</v>
      </c>
      <c r="AJ3" s="70" t="str">
        <f t="shared" ref="AJ3:AJ66" si="18">IF(Z3="","",VLOOKUP(Z3,$AN$2:$AP$162,3,0))</f>
        <v/>
      </c>
      <c r="AK3" s="70" t="str">
        <f t="shared" ref="AK3:AK66" si="19">IF(AA3="","",VLOOKUP(AA3,$AN$2:$AP$162,3,0))</f>
        <v/>
      </c>
      <c r="AM3" s="166" t="str">
        <f t="shared" ref="AM3:AM66" si="20">LEFT(AN3,LEN(AN3)-2)</f>
        <v>LF3-E DT</v>
      </c>
      <c r="AN3" s="167" t="s">
        <v>156</v>
      </c>
      <c r="AO3" s="167" t="s">
        <v>157</v>
      </c>
      <c r="AP3" s="167" t="s">
        <v>158</v>
      </c>
      <c r="AV3" s="45" t="s">
        <v>106</v>
      </c>
    </row>
    <row r="4" spans="1:48" ht="20.100000000000001" customHeight="1" thickBot="1">
      <c r="A4" s="45" t="s">
        <v>159</v>
      </c>
      <c r="B4" s="45" t="s">
        <v>147</v>
      </c>
      <c r="C4" s="45" t="s">
        <v>148</v>
      </c>
      <c r="E4" s="45">
        <f t="shared" si="2"/>
        <v>7</v>
      </c>
      <c r="F4" s="45">
        <f t="shared" si="3"/>
        <v>4</v>
      </c>
      <c r="G4" s="45" t="str">
        <f t="shared" si="4"/>
        <v>LS1</v>
      </c>
      <c r="H4" s="45" t="str">
        <f t="shared" si="5"/>
        <v>LF4</v>
      </c>
      <c r="J4" s="45" t="str">
        <f t="shared" si="6"/>
        <v>LF4</v>
      </c>
      <c r="K4" s="45" t="s">
        <v>130</v>
      </c>
      <c r="L4" s="45" t="str">
        <f t="shared" si="7"/>
        <v>LS1-LF4@E</v>
      </c>
      <c r="M4" s="75" t="str">
        <f t="shared" si="0"/>
        <v>M8, M7, M6, M5, 306, 307, 305, 302, 302, 305, 303, 311, 316, 319, 322, 323</v>
      </c>
      <c r="N4" s="75" t="str">
        <f t="shared" si="1"/>
        <v>05, 03, 10, 16</v>
      </c>
      <c r="R4" s="70" t="s">
        <v>149</v>
      </c>
      <c r="S4" s="70" t="s">
        <v>53</v>
      </c>
      <c r="T4" s="70" t="s">
        <v>83</v>
      </c>
      <c r="U4" s="70"/>
      <c r="V4" s="70"/>
      <c r="X4" s="70" t="str">
        <f t="shared" si="8"/>
        <v>LS1-E DT@E</v>
      </c>
      <c r="Y4" s="70" t="str">
        <f t="shared" si="9"/>
        <v>E DT-LF4@E</v>
      </c>
      <c r="Z4" s="70" t="str">
        <f t="shared" si="10"/>
        <v/>
      </c>
      <c r="AA4" s="70" t="str">
        <f t="shared" si="11"/>
        <v/>
      </c>
      <c r="AC4" s="70" t="str">
        <f t="shared" si="12"/>
        <v>M8, M7, M6, M5, 306, 307, 305, 302</v>
      </c>
      <c r="AD4" s="70" t="str">
        <f t="shared" si="13"/>
        <v>302, 305, 303, 311, 316, 319, 322, 323</v>
      </c>
      <c r="AE4" s="70" t="str">
        <f t="shared" si="14"/>
        <v/>
      </c>
      <c r="AF4" s="70" t="str">
        <f t="shared" si="15"/>
        <v/>
      </c>
      <c r="AH4" s="70" t="str">
        <f t="shared" si="16"/>
        <v>05</v>
      </c>
      <c r="AI4" s="70" t="str">
        <f t="shared" si="17"/>
        <v>03, 10, 16</v>
      </c>
      <c r="AJ4" s="70" t="str">
        <f t="shared" si="18"/>
        <v/>
      </c>
      <c r="AK4" s="70" t="str">
        <f t="shared" si="19"/>
        <v/>
      </c>
      <c r="AM4" s="166" t="str">
        <f t="shared" si="20"/>
        <v>LF4-E DT</v>
      </c>
      <c r="AN4" s="167" t="s">
        <v>160</v>
      </c>
      <c r="AO4" s="167" t="s">
        <v>161</v>
      </c>
      <c r="AP4" s="167" t="s">
        <v>162</v>
      </c>
      <c r="AV4" s="45" t="s">
        <v>163</v>
      </c>
    </row>
    <row r="5" spans="1:48" ht="20.100000000000001" customHeight="1" thickBot="1">
      <c r="A5" s="45" t="s">
        <v>164</v>
      </c>
      <c r="B5" s="45" t="s">
        <v>165</v>
      </c>
      <c r="C5" s="45" t="s">
        <v>155</v>
      </c>
      <c r="E5" s="45">
        <f t="shared" si="2"/>
        <v>7</v>
      </c>
      <c r="F5" s="45">
        <f t="shared" si="3"/>
        <v>4</v>
      </c>
      <c r="G5" s="45" t="str">
        <f t="shared" si="4"/>
        <v>LF4</v>
      </c>
      <c r="H5" s="45" t="str">
        <f t="shared" si="5"/>
        <v>LS1</v>
      </c>
      <c r="J5" s="45" t="str">
        <f t="shared" si="6"/>
        <v>LS1</v>
      </c>
      <c r="K5" s="45" t="s">
        <v>130</v>
      </c>
      <c r="L5" s="45" t="str">
        <f t="shared" si="7"/>
        <v>LF4-LS1@E</v>
      </c>
      <c r="M5" s="75" t="str">
        <f t="shared" si="0"/>
        <v>302, 305, 303, 311, 316, 319, 322, 323, M8, M7, M6, M5, 306, 307, 305, 302</v>
      </c>
      <c r="N5" s="75" t="str">
        <f t="shared" si="1"/>
        <v>21, 04, 03</v>
      </c>
      <c r="R5" s="70" t="s">
        <v>83</v>
      </c>
      <c r="S5" s="70" t="s">
        <v>53</v>
      </c>
      <c r="T5" s="70" t="s">
        <v>149</v>
      </c>
      <c r="U5" s="70"/>
      <c r="V5" s="70"/>
      <c r="X5" s="70" t="str">
        <f t="shared" si="8"/>
        <v>LF4-E DT@E</v>
      </c>
      <c r="Y5" s="70" t="str">
        <f t="shared" si="9"/>
        <v>E DT-LS1@E</v>
      </c>
      <c r="Z5" s="70" t="str">
        <f t="shared" si="10"/>
        <v/>
      </c>
      <c r="AA5" s="70" t="str">
        <f t="shared" si="11"/>
        <v/>
      </c>
      <c r="AC5" s="70" t="str">
        <f t="shared" si="12"/>
        <v>302, 305, 303, 311, 316, 319, 322, 323</v>
      </c>
      <c r="AD5" s="70" t="str">
        <f t="shared" si="13"/>
        <v>M8, M7, M6, M5, 306, 307, 305, 302</v>
      </c>
      <c r="AE5" s="70" t="str">
        <f t="shared" si="14"/>
        <v/>
      </c>
      <c r="AF5" s="70" t="str">
        <f t="shared" si="15"/>
        <v/>
      </c>
      <c r="AH5" s="70" t="str">
        <f t="shared" si="16"/>
        <v>21, 04</v>
      </c>
      <c r="AI5" s="70" t="str">
        <f t="shared" si="17"/>
        <v>03</v>
      </c>
      <c r="AJ5" s="70" t="str">
        <f t="shared" si="18"/>
        <v/>
      </c>
      <c r="AK5" s="70" t="str">
        <f t="shared" si="19"/>
        <v/>
      </c>
      <c r="AM5" s="166" t="str">
        <f t="shared" si="20"/>
        <v>HM1-E DT</v>
      </c>
      <c r="AN5" s="167" t="s">
        <v>166</v>
      </c>
      <c r="AO5" s="167" t="s">
        <v>167</v>
      </c>
      <c r="AP5" s="167" t="s">
        <v>168</v>
      </c>
    </row>
    <row r="6" spans="1:48" ht="20.100000000000001" customHeight="1" thickBot="1">
      <c r="A6" s="45" t="s">
        <v>169</v>
      </c>
      <c r="B6" s="45" t="s">
        <v>147</v>
      </c>
      <c r="C6" s="45" t="s">
        <v>170</v>
      </c>
      <c r="E6" s="45">
        <f t="shared" si="2"/>
        <v>7</v>
      </c>
      <c r="F6" s="45">
        <f t="shared" si="3"/>
        <v>4</v>
      </c>
      <c r="G6" s="45" t="str">
        <f t="shared" si="4"/>
        <v>LS1</v>
      </c>
      <c r="H6" s="45" t="str">
        <f t="shared" si="5"/>
        <v>HM1</v>
      </c>
      <c r="J6" s="45" t="str">
        <f t="shared" si="6"/>
        <v>HM1</v>
      </c>
      <c r="K6" s="45" t="s">
        <v>130</v>
      </c>
      <c r="L6" s="45" t="str">
        <f t="shared" si="7"/>
        <v>LS1-HM1@E</v>
      </c>
      <c r="M6" s="75" t="str">
        <f t="shared" si="0"/>
        <v>M8, M7, M6, M5, 306, 307, 305, 302, 322, 319, 316, 311, 303, 305, 302</v>
      </c>
      <c r="N6" s="75" t="str">
        <f t="shared" si="1"/>
        <v>05, 03, 10, 16</v>
      </c>
      <c r="R6" s="70" t="s">
        <v>149</v>
      </c>
      <c r="S6" s="70" t="s">
        <v>53</v>
      </c>
      <c r="T6" s="70" t="s">
        <v>171</v>
      </c>
      <c r="U6" s="70"/>
      <c r="V6" s="70"/>
      <c r="X6" s="70" t="str">
        <f t="shared" si="8"/>
        <v>LS1-E DT@E</v>
      </c>
      <c r="Y6" s="70" t="str">
        <f t="shared" si="9"/>
        <v>E DT-HM1@E</v>
      </c>
      <c r="Z6" s="70" t="str">
        <f t="shared" si="10"/>
        <v/>
      </c>
      <c r="AA6" s="70" t="str">
        <f t="shared" si="11"/>
        <v/>
      </c>
      <c r="AC6" s="70" t="str">
        <f t="shared" si="12"/>
        <v>M8, M7, M6, M5, 306, 307, 305, 302</v>
      </c>
      <c r="AD6" s="70" t="str">
        <f t="shared" si="13"/>
        <v>322, 319, 316, 311, 303, 305, 302</v>
      </c>
      <c r="AE6" s="70" t="str">
        <f t="shared" si="14"/>
        <v/>
      </c>
      <c r="AF6" s="70" t="str">
        <f t="shared" si="15"/>
        <v/>
      </c>
      <c r="AH6" s="70" t="str">
        <f t="shared" si="16"/>
        <v>05</v>
      </c>
      <c r="AI6" s="70" t="str">
        <f t="shared" si="17"/>
        <v>03, 10, 16</v>
      </c>
      <c r="AJ6" s="70" t="str">
        <f t="shared" si="18"/>
        <v/>
      </c>
      <c r="AK6" s="70" t="str">
        <f t="shared" si="19"/>
        <v/>
      </c>
      <c r="AM6" s="166" t="str">
        <f t="shared" si="20"/>
        <v>HM2-E DT</v>
      </c>
      <c r="AN6" s="167" t="s">
        <v>172</v>
      </c>
      <c r="AO6" s="167" t="s">
        <v>173</v>
      </c>
      <c r="AP6" s="167" t="s">
        <v>174</v>
      </c>
    </row>
    <row r="7" spans="1:48" ht="20.100000000000001" customHeight="1" thickBot="1">
      <c r="A7" s="45" t="s">
        <v>175</v>
      </c>
      <c r="B7" s="45" t="s">
        <v>176</v>
      </c>
      <c r="C7" s="45" t="s">
        <v>177</v>
      </c>
      <c r="E7" s="45">
        <f t="shared" si="2"/>
        <v>7</v>
      </c>
      <c r="F7" s="45">
        <f t="shared" si="3"/>
        <v>4</v>
      </c>
      <c r="G7" s="45" t="str">
        <f t="shared" si="4"/>
        <v>HM1</v>
      </c>
      <c r="H7" s="45" t="str">
        <f t="shared" si="5"/>
        <v>LS1</v>
      </c>
      <c r="J7" s="45" t="str">
        <f t="shared" si="6"/>
        <v>LS1</v>
      </c>
      <c r="K7" s="45" t="s">
        <v>130</v>
      </c>
      <c r="L7" s="45" t="str">
        <f t="shared" si="7"/>
        <v>HM1-LS1@E</v>
      </c>
      <c r="M7" s="75" t="str">
        <f t="shared" si="0"/>
        <v>322, 319, 316, 311, 303, 305, 302, M8, M7, M6, M5, 306, 307, 305, 302</v>
      </c>
      <c r="N7" s="75" t="str">
        <f t="shared" si="1"/>
        <v>22, 04, 03</v>
      </c>
      <c r="R7" s="70" t="s">
        <v>171</v>
      </c>
      <c r="S7" s="70" t="s">
        <v>53</v>
      </c>
      <c r="T7" s="70" t="s">
        <v>149</v>
      </c>
      <c r="U7" s="70"/>
      <c r="V7" s="70"/>
      <c r="X7" s="70" t="str">
        <f t="shared" si="8"/>
        <v>HM1-E DT@E</v>
      </c>
      <c r="Y7" s="70" t="str">
        <f t="shared" si="9"/>
        <v>E DT-LS1@E</v>
      </c>
      <c r="Z7" s="70" t="str">
        <f t="shared" si="10"/>
        <v/>
      </c>
      <c r="AA7" s="70" t="str">
        <f t="shared" si="11"/>
        <v/>
      </c>
      <c r="AC7" s="70" t="str">
        <f t="shared" si="12"/>
        <v>322, 319, 316, 311, 303, 305, 302</v>
      </c>
      <c r="AD7" s="70" t="str">
        <f t="shared" si="13"/>
        <v>M8, M7, M6, M5, 306, 307, 305, 302</v>
      </c>
      <c r="AE7" s="70" t="str">
        <f t="shared" si="14"/>
        <v/>
      </c>
      <c r="AF7" s="70" t="str">
        <f t="shared" si="15"/>
        <v/>
      </c>
      <c r="AH7" s="70" t="str">
        <f t="shared" si="16"/>
        <v>22, 04</v>
      </c>
      <c r="AI7" s="70" t="str">
        <f t="shared" si="17"/>
        <v>03</v>
      </c>
      <c r="AJ7" s="70" t="str">
        <f t="shared" si="18"/>
        <v/>
      </c>
      <c r="AK7" s="70" t="str">
        <f t="shared" si="19"/>
        <v/>
      </c>
      <c r="AM7" s="166" t="str">
        <f t="shared" si="20"/>
        <v>HM3-E DT</v>
      </c>
      <c r="AN7" s="167" t="s">
        <v>178</v>
      </c>
      <c r="AO7" s="167" t="s">
        <v>173</v>
      </c>
      <c r="AP7" s="167" t="s">
        <v>179</v>
      </c>
    </row>
    <row r="8" spans="1:48" ht="20.100000000000001" customHeight="1" thickBot="1">
      <c r="A8" s="45" t="s">
        <v>180</v>
      </c>
      <c r="B8" s="45" t="s">
        <v>147</v>
      </c>
      <c r="C8" s="45" t="s">
        <v>181</v>
      </c>
      <c r="E8" s="45">
        <f t="shared" si="2"/>
        <v>7</v>
      </c>
      <c r="F8" s="45">
        <f t="shared" si="3"/>
        <v>4</v>
      </c>
      <c r="G8" s="45" t="str">
        <f t="shared" si="4"/>
        <v>LS1</v>
      </c>
      <c r="H8" s="45" t="str">
        <f t="shared" si="5"/>
        <v>HM2</v>
      </c>
      <c r="J8" s="45" t="str">
        <f t="shared" si="6"/>
        <v>HM2</v>
      </c>
      <c r="K8" s="45" t="s">
        <v>130</v>
      </c>
      <c r="L8" s="45" t="str">
        <f t="shared" si="7"/>
        <v>LS1-HM2@E</v>
      </c>
      <c r="M8" s="75" t="str">
        <f t="shared" si="0"/>
        <v>M8, M7, M6, M5, 306, 307, 305, 302, 324, 319, 316, 311, 303, 305, 302</v>
      </c>
      <c r="N8" s="75" t="str">
        <f t="shared" si="1"/>
        <v>05, 03, 10, 16</v>
      </c>
      <c r="R8" s="70" t="s">
        <v>149</v>
      </c>
      <c r="S8" s="70" t="s">
        <v>53</v>
      </c>
      <c r="T8" s="70" t="s">
        <v>182</v>
      </c>
      <c r="U8" s="70"/>
      <c r="V8" s="70"/>
      <c r="X8" s="70" t="str">
        <f t="shared" si="8"/>
        <v>LS1-E DT@E</v>
      </c>
      <c r="Y8" s="70" t="str">
        <f t="shared" si="9"/>
        <v>E DT-HM2@E</v>
      </c>
      <c r="Z8" s="70" t="str">
        <f t="shared" si="10"/>
        <v/>
      </c>
      <c r="AA8" s="70" t="str">
        <f t="shared" si="11"/>
        <v/>
      </c>
      <c r="AC8" s="70" t="str">
        <f t="shared" si="12"/>
        <v>M8, M7, M6, M5, 306, 307, 305, 302</v>
      </c>
      <c r="AD8" s="70" t="str">
        <f t="shared" si="13"/>
        <v>324, 319, 316, 311, 303, 305, 302</v>
      </c>
      <c r="AE8" s="70" t="str">
        <f t="shared" si="14"/>
        <v/>
      </c>
      <c r="AF8" s="70" t="str">
        <f t="shared" si="15"/>
        <v/>
      </c>
      <c r="AH8" s="70" t="str">
        <f t="shared" si="16"/>
        <v>05</v>
      </c>
      <c r="AI8" s="70" t="str">
        <f t="shared" si="17"/>
        <v>03, 10, 16</v>
      </c>
      <c r="AJ8" s="70" t="str">
        <f t="shared" si="18"/>
        <v/>
      </c>
      <c r="AK8" s="70" t="str">
        <f t="shared" si="19"/>
        <v/>
      </c>
      <c r="AM8" s="166" t="str">
        <f t="shared" si="20"/>
        <v>RM1E-E DT</v>
      </c>
      <c r="AN8" s="167" t="s">
        <v>183</v>
      </c>
      <c r="AO8" s="167" t="s">
        <v>184</v>
      </c>
      <c r="AP8" s="167" t="s">
        <v>185</v>
      </c>
    </row>
    <row r="9" spans="1:48" ht="20.100000000000001" customHeight="1" thickBot="1">
      <c r="A9" s="45" t="s">
        <v>186</v>
      </c>
      <c r="B9" s="45" t="s">
        <v>187</v>
      </c>
      <c r="C9" s="45" t="s">
        <v>188</v>
      </c>
      <c r="E9" s="45">
        <f t="shared" si="2"/>
        <v>7</v>
      </c>
      <c r="F9" s="45">
        <f t="shared" si="3"/>
        <v>4</v>
      </c>
      <c r="G9" s="45" t="str">
        <f t="shared" si="4"/>
        <v>HM2</v>
      </c>
      <c r="H9" s="45" t="str">
        <f t="shared" si="5"/>
        <v>LS1</v>
      </c>
      <c r="J9" s="45" t="str">
        <f t="shared" si="6"/>
        <v>LS1</v>
      </c>
      <c r="K9" s="45" t="s">
        <v>130</v>
      </c>
      <c r="L9" s="45" t="str">
        <f t="shared" si="7"/>
        <v>HM2-LS1@E</v>
      </c>
      <c r="M9" s="75" t="str">
        <f t="shared" si="0"/>
        <v>324, 319, 316, 311, 303, 305, 302, M8, M7, M6, M5, 306, 307, 305, 302</v>
      </c>
      <c r="N9" s="75" t="str">
        <f t="shared" si="1"/>
        <v>23, 04, 03</v>
      </c>
      <c r="R9" s="70" t="s">
        <v>182</v>
      </c>
      <c r="S9" s="70" t="s">
        <v>53</v>
      </c>
      <c r="T9" s="70" t="s">
        <v>149</v>
      </c>
      <c r="U9" s="70"/>
      <c r="V9" s="70"/>
      <c r="X9" s="70" t="str">
        <f t="shared" si="8"/>
        <v>HM2-E DT@E</v>
      </c>
      <c r="Y9" s="70" t="str">
        <f t="shared" si="9"/>
        <v>E DT-LS1@E</v>
      </c>
      <c r="Z9" s="70" t="str">
        <f t="shared" si="10"/>
        <v/>
      </c>
      <c r="AA9" s="70" t="str">
        <f t="shared" si="11"/>
        <v/>
      </c>
      <c r="AC9" s="70" t="str">
        <f t="shared" si="12"/>
        <v>324, 319, 316, 311, 303, 305, 302</v>
      </c>
      <c r="AD9" s="70" t="str">
        <f t="shared" si="13"/>
        <v>M8, M7, M6, M5, 306, 307, 305, 302</v>
      </c>
      <c r="AE9" s="70" t="str">
        <f t="shared" si="14"/>
        <v/>
      </c>
      <c r="AF9" s="70" t="str">
        <f t="shared" si="15"/>
        <v/>
      </c>
      <c r="AH9" s="70" t="str">
        <f t="shared" si="16"/>
        <v>23, 04</v>
      </c>
      <c r="AI9" s="70" t="str">
        <f t="shared" si="17"/>
        <v>03</v>
      </c>
      <c r="AJ9" s="70" t="str">
        <f t="shared" si="18"/>
        <v/>
      </c>
      <c r="AK9" s="70" t="str">
        <f t="shared" si="19"/>
        <v/>
      </c>
      <c r="AM9" s="166" t="str">
        <f t="shared" si="20"/>
        <v>RM1W-E DT</v>
      </c>
      <c r="AN9" s="167" t="s">
        <v>189</v>
      </c>
      <c r="AO9" s="167" t="s">
        <v>184</v>
      </c>
      <c r="AP9" s="167" t="s">
        <v>185</v>
      </c>
    </row>
    <row r="10" spans="1:48" ht="20.100000000000001" customHeight="1" thickBot="1">
      <c r="A10" s="45" t="s">
        <v>190</v>
      </c>
      <c r="B10" s="45" t="s">
        <v>147</v>
      </c>
      <c r="C10" s="45" t="s">
        <v>181</v>
      </c>
      <c r="E10" s="45">
        <f t="shared" si="2"/>
        <v>7</v>
      </c>
      <c r="F10" s="45">
        <f t="shared" si="3"/>
        <v>4</v>
      </c>
      <c r="G10" s="45" t="str">
        <f t="shared" si="4"/>
        <v>LS1</v>
      </c>
      <c r="H10" s="45" t="str">
        <f t="shared" si="5"/>
        <v>HM3</v>
      </c>
      <c r="J10" s="45" t="str">
        <f t="shared" si="6"/>
        <v>HM3</v>
      </c>
      <c r="K10" s="45" t="s">
        <v>130</v>
      </c>
      <c r="L10" s="45" t="str">
        <f t="shared" si="7"/>
        <v>LS1-HM3@E</v>
      </c>
      <c r="M10" s="75" t="str">
        <f t="shared" si="0"/>
        <v>M8, M7, M6, M5, 306, 307, 305, 302, 324, 319, 316, 311, 303, 305, 302</v>
      </c>
      <c r="N10" s="75" t="str">
        <f t="shared" si="1"/>
        <v>05, 03, 10, 16</v>
      </c>
      <c r="R10" s="70" t="s">
        <v>149</v>
      </c>
      <c r="S10" s="70" t="s">
        <v>53</v>
      </c>
      <c r="T10" s="70" t="s">
        <v>191</v>
      </c>
      <c r="U10" s="70"/>
      <c r="V10" s="70"/>
      <c r="X10" s="70" t="str">
        <f t="shared" si="8"/>
        <v>LS1-E DT@E</v>
      </c>
      <c r="Y10" s="70" t="str">
        <f t="shared" si="9"/>
        <v>E DT-HM3@E</v>
      </c>
      <c r="Z10" s="70" t="str">
        <f t="shared" si="10"/>
        <v/>
      </c>
      <c r="AA10" s="70" t="str">
        <f t="shared" si="11"/>
        <v/>
      </c>
      <c r="AC10" s="70" t="str">
        <f t="shared" si="12"/>
        <v>M8, M7, M6, M5, 306, 307, 305, 302</v>
      </c>
      <c r="AD10" s="70" t="str">
        <f t="shared" si="13"/>
        <v>324, 319, 316, 311, 303, 305, 302</v>
      </c>
      <c r="AE10" s="70" t="str">
        <f t="shared" si="14"/>
        <v/>
      </c>
      <c r="AF10" s="70" t="str">
        <f t="shared" si="15"/>
        <v/>
      </c>
      <c r="AH10" s="70" t="str">
        <f t="shared" si="16"/>
        <v>05</v>
      </c>
      <c r="AI10" s="70" t="str">
        <f t="shared" si="17"/>
        <v>03, 10, 16</v>
      </c>
      <c r="AJ10" s="70" t="str">
        <f t="shared" si="18"/>
        <v/>
      </c>
      <c r="AK10" s="70" t="str">
        <f t="shared" si="19"/>
        <v/>
      </c>
      <c r="AM10" s="166" t="str">
        <f t="shared" si="20"/>
        <v>RM2E-E DT</v>
      </c>
      <c r="AN10" s="167" t="s">
        <v>192</v>
      </c>
      <c r="AO10" s="167" t="s">
        <v>193</v>
      </c>
      <c r="AP10" s="167" t="s">
        <v>194</v>
      </c>
    </row>
    <row r="11" spans="1:48" ht="20.100000000000001" customHeight="1" thickBot="1">
      <c r="A11" s="45" t="s">
        <v>195</v>
      </c>
      <c r="B11" s="45" t="s">
        <v>196</v>
      </c>
      <c r="C11" s="45" t="s">
        <v>188</v>
      </c>
      <c r="E11" s="45">
        <f t="shared" si="2"/>
        <v>7</v>
      </c>
      <c r="F11" s="45">
        <f t="shared" si="3"/>
        <v>4</v>
      </c>
      <c r="G11" s="45" t="str">
        <f t="shared" si="4"/>
        <v>HM3</v>
      </c>
      <c r="H11" s="45" t="str">
        <f t="shared" si="5"/>
        <v>LS1</v>
      </c>
      <c r="J11" s="45" t="str">
        <f t="shared" si="6"/>
        <v>LS1</v>
      </c>
      <c r="K11" s="45" t="s">
        <v>130</v>
      </c>
      <c r="L11" s="45" t="str">
        <f t="shared" si="7"/>
        <v>HM3-LS1@E</v>
      </c>
      <c r="M11" s="75" t="str">
        <f t="shared" si="0"/>
        <v>324, 319, 316, 311, 303, 305, 302, M8, M7, M6, M5, 306, 307, 305, 302</v>
      </c>
      <c r="N11" s="75" t="str">
        <f t="shared" si="1"/>
        <v>24,04, 03</v>
      </c>
      <c r="R11" s="70" t="s">
        <v>191</v>
      </c>
      <c r="S11" s="70" t="s">
        <v>53</v>
      </c>
      <c r="T11" s="70" t="s">
        <v>149</v>
      </c>
      <c r="U11" s="70"/>
      <c r="V11" s="70"/>
      <c r="X11" s="70" t="str">
        <f t="shared" si="8"/>
        <v>HM3-E DT@E</v>
      </c>
      <c r="Y11" s="70" t="str">
        <f t="shared" si="9"/>
        <v>E DT-LS1@E</v>
      </c>
      <c r="Z11" s="70" t="str">
        <f t="shared" si="10"/>
        <v/>
      </c>
      <c r="AA11" s="70" t="str">
        <f t="shared" si="11"/>
        <v/>
      </c>
      <c r="AC11" s="70" t="str">
        <f t="shared" si="12"/>
        <v>324, 319, 316, 311, 303, 305, 302</v>
      </c>
      <c r="AD11" s="70" t="str">
        <f t="shared" si="13"/>
        <v>M8, M7, M6, M5, 306, 307, 305, 302</v>
      </c>
      <c r="AE11" s="70" t="str">
        <f t="shared" si="14"/>
        <v/>
      </c>
      <c r="AF11" s="70" t="str">
        <f t="shared" si="15"/>
        <v/>
      </c>
      <c r="AH11" s="70" t="str">
        <f t="shared" si="16"/>
        <v>24,04</v>
      </c>
      <c r="AI11" s="70" t="str">
        <f t="shared" si="17"/>
        <v>03</v>
      </c>
      <c r="AJ11" s="70" t="str">
        <f t="shared" si="18"/>
        <v/>
      </c>
      <c r="AK11" s="70" t="str">
        <f t="shared" si="19"/>
        <v/>
      </c>
      <c r="AM11" s="166" t="str">
        <f t="shared" si="20"/>
        <v>RM2W-E DT</v>
      </c>
      <c r="AN11" s="167" t="s">
        <v>197</v>
      </c>
      <c r="AO11" s="167" t="s">
        <v>193</v>
      </c>
      <c r="AP11" s="167" t="s">
        <v>194</v>
      </c>
    </row>
    <row r="12" spans="1:48" ht="20.100000000000001" customHeight="1" thickBot="1">
      <c r="A12" s="45" t="s">
        <v>198</v>
      </c>
      <c r="B12" s="45" t="s">
        <v>147</v>
      </c>
      <c r="C12" s="45" t="s">
        <v>199</v>
      </c>
      <c r="E12" s="45">
        <f t="shared" si="2"/>
        <v>8</v>
      </c>
      <c r="F12" s="45">
        <f t="shared" si="3"/>
        <v>4</v>
      </c>
      <c r="G12" s="45" t="str">
        <f t="shared" si="4"/>
        <v>LS1</v>
      </c>
      <c r="H12" s="45" t="str">
        <f t="shared" si="5"/>
        <v>RM1E</v>
      </c>
      <c r="J12" s="45" t="str">
        <f t="shared" si="6"/>
        <v>RM1E</v>
      </c>
      <c r="K12" s="45" t="s">
        <v>130</v>
      </c>
      <c r="L12" s="45" t="str">
        <f t="shared" si="7"/>
        <v>LS1-RM1E@E</v>
      </c>
      <c r="M12" s="75" t="str">
        <f t="shared" si="0"/>
        <v>M8, M7, M6, M5, 306, 307, 305, 302, 302, 305, 303, 311, 316, 319, 324</v>
      </c>
      <c r="N12" s="75" t="str">
        <f t="shared" si="1"/>
        <v>05, 03, 10, 16</v>
      </c>
      <c r="R12" s="70" t="s">
        <v>149</v>
      </c>
      <c r="S12" s="70" t="s">
        <v>53</v>
      </c>
      <c r="T12" s="70" t="s">
        <v>200</v>
      </c>
      <c r="U12" s="70"/>
      <c r="V12" s="70"/>
      <c r="X12" s="70" t="str">
        <f t="shared" si="8"/>
        <v>LS1-E DT@E</v>
      </c>
      <c r="Y12" s="70" t="str">
        <f t="shared" si="9"/>
        <v>E DT-RM1E@E</v>
      </c>
      <c r="Z12" s="70" t="str">
        <f t="shared" si="10"/>
        <v/>
      </c>
      <c r="AA12" s="70" t="str">
        <f t="shared" si="11"/>
        <v/>
      </c>
      <c r="AC12" s="70" t="str">
        <f t="shared" si="12"/>
        <v>M8, M7, M6, M5, 306, 307, 305, 302</v>
      </c>
      <c r="AD12" s="70" t="str">
        <f t="shared" si="13"/>
        <v>302, 305, 303, 311, 316, 319, 324</v>
      </c>
      <c r="AE12" s="70" t="str">
        <f t="shared" si="14"/>
        <v/>
      </c>
      <c r="AF12" s="70" t="str">
        <f t="shared" si="15"/>
        <v/>
      </c>
      <c r="AH12" s="70" t="str">
        <f t="shared" si="16"/>
        <v>05</v>
      </c>
      <c r="AI12" s="70" t="str">
        <f t="shared" si="17"/>
        <v>03, 10, 16</v>
      </c>
      <c r="AJ12" s="70" t="str">
        <f t="shared" si="18"/>
        <v/>
      </c>
      <c r="AK12" s="70" t="str">
        <f t="shared" si="19"/>
        <v/>
      </c>
      <c r="AM12" s="166" t="str">
        <f t="shared" si="20"/>
        <v>RM3E-E DT</v>
      </c>
      <c r="AN12" s="167" t="s">
        <v>201</v>
      </c>
      <c r="AO12" s="167" t="s">
        <v>193</v>
      </c>
      <c r="AP12" s="167" t="s">
        <v>202</v>
      </c>
    </row>
    <row r="13" spans="1:48" ht="20.100000000000001" customHeight="1" thickBot="1">
      <c r="A13" s="45" t="s">
        <v>203</v>
      </c>
      <c r="B13" s="45" t="s">
        <v>204</v>
      </c>
      <c r="C13" s="45" t="s">
        <v>205</v>
      </c>
      <c r="E13" s="45">
        <f t="shared" si="2"/>
        <v>8</v>
      </c>
      <c r="F13" s="45">
        <f t="shared" si="3"/>
        <v>5</v>
      </c>
      <c r="G13" s="45" t="str">
        <f t="shared" si="4"/>
        <v>RM1E</v>
      </c>
      <c r="H13" s="45" t="str">
        <f t="shared" si="5"/>
        <v>LS1</v>
      </c>
      <c r="J13" s="45" t="str">
        <f t="shared" si="6"/>
        <v>LS1</v>
      </c>
      <c r="K13" s="45" t="s">
        <v>130</v>
      </c>
      <c r="L13" s="45" t="str">
        <f t="shared" si="7"/>
        <v>RM1E-LS1@E</v>
      </c>
      <c r="M13" s="75" t="str">
        <f t="shared" si="0"/>
        <v>302, 305, 303, 311, 316, 319, 324, M8, M7, M6, M5, 306, 307, 305, 302</v>
      </c>
      <c r="N13" s="75" t="str">
        <f t="shared" si="1"/>
        <v>25, 04, 03</v>
      </c>
      <c r="R13" s="70" t="s">
        <v>200</v>
      </c>
      <c r="S13" s="70" t="s">
        <v>53</v>
      </c>
      <c r="T13" s="70" t="s">
        <v>149</v>
      </c>
      <c r="U13" s="70"/>
      <c r="V13" s="70"/>
      <c r="X13" s="70" t="str">
        <f t="shared" si="8"/>
        <v>RM1E-E DT@E</v>
      </c>
      <c r="Y13" s="70" t="str">
        <f t="shared" si="9"/>
        <v>E DT-LS1@E</v>
      </c>
      <c r="Z13" s="70" t="str">
        <f t="shared" si="10"/>
        <v/>
      </c>
      <c r="AA13" s="70" t="str">
        <f t="shared" si="11"/>
        <v/>
      </c>
      <c r="AC13" s="70" t="str">
        <f t="shared" si="12"/>
        <v>302, 305, 303, 311, 316, 319, 324</v>
      </c>
      <c r="AD13" s="70" t="str">
        <f t="shared" si="13"/>
        <v>M8, M7, M6, M5, 306, 307, 305, 302</v>
      </c>
      <c r="AE13" s="70" t="str">
        <f t="shared" si="14"/>
        <v/>
      </c>
      <c r="AF13" s="70" t="str">
        <f t="shared" si="15"/>
        <v/>
      </c>
      <c r="AH13" s="70" t="str">
        <f t="shared" si="16"/>
        <v>25, 04</v>
      </c>
      <c r="AI13" s="70" t="str">
        <f t="shared" si="17"/>
        <v>03</v>
      </c>
      <c r="AJ13" s="70" t="str">
        <f t="shared" si="18"/>
        <v/>
      </c>
      <c r="AK13" s="70" t="str">
        <f t="shared" si="19"/>
        <v/>
      </c>
      <c r="AM13" s="166" t="str">
        <f t="shared" si="20"/>
        <v>RM3W-E DT</v>
      </c>
      <c r="AN13" s="167" t="s">
        <v>206</v>
      </c>
      <c r="AO13" s="167" t="s">
        <v>193</v>
      </c>
      <c r="AP13" s="167" t="s">
        <v>202</v>
      </c>
    </row>
    <row r="14" spans="1:48" ht="20.100000000000001" customHeight="1" thickBot="1">
      <c r="A14" s="45" t="s">
        <v>207</v>
      </c>
      <c r="B14" s="45" t="s">
        <v>147</v>
      </c>
      <c r="C14" s="45" t="s">
        <v>199</v>
      </c>
      <c r="E14" s="45">
        <f t="shared" si="2"/>
        <v>8</v>
      </c>
      <c r="F14" s="45">
        <f t="shared" si="3"/>
        <v>4</v>
      </c>
      <c r="G14" s="45" t="str">
        <f t="shared" si="4"/>
        <v>LS1</v>
      </c>
      <c r="H14" s="45" t="str">
        <f t="shared" si="5"/>
        <v>RM1W</v>
      </c>
      <c r="J14" s="45" t="str">
        <f t="shared" si="6"/>
        <v>RM1W</v>
      </c>
      <c r="K14" s="45" t="s">
        <v>130</v>
      </c>
      <c r="L14" s="45" t="str">
        <f t="shared" si="7"/>
        <v>LS1-RM1W@E</v>
      </c>
      <c r="M14" s="75" t="str">
        <f t="shared" si="0"/>
        <v>M8, M7, M6, M5, 306, 307, 305, 302, 302, 305, 303, 311, 316, 319, 324</v>
      </c>
      <c r="N14" s="75" t="str">
        <f t="shared" si="1"/>
        <v>05, 03, 10, 16</v>
      </c>
      <c r="R14" s="70" t="s">
        <v>149</v>
      </c>
      <c r="S14" s="70" t="s">
        <v>53</v>
      </c>
      <c r="T14" s="70" t="s">
        <v>208</v>
      </c>
      <c r="U14" s="70"/>
      <c r="V14" s="70"/>
      <c r="X14" s="70" t="str">
        <f t="shared" si="8"/>
        <v>LS1-E DT@E</v>
      </c>
      <c r="Y14" s="70" t="str">
        <f t="shared" si="9"/>
        <v>E DT-RM1W@E</v>
      </c>
      <c r="Z14" s="70" t="str">
        <f t="shared" si="10"/>
        <v/>
      </c>
      <c r="AA14" s="70" t="str">
        <f t="shared" si="11"/>
        <v/>
      </c>
      <c r="AC14" s="70" t="str">
        <f t="shared" si="12"/>
        <v>M8, M7, M6, M5, 306, 307, 305, 302</v>
      </c>
      <c r="AD14" s="70" t="str">
        <f t="shared" si="13"/>
        <v>302, 305, 303, 311, 316, 319, 324</v>
      </c>
      <c r="AE14" s="70" t="str">
        <f t="shared" si="14"/>
        <v/>
      </c>
      <c r="AF14" s="70" t="str">
        <f t="shared" si="15"/>
        <v/>
      </c>
      <c r="AH14" s="70" t="str">
        <f t="shared" si="16"/>
        <v>05</v>
      </c>
      <c r="AI14" s="70" t="str">
        <f t="shared" si="17"/>
        <v>03, 10, 16</v>
      </c>
      <c r="AJ14" s="70" t="str">
        <f t="shared" si="18"/>
        <v/>
      </c>
      <c r="AK14" s="70" t="str">
        <f t="shared" si="19"/>
        <v/>
      </c>
      <c r="AM14" s="166" t="str">
        <f t="shared" si="20"/>
        <v>HCTE-E DT</v>
      </c>
      <c r="AN14" s="167" t="s">
        <v>209</v>
      </c>
      <c r="AO14" s="167" t="s">
        <v>210</v>
      </c>
      <c r="AP14" s="167" t="s">
        <v>211</v>
      </c>
    </row>
    <row r="15" spans="1:48" ht="20.100000000000001" customHeight="1" thickBot="1">
      <c r="A15" s="45" t="s">
        <v>212</v>
      </c>
      <c r="B15" s="45" t="s">
        <v>204</v>
      </c>
      <c r="C15" s="45" t="s">
        <v>205</v>
      </c>
      <c r="E15" s="45">
        <f t="shared" si="2"/>
        <v>8</v>
      </c>
      <c r="F15" s="45">
        <f t="shared" si="3"/>
        <v>5</v>
      </c>
      <c r="G15" s="45" t="str">
        <f t="shared" si="4"/>
        <v>RM1W</v>
      </c>
      <c r="H15" s="45" t="str">
        <f t="shared" si="5"/>
        <v>LS1</v>
      </c>
      <c r="J15" s="45" t="str">
        <f t="shared" si="6"/>
        <v>LS1</v>
      </c>
      <c r="K15" s="45" t="s">
        <v>130</v>
      </c>
      <c r="L15" s="45" t="str">
        <f t="shared" si="7"/>
        <v>RM1W-LS1@E</v>
      </c>
      <c r="M15" s="75" t="str">
        <f t="shared" si="0"/>
        <v>302, 305, 303, 311, 316, 319, 324, M8, M7, M6, M5, 306, 307, 305, 302</v>
      </c>
      <c r="N15" s="75" t="str">
        <f t="shared" si="1"/>
        <v>25, 04, 03</v>
      </c>
      <c r="R15" s="70" t="s">
        <v>208</v>
      </c>
      <c r="S15" s="70" t="s">
        <v>53</v>
      </c>
      <c r="T15" s="70" t="s">
        <v>149</v>
      </c>
      <c r="U15" s="70"/>
      <c r="V15" s="70"/>
      <c r="X15" s="70" t="str">
        <f t="shared" si="8"/>
        <v>RM1W-E DT@E</v>
      </c>
      <c r="Y15" s="70" t="str">
        <f t="shared" si="9"/>
        <v>E DT-LS1@E</v>
      </c>
      <c r="Z15" s="70" t="str">
        <f t="shared" si="10"/>
        <v/>
      </c>
      <c r="AA15" s="70" t="str">
        <f t="shared" si="11"/>
        <v/>
      </c>
      <c r="AC15" s="70" t="str">
        <f t="shared" si="12"/>
        <v>302, 305, 303, 311, 316, 319, 324</v>
      </c>
      <c r="AD15" s="70" t="str">
        <f t="shared" si="13"/>
        <v>M8, M7, M6, M5, 306, 307, 305, 302</v>
      </c>
      <c r="AE15" s="70" t="str">
        <f t="shared" si="14"/>
        <v/>
      </c>
      <c r="AF15" s="70" t="str">
        <f t="shared" si="15"/>
        <v/>
      </c>
      <c r="AH15" s="70" t="str">
        <f t="shared" si="16"/>
        <v>25, 04</v>
      </c>
      <c r="AI15" s="70" t="str">
        <f t="shared" si="17"/>
        <v>03</v>
      </c>
      <c r="AJ15" s="70" t="str">
        <f t="shared" si="18"/>
        <v/>
      </c>
      <c r="AK15" s="70" t="str">
        <f t="shared" si="19"/>
        <v/>
      </c>
      <c r="AM15" s="166" t="str">
        <f t="shared" si="20"/>
        <v>HCTW-E DT</v>
      </c>
      <c r="AN15" s="167" t="s">
        <v>213</v>
      </c>
      <c r="AO15" s="167" t="s">
        <v>210</v>
      </c>
      <c r="AP15" s="167" t="s">
        <v>211</v>
      </c>
    </row>
    <row r="16" spans="1:48" ht="20.100000000000001" customHeight="1" thickBot="1">
      <c r="A16" s="45" t="s">
        <v>214</v>
      </c>
      <c r="B16" s="45" t="s">
        <v>147</v>
      </c>
      <c r="C16" s="45" t="s">
        <v>215</v>
      </c>
      <c r="E16" s="45">
        <f t="shared" si="2"/>
        <v>8</v>
      </c>
      <c r="F16" s="45">
        <f t="shared" si="3"/>
        <v>4</v>
      </c>
      <c r="G16" s="45" t="str">
        <f t="shared" si="4"/>
        <v>LS1</v>
      </c>
      <c r="H16" s="45" t="str">
        <f t="shared" si="5"/>
        <v>RM2E</v>
      </c>
      <c r="J16" s="45" t="str">
        <f t="shared" si="6"/>
        <v>RM2E</v>
      </c>
      <c r="K16" s="45" t="s">
        <v>130</v>
      </c>
      <c r="L16" s="45" t="str">
        <f t="shared" si="7"/>
        <v>LS1-RM2E@E</v>
      </c>
      <c r="M16" s="75" t="str">
        <f t="shared" si="0"/>
        <v>M8, M7, M6, M5, 306, 307, 305, 302, 327, 326, 325, 318, 317, 316, 311, 303, 305, 302</v>
      </c>
      <c r="N16" s="75" t="str">
        <f t="shared" si="1"/>
        <v>05, 03, 10, 16</v>
      </c>
      <c r="R16" s="70" t="s">
        <v>149</v>
      </c>
      <c r="S16" s="70" t="s">
        <v>53</v>
      </c>
      <c r="T16" s="70" t="s">
        <v>216</v>
      </c>
      <c r="U16" s="70"/>
      <c r="V16" s="70"/>
      <c r="X16" s="70" t="str">
        <f t="shared" si="8"/>
        <v>LS1-E DT@E</v>
      </c>
      <c r="Y16" s="70" t="str">
        <f t="shared" si="9"/>
        <v>E DT-RM2E@E</v>
      </c>
      <c r="Z16" s="70" t="str">
        <f t="shared" si="10"/>
        <v/>
      </c>
      <c r="AA16" s="70" t="str">
        <f t="shared" si="11"/>
        <v/>
      </c>
      <c r="AC16" s="70" t="str">
        <f t="shared" si="12"/>
        <v>M8, M7, M6, M5, 306, 307, 305, 302</v>
      </c>
      <c r="AD16" s="70" t="str">
        <f t="shared" si="13"/>
        <v>327, 326, 325, 318, 317, 316, 311, 303, 305, 302</v>
      </c>
      <c r="AE16" s="70" t="str">
        <f t="shared" si="14"/>
        <v/>
      </c>
      <c r="AF16" s="70" t="str">
        <f t="shared" si="15"/>
        <v/>
      </c>
      <c r="AH16" s="70" t="str">
        <f t="shared" si="16"/>
        <v>05</v>
      </c>
      <c r="AI16" s="70" t="str">
        <f t="shared" si="17"/>
        <v>03, 10, 16</v>
      </c>
      <c r="AJ16" s="70" t="str">
        <f t="shared" si="18"/>
        <v/>
      </c>
      <c r="AK16" s="70" t="str">
        <f t="shared" si="19"/>
        <v/>
      </c>
      <c r="AM16" s="166" t="str">
        <f t="shared" si="20"/>
        <v>1E-E DT</v>
      </c>
      <c r="AN16" s="167" t="s">
        <v>217</v>
      </c>
      <c r="AO16" s="167" t="s">
        <v>210</v>
      </c>
      <c r="AP16" s="167" t="s">
        <v>218</v>
      </c>
    </row>
    <row r="17" spans="1:42" ht="20.100000000000001" customHeight="1" thickBot="1">
      <c r="A17" s="45" t="s">
        <v>219</v>
      </c>
      <c r="B17" s="45" t="s">
        <v>220</v>
      </c>
      <c r="C17" s="45" t="s">
        <v>221</v>
      </c>
      <c r="E17" s="45">
        <f t="shared" si="2"/>
        <v>8</v>
      </c>
      <c r="F17" s="45">
        <f t="shared" si="3"/>
        <v>5</v>
      </c>
      <c r="G17" s="45" t="str">
        <f t="shared" si="4"/>
        <v>RM2E</v>
      </c>
      <c r="H17" s="45" t="str">
        <f t="shared" si="5"/>
        <v>LS1</v>
      </c>
      <c r="J17" s="45" t="str">
        <f t="shared" si="6"/>
        <v>LS1</v>
      </c>
      <c r="K17" s="45" t="s">
        <v>130</v>
      </c>
      <c r="L17" s="45" t="str">
        <f t="shared" si="7"/>
        <v>RM2E-LS1@E</v>
      </c>
      <c r="M17" s="75" t="str">
        <f t="shared" si="0"/>
        <v>327, 326, 325, 318, 317, 316, 311, 303, 305, 302, M8, M7, M6, M5, 306, 307, 305, 302</v>
      </c>
      <c r="N17" s="75" t="str">
        <f t="shared" si="1"/>
        <v>26, 04, 03</v>
      </c>
      <c r="R17" s="70" t="s">
        <v>216</v>
      </c>
      <c r="S17" s="70" t="s">
        <v>53</v>
      </c>
      <c r="T17" s="70" t="s">
        <v>149</v>
      </c>
      <c r="U17" s="70"/>
      <c r="V17" s="70"/>
      <c r="X17" s="70" t="str">
        <f t="shared" si="8"/>
        <v>RM2E-E DT@E</v>
      </c>
      <c r="Y17" s="70" t="str">
        <f t="shared" si="9"/>
        <v>E DT-LS1@E</v>
      </c>
      <c r="Z17" s="70" t="str">
        <f t="shared" si="10"/>
        <v/>
      </c>
      <c r="AA17" s="70" t="str">
        <f t="shared" si="11"/>
        <v/>
      </c>
      <c r="AC17" s="70" t="str">
        <f t="shared" si="12"/>
        <v>327, 326, 325, 318, 317, 316, 311, 303, 305, 302</v>
      </c>
      <c r="AD17" s="70" t="str">
        <f t="shared" si="13"/>
        <v>M8, M7, M6, M5, 306, 307, 305, 302</v>
      </c>
      <c r="AE17" s="70" t="str">
        <f t="shared" si="14"/>
        <v/>
      </c>
      <c r="AF17" s="70" t="str">
        <f t="shared" si="15"/>
        <v/>
      </c>
      <c r="AH17" s="70" t="str">
        <f t="shared" si="16"/>
        <v>26, 04</v>
      </c>
      <c r="AI17" s="70" t="str">
        <f t="shared" si="17"/>
        <v>03</v>
      </c>
      <c r="AJ17" s="70" t="str">
        <f t="shared" si="18"/>
        <v/>
      </c>
      <c r="AK17" s="70" t="str">
        <f t="shared" si="19"/>
        <v/>
      </c>
      <c r="AM17" s="166" t="str">
        <f t="shared" si="20"/>
        <v>1W-E DT</v>
      </c>
      <c r="AN17" s="167" t="s">
        <v>222</v>
      </c>
      <c r="AO17" s="167" t="s">
        <v>210</v>
      </c>
      <c r="AP17" s="167" t="s">
        <v>218</v>
      </c>
    </row>
    <row r="18" spans="1:42" ht="20.100000000000001" customHeight="1" thickBot="1">
      <c r="A18" s="45" t="s">
        <v>223</v>
      </c>
      <c r="B18" s="45" t="s">
        <v>147</v>
      </c>
      <c r="C18" s="45" t="s">
        <v>215</v>
      </c>
      <c r="E18" s="45">
        <f t="shared" si="2"/>
        <v>8</v>
      </c>
      <c r="F18" s="45">
        <f t="shared" si="3"/>
        <v>4</v>
      </c>
      <c r="G18" s="45" t="str">
        <f t="shared" si="4"/>
        <v>LS1</v>
      </c>
      <c r="H18" s="45" t="str">
        <f t="shared" si="5"/>
        <v>RM2W</v>
      </c>
      <c r="J18" s="45" t="str">
        <f t="shared" si="6"/>
        <v>RM2W</v>
      </c>
      <c r="K18" s="45" t="s">
        <v>130</v>
      </c>
      <c r="L18" s="45" t="str">
        <f t="shared" si="7"/>
        <v>LS1-RM2W@E</v>
      </c>
      <c r="M18" s="75" t="str">
        <f t="shared" si="0"/>
        <v>M8, M7, M6, M5, 306, 307, 305, 302, 327, 326, 325, 318, 317, 316, 311, 303, 305, 302</v>
      </c>
      <c r="N18" s="75" t="str">
        <f t="shared" si="1"/>
        <v>05, 03, 10, 16</v>
      </c>
      <c r="R18" s="70" t="s">
        <v>149</v>
      </c>
      <c r="S18" s="70" t="s">
        <v>53</v>
      </c>
      <c r="T18" s="70" t="s">
        <v>224</v>
      </c>
      <c r="U18" s="70"/>
      <c r="V18" s="70"/>
      <c r="X18" s="70" t="str">
        <f t="shared" si="8"/>
        <v>LS1-E DT@E</v>
      </c>
      <c r="Y18" s="70" t="str">
        <f t="shared" si="9"/>
        <v>E DT-RM2W@E</v>
      </c>
      <c r="Z18" s="70" t="str">
        <f t="shared" si="10"/>
        <v/>
      </c>
      <c r="AA18" s="70" t="str">
        <f t="shared" si="11"/>
        <v/>
      </c>
      <c r="AC18" s="70" t="str">
        <f t="shared" si="12"/>
        <v>M8, M7, M6, M5, 306, 307, 305, 302</v>
      </c>
      <c r="AD18" s="70" t="str">
        <f t="shared" si="13"/>
        <v>327, 326, 325, 318, 317, 316, 311, 303, 305, 302</v>
      </c>
      <c r="AE18" s="70" t="str">
        <f t="shared" si="14"/>
        <v/>
      </c>
      <c r="AF18" s="70" t="str">
        <f t="shared" si="15"/>
        <v/>
      </c>
      <c r="AH18" s="70" t="str">
        <f t="shared" si="16"/>
        <v>05</v>
      </c>
      <c r="AI18" s="70" t="str">
        <f t="shared" si="17"/>
        <v>03, 10, 16</v>
      </c>
      <c r="AJ18" s="70" t="str">
        <f t="shared" si="18"/>
        <v/>
      </c>
      <c r="AK18" s="70" t="str">
        <f t="shared" si="19"/>
        <v/>
      </c>
      <c r="AM18" s="166" t="str">
        <f t="shared" si="20"/>
        <v>2E-E DT</v>
      </c>
      <c r="AN18" s="167" t="s">
        <v>225</v>
      </c>
      <c r="AO18" s="167" t="s">
        <v>226</v>
      </c>
      <c r="AP18" s="167" t="s">
        <v>227</v>
      </c>
    </row>
    <row r="19" spans="1:42" ht="20.100000000000001" customHeight="1" thickBot="1">
      <c r="A19" s="45" t="s">
        <v>228</v>
      </c>
      <c r="B19" s="45" t="s">
        <v>220</v>
      </c>
      <c r="C19" s="45" t="s">
        <v>221</v>
      </c>
      <c r="E19" s="45">
        <f t="shared" si="2"/>
        <v>8</v>
      </c>
      <c r="F19" s="45">
        <f t="shared" si="3"/>
        <v>5</v>
      </c>
      <c r="G19" s="45" t="str">
        <f t="shared" si="4"/>
        <v>RM2W</v>
      </c>
      <c r="H19" s="45" t="str">
        <f t="shared" si="5"/>
        <v>LS1</v>
      </c>
      <c r="J19" s="45" t="str">
        <f t="shared" si="6"/>
        <v>LS1</v>
      </c>
      <c r="K19" s="45" t="s">
        <v>130</v>
      </c>
      <c r="L19" s="45" t="str">
        <f t="shared" si="7"/>
        <v>RM2W-LS1@E</v>
      </c>
      <c r="M19" s="75" t="str">
        <f t="shared" si="0"/>
        <v>327, 326, 325, 318, 317, 316, 311, 303, 305, 302, M8, M7, M6, M5, 306, 307, 305, 302</v>
      </c>
      <c r="N19" s="75" t="str">
        <f t="shared" si="1"/>
        <v>26, 04, 03</v>
      </c>
      <c r="R19" s="70" t="s">
        <v>224</v>
      </c>
      <c r="S19" s="70" t="s">
        <v>53</v>
      </c>
      <c r="T19" s="70" t="s">
        <v>149</v>
      </c>
      <c r="U19" s="70"/>
      <c r="V19" s="70"/>
      <c r="X19" s="70" t="str">
        <f t="shared" ref="X19:X82" si="21">IF(S19="","",CONCATENATE(R19,"-",S19,"@",$K19))</f>
        <v>RM2W-E DT@E</v>
      </c>
      <c r="Y19" s="70" t="str">
        <f t="shared" ref="Y19:Y82" si="22">IF(T19="","",CONCATENATE(S19,"-",T19,"@",$K19))</f>
        <v>E DT-LS1@E</v>
      </c>
      <c r="Z19" s="70" t="str">
        <f t="shared" ref="Z19:Z82" si="23">IF(U19="","",CONCATENATE(T19,"-",U19,"@",$K19))</f>
        <v/>
      </c>
      <c r="AA19" s="70" t="str">
        <f t="shared" ref="AA19:AA82" si="24">IF(V19="","",CONCATENATE(U19,"-",V19,"@",$K19))</f>
        <v/>
      </c>
      <c r="AC19" s="70" t="str">
        <f t="shared" si="12"/>
        <v>327, 326, 325, 318, 317, 316, 311, 303, 305, 302</v>
      </c>
      <c r="AD19" s="70" t="str">
        <f t="shared" si="13"/>
        <v>M8, M7, M6, M5, 306, 307, 305, 302</v>
      </c>
      <c r="AE19" s="70" t="str">
        <f t="shared" si="14"/>
        <v/>
      </c>
      <c r="AF19" s="70" t="str">
        <f t="shared" si="15"/>
        <v/>
      </c>
      <c r="AH19" s="70" t="str">
        <f t="shared" si="16"/>
        <v>26, 04</v>
      </c>
      <c r="AI19" s="70" t="str">
        <f t="shared" si="17"/>
        <v>03</v>
      </c>
      <c r="AJ19" s="70" t="str">
        <f t="shared" si="18"/>
        <v/>
      </c>
      <c r="AK19" s="70" t="str">
        <f t="shared" si="19"/>
        <v/>
      </c>
      <c r="AM19" s="166" t="str">
        <f t="shared" si="20"/>
        <v>2W-E DT</v>
      </c>
      <c r="AN19" s="167" t="s">
        <v>229</v>
      </c>
      <c r="AO19" s="167" t="s">
        <v>226</v>
      </c>
      <c r="AP19" s="167" t="s">
        <v>227</v>
      </c>
    </row>
    <row r="20" spans="1:42" ht="20.100000000000001" customHeight="1" thickBot="1">
      <c r="A20" s="45" t="s">
        <v>230</v>
      </c>
      <c r="B20" s="45" t="s">
        <v>147</v>
      </c>
      <c r="C20" s="45" t="s">
        <v>215</v>
      </c>
      <c r="E20" s="45">
        <f t="shared" si="2"/>
        <v>8</v>
      </c>
      <c r="F20" s="45">
        <f t="shared" si="3"/>
        <v>4</v>
      </c>
      <c r="G20" s="45" t="str">
        <f t="shared" si="4"/>
        <v>LS1</v>
      </c>
      <c r="H20" s="45" t="str">
        <f t="shared" si="5"/>
        <v>RM3E</v>
      </c>
      <c r="J20" s="45" t="str">
        <f t="shared" si="6"/>
        <v>RM3E</v>
      </c>
      <c r="K20" s="45" t="s">
        <v>130</v>
      </c>
      <c r="L20" s="45" t="str">
        <f t="shared" si="7"/>
        <v>LS1-RM3E@E</v>
      </c>
      <c r="M20" s="75" t="str">
        <f t="shared" si="0"/>
        <v>M8, M7, M6, M5, 306, 307, 305, 302, 327, 326, 325, 318, 317, 316, 311, 303, 305, 302</v>
      </c>
      <c r="N20" s="75" t="str">
        <f t="shared" si="1"/>
        <v>05, 03, 10, 16</v>
      </c>
      <c r="R20" s="70" t="s">
        <v>149</v>
      </c>
      <c r="S20" s="70" t="s">
        <v>53</v>
      </c>
      <c r="T20" s="70" t="s">
        <v>231</v>
      </c>
      <c r="U20" s="70"/>
      <c r="V20" s="70"/>
      <c r="X20" s="70" t="str">
        <f t="shared" si="21"/>
        <v>LS1-E DT@E</v>
      </c>
      <c r="Y20" s="70" t="str">
        <f t="shared" si="22"/>
        <v>E DT-RM3E@E</v>
      </c>
      <c r="Z20" s="70" t="str">
        <f t="shared" si="23"/>
        <v/>
      </c>
      <c r="AA20" s="70" t="str">
        <f t="shared" si="24"/>
        <v/>
      </c>
      <c r="AC20" s="70" t="str">
        <f t="shared" si="12"/>
        <v>M8, M7, M6, M5, 306, 307, 305, 302</v>
      </c>
      <c r="AD20" s="70" t="str">
        <f t="shared" si="13"/>
        <v>327, 326, 325, 318, 317, 316, 311, 303, 305, 302</v>
      </c>
      <c r="AE20" s="70" t="str">
        <f t="shared" si="14"/>
        <v/>
      </c>
      <c r="AF20" s="70" t="str">
        <f t="shared" si="15"/>
        <v/>
      </c>
      <c r="AH20" s="70" t="str">
        <f t="shared" si="16"/>
        <v>05</v>
      </c>
      <c r="AI20" s="70" t="str">
        <f t="shared" si="17"/>
        <v>03, 10, 16</v>
      </c>
      <c r="AJ20" s="70" t="str">
        <f t="shared" si="18"/>
        <v/>
      </c>
      <c r="AK20" s="70" t="str">
        <f t="shared" si="19"/>
        <v/>
      </c>
      <c r="AM20" s="166" t="str">
        <f t="shared" si="20"/>
        <v>3E-E DT</v>
      </c>
      <c r="AN20" s="167" t="s">
        <v>232</v>
      </c>
      <c r="AO20" s="167" t="s">
        <v>226</v>
      </c>
      <c r="AP20" s="167" t="s">
        <v>233</v>
      </c>
    </row>
    <row r="21" spans="1:42" ht="20.100000000000001" customHeight="1" thickBot="1">
      <c r="A21" s="45" t="s">
        <v>234</v>
      </c>
      <c r="B21" s="45" t="s">
        <v>235</v>
      </c>
      <c r="C21" s="45" t="s">
        <v>221</v>
      </c>
      <c r="E21" s="45">
        <f t="shared" si="2"/>
        <v>8</v>
      </c>
      <c r="F21" s="45">
        <f t="shared" si="3"/>
        <v>5</v>
      </c>
      <c r="G21" s="45" t="str">
        <f t="shared" si="4"/>
        <v>RM3E</v>
      </c>
      <c r="H21" s="45" t="str">
        <f t="shared" si="5"/>
        <v>LS1</v>
      </c>
      <c r="J21" s="45" t="str">
        <f t="shared" si="6"/>
        <v>LS1</v>
      </c>
      <c r="K21" s="45" t="s">
        <v>130</v>
      </c>
      <c r="L21" s="45" t="str">
        <f t="shared" si="7"/>
        <v>RM3E-LS1@E</v>
      </c>
      <c r="M21" s="75" t="str">
        <f t="shared" si="0"/>
        <v>327, 326, 325, 318, 317, 316, 311, 303, 305, 302, M8, M7, M6, M5, 306, 307, 305, 302</v>
      </c>
      <c r="N21" s="75" t="str">
        <f t="shared" si="1"/>
        <v>27, 04, 03</v>
      </c>
      <c r="R21" s="70" t="s">
        <v>231</v>
      </c>
      <c r="S21" s="70" t="s">
        <v>53</v>
      </c>
      <c r="T21" s="70" t="s">
        <v>149</v>
      </c>
      <c r="U21" s="70"/>
      <c r="V21" s="70"/>
      <c r="X21" s="70" t="str">
        <f t="shared" si="21"/>
        <v>RM3E-E DT@E</v>
      </c>
      <c r="Y21" s="70" t="str">
        <f t="shared" si="22"/>
        <v>E DT-LS1@E</v>
      </c>
      <c r="Z21" s="70" t="str">
        <f t="shared" si="23"/>
        <v/>
      </c>
      <c r="AA21" s="70" t="str">
        <f t="shared" si="24"/>
        <v/>
      </c>
      <c r="AC21" s="70" t="str">
        <f t="shared" si="12"/>
        <v>327, 326, 325, 318, 317, 316, 311, 303, 305, 302</v>
      </c>
      <c r="AD21" s="70" t="str">
        <f t="shared" si="13"/>
        <v>M8, M7, M6, M5, 306, 307, 305, 302</v>
      </c>
      <c r="AE21" s="70" t="str">
        <f t="shared" si="14"/>
        <v/>
      </c>
      <c r="AF21" s="70" t="str">
        <f t="shared" si="15"/>
        <v/>
      </c>
      <c r="AH21" s="70" t="str">
        <f t="shared" si="16"/>
        <v>27, 04</v>
      </c>
      <c r="AI21" s="70" t="str">
        <f t="shared" si="17"/>
        <v>03</v>
      </c>
      <c r="AJ21" s="70" t="str">
        <f t="shared" si="18"/>
        <v/>
      </c>
      <c r="AK21" s="70" t="str">
        <f t="shared" si="19"/>
        <v/>
      </c>
      <c r="AM21" s="166" t="str">
        <f t="shared" si="20"/>
        <v>3W-E DT</v>
      </c>
      <c r="AN21" s="167" t="s">
        <v>236</v>
      </c>
      <c r="AO21" s="167" t="s">
        <v>226</v>
      </c>
      <c r="AP21" s="167" t="s">
        <v>233</v>
      </c>
    </row>
    <row r="22" spans="1:42" ht="20.100000000000001" customHeight="1" thickBot="1">
      <c r="A22" s="45" t="s">
        <v>237</v>
      </c>
      <c r="B22" s="45" t="s">
        <v>147</v>
      </c>
      <c r="C22" s="45" t="s">
        <v>215</v>
      </c>
      <c r="E22" s="45">
        <f t="shared" si="2"/>
        <v>8</v>
      </c>
      <c r="F22" s="45">
        <f t="shared" si="3"/>
        <v>4</v>
      </c>
      <c r="G22" s="45" t="str">
        <f t="shared" si="4"/>
        <v>LS1</v>
      </c>
      <c r="H22" s="45" t="str">
        <f t="shared" si="5"/>
        <v>RM3W</v>
      </c>
      <c r="J22" s="45" t="str">
        <f t="shared" si="6"/>
        <v>RM3W</v>
      </c>
      <c r="K22" s="45" t="s">
        <v>130</v>
      </c>
      <c r="L22" s="45" t="str">
        <f t="shared" si="7"/>
        <v>LS1-RM3W@E</v>
      </c>
      <c r="M22" s="75" t="str">
        <f t="shared" si="0"/>
        <v>M8, M7, M6, M5, 306, 307, 305, 302, 327, 326, 325, 318, 317, 316, 311, 303, 305, 302</v>
      </c>
      <c r="N22" s="75" t="str">
        <f t="shared" si="1"/>
        <v>05, 03, 10, 16</v>
      </c>
      <c r="R22" s="70" t="s">
        <v>149</v>
      </c>
      <c r="S22" s="70" t="s">
        <v>53</v>
      </c>
      <c r="T22" s="70" t="s">
        <v>238</v>
      </c>
      <c r="U22" s="70"/>
      <c r="V22" s="70"/>
      <c r="X22" s="70" t="str">
        <f t="shared" si="21"/>
        <v>LS1-E DT@E</v>
      </c>
      <c r="Y22" s="70" t="str">
        <f t="shared" si="22"/>
        <v>E DT-RM3W@E</v>
      </c>
      <c r="Z22" s="70" t="str">
        <f t="shared" si="23"/>
        <v/>
      </c>
      <c r="AA22" s="70" t="str">
        <f t="shared" si="24"/>
        <v/>
      </c>
      <c r="AC22" s="70" t="str">
        <f t="shared" si="12"/>
        <v>M8, M7, M6, M5, 306, 307, 305, 302</v>
      </c>
      <c r="AD22" s="70" t="str">
        <f t="shared" si="13"/>
        <v>327, 326, 325, 318, 317, 316, 311, 303, 305, 302</v>
      </c>
      <c r="AE22" s="70" t="str">
        <f t="shared" si="14"/>
        <v/>
      </c>
      <c r="AF22" s="70" t="str">
        <f t="shared" si="15"/>
        <v/>
      </c>
      <c r="AH22" s="70" t="str">
        <f t="shared" si="16"/>
        <v>05</v>
      </c>
      <c r="AI22" s="70" t="str">
        <f t="shared" si="17"/>
        <v>03, 10, 16</v>
      </c>
      <c r="AJ22" s="70" t="str">
        <f t="shared" si="18"/>
        <v/>
      </c>
      <c r="AK22" s="70" t="str">
        <f t="shared" si="19"/>
        <v/>
      </c>
      <c r="AM22" s="166" t="str">
        <f t="shared" si="20"/>
        <v>4E-E DT</v>
      </c>
      <c r="AN22" s="167" t="s">
        <v>239</v>
      </c>
      <c r="AO22" s="167" t="s">
        <v>240</v>
      </c>
      <c r="AP22" s="167" t="s">
        <v>241</v>
      </c>
    </row>
    <row r="23" spans="1:42" ht="20.100000000000001" customHeight="1" thickBot="1">
      <c r="A23" s="45" t="s">
        <v>242</v>
      </c>
      <c r="B23" s="45" t="s">
        <v>235</v>
      </c>
      <c r="C23" s="45" t="s">
        <v>221</v>
      </c>
      <c r="E23" s="45">
        <f t="shared" si="2"/>
        <v>8</v>
      </c>
      <c r="F23" s="45">
        <f t="shared" si="3"/>
        <v>5</v>
      </c>
      <c r="G23" s="45" t="str">
        <f t="shared" si="4"/>
        <v>RM3W</v>
      </c>
      <c r="H23" s="45" t="str">
        <f t="shared" si="5"/>
        <v>LS1</v>
      </c>
      <c r="J23" s="45" t="str">
        <f t="shared" si="6"/>
        <v>LS1</v>
      </c>
      <c r="K23" s="45" t="s">
        <v>130</v>
      </c>
      <c r="L23" s="45" t="str">
        <f t="shared" si="7"/>
        <v>RM3W-LS1@E</v>
      </c>
      <c r="M23" s="75" t="str">
        <f t="shared" si="0"/>
        <v>327, 326, 325, 318, 317, 316, 311, 303, 305, 302, M8, M7, M6, M5, 306, 307, 305, 302</v>
      </c>
      <c r="N23" s="75" t="str">
        <f t="shared" si="1"/>
        <v>27, 04, 03</v>
      </c>
      <c r="R23" s="70" t="s">
        <v>238</v>
      </c>
      <c r="S23" s="70" t="s">
        <v>53</v>
      </c>
      <c r="T23" s="70" t="s">
        <v>149</v>
      </c>
      <c r="U23" s="70"/>
      <c r="V23" s="70"/>
      <c r="X23" s="70" t="str">
        <f t="shared" si="21"/>
        <v>RM3W-E DT@E</v>
      </c>
      <c r="Y23" s="70" t="str">
        <f t="shared" si="22"/>
        <v>E DT-LS1@E</v>
      </c>
      <c r="Z23" s="70" t="str">
        <f t="shared" si="23"/>
        <v/>
      </c>
      <c r="AA23" s="70" t="str">
        <f t="shared" si="24"/>
        <v/>
      </c>
      <c r="AC23" s="70" t="str">
        <f t="shared" si="12"/>
        <v>327, 326, 325, 318, 317, 316, 311, 303, 305, 302</v>
      </c>
      <c r="AD23" s="70" t="str">
        <f t="shared" si="13"/>
        <v>M8, M7, M6, M5, 306, 307, 305, 302</v>
      </c>
      <c r="AE23" s="70" t="str">
        <f t="shared" si="14"/>
        <v/>
      </c>
      <c r="AF23" s="70" t="str">
        <f t="shared" si="15"/>
        <v/>
      </c>
      <c r="AH23" s="70" t="str">
        <f t="shared" si="16"/>
        <v>27, 04</v>
      </c>
      <c r="AI23" s="70" t="str">
        <f t="shared" si="17"/>
        <v>03</v>
      </c>
      <c r="AJ23" s="70" t="str">
        <f t="shared" si="18"/>
        <v/>
      </c>
      <c r="AK23" s="70" t="str">
        <f t="shared" si="19"/>
        <v/>
      </c>
      <c r="AM23" s="166" t="str">
        <f t="shared" si="20"/>
        <v>4W-E DT</v>
      </c>
      <c r="AN23" s="167" t="s">
        <v>243</v>
      </c>
      <c r="AO23" s="167" t="s">
        <v>240</v>
      </c>
      <c r="AP23" s="167" t="s">
        <v>241</v>
      </c>
    </row>
    <row r="24" spans="1:42" ht="20.100000000000001" customHeight="1" thickBot="1">
      <c r="A24" s="45" t="s">
        <v>244</v>
      </c>
      <c r="B24" s="45" t="s">
        <v>147</v>
      </c>
      <c r="C24" s="45" t="s">
        <v>245</v>
      </c>
      <c r="E24" s="45">
        <f t="shared" si="2"/>
        <v>8</v>
      </c>
      <c r="F24" s="45">
        <f t="shared" si="3"/>
        <v>4</v>
      </c>
      <c r="G24" s="45" t="str">
        <f t="shared" si="4"/>
        <v>LS1</v>
      </c>
      <c r="H24" s="45" t="str">
        <f t="shared" si="5"/>
        <v>HCTE</v>
      </c>
      <c r="J24" s="45" t="str">
        <f t="shared" si="6"/>
        <v>HCTE</v>
      </c>
      <c r="K24" s="45" t="s">
        <v>130</v>
      </c>
      <c r="L24" s="45" t="str">
        <f t="shared" si="7"/>
        <v>LS1-HCTE@E</v>
      </c>
      <c r="M24" s="75" t="str">
        <f t="shared" si="0"/>
        <v>M8, M7, M6, M5, 306, 307, 305, 302, 329, 328, 325, 318, 317, 316, 311, 303, 305, 302</v>
      </c>
      <c r="N24" s="75" t="str">
        <f t="shared" si="1"/>
        <v>05, 03, 10, 16</v>
      </c>
      <c r="R24" s="70" t="s">
        <v>149</v>
      </c>
      <c r="S24" s="70" t="s">
        <v>53</v>
      </c>
      <c r="T24" s="70" t="s">
        <v>246</v>
      </c>
      <c r="U24" s="70"/>
      <c r="V24" s="70"/>
      <c r="X24" s="70" t="str">
        <f t="shared" si="21"/>
        <v>LS1-E DT@E</v>
      </c>
      <c r="Y24" s="70" t="str">
        <f t="shared" si="22"/>
        <v>E DT-HCTE@E</v>
      </c>
      <c r="Z24" s="70" t="str">
        <f t="shared" si="23"/>
        <v/>
      </c>
      <c r="AA24" s="70" t="str">
        <f t="shared" si="24"/>
        <v/>
      </c>
      <c r="AC24" s="70" t="str">
        <f t="shared" si="12"/>
        <v>M8, M7, M6, M5, 306, 307, 305, 302</v>
      </c>
      <c r="AD24" s="70" t="str">
        <f t="shared" si="13"/>
        <v>329, 328, 325, 318, 317, 316, 311, 303, 305, 302</v>
      </c>
      <c r="AE24" s="70" t="str">
        <f t="shared" si="14"/>
        <v/>
      </c>
      <c r="AF24" s="70" t="str">
        <f t="shared" si="15"/>
        <v/>
      </c>
      <c r="AH24" s="70" t="str">
        <f t="shared" si="16"/>
        <v>05</v>
      </c>
      <c r="AI24" s="70" t="str">
        <f t="shared" si="17"/>
        <v>03, 10, 16</v>
      </c>
      <c r="AJ24" s="70" t="str">
        <f t="shared" si="18"/>
        <v/>
      </c>
      <c r="AK24" s="70" t="str">
        <f t="shared" si="19"/>
        <v/>
      </c>
      <c r="AM24" s="166" t="str">
        <f t="shared" si="20"/>
        <v>5E-E DT</v>
      </c>
      <c r="AN24" s="167" t="s">
        <v>247</v>
      </c>
      <c r="AO24" s="167" t="s">
        <v>240</v>
      </c>
      <c r="AP24" s="167" t="s">
        <v>248</v>
      </c>
    </row>
    <row r="25" spans="1:42" ht="20.100000000000001" customHeight="1" thickBot="1">
      <c r="A25" s="45" t="s">
        <v>249</v>
      </c>
      <c r="B25" s="45" t="s">
        <v>250</v>
      </c>
      <c r="C25" s="45" t="s">
        <v>251</v>
      </c>
      <c r="E25" s="45">
        <f t="shared" si="2"/>
        <v>8</v>
      </c>
      <c r="F25" s="45">
        <f t="shared" si="3"/>
        <v>5</v>
      </c>
      <c r="G25" s="45" t="str">
        <f t="shared" si="4"/>
        <v>HCTE</v>
      </c>
      <c r="H25" s="45" t="str">
        <f t="shared" si="5"/>
        <v>LS1</v>
      </c>
      <c r="J25" s="45" t="str">
        <f t="shared" si="6"/>
        <v>LS1</v>
      </c>
      <c r="K25" s="45" t="s">
        <v>130</v>
      </c>
      <c r="L25" s="45" t="str">
        <f t="shared" si="7"/>
        <v>HCTE-LS1@E</v>
      </c>
      <c r="M25" s="75" t="str">
        <f t="shared" si="0"/>
        <v>329, 328, 325, 318, 317, 316, 311, 303, 305, 302, M8, M7, M6, M5, 306, 307, 305, 302</v>
      </c>
      <c r="N25" s="75" t="str">
        <f t="shared" si="1"/>
        <v>28, 04, 03</v>
      </c>
      <c r="R25" s="70" t="s">
        <v>246</v>
      </c>
      <c r="S25" s="70" t="s">
        <v>53</v>
      </c>
      <c r="T25" s="70" t="s">
        <v>149</v>
      </c>
      <c r="U25" s="70"/>
      <c r="V25" s="70"/>
      <c r="X25" s="70" t="str">
        <f t="shared" si="21"/>
        <v>HCTE-E DT@E</v>
      </c>
      <c r="Y25" s="70" t="str">
        <f t="shared" si="22"/>
        <v>E DT-LS1@E</v>
      </c>
      <c r="Z25" s="70" t="str">
        <f t="shared" si="23"/>
        <v/>
      </c>
      <c r="AA25" s="70" t="str">
        <f t="shared" si="24"/>
        <v/>
      </c>
      <c r="AC25" s="70" t="str">
        <f t="shared" si="12"/>
        <v>329, 328, 325, 318, 317, 316, 311, 303, 305, 302</v>
      </c>
      <c r="AD25" s="70" t="str">
        <f t="shared" si="13"/>
        <v>M8, M7, M6, M5, 306, 307, 305, 302</v>
      </c>
      <c r="AE25" s="70" t="str">
        <f t="shared" si="14"/>
        <v/>
      </c>
      <c r="AF25" s="70" t="str">
        <f t="shared" si="15"/>
        <v/>
      </c>
      <c r="AH25" s="70" t="str">
        <f t="shared" si="16"/>
        <v>28, 04</v>
      </c>
      <c r="AI25" s="70" t="str">
        <f t="shared" si="17"/>
        <v>03</v>
      </c>
      <c r="AJ25" s="70" t="str">
        <f t="shared" si="18"/>
        <v/>
      </c>
      <c r="AK25" s="70" t="str">
        <f t="shared" si="19"/>
        <v/>
      </c>
      <c r="AM25" s="166" t="str">
        <f t="shared" si="20"/>
        <v>5W-E DT</v>
      </c>
      <c r="AN25" s="167" t="s">
        <v>252</v>
      </c>
      <c r="AO25" s="167" t="s">
        <v>240</v>
      </c>
      <c r="AP25" s="167" t="s">
        <v>248</v>
      </c>
    </row>
    <row r="26" spans="1:42" ht="20.100000000000001" customHeight="1" thickBot="1">
      <c r="A26" s="45" t="s">
        <v>253</v>
      </c>
      <c r="B26" s="45" t="s">
        <v>147</v>
      </c>
      <c r="C26" s="45" t="s">
        <v>245</v>
      </c>
      <c r="E26" s="45">
        <f t="shared" si="2"/>
        <v>8</v>
      </c>
      <c r="F26" s="45">
        <f t="shared" si="3"/>
        <v>4</v>
      </c>
      <c r="G26" s="45" t="str">
        <f t="shared" si="4"/>
        <v>LS1</v>
      </c>
      <c r="H26" s="45" t="str">
        <f t="shared" si="5"/>
        <v>HCTW</v>
      </c>
      <c r="J26" s="45" t="str">
        <f t="shared" si="6"/>
        <v>HCTW</v>
      </c>
      <c r="K26" s="45" t="s">
        <v>130</v>
      </c>
      <c r="L26" s="45" t="str">
        <f t="shared" si="7"/>
        <v>LS1-HCTW@E</v>
      </c>
      <c r="M26" s="75" t="str">
        <f t="shared" si="0"/>
        <v>M8, M7, M6, M5, 306, 307, 305, 302, 329, 328, 325, 318, 317, 316, 311, 303, 305, 302</v>
      </c>
      <c r="N26" s="75" t="str">
        <f t="shared" si="1"/>
        <v>05, 03, 10, 16</v>
      </c>
      <c r="R26" s="70" t="s">
        <v>149</v>
      </c>
      <c r="S26" s="70" t="s">
        <v>53</v>
      </c>
      <c r="T26" s="70" t="s">
        <v>254</v>
      </c>
      <c r="U26" s="70"/>
      <c r="V26" s="70"/>
      <c r="X26" s="70" t="str">
        <f t="shared" si="21"/>
        <v>LS1-E DT@E</v>
      </c>
      <c r="Y26" s="70" t="str">
        <f t="shared" si="22"/>
        <v>E DT-HCTW@E</v>
      </c>
      <c r="Z26" s="70" t="str">
        <f t="shared" si="23"/>
        <v/>
      </c>
      <c r="AA26" s="70" t="str">
        <f t="shared" si="24"/>
        <v/>
      </c>
      <c r="AC26" s="70" t="str">
        <f t="shared" si="12"/>
        <v>M8, M7, M6, M5, 306, 307, 305, 302</v>
      </c>
      <c r="AD26" s="70" t="str">
        <f t="shared" si="13"/>
        <v>329, 328, 325, 318, 317, 316, 311, 303, 305, 302</v>
      </c>
      <c r="AE26" s="70" t="str">
        <f t="shared" si="14"/>
        <v/>
      </c>
      <c r="AF26" s="70" t="str">
        <f t="shared" si="15"/>
        <v/>
      </c>
      <c r="AH26" s="70" t="str">
        <f t="shared" si="16"/>
        <v>05</v>
      </c>
      <c r="AI26" s="70" t="str">
        <f t="shared" si="17"/>
        <v>03, 10, 16</v>
      </c>
      <c r="AJ26" s="70" t="str">
        <f t="shared" si="18"/>
        <v/>
      </c>
      <c r="AK26" s="70" t="str">
        <f t="shared" si="19"/>
        <v/>
      </c>
      <c r="AM26" s="166" t="str">
        <f t="shared" si="20"/>
        <v>6E-E DT</v>
      </c>
      <c r="AN26" s="167" t="s">
        <v>255</v>
      </c>
      <c r="AO26" s="167" t="s">
        <v>256</v>
      </c>
      <c r="AP26" s="167" t="s">
        <v>257</v>
      </c>
    </row>
    <row r="27" spans="1:42" ht="20.100000000000001" customHeight="1" thickBot="1">
      <c r="A27" s="45" t="s">
        <v>258</v>
      </c>
      <c r="B27" s="45" t="s">
        <v>250</v>
      </c>
      <c r="C27" s="45" t="s">
        <v>251</v>
      </c>
      <c r="E27" s="45">
        <f t="shared" si="2"/>
        <v>8</v>
      </c>
      <c r="F27" s="45">
        <f t="shared" si="3"/>
        <v>5</v>
      </c>
      <c r="G27" s="45" t="str">
        <f t="shared" si="4"/>
        <v>HCTW</v>
      </c>
      <c r="H27" s="45" t="str">
        <f t="shared" si="5"/>
        <v>LS1</v>
      </c>
      <c r="J27" s="45" t="str">
        <f t="shared" si="6"/>
        <v>LS1</v>
      </c>
      <c r="K27" s="45" t="s">
        <v>130</v>
      </c>
      <c r="L27" s="45" t="str">
        <f t="shared" si="7"/>
        <v>HCTW-LS1@E</v>
      </c>
      <c r="M27" s="75" t="str">
        <f t="shared" si="0"/>
        <v>329, 328, 325, 318, 317, 316, 311, 303, 305, 302, M8, M7, M6, M5, 306, 307, 305, 302</v>
      </c>
      <c r="N27" s="75" t="str">
        <f t="shared" si="1"/>
        <v>28, 04, 03</v>
      </c>
      <c r="R27" s="70" t="s">
        <v>254</v>
      </c>
      <c r="S27" s="70" t="s">
        <v>53</v>
      </c>
      <c r="T27" s="70" t="s">
        <v>149</v>
      </c>
      <c r="U27" s="70"/>
      <c r="V27" s="70"/>
      <c r="X27" s="70" t="str">
        <f t="shared" si="21"/>
        <v>HCTW-E DT@E</v>
      </c>
      <c r="Y27" s="70" t="str">
        <f t="shared" si="22"/>
        <v>E DT-LS1@E</v>
      </c>
      <c r="Z27" s="70" t="str">
        <f t="shared" si="23"/>
        <v/>
      </c>
      <c r="AA27" s="70" t="str">
        <f t="shared" si="24"/>
        <v/>
      </c>
      <c r="AC27" s="70" t="str">
        <f t="shared" si="12"/>
        <v>329, 328, 325, 318, 317, 316, 311, 303, 305, 302</v>
      </c>
      <c r="AD27" s="70" t="str">
        <f t="shared" si="13"/>
        <v>M8, M7, M6, M5, 306, 307, 305, 302</v>
      </c>
      <c r="AE27" s="70" t="str">
        <f t="shared" si="14"/>
        <v/>
      </c>
      <c r="AF27" s="70" t="str">
        <f t="shared" si="15"/>
        <v/>
      </c>
      <c r="AH27" s="70" t="str">
        <f t="shared" si="16"/>
        <v>28, 04</v>
      </c>
      <c r="AI27" s="70" t="str">
        <f t="shared" si="17"/>
        <v>03</v>
      </c>
      <c r="AJ27" s="70" t="str">
        <f t="shared" si="18"/>
        <v/>
      </c>
      <c r="AK27" s="70" t="str">
        <f t="shared" si="19"/>
        <v/>
      </c>
      <c r="AM27" s="166" t="str">
        <f t="shared" si="20"/>
        <v>6W-E DT</v>
      </c>
      <c r="AN27" s="167" t="s">
        <v>259</v>
      </c>
      <c r="AO27" s="167" t="s">
        <v>256</v>
      </c>
      <c r="AP27" s="167" t="s">
        <v>257</v>
      </c>
    </row>
    <row r="28" spans="1:42" ht="20.100000000000001" customHeight="1" thickBot="1">
      <c r="A28" s="45" t="s">
        <v>260</v>
      </c>
      <c r="B28" s="45" t="s">
        <v>147</v>
      </c>
      <c r="C28" s="45" t="s">
        <v>245</v>
      </c>
      <c r="E28" s="45">
        <f t="shared" si="2"/>
        <v>6</v>
      </c>
      <c r="F28" s="45">
        <f t="shared" si="3"/>
        <v>4</v>
      </c>
      <c r="G28" s="45" t="str">
        <f t="shared" si="4"/>
        <v>LS1</v>
      </c>
      <c r="H28" s="45" t="str">
        <f t="shared" si="5"/>
        <v>1E</v>
      </c>
      <c r="J28" s="45" t="str">
        <f t="shared" si="6"/>
        <v>1E</v>
      </c>
      <c r="K28" s="45" t="s">
        <v>130</v>
      </c>
      <c r="L28" s="45" t="str">
        <f t="shared" si="7"/>
        <v>LS1-1E@E</v>
      </c>
      <c r="M28" s="75" t="str">
        <f t="shared" si="0"/>
        <v>M8, M7, M6, M5, 306, 307, 305, 302, 329, 328, 325, 318, 317, 316, 311, 303, 305, 302</v>
      </c>
      <c r="N28" s="75" t="str">
        <f t="shared" si="1"/>
        <v>05, 03, 10, 16</v>
      </c>
      <c r="R28" s="70" t="s">
        <v>149</v>
      </c>
      <c r="S28" s="70" t="s">
        <v>53</v>
      </c>
      <c r="T28" s="70" t="s">
        <v>261</v>
      </c>
      <c r="U28" s="70"/>
      <c r="V28" s="70"/>
      <c r="X28" s="70" t="str">
        <f t="shared" si="21"/>
        <v>LS1-E DT@E</v>
      </c>
      <c r="Y28" s="70" t="str">
        <f t="shared" si="22"/>
        <v>E DT-1E@E</v>
      </c>
      <c r="Z28" s="70" t="str">
        <f t="shared" si="23"/>
        <v/>
      </c>
      <c r="AA28" s="70" t="str">
        <f t="shared" si="24"/>
        <v/>
      </c>
      <c r="AC28" s="70" t="str">
        <f t="shared" si="12"/>
        <v>M8, M7, M6, M5, 306, 307, 305, 302</v>
      </c>
      <c r="AD28" s="70" t="str">
        <f t="shared" si="13"/>
        <v>329, 328, 325, 318, 317, 316, 311, 303, 305, 302</v>
      </c>
      <c r="AE28" s="70" t="str">
        <f t="shared" si="14"/>
        <v/>
      </c>
      <c r="AF28" s="70" t="str">
        <f t="shared" si="15"/>
        <v/>
      </c>
      <c r="AH28" s="70" t="str">
        <f t="shared" si="16"/>
        <v>05</v>
      </c>
      <c r="AI28" s="70" t="str">
        <f t="shared" si="17"/>
        <v>03, 10, 16</v>
      </c>
      <c r="AJ28" s="70" t="str">
        <f t="shared" si="18"/>
        <v/>
      </c>
      <c r="AK28" s="70" t="str">
        <f t="shared" si="19"/>
        <v/>
      </c>
      <c r="AM28" s="166" t="str">
        <f t="shared" si="20"/>
        <v>7E-E DT</v>
      </c>
      <c r="AN28" s="167" t="s">
        <v>262</v>
      </c>
      <c r="AO28" s="167" t="s">
        <v>263</v>
      </c>
      <c r="AP28" s="167" t="s">
        <v>264</v>
      </c>
    </row>
    <row r="29" spans="1:42" ht="20.100000000000001" customHeight="1" thickBot="1">
      <c r="A29" s="45" t="s">
        <v>265</v>
      </c>
      <c r="B29" s="45" t="s">
        <v>266</v>
      </c>
      <c r="C29" s="45" t="s">
        <v>251</v>
      </c>
      <c r="E29" s="45">
        <f t="shared" si="2"/>
        <v>6</v>
      </c>
      <c r="F29" s="45">
        <f t="shared" si="3"/>
        <v>3</v>
      </c>
      <c r="G29" s="45" t="str">
        <f t="shared" si="4"/>
        <v>1E</v>
      </c>
      <c r="H29" s="45" t="str">
        <f t="shared" si="5"/>
        <v>LS1</v>
      </c>
      <c r="J29" s="45" t="str">
        <f t="shared" si="6"/>
        <v>LS1</v>
      </c>
      <c r="K29" s="45" t="s">
        <v>130</v>
      </c>
      <c r="L29" s="45" t="str">
        <f t="shared" si="7"/>
        <v>1E-LS1@E</v>
      </c>
      <c r="M29" s="75" t="str">
        <f t="shared" si="0"/>
        <v>329, 328, 325, 318, 317, 316, 311, 303, 305, 302, M8, M7, M6, M5, 306, 307, 305, 302</v>
      </c>
      <c r="N29" s="75" t="str">
        <f t="shared" si="1"/>
        <v>29, 04, 03</v>
      </c>
      <c r="R29" s="70" t="s">
        <v>261</v>
      </c>
      <c r="S29" s="70" t="s">
        <v>53</v>
      </c>
      <c r="T29" s="70" t="s">
        <v>149</v>
      </c>
      <c r="U29" s="70"/>
      <c r="V29" s="70"/>
      <c r="X29" s="70" t="str">
        <f t="shared" si="21"/>
        <v>1E-E DT@E</v>
      </c>
      <c r="Y29" s="70" t="str">
        <f t="shared" si="22"/>
        <v>E DT-LS1@E</v>
      </c>
      <c r="Z29" s="70" t="str">
        <f t="shared" si="23"/>
        <v/>
      </c>
      <c r="AA29" s="70" t="str">
        <f t="shared" si="24"/>
        <v/>
      </c>
      <c r="AC29" s="70" t="str">
        <f t="shared" si="12"/>
        <v>329, 328, 325, 318, 317, 316, 311, 303, 305, 302</v>
      </c>
      <c r="AD29" s="70" t="str">
        <f t="shared" si="13"/>
        <v>M8, M7, M6, M5, 306, 307, 305, 302</v>
      </c>
      <c r="AE29" s="70" t="str">
        <f t="shared" si="14"/>
        <v/>
      </c>
      <c r="AF29" s="70" t="str">
        <f t="shared" si="15"/>
        <v/>
      </c>
      <c r="AH29" s="70" t="str">
        <f t="shared" si="16"/>
        <v>29, 04</v>
      </c>
      <c r="AI29" s="70" t="str">
        <f t="shared" si="17"/>
        <v>03</v>
      </c>
      <c r="AJ29" s="70" t="str">
        <f t="shared" si="18"/>
        <v/>
      </c>
      <c r="AK29" s="70" t="str">
        <f t="shared" si="19"/>
        <v/>
      </c>
      <c r="AM29" s="166" t="str">
        <f t="shared" si="20"/>
        <v>7W-E DT</v>
      </c>
      <c r="AN29" s="167" t="s">
        <v>267</v>
      </c>
      <c r="AO29" s="167" t="s">
        <v>263</v>
      </c>
      <c r="AP29" s="167" t="s">
        <v>264</v>
      </c>
    </row>
    <row r="30" spans="1:42" ht="20.100000000000001" customHeight="1" thickBot="1">
      <c r="A30" s="45" t="s">
        <v>268</v>
      </c>
      <c r="B30" s="45" t="s">
        <v>147</v>
      </c>
      <c r="C30" s="45" t="s">
        <v>245</v>
      </c>
      <c r="E30" s="45">
        <f t="shared" si="2"/>
        <v>6</v>
      </c>
      <c r="F30" s="45">
        <f t="shared" si="3"/>
        <v>4</v>
      </c>
      <c r="G30" s="45" t="str">
        <f t="shared" si="4"/>
        <v>LS1</v>
      </c>
      <c r="H30" s="45" t="str">
        <f t="shared" si="5"/>
        <v>1W</v>
      </c>
      <c r="J30" s="45" t="str">
        <f t="shared" si="6"/>
        <v>1W</v>
      </c>
      <c r="K30" s="45" t="s">
        <v>130</v>
      </c>
      <c r="L30" s="45" t="str">
        <f t="shared" si="7"/>
        <v>LS1-1W@E</v>
      </c>
      <c r="M30" s="75" t="str">
        <f t="shared" si="0"/>
        <v>M8, M7, M6, M5, 306, 307, 305, 302, 329, 328, 325, 318, 317, 316, 311, 303, 305, 302</v>
      </c>
      <c r="N30" s="75" t="str">
        <f t="shared" si="1"/>
        <v>05, 03, 10, 16</v>
      </c>
      <c r="R30" s="70" t="s">
        <v>149</v>
      </c>
      <c r="S30" s="70" t="s">
        <v>53</v>
      </c>
      <c r="T30" s="70" t="s">
        <v>269</v>
      </c>
      <c r="U30" s="70"/>
      <c r="V30" s="70"/>
      <c r="X30" s="70" t="str">
        <f t="shared" si="21"/>
        <v>LS1-E DT@E</v>
      </c>
      <c r="Y30" s="70" t="str">
        <f t="shared" si="22"/>
        <v>E DT-1W@E</v>
      </c>
      <c r="Z30" s="70" t="str">
        <f t="shared" si="23"/>
        <v/>
      </c>
      <c r="AA30" s="70" t="str">
        <f t="shared" si="24"/>
        <v/>
      </c>
      <c r="AC30" s="70" t="str">
        <f t="shared" si="12"/>
        <v>M8, M7, M6, M5, 306, 307, 305, 302</v>
      </c>
      <c r="AD30" s="70" t="str">
        <f t="shared" si="13"/>
        <v>329, 328, 325, 318, 317, 316, 311, 303, 305, 302</v>
      </c>
      <c r="AE30" s="70" t="str">
        <f t="shared" si="14"/>
        <v/>
      </c>
      <c r="AF30" s="70" t="str">
        <f t="shared" si="15"/>
        <v/>
      </c>
      <c r="AH30" s="70" t="str">
        <f t="shared" si="16"/>
        <v>05</v>
      </c>
      <c r="AI30" s="70" t="str">
        <f t="shared" si="17"/>
        <v>03, 10, 16</v>
      </c>
      <c r="AJ30" s="70" t="str">
        <f t="shared" si="18"/>
        <v/>
      </c>
      <c r="AK30" s="70" t="str">
        <f t="shared" si="19"/>
        <v/>
      </c>
      <c r="AM30" s="166" t="str">
        <f t="shared" si="20"/>
        <v>8E-E DT</v>
      </c>
      <c r="AN30" s="167" t="s">
        <v>270</v>
      </c>
      <c r="AO30" s="167" t="s">
        <v>263</v>
      </c>
      <c r="AP30" s="167" t="s">
        <v>271</v>
      </c>
    </row>
    <row r="31" spans="1:42" ht="20.100000000000001" customHeight="1" thickBot="1">
      <c r="A31" s="45" t="s">
        <v>272</v>
      </c>
      <c r="B31" s="45" t="s">
        <v>266</v>
      </c>
      <c r="C31" s="45" t="s">
        <v>251</v>
      </c>
      <c r="E31" s="45">
        <f t="shared" si="2"/>
        <v>6</v>
      </c>
      <c r="F31" s="45">
        <f t="shared" si="3"/>
        <v>3</v>
      </c>
      <c r="G31" s="45" t="str">
        <f t="shared" si="4"/>
        <v>1W</v>
      </c>
      <c r="H31" s="45" t="str">
        <f t="shared" si="5"/>
        <v>LS1</v>
      </c>
      <c r="J31" s="45" t="str">
        <f t="shared" si="6"/>
        <v>LS1</v>
      </c>
      <c r="K31" s="45" t="s">
        <v>130</v>
      </c>
      <c r="L31" s="45" t="str">
        <f t="shared" si="7"/>
        <v>1W-LS1@E</v>
      </c>
      <c r="M31" s="75" t="str">
        <f t="shared" si="0"/>
        <v>329, 328, 325, 318, 317, 316, 311, 303, 305, 302, M8, M7, M6, M5, 306, 307, 305, 302</v>
      </c>
      <c r="N31" s="75" t="str">
        <f t="shared" si="1"/>
        <v>29, 04, 03</v>
      </c>
      <c r="R31" s="70" t="s">
        <v>269</v>
      </c>
      <c r="S31" s="70" t="s">
        <v>53</v>
      </c>
      <c r="T31" s="70" t="s">
        <v>149</v>
      </c>
      <c r="U31" s="70"/>
      <c r="V31" s="70"/>
      <c r="X31" s="70" t="str">
        <f t="shared" si="21"/>
        <v>1W-E DT@E</v>
      </c>
      <c r="Y31" s="70" t="str">
        <f t="shared" si="22"/>
        <v>E DT-LS1@E</v>
      </c>
      <c r="Z31" s="70" t="str">
        <f t="shared" si="23"/>
        <v/>
      </c>
      <c r="AA31" s="70" t="str">
        <f t="shared" si="24"/>
        <v/>
      </c>
      <c r="AC31" s="70" t="str">
        <f t="shared" si="12"/>
        <v>329, 328, 325, 318, 317, 316, 311, 303, 305, 302</v>
      </c>
      <c r="AD31" s="70" t="str">
        <f t="shared" si="13"/>
        <v>M8, M7, M6, M5, 306, 307, 305, 302</v>
      </c>
      <c r="AE31" s="70" t="str">
        <f t="shared" si="14"/>
        <v/>
      </c>
      <c r="AF31" s="70" t="str">
        <f t="shared" si="15"/>
        <v/>
      </c>
      <c r="AH31" s="70" t="str">
        <f t="shared" si="16"/>
        <v>29, 04</v>
      </c>
      <c r="AI31" s="70" t="str">
        <f t="shared" si="17"/>
        <v>03</v>
      </c>
      <c r="AJ31" s="70" t="str">
        <f t="shared" si="18"/>
        <v/>
      </c>
      <c r="AK31" s="70" t="str">
        <f t="shared" si="19"/>
        <v/>
      </c>
      <c r="AM31" s="166" t="str">
        <f t="shared" si="20"/>
        <v>8W-E DT</v>
      </c>
      <c r="AN31" s="167" t="s">
        <v>273</v>
      </c>
      <c r="AO31" s="167" t="s">
        <v>263</v>
      </c>
      <c r="AP31" s="167" t="s">
        <v>271</v>
      </c>
    </row>
    <row r="32" spans="1:42" ht="20.100000000000001" customHeight="1" thickBot="1">
      <c r="A32" s="45" t="s">
        <v>274</v>
      </c>
      <c r="B32" s="45" t="s">
        <v>147</v>
      </c>
      <c r="C32" s="45" t="s">
        <v>275</v>
      </c>
      <c r="E32" s="45">
        <f t="shared" si="2"/>
        <v>6</v>
      </c>
      <c r="F32" s="45">
        <f t="shared" si="3"/>
        <v>4</v>
      </c>
      <c r="G32" s="45" t="str">
        <f t="shared" si="4"/>
        <v>LS1</v>
      </c>
      <c r="H32" s="45" t="str">
        <f t="shared" si="5"/>
        <v>2E</v>
      </c>
      <c r="J32" s="45" t="str">
        <f t="shared" si="6"/>
        <v>2E</v>
      </c>
      <c r="K32" s="45" t="s">
        <v>130</v>
      </c>
      <c r="L32" s="45" t="str">
        <f t="shared" si="7"/>
        <v>LS1-2E@E</v>
      </c>
      <c r="M32" s="75" t="str">
        <f t="shared" si="0"/>
        <v>M8, M7, M6, M5, 306, 307, 305, 302, 330, 328, 325, 318, 317, 316, 311, 303, 305, 302</v>
      </c>
      <c r="N32" s="75" t="str">
        <f t="shared" si="1"/>
        <v>05, 03, 10, 16</v>
      </c>
      <c r="R32" s="70" t="s">
        <v>149</v>
      </c>
      <c r="S32" s="70" t="s">
        <v>53</v>
      </c>
      <c r="T32" s="70" t="s">
        <v>276</v>
      </c>
      <c r="U32" s="70"/>
      <c r="V32" s="70"/>
      <c r="X32" s="70" t="str">
        <f t="shared" si="21"/>
        <v>LS1-E DT@E</v>
      </c>
      <c r="Y32" s="70" t="str">
        <f t="shared" si="22"/>
        <v>E DT-2E@E</v>
      </c>
      <c r="Z32" s="70" t="str">
        <f t="shared" si="23"/>
        <v/>
      </c>
      <c r="AA32" s="70" t="str">
        <f t="shared" si="24"/>
        <v/>
      </c>
      <c r="AC32" s="70" t="str">
        <f t="shared" si="12"/>
        <v>M8, M7, M6, M5, 306, 307, 305, 302</v>
      </c>
      <c r="AD32" s="70" t="str">
        <f t="shared" si="13"/>
        <v>330, 328, 325, 318, 317, 316, 311, 303, 305, 302</v>
      </c>
      <c r="AE32" s="70" t="str">
        <f t="shared" si="14"/>
        <v/>
      </c>
      <c r="AF32" s="70" t="str">
        <f t="shared" si="15"/>
        <v/>
      </c>
      <c r="AH32" s="70" t="str">
        <f t="shared" si="16"/>
        <v>05</v>
      </c>
      <c r="AI32" s="70" t="str">
        <f t="shared" si="17"/>
        <v>03, 10, 16</v>
      </c>
      <c r="AJ32" s="70" t="str">
        <f t="shared" si="18"/>
        <v/>
      </c>
      <c r="AK32" s="70" t="str">
        <f t="shared" si="19"/>
        <v/>
      </c>
      <c r="AM32" s="166" t="str">
        <f t="shared" si="20"/>
        <v>LS2-E DT</v>
      </c>
      <c r="AN32" s="167" t="s">
        <v>277</v>
      </c>
      <c r="AO32" s="167" t="s">
        <v>278</v>
      </c>
      <c r="AP32" s="168" t="s">
        <v>152</v>
      </c>
    </row>
    <row r="33" spans="1:42" ht="20.100000000000001" customHeight="1" thickBot="1">
      <c r="A33" s="45" t="s">
        <v>279</v>
      </c>
      <c r="B33" s="45" t="s">
        <v>280</v>
      </c>
      <c r="C33" s="45" t="s">
        <v>281</v>
      </c>
      <c r="E33" s="45">
        <f t="shared" si="2"/>
        <v>6</v>
      </c>
      <c r="F33" s="45">
        <f t="shared" si="3"/>
        <v>3</v>
      </c>
      <c r="G33" s="45" t="str">
        <f t="shared" si="4"/>
        <v>2E</v>
      </c>
      <c r="H33" s="45" t="str">
        <f t="shared" si="5"/>
        <v>LS1</v>
      </c>
      <c r="J33" s="45" t="str">
        <f t="shared" si="6"/>
        <v>LS1</v>
      </c>
      <c r="K33" s="45" t="s">
        <v>130</v>
      </c>
      <c r="L33" s="45" t="str">
        <f t="shared" si="7"/>
        <v>2E-LS1@E</v>
      </c>
      <c r="M33" s="75" t="str">
        <f t="shared" si="0"/>
        <v>330, 328, 325, 318, 317, 316, 311, 303, 305, 302, M8, M7, M6, M5, 306, 307, 305, 302</v>
      </c>
      <c r="N33" s="75" t="str">
        <f t="shared" si="1"/>
        <v>30, 04, 03</v>
      </c>
      <c r="R33" s="70" t="s">
        <v>276</v>
      </c>
      <c r="S33" s="70" t="s">
        <v>53</v>
      </c>
      <c r="T33" s="70" t="s">
        <v>149</v>
      </c>
      <c r="U33" s="70"/>
      <c r="V33" s="70"/>
      <c r="X33" s="70" t="str">
        <f t="shared" si="21"/>
        <v>2E-E DT@E</v>
      </c>
      <c r="Y33" s="70" t="str">
        <f t="shared" si="22"/>
        <v>E DT-LS1@E</v>
      </c>
      <c r="Z33" s="70" t="str">
        <f t="shared" si="23"/>
        <v/>
      </c>
      <c r="AA33" s="70" t="str">
        <f t="shared" si="24"/>
        <v/>
      </c>
      <c r="AC33" s="70" t="str">
        <f t="shared" si="12"/>
        <v>330, 328, 325, 318, 317, 316, 311, 303, 305, 302</v>
      </c>
      <c r="AD33" s="70" t="str">
        <f t="shared" si="13"/>
        <v>M8, M7, M6, M5, 306, 307, 305, 302</v>
      </c>
      <c r="AE33" s="70" t="str">
        <f t="shared" si="14"/>
        <v/>
      </c>
      <c r="AF33" s="70" t="str">
        <f t="shared" si="15"/>
        <v/>
      </c>
      <c r="AH33" s="70" t="str">
        <f t="shared" si="16"/>
        <v>30, 04</v>
      </c>
      <c r="AI33" s="70" t="str">
        <f t="shared" si="17"/>
        <v>03</v>
      </c>
      <c r="AJ33" s="70" t="str">
        <f t="shared" si="18"/>
        <v/>
      </c>
      <c r="AK33" s="70" t="str">
        <f t="shared" si="19"/>
        <v/>
      </c>
      <c r="AM33" s="166" t="str">
        <f t="shared" si="20"/>
        <v>LS3-E DT</v>
      </c>
      <c r="AN33" s="167" t="s">
        <v>282</v>
      </c>
      <c r="AO33" s="167" t="s">
        <v>283</v>
      </c>
      <c r="AP33" s="167" t="s">
        <v>152</v>
      </c>
    </row>
    <row r="34" spans="1:42" ht="20.100000000000001" customHeight="1" thickBot="1">
      <c r="A34" s="45" t="s">
        <v>284</v>
      </c>
      <c r="B34" s="45" t="s">
        <v>147</v>
      </c>
      <c r="C34" s="45" t="s">
        <v>275</v>
      </c>
      <c r="E34" s="45">
        <f t="shared" si="2"/>
        <v>6</v>
      </c>
      <c r="F34" s="45">
        <f t="shared" si="3"/>
        <v>4</v>
      </c>
      <c r="G34" s="45" t="str">
        <f t="shared" si="4"/>
        <v>LS1</v>
      </c>
      <c r="H34" s="45" t="str">
        <f t="shared" si="5"/>
        <v>2W</v>
      </c>
      <c r="J34" s="45" t="str">
        <f t="shared" si="6"/>
        <v>2W</v>
      </c>
      <c r="K34" s="45" t="s">
        <v>130</v>
      </c>
      <c r="L34" s="45" t="str">
        <f t="shared" si="7"/>
        <v>LS1-2W@E</v>
      </c>
      <c r="M34" s="75" t="str">
        <f t="shared" si="0"/>
        <v>M8, M7, M6, M5, 306, 307, 305, 302, 330, 328, 325, 318, 317, 316, 311, 303, 305, 302</v>
      </c>
      <c r="N34" s="75" t="str">
        <f t="shared" si="1"/>
        <v>05, 03, 10, 16</v>
      </c>
      <c r="R34" s="70" t="s">
        <v>149</v>
      </c>
      <c r="S34" s="70" t="s">
        <v>53</v>
      </c>
      <c r="T34" s="70" t="s">
        <v>285</v>
      </c>
      <c r="U34" s="70"/>
      <c r="V34" s="70"/>
      <c r="X34" s="70" t="str">
        <f t="shared" si="21"/>
        <v>LS1-E DT@E</v>
      </c>
      <c r="Y34" s="70" t="str">
        <f t="shared" si="22"/>
        <v>E DT-2W@E</v>
      </c>
      <c r="Z34" s="70" t="str">
        <f t="shared" si="23"/>
        <v/>
      </c>
      <c r="AA34" s="70" t="str">
        <f t="shared" si="24"/>
        <v/>
      </c>
      <c r="AC34" s="70" t="str">
        <f t="shared" si="12"/>
        <v>M8, M7, M6, M5, 306, 307, 305, 302</v>
      </c>
      <c r="AD34" s="70" t="str">
        <f t="shared" si="13"/>
        <v>330, 328, 325, 318, 317, 316, 311, 303, 305, 302</v>
      </c>
      <c r="AE34" s="70" t="str">
        <f t="shared" si="14"/>
        <v/>
      </c>
      <c r="AF34" s="70" t="str">
        <f t="shared" si="15"/>
        <v/>
      </c>
      <c r="AH34" s="70" t="str">
        <f t="shared" si="16"/>
        <v>05</v>
      </c>
      <c r="AI34" s="70" t="str">
        <f t="shared" si="17"/>
        <v>03, 10, 16</v>
      </c>
      <c r="AJ34" s="70" t="str">
        <f t="shared" si="18"/>
        <v/>
      </c>
      <c r="AK34" s="70" t="str">
        <f t="shared" si="19"/>
        <v/>
      </c>
      <c r="AM34" s="166" t="str">
        <f t="shared" si="20"/>
        <v>LB-E DT</v>
      </c>
      <c r="AN34" s="167" t="s">
        <v>286</v>
      </c>
      <c r="AO34" s="167" t="s">
        <v>287</v>
      </c>
      <c r="AP34" s="167" t="s">
        <v>152</v>
      </c>
    </row>
    <row r="35" spans="1:42" ht="20.100000000000001" customHeight="1" thickBot="1">
      <c r="A35" s="45" t="s">
        <v>288</v>
      </c>
      <c r="B35" s="45" t="s">
        <v>280</v>
      </c>
      <c r="C35" s="45" t="s">
        <v>281</v>
      </c>
      <c r="E35" s="45">
        <f t="shared" si="2"/>
        <v>6</v>
      </c>
      <c r="F35" s="45">
        <f t="shared" si="3"/>
        <v>3</v>
      </c>
      <c r="G35" s="45" t="str">
        <f t="shared" si="4"/>
        <v>2W</v>
      </c>
      <c r="H35" s="45" t="str">
        <f t="shared" si="5"/>
        <v>LS1</v>
      </c>
      <c r="J35" s="45" t="str">
        <f t="shared" si="6"/>
        <v>LS1</v>
      </c>
      <c r="K35" s="45" t="s">
        <v>130</v>
      </c>
      <c r="L35" s="45" t="str">
        <f t="shared" si="7"/>
        <v>2W-LS1@E</v>
      </c>
      <c r="M35" s="75" t="str">
        <f t="shared" si="0"/>
        <v>330, 328, 325, 318, 317, 316, 311, 303, 305, 302, M8, M7, M6, M5, 306, 307, 305, 302</v>
      </c>
      <c r="N35" s="75" t="str">
        <f t="shared" si="1"/>
        <v>30, 04, 03</v>
      </c>
      <c r="R35" s="70" t="s">
        <v>285</v>
      </c>
      <c r="S35" s="70" t="s">
        <v>53</v>
      </c>
      <c r="T35" s="70" t="s">
        <v>149</v>
      </c>
      <c r="U35" s="70"/>
      <c r="V35" s="70"/>
      <c r="X35" s="70" t="str">
        <f t="shared" si="21"/>
        <v>2W-E DT@E</v>
      </c>
      <c r="Y35" s="70" t="str">
        <f t="shared" si="22"/>
        <v>E DT-LS1@E</v>
      </c>
      <c r="Z35" s="70" t="str">
        <f t="shared" si="23"/>
        <v/>
      </c>
      <c r="AA35" s="70" t="str">
        <f t="shared" si="24"/>
        <v/>
      </c>
      <c r="AC35" s="70" t="str">
        <f t="shared" si="12"/>
        <v>330, 328, 325, 318, 317, 316, 311, 303, 305, 302</v>
      </c>
      <c r="AD35" s="70" t="str">
        <f t="shared" si="13"/>
        <v>M8, M7, M6, M5, 306, 307, 305, 302</v>
      </c>
      <c r="AE35" s="70" t="str">
        <f t="shared" si="14"/>
        <v/>
      </c>
      <c r="AF35" s="70" t="str">
        <f t="shared" si="15"/>
        <v/>
      </c>
      <c r="AH35" s="70" t="str">
        <f t="shared" si="16"/>
        <v>30, 04</v>
      </c>
      <c r="AI35" s="70" t="str">
        <f t="shared" si="17"/>
        <v>03</v>
      </c>
      <c r="AJ35" s="70" t="str">
        <f t="shared" si="18"/>
        <v/>
      </c>
      <c r="AK35" s="70" t="str">
        <f t="shared" si="19"/>
        <v/>
      </c>
      <c r="AM35" s="166" t="str">
        <f t="shared" si="20"/>
        <v>M1-E DT</v>
      </c>
      <c r="AN35" s="167" t="s">
        <v>289</v>
      </c>
      <c r="AO35" s="167" t="s">
        <v>290</v>
      </c>
      <c r="AP35" s="168" t="s">
        <v>291</v>
      </c>
    </row>
    <row r="36" spans="1:42" ht="20.100000000000001" customHeight="1" thickBot="1">
      <c r="A36" s="45" t="s">
        <v>292</v>
      </c>
      <c r="B36" s="45" t="s">
        <v>147</v>
      </c>
      <c r="C36" s="45" t="s">
        <v>275</v>
      </c>
      <c r="E36" s="45">
        <f t="shared" si="2"/>
        <v>6</v>
      </c>
      <c r="F36" s="45">
        <f t="shared" si="3"/>
        <v>4</v>
      </c>
      <c r="G36" s="45" t="str">
        <f t="shared" si="4"/>
        <v>LS1</v>
      </c>
      <c r="H36" s="45" t="str">
        <f t="shared" si="5"/>
        <v>3E</v>
      </c>
      <c r="J36" s="45" t="str">
        <f t="shared" si="6"/>
        <v>3E</v>
      </c>
      <c r="K36" s="45" t="s">
        <v>130</v>
      </c>
      <c r="L36" s="45" t="str">
        <f t="shared" si="7"/>
        <v>LS1-3E@E</v>
      </c>
      <c r="M36" s="75" t="str">
        <f t="shared" si="0"/>
        <v>M8, M7, M6, M5, 306, 307, 305, 302, 330, 328, 325, 318, 317, 316, 311, 303, 305, 302</v>
      </c>
      <c r="N36" s="75" t="str">
        <f t="shared" si="1"/>
        <v>05, 03, 10, 16</v>
      </c>
      <c r="R36" s="70" t="s">
        <v>149</v>
      </c>
      <c r="S36" s="70" t="s">
        <v>53</v>
      </c>
      <c r="T36" s="70" t="s">
        <v>293</v>
      </c>
      <c r="U36" s="70"/>
      <c r="V36" s="70"/>
      <c r="X36" s="70" t="str">
        <f t="shared" si="21"/>
        <v>LS1-E DT@E</v>
      </c>
      <c r="Y36" s="70" t="str">
        <f t="shared" si="22"/>
        <v>E DT-3E@E</v>
      </c>
      <c r="Z36" s="70" t="str">
        <f t="shared" si="23"/>
        <v/>
      </c>
      <c r="AA36" s="70" t="str">
        <f t="shared" si="24"/>
        <v/>
      </c>
      <c r="AC36" s="70" t="str">
        <f t="shared" si="12"/>
        <v>M8, M7, M6, M5, 306, 307, 305, 302</v>
      </c>
      <c r="AD36" s="70" t="str">
        <f t="shared" si="13"/>
        <v>330, 328, 325, 318, 317, 316, 311, 303, 305, 302</v>
      </c>
      <c r="AE36" s="70" t="str">
        <f t="shared" si="14"/>
        <v/>
      </c>
      <c r="AF36" s="70" t="str">
        <f t="shared" si="15"/>
        <v/>
      </c>
      <c r="AH36" s="70" t="str">
        <f t="shared" si="16"/>
        <v>05</v>
      </c>
      <c r="AI36" s="70" t="str">
        <f t="shared" si="17"/>
        <v>03, 10, 16</v>
      </c>
      <c r="AJ36" s="70" t="str">
        <f t="shared" si="18"/>
        <v/>
      </c>
      <c r="AK36" s="70" t="str">
        <f t="shared" si="19"/>
        <v/>
      </c>
      <c r="AM36" s="166" t="str">
        <f t="shared" si="20"/>
        <v>M2-E DT</v>
      </c>
      <c r="AN36" s="167" t="s">
        <v>294</v>
      </c>
      <c r="AO36" s="167" t="s">
        <v>295</v>
      </c>
      <c r="AP36" s="167" t="s">
        <v>291</v>
      </c>
    </row>
    <row r="37" spans="1:42" ht="20.100000000000001" customHeight="1" thickBot="1">
      <c r="A37" s="45" t="s">
        <v>296</v>
      </c>
      <c r="B37" s="45" t="s">
        <v>297</v>
      </c>
      <c r="C37" s="45" t="s">
        <v>281</v>
      </c>
      <c r="E37" s="45">
        <f t="shared" si="2"/>
        <v>6</v>
      </c>
      <c r="F37" s="45">
        <f t="shared" si="3"/>
        <v>3</v>
      </c>
      <c r="G37" s="45" t="str">
        <f t="shared" si="4"/>
        <v>3E</v>
      </c>
      <c r="H37" s="45" t="str">
        <f t="shared" si="5"/>
        <v>LS1</v>
      </c>
      <c r="J37" s="45" t="str">
        <f t="shared" si="6"/>
        <v>LS1</v>
      </c>
      <c r="K37" s="45" t="s">
        <v>130</v>
      </c>
      <c r="L37" s="45" t="str">
        <f t="shared" si="7"/>
        <v>3E-LS1@E</v>
      </c>
      <c r="M37" s="75" t="str">
        <f t="shared" si="0"/>
        <v>330, 328, 325, 318, 317, 316, 311, 303, 305, 302, M8, M7, M6, M5, 306, 307, 305, 302</v>
      </c>
      <c r="N37" s="75" t="str">
        <f t="shared" si="1"/>
        <v>31, 04, 03</v>
      </c>
      <c r="R37" s="70" t="s">
        <v>293</v>
      </c>
      <c r="S37" s="70" t="s">
        <v>53</v>
      </c>
      <c r="T37" s="70" t="s">
        <v>149</v>
      </c>
      <c r="U37" s="70"/>
      <c r="V37" s="70"/>
      <c r="X37" s="70" t="str">
        <f t="shared" si="21"/>
        <v>3E-E DT@E</v>
      </c>
      <c r="Y37" s="70" t="str">
        <f t="shared" si="22"/>
        <v>E DT-LS1@E</v>
      </c>
      <c r="Z37" s="70" t="str">
        <f t="shared" si="23"/>
        <v/>
      </c>
      <c r="AA37" s="70" t="str">
        <f t="shared" si="24"/>
        <v/>
      </c>
      <c r="AC37" s="70" t="str">
        <f t="shared" si="12"/>
        <v>330, 328, 325, 318, 317, 316, 311, 303, 305, 302</v>
      </c>
      <c r="AD37" s="70" t="str">
        <f t="shared" si="13"/>
        <v>M8, M7, M6, M5, 306, 307, 305, 302</v>
      </c>
      <c r="AE37" s="70" t="str">
        <f t="shared" si="14"/>
        <v/>
      </c>
      <c r="AF37" s="70" t="str">
        <f t="shared" si="15"/>
        <v/>
      </c>
      <c r="AH37" s="70" t="str">
        <f t="shared" si="16"/>
        <v>31, 04</v>
      </c>
      <c r="AI37" s="70" t="str">
        <f t="shared" si="17"/>
        <v>03</v>
      </c>
      <c r="AJ37" s="70" t="str">
        <f t="shared" si="18"/>
        <v/>
      </c>
      <c r="AK37" s="70" t="str">
        <f t="shared" si="19"/>
        <v/>
      </c>
      <c r="AM37" s="166" t="str">
        <f t="shared" si="20"/>
        <v>M3-E DT</v>
      </c>
      <c r="AN37" s="167" t="s">
        <v>298</v>
      </c>
      <c r="AO37" s="167" t="s">
        <v>299</v>
      </c>
      <c r="AP37" s="167" t="s">
        <v>291</v>
      </c>
    </row>
    <row r="38" spans="1:42" ht="20.100000000000001" customHeight="1" thickBot="1">
      <c r="A38" s="45" t="s">
        <v>300</v>
      </c>
      <c r="B38" s="45" t="s">
        <v>147</v>
      </c>
      <c r="C38" s="45" t="s">
        <v>275</v>
      </c>
      <c r="E38" s="45">
        <f t="shared" si="2"/>
        <v>6</v>
      </c>
      <c r="F38" s="45">
        <f t="shared" si="3"/>
        <v>4</v>
      </c>
      <c r="G38" s="45" t="str">
        <f t="shared" si="4"/>
        <v>LS1</v>
      </c>
      <c r="H38" s="45" t="str">
        <f t="shared" si="5"/>
        <v>3W</v>
      </c>
      <c r="J38" s="45" t="str">
        <f t="shared" si="6"/>
        <v>3W</v>
      </c>
      <c r="K38" s="45" t="s">
        <v>130</v>
      </c>
      <c r="L38" s="45" t="str">
        <f t="shared" si="7"/>
        <v>LS1-3W@E</v>
      </c>
      <c r="M38" s="75" t="str">
        <f t="shared" si="0"/>
        <v>M8, M7, M6, M5, 306, 307, 305, 302, 330, 328, 325, 318, 317, 316, 311, 303, 305, 302</v>
      </c>
      <c r="N38" s="75" t="str">
        <f t="shared" si="1"/>
        <v>05, 03, 10, 16</v>
      </c>
      <c r="R38" s="70" t="s">
        <v>149</v>
      </c>
      <c r="S38" s="70" t="s">
        <v>53</v>
      </c>
      <c r="T38" s="70" t="s">
        <v>301</v>
      </c>
      <c r="U38" s="70"/>
      <c r="V38" s="70"/>
      <c r="X38" s="70" t="str">
        <f t="shared" si="21"/>
        <v>LS1-E DT@E</v>
      </c>
      <c r="Y38" s="70" t="str">
        <f t="shared" si="22"/>
        <v>E DT-3W@E</v>
      </c>
      <c r="Z38" s="70" t="str">
        <f t="shared" si="23"/>
        <v/>
      </c>
      <c r="AA38" s="70" t="str">
        <f t="shared" si="24"/>
        <v/>
      </c>
      <c r="AC38" s="70" t="str">
        <f t="shared" si="12"/>
        <v>M8, M7, M6, M5, 306, 307, 305, 302</v>
      </c>
      <c r="AD38" s="70" t="str">
        <f t="shared" si="13"/>
        <v>330, 328, 325, 318, 317, 316, 311, 303, 305, 302</v>
      </c>
      <c r="AE38" s="70" t="str">
        <f t="shared" si="14"/>
        <v/>
      </c>
      <c r="AF38" s="70" t="str">
        <f t="shared" si="15"/>
        <v/>
      </c>
      <c r="AH38" s="70" t="str">
        <f t="shared" si="16"/>
        <v>05</v>
      </c>
      <c r="AI38" s="70" t="str">
        <f t="shared" si="17"/>
        <v>03, 10, 16</v>
      </c>
      <c r="AJ38" s="70" t="str">
        <f t="shared" si="18"/>
        <v/>
      </c>
      <c r="AK38" s="70" t="str">
        <f t="shared" si="19"/>
        <v/>
      </c>
      <c r="AM38" s="166" t="str">
        <f t="shared" si="20"/>
        <v>M4-E DT</v>
      </c>
      <c r="AN38" s="167" t="s">
        <v>302</v>
      </c>
      <c r="AO38" s="167" t="s">
        <v>303</v>
      </c>
      <c r="AP38" s="167" t="s">
        <v>291</v>
      </c>
    </row>
    <row r="39" spans="1:42" ht="20.100000000000001" customHeight="1" thickBot="1">
      <c r="A39" s="45" t="s">
        <v>304</v>
      </c>
      <c r="B39" s="45" t="s">
        <v>297</v>
      </c>
      <c r="C39" s="45" t="s">
        <v>281</v>
      </c>
      <c r="E39" s="45">
        <f t="shared" si="2"/>
        <v>6</v>
      </c>
      <c r="F39" s="45">
        <f t="shared" si="3"/>
        <v>3</v>
      </c>
      <c r="G39" s="45" t="str">
        <f t="shared" si="4"/>
        <v>3W</v>
      </c>
      <c r="H39" s="45" t="str">
        <f t="shared" si="5"/>
        <v>LS1</v>
      </c>
      <c r="J39" s="45" t="str">
        <f t="shared" si="6"/>
        <v>LS1</v>
      </c>
      <c r="K39" s="45" t="s">
        <v>130</v>
      </c>
      <c r="L39" s="45" t="str">
        <f t="shared" si="7"/>
        <v>3W-LS1@E</v>
      </c>
      <c r="M39" s="75" t="str">
        <f t="shared" si="0"/>
        <v>330, 328, 325, 318, 317, 316, 311, 303, 305, 302, M8, M7, M6, M5, 306, 307, 305, 302</v>
      </c>
      <c r="N39" s="75" t="str">
        <f t="shared" si="1"/>
        <v>31, 04, 03</v>
      </c>
      <c r="R39" s="70" t="s">
        <v>301</v>
      </c>
      <c r="S39" s="70" t="s">
        <v>53</v>
      </c>
      <c r="T39" s="70" t="s">
        <v>149</v>
      </c>
      <c r="U39" s="70"/>
      <c r="V39" s="70"/>
      <c r="X39" s="70" t="str">
        <f t="shared" si="21"/>
        <v>3W-E DT@E</v>
      </c>
      <c r="Y39" s="70" t="str">
        <f t="shared" si="22"/>
        <v>E DT-LS1@E</v>
      </c>
      <c r="Z39" s="70" t="str">
        <f t="shared" si="23"/>
        <v/>
      </c>
      <c r="AA39" s="70" t="str">
        <f t="shared" si="24"/>
        <v/>
      </c>
      <c r="AC39" s="70" t="str">
        <f t="shared" si="12"/>
        <v>330, 328, 325, 318, 317, 316, 311, 303, 305, 302</v>
      </c>
      <c r="AD39" s="70" t="str">
        <f t="shared" si="13"/>
        <v>M8, M7, M6, M5, 306, 307, 305, 302</v>
      </c>
      <c r="AE39" s="70" t="str">
        <f t="shared" si="14"/>
        <v/>
      </c>
      <c r="AF39" s="70" t="str">
        <f t="shared" si="15"/>
        <v/>
      </c>
      <c r="AH39" s="70" t="str">
        <f t="shared" si="16"/>
        <v>31, 04</v>
      </c>
      <c r="AI39" s="70" t="str">
        <f t="shared" si="17"/>
        <v>03</v>
      </c>
      <c r="AJ39" s="70" t="str">
        <f t="shared" si="18"/>
        <v/>
      </c>
      <c r="AK39" s="70" t="str">
        <f t="shared" si="19"/>
        <v/>
      </c>
      <c r="AM39" s="166" t="str">
        <f t="shared" si="20"/>
        <v>M2-M3</v>
      </c>
      <c r="AN39" s="167" t="s">
        <v>305</v>
      </c>
      <c r="AO39" s="167" t="s">
        <v>306</v>
      </c>
      <c r="AP39" s="167"/>
    </row>
    <row r="40" spans="1:42" ht="20.100000000000001" customHeight="1" thickBot="1">
      <c r="A40" s="45" t="s">
        <v>307</v>
      </c>
      <c r="B40" s="45" t="s">
        <v>147</v>
      </c>
      <c r="C40" s="45" t="s">
        <v>308</v>
      </c>
      <c r="E40" s="45">
        <f t="shared" si="2"/>
        <v>6</v>
      </c>
      <c r="F40" s="45">
        <f t="shared" si="3"/>
        <v>4</v>
      </c>
      <c r="G40" s="45" t="str">
        <f t="shared" si="4"/>
        <v>LS1</v>
      </c>
      <c r="H40" s="45" t="str">
        <f t="shared" si="5"/>
        <v>4E</v>
      </c>
      <c r="J40" s="45" t="str">
        <f t="shared" si="6"/>
        <v>4E</v>
      </c>
      <c r="K40" s="45" t="s">
        <v>130</v>
      </c>
      <c r="L40" s="45" t="str">
        <f t="shared" si="7"/>
        <v>LS1-4E@E</v>
      </c>
      <c r="M40" s="75" t="str">
        <f t="shared" si="0"/>
        <v>M8, M7, M6, M5, 306, 307, 305, 302, 333, 331, 318, 317, 316, 311, 303, 305, 302</v>
      </c>
      <c r="N40" s="75" t="str">
        <f t="shared" si="1"/>
        <v>05, 03, 10, 16</v>
      </c>
      <c r="R40" s="70" t="s">
        <v>149</v>
      </c>
      <c r="S40" s="70" t="s">
        <v>53</v>
      </c>
      <c r="T40" s="70" t="s">
        <v>309</v>
      </c>
      <c r="U40" s="70"/>
      <c r="V40" s="70"/>
      <c r="X40" s="70" t="str">
        <f t="shared" si="21"/>
        <v>LS1-E DT@E</v>
      </c>
      <c r="Y40" s="70" t="str">
        <f t="shared" si="22"/>
        <v>E DT-4E@E</v>
      </c>
      <c r="Z40" s="70" t="str">
        <f t="shared" si="23"/>
        <v/>
      </c>
      <c r="AA40" s="70" t="str">
        <f t="shared" si="24"/>
        <v/>
      </c>
      <c r="AC40" s="70" t="str">
        <f t="shared" si="12"/>
        <v>M8, M7, M6, M5, 306, 307, 305, 302</v>
      </c>
      <c r="AD40" s="70" t="str">
        <f t="shared" si="13"/>
        <v>333, 331, 318, 317, 316, 311, 303, 305, 302</v>
      </c>
      <c r="AE40" s="70" t="str">
        <f t="shared" si="14"/>
        <v/>
      </c>
      <c r="AF40" s="70" t="str">
        <f t="shared" si="15"/>
        <v/>
      </c>
      <c r="AH40" s="70" t="str">
        <f t="shared" si="16"/>
        <v>05</v>
      </c>
      <c r="AI40" s="70" t="str">
        <f t="shared" si="17"/>
        <v>03, 10, 16</v>
      </c>
      <c r="AJ40" s="70" t="str">
        <f t="shared" si="18"/>
        <v/>
      </c>
      <c r="AK40" s="70" t="str">
        <f t="shared" si="19"/>
        <v/>
      </c>
      <c r="AM40" s="166" t="str">
        <f t="shared" si="20"/>
        <v>M3-M2</v>
      </c>
      <c r="AN40" s="169" t="s">
        <v>310</v>
      </c>
      <c r="AO40" s="167" t="s">
        <v>311</v>
      </c>
      <c r="AP40" s="167"/>
    </row>
    <row r="41" spans="1:42" ht="20.100000000000001" customHeight="1" thickBot="1">
      <c r="A41" s="45" t="s">
        <v>312</v>
      </c>
      <c r="B41" s="45" t="s">
        <v>313</v>
      </c>
      <c r="C41" s="45" t="s">
        <v>314</v>
      </c>
      <c r="E41" s="45">
        <f t="shared" si="2"/>
        <v>6</v>
      </c>
      <c r="F41" s="45">
        <f t="shared" si="3"/>
        <v>3</v>
      </c>
      <c r="G41" s="45" t="str">
        <f t="shared" si="4"/>
        <v>4E</v>
      </c>
      <c r="H41" s="45" t="str">
        <f t="shared" si="5"/>
        <v>LS1</v>
      </c>
      <c r="J41" s="45" t="str">
        <f t="shared" si="6"/>
        <v>LS1</v>
      </c>
      <c r="K41" s="45" t="s">
        <v>130</v>
      </c>
      <c r="L41" s="45" t="str">
        <f t="shared" si="7"/>
        <v>4E-LS1@E</v>
      </c>
      <c r="M41" s="75" t="str">
        <f t="shared" si="0"/>
        <v>333, 331, 318, 317, 316, 311, 303, 305, 302, M8, M7, M6, M5, 306, 307, 305, 302</v>
      </c>
      <c r="N41" s="75" t="str">
        <f t="shared" si="1"/>
        <v>32, 04, 03</v>
      </c>
      <c r="R41" s="70" t="s">
        <v>309</v>
      </c>
      <c r="S41" s="70" t="s">
        <v>53</v>
      </c>
      <c r="T41" s="70" t="s">
        <v>149</v>
      </c>
      <c r="U41" s="70"/>
      <c r="V41" s="70"/>
      <c r="X41" s="70" t="str">
        <f t="shared" si="21"/>
        <v>4E-E DT@E</v>
      </c>
      <c r="Y41" s="70" t="str">
        <f t="shared" si="22"/>
        <v>E DT-LS1@E</v>
      </c>
      <c r="Z41" s="70" t="str">
        <f t="shared" si="23"/>
        <v/>
      </c>
      <c r="AA41" s="70" t="str">
        <f t="shared" si="24"/>
        <v/>
      </c>
      <c r="AC41" s="70" t="str">
        <f t="shared" si="12"/>
        <v>333, 331, 318, 317, 316, 311, 303, 305, 302</v>
      </c>
      <c r="AD41" s="70" t="str">
        <f t="shared" si="13"/>
        <v>M8, M7, M6, M5, 306, 307, 305, 302</v>
      </c>
      <c r="AE41" s="70" t="str">
        <f t="shared" si="14"/>
        <v/>
      </c>
      <c r="AF41" s="70" t="str">
        <f t="shared" si="15"/>
        <v/>
      </c>
      <c r="AH41" s="70" t="str">
        <f t="shared" si="16"/>
        <v>32, 04</v>
      </c>
      <c r="AI41" s="70" t="str">
        <f t="shared" si="17"/>
        <v>03</v>
      </c>
      <c r="AJ41" s="70" t="str">
        <f t="shared" si="18"/>
        <v/>
      </c>
      <c r="AK41" s="70" t="str">
        <f t="shared" si="19"/>
        <v/>
      </c>
      <c r="AM41" s="166" t="str">
        <f t="shared" si="20"/>
        <v>M2-M4</v>
      </c>
      <c r="AN41" s="167" t="s">
        <v>315</v>
      </c>
      <c r="AO41" s="167" t="s">
        <v>316</v>
      </c>
      <c r="AP41" s="167"/>
    </row>
    <row r="42" spans="1:42" ht="20.100000000000001" customHeight="1" thickBot="1">
      <c r="A42" s="45" t="s">
        <v>317</v>
      </c>
      <c r="B42" s="45" t="s">
        <v>147</v>
      </c>
      <c r="C42" s="45" t="s">
        <v>308</v>
      </c>
      <c r="E42" s="45">
        <f t="shared" si="2"/>
        <v>6</v>
      </c>
      <c r="F42" s="45">
        <f t="shared" si="3"/>
        <v>4</v>
      </c>
      <c r="G42" s="45" t="str">
        <f t="shared" si="4"/>
        <v>LS1</v>
      </c>
      <c r="H42" s="45" t="str">
        <f t="shared" si="5"/>
        <v>4W</v>
      </c>
      <c r="J42" s="45" t="str">
        <f t="shared" si="6"/>
        <v>4W</v>
      </c>
      <c r="K42" s="45" t="s">
        <v>130</v>
      </c>
      <c r="L42" s="45" t="str">
        <f t="shared" si="7"/>
        <v>LS1-4W@E</v>
      </c>
      <c r="M42" s="75" t="str">
        <f t="shared" si="0"/>
        <v>M8, M7, M6, M5, 306, 307, 305, 302, 333, 331, 318, 317, 316, 311, 303, 305, 302</v>
      </c>
      <c r="N42" s="75" t="str">
        <f t="shared" si="1"/>
        <v>05, 03, 10, 16</v>
      </c>
      <c r="R42" s="70" t="s">
        <v>149</v>
      </c>
      <c r="S42" s="70" t="s">
        <v>53</v>
      </c>
      <c r="T42" s="70" t="s">
        <v>318</v>
      </c>
      <c r="U42" s="70"/>
      <c r="V42" s="70"/>
      <c r="X42" s="70" t="str">
        <f t="shared" si="21"/>
        <v>LS1-E DT@E</v>
      </c>
      <c r="Y42" s="70" t="str">
        <f t="shared" si="22"/>
        <v>E DT-4W@E</v>
      </c>
      <c r="Z42" s="70" t="str">
        <f t="shared" si="23"/>
        <v/>
      </c>
      <c r="AA42" s="70" t="str">
        <f t="shared" si="24"/>
        <v/>
      </c>
      <c r="AC42" s="70" t="str">
        <f t="shared" si="12"/>
        <v>M8, M7, M6, M5, 306, 307, 305, 302</v>
      </c>
      <c r="AD42" s="70" t="str">
        <f t="shared" si="13"/>
        <v>333, 331, 318, 317, 316, 311, 303, 305, 302</v>
      </c>
      <c r="AE42" s="70" t="str">
        <f t="shared" si="14"/>
        <v/>
      </c>
      <c r="AF42" s="70" t="str">
        <f t="shared" si="15"/>
        <v/>
      </c>
      <c r="AH42" s="70" t="str">
        <f t="shared" si="16"/>
        <v>05</v>
      </c>
      <c r="AI42" s="70" t="str">
        <f t="shared" si="17"/>
        <v>03, 10, 16</v>
      </c>
      <c r="AJ42" s="70" t="str">
        <f t="shared" si="18"/>
        <v/>
      </c>
      <c r="AK42" s="70" t="str">
        <f t="shared" si="19"/>
        <v/>
      </c>
      <c r="AM42" s="166" t="str">
        <f t="shared" si="20"/>
        <v>M4-M2</v>
      </c>
      <c r="AN42" s="167" t="s">
        <v>319</v>
      </c>
      <c r="AO42" s="167" t="s">
        <v>320</v>
      </c>
      <c r="AP42" s="167"/>
    </row>
    <row r="43" spans="1:42" ht="20.100000000000001" customHeight="1" thickBot="1">
      <c r="A43" s="45" t="s">
        <v>321</v>
      </c>
      <c r="B43" s="45" t="s">
        <v>313</v>
      </c>
      <c r="C43" s="45" t="s">
        <v>314</v>
      </c>
      <c r="E43" s="45">
        <f t="shared" si="2"/>
        <v>6</v>
      </c>
      <c r="F43" s="45">
        <f t="shared" si="3"/>
        <v>3</v>
      </c>
      <c r="G43" s="45" t="str">
        <f t="shared" si="4"/>
        <v>4W</v>
      </c>
      <c r="H43" s="45" t="str">
        <f t="shared" si="5"/>
        <v>LS1</v>
      </c>
      <c r="J43" s="45" t="str">
        <f t="shared" si="6"/>
        <v>LS1</v>
      </c>
      <c r="K43" s="45" t="s">
        <v>130</v>
      </c>
      <c r="L43" s="45" t="str">
        <f t="shared" si="7"/>
        <v>4W-LS1@E</v>
      </c>
      <c r="M43" s="75" t="str">
        <f t="shared" si="0"/>
        <v>333, 331, 318, 317, 316, 311, 303, 305, 302, M8, M7, M6, M5, 306, 307, 305, 302</v>
      </c>
      <c r="N43" s="75" t="str">
        <f t="shared" si="1"/>
        <v>32, 04, 03</v>
      </c>
      <c r="R43" s="70" t="s">
        <v>318</v>
      </c>
      <c r="S43" s="70" t="s">
        <v>53</v>
      </c>
      <c r="T43" s="70" t="s">
        <v>149</v>
      </c>
      <c r="U43" s="70"/>
      <c r="V43" s="70"/>
      <c r="X43" s="70" t="str">
        <f t="shared" si="21"/>
        <v>4W-E DT@E</v>
      </c>
      <c r="Y43" s="70" t="str">
        <f t="shared" si="22"/>
        <v>E DT-LS1@E</v>
      </c>
      <c r="Z43" s="70" t="str">
        <f t="shared" si="23"/>
        <v/>
      </c>
      <c r="AA43" s="70" t="str">
        <f t="shared" si="24"/>
        <v/>
      </c>
      <c r="AC43" s="70" t="str">
        <f t="shared" si="12"/>
        <v>333, 331, 318, 317, 316, 311, 303, 305, 302</v>
      </c>
      <c r="AD43" s="70" t="str">
        <f t="shared" si="13"/>
        <v>M8, M7, M6, M5, 306, 307, 305, 302</v>
      </c>
      <c r="AE43" s="70" t="str">
        <f t="shared" si="14"/>
        <v/>
      </c>
      <c r="AF43" s="70" t="str">
        <f t="shared" si="15"/>
        <v/>
      </c>
      <c r="AH43" s="70" t="str">
        <f t="shared" si="16"/>
        <v>32, 04</v>
      </c>
      <c r="AI43" s="70" t="str">
        <f t="shared" si="17"/>
        <v>03</v>
      </c>
      <c r="AJ43" s="70" t="str">
        <f t="shared" si="18"/>
        <v/>
      </c>
      <c r="AK43" s="70" t="str">
        <f t="shared" si="19"/>
        <v/>
      </c>
      <c r="AM43" s="166" t="str">
        <f t="shared" si="20"/>
        <v>M3-M4</v>
      </c>
      <c r="AN43" s="167" t="s">
        <v>322</v>
      </c>
      <c r="AO43" s="167" t="s">
        <v>323</v>
      </c>
      <c r="AP43" s="167"/>
    </row>
    <row r="44" spans="1:42" ht="20.100000000000001" customHeight="1" thickBot="1">
      <c r="A44" s="45" t="s">
        <v>324</v>
      </c>
      <c r="B44" s="45" t="s">
        <v>147</v>
      </c>
      <c r="C44" s="45" t="s">
        <v>308</v>
      </c>
      <c r="E44" s="45">
        <f t="shared" si="2"/>
        <v>6</v>
      </c>
      <c r="F44" s="45">
        <f t="shared" si="3"/>
        <v>4</v>
      </c>
      <c r="G44" s="45" t="str">
        <f t="shared" si="4"/>
        <v>LS1</v>
      </c>
      <c r="H44" s="45" t="str">
        <f t="shared" si="5"/>
        <v>5E</v>
      </c>
      <c r="J44" s="45" t="str">
        <f t="shared" si="6"/>
        <v>5E</v>
      </c>
      <c r="K44" s="45" t="s">
        <v>130</v>
      </c>
      <c r="L44" s="45" t="str">
        <f t="shared" si="7"/>
        <v>LS1-5E@E</v>
      </c>
      <c r="M44" s="75" t="str">
        <f t="shared" si="0"/>
        <v>M8, M7, M6, M5, 306, 307, 305, 302, 333, 331, 318, 317, 316, 311, 303, 305, 302</v>
      </c>
      <c r="N44" s="75" t="str">
        <f t="shared" si="1"/>
        <v>05, 03, 10, 16</v>
      </c>
      <c r="R44" s="70" t="s">
        <v>149</v>
      </c>
      <c r="S44" s="70" t="s">
        <v>53</v>
      </c>
      <c r="T44" s="70" t="s">
        <v>325</v>
      </c>
      <c r="U44" s="70"/>
      <c r="V44" s="70"/>
      <c r="X44" s="70" t="str">
        <f t="shared" si="21"/>
        <v>LS1-E DT@E</v>
      </c>
      <c r="Y44" s="70" t="str">
        <f t="shared" si="22"/>
        <v>E DT-5E@E</v>
      </c>
      <c r="Z44" s="70" t="str">
        <f t="shared" si="23"/>
        <v/>
      </c>
      <c r="AA44" s="70" t="str">
        <f t="shared" si="24"/>
        <v/>
      </c>
      <c r="AC44" s="70" t="str">
        <f t="shared" si="12"/>
        <v>M8, M7, M6, M5, 306, 307, 305, 302</v>
      </c>
      <c r="AD44" s="70" t="str">
        <f t="shared" si="13"/>
        <v>333, 331, 318, 317, 316, 311, 303, 305, 302</v>
      </c>
      <c r="AE44" s="70" t="str">
        <f t="shared" si="14"/>
        <v/>
      </c>
      <c r="AF44" s="70" t="str">
        <f t="shared" si="15"/>
        <v/>
      </c>
      <c r="AH44" s="70" t="str">
        <f t="shared" si="16"/>
        <v>05</v>
      </c>
      <c r="AI44" s="70" t="str">
        <f t="shared" si="17"/>
        <v>03, 10, 16</v>
      </c>
      <c r="AJ44" s="70" t="str">
        <f t="shared" si="18"/>
        <v/>
      </c>
      <c r="AK44" s="70" t="str">
        <f t="shared" si="19"/>
        <v/>
      </c>
      <c r="AM44" s="166" t="str">
        <f t="shared" si="20"/>
        <v>M4-M3</v>
      </c>
      <c r="AN44" s="167" t="s">
        <v>326</v>
      </c>
      <c r="AO44" s="167" t="s">
        <v>327</v>
      </c>
      <c r="AP44" s="167"/>
    </row>
    <row r="45" spans="1:42" ht="20.100000000000001" customHeight="1" thickBot="1">
      <c r="A45" s="45" t="s">
        <v>328</v>
      </c>
      <c r="B45" s="45" t="s">
        <v>329</v>
      </c>
      <c r="C45" s="45" t="s">
        <v>314</v>
      </c>
      <c r="E45" s="45">
        <f t="shared" si="2"/>
        <v>6</v>
      </c>
      <c r="F45" s="45">
        <f t="shared" si="3"/>
        <v>3</v>
      </c>
      <c r="G45" s="45" t="str">
        <f t="shared" si="4"/>
        <v>5E</v>
      </c>
      <c r="H45" s="45" t="str">
        <f t="shared" si="5"/>
        <v>LS1</v>
      </c>
      <c r="J45" s="45" t="str">
        <f t="shared" si="6"/>
        <v>LS1</v>
      </c>
      <c r="K45" s="45" t="s">
        <v>130</v>
      </c>
      <c r="L45" s="45" t="str">
        <f t="shared" si="7"/>
        <v>5E-LS1@E</v>
      </c>
      <c r="M45" s="75" t="str">
        <f t="shared" si="0"/>
        <v>333, 331, 318, 317, 316, 311, 303, 305, 302, M8, M7, M6, M5, 306, 307, 305, 302</v>
      </c>
      <c r="N45" s="75" t="str">
        <f t="shared" si="1"/>
        <v>33, 04, 03</v>
      </c>
      <c r="R45" s="70" t="s">
        <v>325</v>
      </c>
      <c r="S45" s="70" t="s">
        <v>53</v>
      </c>
      <c r="T45" s="70" t="s">
        <v>149</v>
      </c>
      <c r="U45" s="70"/>
      <c r="V45" s="70"/>
      <c r="X45" s="70" t="str">
        <f t="shared" si="21"/>
        <v>5E-E DT@E</v>
      </c>
      <c r="Y45" s="70" t="str">
        <f t="shared" si="22"/>
        <v>E DT-LS1@E</v>
      </c>
      <c r="Z45" s="70" t="str">
        <f t="shared" si="23"/>
        <v/>
      </c>
      <c r="AA45" s="70" t="str">
        <f t="shared" si="24"/>
        <v/>
      </c>
      <c r="AC45" s="70" t="str">
        <f t="shared" si="12"/>
        <v>333, 331, 318, 317, 316, 311, 303, 305, 302</v>
      </c>
      <c r="AD45" s="70" t="str">
        <f t="shared" si="13"/>
        <v>M8, M7, M6, M5, 306, 307, 305, 302</v>
      </c>
      <c r="AE45" s="70" t="str">
        <f t="shared" si="14"/>
        <v/>
      </c>
      <c r="AF45" s="70" t="str">
        <f t="shared" si="15"/>
        <v/>
      </c>
      <c r="AH45" s="70" t="str">
        <f t="shared" si="16"/>
        <v>33, 04</v>
      </c>
      <c r="AI45" s="70" t="str">
        <f t="shared" si="17"/>
        <v>03</v>
      </c>
      <c r="AJ45" s="70" t="str">
        <f t="shared" si="18"/>
        <v/>
      </c>
      <c r="AK45" s="70" t="str">
        <f t="shared" si="19"/>
        <v/>
      </c>
      <c r="AM45" s="166" t="str">
        <f t="shared" si="20"/>
        <v>M4A-M4B</v>
      </c>
      <c r="AN45" s="167" t="s">
        <v>330</v>
      </c>
      <c r="AO45" s="167" t="s">
        <v>331</v>
      </c>
      <c r="AP45" s="167"/>
    </row>
    <row r="46" spans="1:42" ht="20.100000000000001" customHeight="1" thickBot="1">
      <c r="A46" s="45" t="s">
        <v>332</v>
      </c>
      <c r="B46" s="45" t="s">
        <v>147</v>
      </c>
      <c r="C46" s="45" t="s">
        <v>308</v>
      </c>
      <c r="E46" s="45">
        <f t="shared" si="2"/>
        <v>6</v>
      </c>
      <c r="F46" s="45">
        <f t="shared" si="3"/>
        <v>4</v>
      </c>
      <c r="G46" s="45" t="str">
        <f t="shared" si="4"/>
        <v>LS1</v>
      </c>
      <c r="H46" s="45" t="str">
        <f t="shared" si="5"/>
        <v>5W</v>
      </c>
      <c r="J46" s="45" t="str">
        <f t="shared" si="6"/>
        <v>5W</v>
      </c>
      <c r="K46" s="45" t="s">
        <v>130</v>
      </c>
      <c r="L46" s="45" t="str">
        <f t="shared" si="7"/>
        <v>LS1-5W@E</v>
      </c>
      <c r="M46" s="75" t="str">
        <f t="shared" si="0"/>
        <v>M8, M7, M6, M5, 306, 307, 305, 302, 333, 331, 318, 317, 316, 311, 303, 305, 302</v>
      </c>
      <c r="N46" s="75" t="str">
        <f t="shared" si="1"/>
        <v>05, 03, 10, 16</v>
      </c>
      <c r="R46" s="70" t="s">
        <v>149</v>
      </c>
      <c r="S46" s="70" t="s">
        <v>53</v>
      </c>
      <c r="T46" s="70" t="s">
        <v>333</v>
      </c>
      <c r="U46" s="70"/>
      <c r="V46" s="70"/>
      <c r="X46" s="70" t="str">
        <f t="shared" si="21"/>
        <v>LS1-E DT@E</v>
      </c>
      <c r="Y46" s="70" t="str">
        <f t="shared" si="22"/>
        <v>E DT-5W@E</v>
      </c>
      <c r="Z46" s="70" t="str">
        <f t="shared" si="23"/>
        <v/>
      </c>
      <c r="AA46" s="70" t="str">
        <f t="shared" si="24"/>
        <v/>
      </c>
      <c r="AC46" s="70" t="str">
        <f t="shared" si="12"/>
        <v>M8, M7, M6, M5, 306, 307, 305, 302</v>
      </c>
      <c r="AD46" s="70" t="str">
        <f t="shared" si="13"/>
        <v>333, 331, 318, 317, 316, 311, 303, 305, 302</v>
      </c>
      <c r="AE46" s="70" t="str">
        <f t="shared" si="14"/>
        <v/>
      </c>
      <c r="AF46" s="70" t="str">
        <f t="shared" si="15"/>
        <v/>
      </c>
      <c r="AH46" s="70" t="str">
        <f t="shared" si="16"/>
        <v>05</v>
      </c>
      <c r="AI46" s="70" t="str">
        <f t="shared" si="17"/>
        <v>03, 10, 16</v>
      </c>
      <c r="AJ46" s="70" t="str">
        <f t="shared" si="18"/>
        <v/>
      </c>
      <c r="AK46" s="70" t="str">
        <f t="shared" si="19"/>
        <v/>
      </c>
      <c r="AM46" s="166" t="str">
        <f t="shared" si="20"/>
        <v>M4B-M4A</v>
      </c>
      <c r="AN46" s="167" t="s">
        <v>334</v>
      </c>
      <c r="AO46" s="167" t="s">
        <v>331</v>
      </c>
      <c r="AP46" s="167"/>
    </row>
    <row r="47" spans="1:42" ht="20.100000000000001" customHeight="1" thickBot="1">
      <c r="A47" s="45" t="s">
        <v>335</v>
      </c>
      <c r="B47" s="45" t="s">
        <v>329</v>
      </c>
      <c r="C47" s="45" t="s">
        <v>314</v>
      </c>
      <c r="E47" s="45">
        <f t="shared" si="2"/>
        <v>6</v>
      </c>
      <c r="F47" s="45">
        <f t="shared" si="3"/>
        <v>3</v>
      </c>
      <c r="G47" s="45" t="str">
        <f t="shared" si="4"/>
        <v>5W</v>
      </c>
      <c r="H47" s="45" t="str">
        <f t="shared" si="5"/>
        <v>LS1</v>
      </c>
      <c r="J47" s="45" t="str">
        <f t="shared" si="6"/>
        <v>LS1</v>
      </c>
      <c r="K47" s="45" t="s">
        <v>130</v>
      </c>
      <c r="L47" s="45" t="str">
        <f t="shared" si="7"/>
        <v>5W-LS1@E</v>
      </c>
      <c r="M47" s="75" t="str">
        <f t="shared" si="0"/>
        <v>333, 331, 318, 317, 316, 311, 303, 305, 302, M8, M7, M6, M5, 306, 307, 305, 302</v>
      </c>
      <c r="N47" s="75" t="str">
        <f t="shared" si="1"/>
        <v>33, 04, 03</v>
      </c>
      <c r="R47" s="70" t="s">
        <v>333</v>
      </c>
      <c r="S47" s="70" t="s">
        <v>53</v>
      </c>
      <c r="T47" s="70" t="s">
        <v>149</v>
      </c>
      <c r="U47" s="70"/>
      <c r="V47" s="70"/>
      <c r="X47" s="70" t="str">
        <f t="shared" si="21"/>
        <v>5W-E DT@E</v>
      </c>
      <c r="Y47" s="70" t="str">
        <f t="shared" si="22"/>
        <v>E DT-LS1@E</v>
      </c>
      <c r="Z47" s="70" t="str">
        <f t="shared" si="23"/>
        <v/>
      </c>
      <c r="AA47" s="70" t="str">
        <f t="shared" si="24"/>
        <v/>
      </c>
      <c r="AC47" s="70" t="str">
        <f t="shared" si="12"/>
        <v>333, 331, 318, 317, 316, 311, 303, 305, 302</v>
      </c>
      <c r="AD47" s="70" t="str">
        <f t="shared" si="13"/>
        <v>M8, M7, M6, M5, 306, 307, 305, 302</v>
      </c>
      <c r="AE47" s="70" t="str">
        <f t="shared" si="14"/>
        <v/>
      </c>
      <c r="AF47" s="70" t="str">
        <f t="shared" si="15"/>
        <v/>
      </c>
      <c r="AH47" s="70" t="str">
        <f t="shared" si="16"/>
        <v>33, 04</v>
      </c>
      <c r="AI47" s="70" t="str">
        <f t="shared" si="17"/>
        <v>03</v>
      </c>
      <c r="AJ47" s="70" t="str">
        <f t="shared" si="18"/>
        <v/>
      </c>
      <c r="AK47" s="70" t="str">
        <f t="shared" si="19"/>
        <v/>
      </c>
      <c r="AM47" s="166" t="str">
        <f t="shared" si="20"/>
        <v>M5-E DT</v>
      </c>
      <c r="AN47" s="167" t="s">
        <v>336</v>
      </c>
      <c r="AO47" s="167" t="s">
        <v>303</v>
      </c>
      <c r="AP47" s="168" t="s">
        <v>291</v>
      </c>
    </row>
    <row r="48" spans="1:42" ht="20.100000000000001" customHeight="1" thickBot="1">
      <c r="A48" s="45" t="s">
        <v>337</v>
      </c>
      <c r="B48" s="45" t="s">
        <v>147</v>
      </c>
      <c r="C48" s="45" t="s">
        <v>338</v>
      </c>
      <c r="E48" s="45">
        <f t="shared" si="2"/>
        <v>6</v>
      </c>
      <c r="F48" s="45">
        <f t="shared" si="3"/>
        <v>4</v>
      </c>
      <c r="G48" s="45" t="str">
        <f t="shared" si="4"/>
        <v>LS1</v>
      </c>
      <c r="H48" s="45" t="str">
        <f t="shared" si="5"/>
        <v>6E</v>
      </c>
      <c r="J48" s="45" t="str">
        <f t="shared" si="6"/>
        <v>6E</v>
      </c>
      <c r="K48" s="45" t="s">
        <v>130</v>
      </c>
      <c r="L48" s="45" t="str">
        <f t="shared" si="7"/>
        <v>LS1-6E@E</v>
      </c>
      <c r="M48" s="75" t="str">
        <f t="shared" si="0"/>
        <v>M8, M7, M6, M5, 306, 307, 305, 302, 332, 331, 318, 317, 316, 311, 303, 305, 302</v>
      </c>
      <c r="N48" s="75" t="str">
        <f t="shared" si="1"/>
        <v>05, 03, 10, 16</v>
      </c>
      <c r="R48" s="70" t="s">
        <v>149</v>
      </c>
      <c r="S48" s="70" t="s">
        <v>53</v>
      </c>
      <c r="T48" s="70" t="s">
        <v>339</v>
      </c>
      <c r="U48" s="70"/>
      <c r="V48" s="70"/>
      <c r="X48" s="70" t="str">
        <f t="shared" si="21"/>
        <v>LS1-E DT@E</v>
      </c>
      <c r="Y48" s="70" t="str">
        <f t="shared" si="22"/>
        <v>E DT-6E@E</v>
      </c>
      <c r="Z48" s="70" t="str">
        <f t="shared" si="23"/>
        <v/>
      </c>
      <c r="AA48" s="70" t="str">
        <f t="shared" si="24"/>
        <v/>
      </c>
      <c r="AC48" s="70" t="str">
        <f t="shared" si="12"/>
        <v>M8, M7, M6, M5, 306, 307, 305, 302</v>
      </c>
      <c r="AD48" s="70" t="str">
        <f t="shared" si="13"/>
        <v>332, 331, 318, 317, 316, 311, 303, 305, 302</v>
      </c>
      <c r="AE48" s="70" t="str">
        <f t="shared" si="14"/>
        <v/>
      </c>
      <c r="AF48" s="70" t="str">
        <f t="shared" si="15"/>
        <v/>
      </c>
      <c r="AH48" s="70" t="str">
        <f t="shared" si="16"/>
        <v>05</v>
      </c>
      <c r="AI48" s="70" t="str">
        <f t="shared" si="17"/>
        <v>03, 10, 16</v>
      </c>
      <c r="AJ48" s="70" t="str">
        <f t="shared" si="18"/>
        <v/>
      </c>
      <c r="AK48" s="70" t="str">
        <f t="shared" si="19"/>
        <v/>
      </c>
      <c r="AM48" s="166" t="str">
        <f t="shared" si="20"/>
        <v>M4-M5</v>
      </c>
      <c r="AN48" s="167" t="s">
        <v>340</v>
      </c>
      <c r="AO48" s="167" t="s">
        <v>331</v>
      </c>
      <c r="AP48" s="167"/>
    </row>
    <row r="49" spans="1:42" ht="20.100000000000001" customHeight="1" thickBot="1">
      <c r="A49" s="45" t="s">
        <v>341</v>
      </c>
      <c r="B49" s="45" t="s">
        <v>342</v>
      </c>
      <c r="C49" s="45" t="s">
        <v>343</v>
      </c>
      <c r="E49" s="45">
        <f t="shared" si="2"/>
        <v>6</v>
      </c>
      <c r="F49" s="45">
        <f t="shared" si="3"/>
        <v>3</v>
      </c>
      <c r="G49" s="45" t="str">
        <f t="shared" si="4"/>
        <v>6E</v>
      </c>
      <c r="H49" s="45" t="str">
        <f t="shared" si="5"/>
        <v>LS1</v>
      </c>
      <c r="J49" s="45" t="str">
        <f t="shared" si="6"/>
        <v>LS1</v>
      </c>
      <c r="K49" s="45" t="s">
        <v>130</v>
      </c>
      <c r="L49" s="45" t="str">
        <f t="shared" si="7"/>
        <v>6E-LS1@E</v>
      </c>
      <c r="M49" s="75" t="str">
        <f t="shared" si="0"/>
        <v>332, 331, 318, 317, 316, 311, 303, 305, 302, M8, M7, M6, M5, 306, 307, 305, 302</v>
      </c>
      <c r="N49" s="75" t="str">
        <f t="shared" si="1"/>
        <v>34, 04, 03</v>
      </c>
      <c r="R49" s="70" t="s">
        <v>339</v>
      </c>
      <c r="S49" s="70" t="s">
        <v>53</v>
      </c>
      <c r="T49" s="70" t="s">
        <v>149</v>
      </c>
      <c r="U49" s="70"/>
      <c r="V49" s="70"/>
      <c r="X49" s="70" t="str">
        <f t="shared" si="21"/>
        <v>6E-E DT@E</v>
      </c>
      <c r="Y49" s="70" t="str">
        <f t="shared" si="22"/>
        <v>E DT-LS1@E</v>
      </c>
      <c r="Z49" s="70" t="str">
        <f t="shared" si="23"/>
        <v/>
      </c>
      <c r="AA49" s="70" t="str">
        <f t="shared" si="24"/>
        <v/>
      </c>
      <c r="AC49" s="70" t="str">
        <f t="shared" si="12"/>
        <v>332, 331, 318, 317, 316, 311, 303, 305, 302</v>
      </c>
      <c r="AD49" s="70" t="str">
        <f t="shared" si="13"/>
        <v>M8, M7, M6, M5, 306, 307, 305, 302</v>
      </c>
      <c r="AE49" s="70" t="str">
        <f t="shared" si="14"/>
        <v/>
      </c>
      <c r="AF49" s="70" t="str">
        <f t="shared" si="15"/>
        <v/>
      </c>
      <c r="AH49" s="70" t="str">
        <f t="shared" si="16"/>
        <v>34, 04</v>
      </c>
      <c r="AI49" s="70" t="str">
        <f t="shared" si="17"/>
        <v>03</v>
      </c>
      <c r="AJ49" s="70" t="str">
        <f t="shared" si="18"/>
        <v/>
      </c>
      <c r="AK49" s="70" t="str">
        <f t="shared" si="19"/>
        <v/>
      </c>
      <c r="AM49" s="166" t="str">
        <f t="shared" si="20"/>
        <v>M5-M4</v>
      </c>
      <c r="AN49" s="167" t="s">
        <v>344</v>
      </c>
      <c r="AO49" s="167" t="s">
        <v>331</v>
      </c>
      <c r="AP49" s="167"/>
    </row>
    <row r="50" spans="1:42" ht="20.100000000000001" customHeight="1" thickBot="1">
      <c r="A50" s="45" t="s">
        <v>345</v>
      </c>
      <c r="B50" s="45" t="s">
        <v>147</v>
      </c>
      <c r="C50" s="45" t="s">
        <v>338</v>
      </c>
      <c r="E50" s="45">
        <f t="shared" si="2"/>
        <v>6</v>
      </c>
      <c r="F50" s="45">
        <f t="shared" si="3"/>
        <v>4</v>
      </c>
      <c r="G50" s="45" t="str">
        <f t="shared" si="4"/>
        <v>LS1</v>
      </c>
      <c r="H50" s="45" t="str">
        <f t="shared" si="5"/>
        <v>6W</v>
      </c>
      <c r="J50" s="45" t="str">
        <f t="shared" si="6"/>
        <v>6W</v>
      </c>
      <c r="K50" s="45" t="s">
        <v>130</v>
      </c>
      <c r="L50" s="45" t="str">
        <f t="shared" si="7"/>
        <v>LS1-6W@E</v>
      </c>
      <c r="M50" s="75" t="str">
        <f t="shared" si="0"/>
        <v>M8, M7, M6, M5, 306, 307, 305, 302, 332, 331, 318, 317, 316, 311, 303, 305, 302</v>
      </c>
      <c r="N50" s="75" t="str">
        <f t="shared" si="1"/>
        <v>05, 03, 10, 16</v>
      </c>
      <c r="R50" s="70" t="s">
        <v>149</v>
      </c>
      <c r="S50" s="70" t="s">
        <v>53</v>
      </c>
      <c r="T50" s="70" t="s">
        <v>346</v>
      </c>
      <c r="U50" s="70"/>
      <c r="V50" s="70"/>
      <c r="X50" s="70" t="str">
        <f t="shared" si="21"/>
        <v>LS1-E DT@E</v>
      </c>
      <c r="Y50" s="70" t="str">
        <f t="shared" si="22"/>
        <v>E DT-6W@E</v>
      </c>
      <c r="Z50" s="70" t="str">
        <f t="shared" si="23"/>
        <v/>
      </c>
      <c r="AA50" s="70" t="str">
        <f t="shared" si="24"/>
        <v/>
      </c>
      <c r="AC50" s="70" t="str">
        <f t="shared" si="12"/>
        <v>M8, M7, M6, M5, 306, 307, 305, 302</v>
      </c>
      <c r="AD50" s="70" t="str">
        <f t="shared" si="13"/>
        <v>332, 331, 318, 317, 316, 311, 303, 305, 302</v>
      </c>
      <c r="AE50" s="70" t="str">
        <f t="shared" si="14"/>
        <v/>
      </c>
      <c r="AF50" s="70" t="str">
        <f t="shared" si="15"/>
        <v/>
      </c>
      <c r="AH50" s="70" t="str">
        <f t="shared" si="16"/>
        <v>05</v>
      </c>
      <c r="AI50" s="70" t="str">
        <f t="shared" si="17"/>
        <v>03, 10, 16</v>
      </c>
      <c r="AJ50" s="70" t="str">
        <f t="shared" si="18"/>
        <v/>
      </c>
      <c r="AK50" s="70" t="str">
        <f t="shared" si="19"/>
        <v/>
      </c>
      <c r="AM50" s="166" t="str">
        <f t="shared" si="20"/>
        <v>M3-M5</v>
      </c>
      <c r="AN50" s="167" t="s">
        <v>347</v>
      </c>
      <c r="AO50" s="167" t="s">
        <v>348</v>
      </c>
      <c r="AP50" s="167"/>
    </row>
    <row r="51" spans="1:42" ht="20.100000000000001" customHeight="1" thickBot="1">
      <c r="A51" s="45" t="s">
        <v>349</v>
      </c>
      <c r="B51" s="45" t="s">
        <v>342</v>
      </c>
      <c r="C51" s="45" t="s">
        <v>343</v>
      </c>
      <c r="E51" s="45">
        <f t="shared" si="2"/>
        <v>6</v>
      </c>
      <c r="F51" s="45">
        <f t="shared" si="3"/>
        <v>3</v>
      </c>
      <c r="G51" s="45" t="str">
        <f t="shared" si="4"/>
        <v>6W</v>
      </c>
      <c r="H51" s="45" t="str">
        <f t="shared" si="5"/>
        <v>LS1</v>
      </c>
      <c r="J51" s="45" t="str">
        <f t="shared" si="6"/>
        <v>LS1</v>
      </c>
      <c r="K51" s="45" t="s">
        <v>130</v>
      </c>
      <c r="L51" s="45" t="str">
        <f t="shared" si="7"/>
        <v>6W-LS1@E</v>
      </c>
      <c r="M51" s="75" t="str">
        <f t="shared" si="0"/>
        <v>332, 331, 318, 317, 316, 311, 303, 305, 302, M8, M7, M6, M5, 306, 307, 305, 302</v>
      </c>
      <c r="N51" s="75" t="str">
        <f t="shared" si="1"/>
        <v>34, 04, 03</v>
      </c>
      <c r="R51" s="70" t="s">
        <v>346</v>
      </c>
      <c r="S51" s="70" t="s">
        <v>53</v>
      </c>
      <c r="T51" s="70" t="s">
        <v>149</v>
      </c>
      <c r="U51" s="70"/>
      <c r="V51" s="70"/>
      <c r="X51" s="70" t="str">
        <f t="shared" si="21"/>
        <v>6W-E DT@E</v>
      </c>
      <c r="Y51" s="70" t="str">
        <f t="shared" si="22"/>
        <v>E DT-LS1@E</v>
      </c>
      <c r="Z51" s="70" t="str">
        <f t="shared" si="23"/>
        <v/>
      </c>
      <c r="AA51" s="70" t="str">
        <f t="shared" si="24"/>
        <v/>
      </c>
      <c r="AC51" s="70" t="str">
        <f t="shared" si="12"/>
        <v>332, 331, 318, 317, 316, 311, 303, 305, 302</v>
      </c>
      <c r="AD51" s="70" t="str">
        <f t="shared" si="13"/>
        <v>M8, M7, M6, M5, 306, 307, 305, 302</v>
      </c>
      <c r="AE51" s="70" t="str">
        <f t="shared" si="14"/>
        <v/>
      </c>
      <c r="AF51" s="70" t="str">
        <f t="shared" si="15"/>
        <v/>
      </c>
      <c r="AH51" s="70" t="str">
        <f t="shared" si="16"/>
        <v>34, 04</v>
      </c>
      <c r="AI51" s="70" t="str">
        <f t="shared" si="17"/>
        <v>03</v>
      </c>
      <c r="AJ51" s="70" t="str">
        <f t="shared" si="18"/>
        <v/>
      </c>
      <c r="AK51" s="70" t="str">
        <f t="shared" si="19"/>
        <v/>
      </c>
      <c r="AM51" s="166" t="str">
        <f t="shared" si="20"/>
        <v>M5-M3</v>
      </c>
      <c r="AN51" s="167" t="s">
        <v>350</v>
      </c>
      <c r="AO51" s="167" t="s">
        <v>351</v>
      </c>
      <c r="AP51" s="167"/>
    </row>
    <row r="52" spans="1:42" ht="20.100000000000001" customHeight="1" thickBot="1">
      <c r="A52" s="45" t="s">
        <v>352</v>
      </c>
      <c r="B52" s="45" t="s">
        <v>147</v>
      </c>
      <c r="C52" s="45" t="s">
        <v>353</v>
      </c>
      <c r="E52" s="45">
        <f t="shared" si="2"/>
        <v>6</v>
      </c>
      <c r="F52" s="45">
        <f t="shared" si="3"/>
        <v>4</v>
      </c>
      <c r="G52" s="45" t="str">
        <f t="shared" si="4"/>
        <v>LS1</v>
      </c>
      <c r="H52" s="45" t="str">
        <f t="shared" si="5"/>
        <v>7E</v>
      </c>
      <c r="J52" s="45" t="str">
        <f t="shared" si="6"/>
        <v>7E</v>
      </c>
      <c r="K52" s="45" t="s">
        <v>130</v>
      </c>
      <c r="L52" s="45" t="str">
        <f t="shared" si="7"/>
        <v>LS1-7E@E</v>
      </c>
      <c r="M52" s="75" t="str">
        <f t="shared" si="0"/>
        <v>M8, M7, M6, M5, 306, 307, 305, 302, 334, 332, 331, 318, 317, 316, 311, 303, 305, 302</v>
      </c>
      <c r="N52" s="75" t="str">
        <f t="shared" si="1"/>
        <v>05, 03, 10, 16</v>
      </c>
      <c r="R52" s="70" t="s">
        <v>149</v>
      </c>
      <c r="S52" s="70" t="s">
        <v>53</v>
      </c>
      <c r="T52" s="70" t="s">
        <v>354</v>
      </c>
      <c r="U52" s="70"/>
      <c r="V52" s="70"/>
      <c r="X52" s="70" t="str">
        <f t="shared" si="21"/>
        <v>LS1-E DT@E</v>
      </c>
      <c r="Y52" s="70" t="str">
        <f t="shared" si="22"/>
        <v>E DT-7E@E</v>
      </c>
      <c r="Z52" s="70" t="str">
        <f t="shared" si="23"/>
        <v/>
      </c>
      <c r="AA52" s="70" t="str">
        <f t="shared" si="24"/>
        <v/>
      </c>
      <c r="AC52" s="70" t="str">
        <f t="shared" si="12"/>
        <v>M8, M7, M6, M5, 306, 307, 305, 302</v>
      </c>
      <c r="AD52" s="70" t="str">
        <f t="shared" si="13"/>
        <v>334, 332, 331, 318, 317, 316, 311, 303, 305, 302</v>
      </c>
      <c r="AE52" s="70" t="str">
        <f t="shared" si="14"/>
        <v/>
      </c>
      <c r="AF52" s="70" t="str">
        <f t="shared" si="15"/>
        <v/>
      </c>
      <c r="AH52" s="70" t="str">
        <f t="shared" si="16"/>
        <v>05</v>
      </c>
      <c r="AI52" s="70" t="str">
        <f t="shared" si="17"/>
        <v>03, 10, 16</v>
      </c>
      <c r="AJ52" s="70" t="str">
        <f t="shared" si="18"/>
        <v/>
      </c>
      <c r="AK52" s="70" t="str">
        <f t="shared" si="19"/>
        <v/>
      </c>
      <c r="AM52" s="166" t="str">
        <f t="shared" si="20"/>
        <v>LS1-E AV</v>
      </c>
      <c r="AN52" s="167" t="s">
        <v>355</v>
      </c>
      <c r="AO52" s="167" t="s">
        <v>356</v>
      </c>
      <c r="AP52" s="168" t="s">
        <v>152</v>
      </c>
    </row>
    <row r="53" spans="1:42" ht="20.100000000000001" customHeight="1" thickBot="1">
      <c r="A53" s="45" t="s">
        <v>357</v>
      </c>
      <c r="B53" s="45" t="s">
        <v>358</v>
      </c>
      <c r="C53" s="45" t="s">
        <v>359</v>
      </c>
      <c r="E53" s="45">
        <f t="shared" si="2"/>
        <v>6</v>
      </c>
      <c r="F53" s="45">
        <f t="shared" si="3"/>
        <v>3</v>
      </c>
      <c r="G53" s="45" t="str">
        <f t="shared" si="4"/>
        <v>7E</v>
      </c>
      <c r="H53" s="45" t="str">
        <f t="shared" si="5"/>
        <v>LS1</v>
      </c>
      <c r="J53" s="45" t="str">
        <f t="shared" si="6"/>
        <v>LS1</v>
      </c>
      <c r="K53" s="45" t="s">
        <v>130</v>
      </c>
      <c r="L53" s="45" t="str">
        <f t="shared" si="7"/>
        <v>7E-LS1@E</v>
      </c>
      <c r="M53" s="75" t="str">
        <f t="shared" si="0"/>
        <v>334, 332, 331, 318, 317, 316, 311, 303, 305, 302, M8, M7, M6, M5, 306, 307, 305, 302</v>
      </c>
      <c r="N53" s="75" t="str">
        <f t="shared" si="1"/>
        <v>35, 04, 03</v>
      </c>
      <c r="R53" s="70" t="s">
        <v>354</v>
      </c>
      <c r="S53" s="70" t="s">
        <v>53</v>
      </c>
      <c r="T53" s="70" t="s">
        <v>149</v>
      </c>
      <c r="U53" s="70"/>
      <c r="V53" s="70"/>
      <c r="X53" s="70" t="str">
        <f t="shared" si="21"/>
        <v>7E-E DT@E</v>
      </c>
      <c r="Y53" s="70" t="str">
        <f t="shared" si="22"/>
        <v>E DT-LS1@E</v>
      </c>
      <c r="Z53" s="70" t="str">
        <f t="shared" si="23"/>
        <v/>
      </c>
      <c r="AA53" s="70" t="str">
        <f t="shared" si="24"/>
        <v/>
      </c>
      <c r="AC53" s="70" t="str">
        <f t="shared" si="12"/>
        <v>334, 332, 331, 318, 317, 316, 311, 303, 305, 302</v>
      </c>
      <c r="AD53" s="70" t="str">
        <f t="shared" si="13"/>
        <v>M8, M7, M6, M5, 306, 307, 305, 302</v>
      </c>
      <c r="AE53" s="70" t="str">
        <f t="shared" si="14"/>
        <v/>
      </c>
      <c r="AF53" s="70" t="str">
        <f t="shared" si="15"/>
        <v/>
      </c>
      <c r="AH53" s="70" t="str">
        <f t="shared" si="16"/>
        <v>35, 04</v>
      </c>
      <c r="AI53" s="70" t="str">
        <f t="shared" si="17"/>
        <v>03</v>
      </c>
      <c r="AJ53" s="70" t="str">
        <f t="shared" si="18"/>
        <v/>
      </c>
      <c r="AK53" s="70" t="str">
        <f t="shared" si="19"/>
        <v/>
      </c>
      <c r="AM53" s="166" t="str">
        <f t="shared" si="20"/>
        <v>LF3-E AV</v>
      </c>
      <c r="AN53" s="167" t="s">
        <v>360</v>
      </c>
      <c r="AO53" s="167" t="s">
        <v>361</v>
      </c>
      <c r="AP53" s="167" t="s">
        <v>158</v>
      </c>
    </row>
    <row r="54" spans="1:42" ht="20.100000000000001" customHeight="1" thickBot="1">
      <c r="A54" s="45" t="s">
        <v>362</v>
      </c>
      <c r="B54" s="45" t="s">
        <v>147</v>
      </c>
      <c r="C54" s="45" t="s">
        <v>353</v>
      </c>
      <c r="E54" s="45">
        <f t="shared" si="2"/>
        <v>6</v>
      </c>
      <c r="F54" s="45">
        <f t="shared" si="3"/>
        <v>4</v>
      </c>
      <c r="G54" s="45" t="str">
        <f t="shared" si="4"/>
        <v>LS1</v>
      </c>
      <c r="H54" s="45" t="str">
        <f t="shared" si="5"/>
        <v>7W</v>
      </c>
      <c r="J54" s="45" t="str">
        <f t="shared" si="6"/>
        <v>7W</v>
      </c>
      <c r="K54" s="45" t="s">
        <v>130</v>
      </c>
      <c r="L54" s="45" t="str">
        <f t="shared" si="7"/>
        <v>LS1-7W@E</v>
      </c>
      <c r="M54" s="75" t="str">
        <f t="shared" si="0"/>
        <v>M8, M7, M6, M5, 306, 307, 305, 302, 334, 332, 331, 318, 317, 316, 311, 303, 305, 302</v>
      </c>
      <c r="N54" s="75" t="str">
        <f t="shared" si="1"/>
        <v>05, 03, 10, 16</v>
      </c>
      <c r="R54" s="70" t="s">
        <v>149</v>
      </c>
      <c r="S54" s="70" t="s">
        <v>53</v>
      </c>
      <c r="T54" s="70" t="s">
        <v>363</v>
      </c>
      <c r="U54" s="70"/>
      <c r="V54" s="70"/>
      <c r="X54" s="70" t="str">
        <f t="shared" si="21"/>
        <v>LS1-E DT@E</v>
      </c>
      <c r="Y54" s="70" t="str">
        <f t="shared" si="22"/>
        <v>E DT-7W@E</v>
      </c>
      <c r="Z54" s="70" t="str">
        <f t="shared" si="23"/>
        <v/>
      </c>
      <c r="AA54" s="70" t="str">
        <f t="shared" si="24"/>
        <v/>
      </c>
      <c r="AC54" s="70" t="str">
        <f t="shared" si="12"/>
        <v>M8, M7, M6, M5, 306, 307, 305, 302</v>
      </c>
      <c r="AD54" s="70" t="str">
        <f t="shared" si="13"/>
        <v>334, 332, 331, 318, 317, 316, 311, 303, 305, 302</v>
      </c>
      <c r="AE54" s="70" t="str">
        <f t="shared" si="14"/>
        <v/>
      </c>
      <c r="AF54" s="70" t="str">
        <f t="shared" si="15"/>
        <v/>
      </c>
      <c r="AH54" s="70" t="str">
        <f t="shared" si="16"/>
        <v>05</v>
      </c>
      <c r="AI54" s="70" t="str">
        <f t="shared" si="17"/>
        <v>03, 10, 16</v>
      </c>
      <c r="AJ54" s="70" t="str">
        <f t="shared" si="18"/>
        <v/>
      </c>
      <c r="AK54" s="70" t="str">
        <f t="shared" si="19"/>
        <v/>
      </c>
      <c r="AM54" s="166" t="str">
        <f t="shared" si="20"/>
        <v>LF4-E AV</v>
      </c>
      <c r="AN54" s="167" t="s">
        <v>364</v>
      </c>
      <c r="AO54" s="167" t="s">
        <v>365</v>
      </c>
      <c r="AP54" s="167" t="s">
        <v>162</v>
      </c>
    </row>
    <row r="55" spans="1:42" ht="20.100000000000001" customHeight="1" thickBot="1">
      <c r="A55" s="45" t="s">
        <v>366</v>
      </c>
      <c r="B55" s="45" t="s">
        <v>358</v>
      </c>
      <c r="C55" s="45" t="s">
        <v>359</v>
      </c>
      <c r="E55" s="45">
        <f t="shared" si="2"/>
        <v>6</v>
      </c>
      <c r="F55" s="45">
        <f t="shared" si="3"/>
        <v>3</v>
      </c>
      <c r="G55" s="45" t="str">
        <f t="shared" si="4"/>
        <v>7W</v>
      </c>
      <c r="H55" s="45" t="str">
        <f t="shared" si="5"/>
        <v>LS1</v>
      </c>
      <c r="J55" s="45" t="str">
        <f t="shared" si="6"/>
        <v>LS1</v>
      </c>
      <c r="K55" s="45" t="s">
        <v>130</v>
      </c>
      <c r="L55" s="45" t="str">
        <f t="shared" si="7"/>
        <v>7W-LS1@E</v>
      </c>
      <c r="M55" s="75" t="str">
        <f t="shared" si="0"/>
        <v>334, 332, 331, 318, 317, 316, 311, 303, 305, 302, M8, M7, M6, M5, 306, 307, 305, 302</v>
      </c>
      <c r="N55" s="75" t="str">
        <f t="shared" si="1"/>
        <v>35, 04, 03</v>
      </c>
      <c r="R55" s="70" t="s">
        <v>363</v>
      </c>
      <c r="S55" s="70" t="s">
        <v>53</v>
      </c>
      <c r="T55" s="70" t="s">
        <v>149</v>
      </c>
      <c r="U55" s="70"/>
      <c r="V55" s="70"/>
      <c r="X55" s="70" t="str">
        <f t="shared" si="21"/>
        <v>7W-E DT@E</v>
      </c>
      <c r="Y55" s="70" t="str">
        <f t="shared" si="22"/>
        <v>E DT-LS1@E</v>
      </c>
      <c r="Z55" s="70" t="str">
        <f t="shared" si="23"/>
        <v/>
      </c>
      <c r="AA55" s="70" t="str">
        <f t="shared" si="24"/>
        <v/>
      </c>
      <c r="AC55" s="70" t="str">
        <f t="shared" si="12"/>
        <v>334, 332, 331, 318, 317, 316, 311, 303, 305, 302</v>
      </c>
      <c r="AD55" s="70" t="str">
        <f t="shared" si="13"/>
        <v>M8, M7, M6, M5, 306, 307, 305, 302</v>
      </c>
      <c r="AE55" s="70" t="str">
        <f t="shared" si="14"/>
        <v/>
      </c>
      <c r="AF55" s="70" t="str">
        <f t="shared" si="15"/>
        <v/>
      </c>
      <c r="AH55" s="70" t="str">
        <f t="shared" si="16"/>
        <v>35, 04</v>
      </c>
      <c r="AI55" s="70" t="str">
        <f t="shared" si="17"/>
        <v>03</v>
      </c>
      <c r="AJ55" s="70" t="str">
        <f t="shared" si="18"/>
        <v/>
      </c>
      <c r="AK55" s="70" t="str">
        <f t="shared" si="19"/>
        <v/>
      </c>
      <c r="AM55" s="166" t="str">
        <f t="shared" si="20"/>
        <v>HM1-E AV</v>
      </c>
      <c r="AN55" s="167" t="s">
        <v>367</v>
      </c>
      <c r="AO55" s="167" t="s">
        <v>368</v>
      </c>
      <c r="AP55" s="167" t="s">
        <v>168</v>
      </c>
    </row>
    <row r="56" spans="1:42" ht="20.100000000000001" customHeight="1" thickBot="1">
      <c r="A56" s="45" t="s">
        <v>369</v>
      </c>
      <c r="B56" s="45" t="s">
        <v>147</v>
      </c>
      <c r="C56" s="45" t="s">
        <v>353</v>
      </c>
      <c r="E56" s="45">
        <f t="shared" si="2"/>
        <v>6</v>
      </c>
      <c r="F56" s="45">
        <f t="shared" si="3"/>
        <v>4</v>
      </c>
      <c r="G56" s="45" t="str">
        <f t="shared" si="4"/>
        <v>LS1</v>
      </c>
      <c r="H56" s="45" t="str">
        <f t="shared" si="5"/>
        <v>8E</v>
      </c>
      <c r="J56" s="45" t="str">
        <f t="shared" si="6"/>
        <v>8E</v>
      </c>
      <c r="K56" s="45" t="s">
        <v>130</v>
      </c>
      <c r="L56" s="45" t="str">
        <f t="shared" si="7"/>
        <v>LS1-8E@E</v>
      </c>
      <c r="M56" s="75" t="str">
        <f t="shared" si="0"/>
        <v>M8, M7, M6, M5, 306, 307, 305, 302, 334, 332, 331, 318, 317, 316, 311, 303, 305, 302</v>
      </c>
      <c r="N56" s="75" t="str">
        <f t="shared" si="1"/>
        <v>05, 03, 10, 16</v>
      </c>
      <c r="R56" s="70" t="s">
        <v>149</v>
      </c>
      <c r="S56" s="70" t="s">
        <v>53</v>
      </c>
      <c r="T56" s="70" t="s">
        <v>370</v>
      </c>
      <c r="U56" s="70"/>
      <c r="V56" s="70"/>
      <c r="X56" s="70" t="str">
        <f t="shared" si="21"/>
        <v>LS1-E DT@E</v>
      </c>
      <c r="Y56" s="70" t="str">
        <f t="shared" si="22"/>
        <v>E DT-8E@E</v>
      </c>
      <c r="Z56" s="70" t="str">
        <f t="shared" si="23"/>
        <v/>
      </c>
      <c r="AA56" s="70" t="str">
        <f t="shared" si="24"/>
        <v/>
      </c>
      <c r="AC56" s="70" t="str">
        <f t="shared" si="12"/>
        <v>M8, M7, M6, M5, 306, 307, 305, 302</v>
      </c>
      <c r="AD56" s="70" t="str">
        <f t="shared" si="13"/>
        <v>334, 332, 331, 318, 317, 316, 311, 303, 305, 302</v>
      </c>
      <c r="AE56" s="70" t="str">
        <f t="shared" si="14"/>
        <v/>
      </c>
      <c r="AF56" s="70" t="str">
        <f t="shared" si="15"/>
        <v/>
      </c>
      <c r="AH56" s="70" t="str">
        <f t="shared" si="16"/>
        <v>05</v>
      </c>
      <c r="AI56" s="70" t="str">
        <f t="shared" si="17"/>
        <v>03, 10, 16</v>
      </c>
      <c r="AJ56" s="70" t="str">
        <f t="shared" si="18"/>
        <v/>
      </c>
      <c r="AK56" s="70" t="str">
        <f t="shared" si="19"/>
        <v/>
      </c>
      <c r="AM56" s="166" t="str">
        <f t="shared" si="20"/>
        <v>HM2-E AV</v>
      </c>
      <c r="AN56" s="167" t="s">
        <v>371</v>
      </c>
      <c r="AO56" s="167" t="s">
        <v>372</v>
      </c>
      <c r="AP56" s="167" t="s">
        <v>174</v>
      </c>
    </row>
    <row r="57" spans="1:42" ht="20.100000000000001" customHeight="1" thickBot="1">
      <c r="A57" s="45" t="s">
        <v>373</v>
      </c>
      <c r="B57" s="45" t="s">
        <v>374</v>
      </c>
      <c r="C57" s="45" t="s">
        <v>359</v>
      </c>
      <c r="E57" s="45">
        <f t="shared" si="2"/>
        <v>6</v>
      </c>
      <c r="F57" s="45">
        <f t="shared" si="3"/>
        <v>3</v>
      </c>
      <c r="G57" s="45" t="str">
        <f t="shared" si="4"/>
        <v>8E</v>
      </c>
      <c r="H57" s="45" t="str">
        <f t="shared" si="5"/>
        <v>LS1</v>
      </c>
      <c r="J57" s="45" t="str">
        <f t="shared" si="6"/>
        <v>LS1</v>
      </c>
      <c r="K57" s="45" t="s">
        <v>130</v>
      </c>
      <c r="L57" s="45" t="str">
        <f t="shared" si="7"/>
        <v>8E-LS1@E</v>
      </c>
      <c r="M57" s="75" t="str">
        <f t="shared" si="0"/>
        <v>334, 332, 331, 318, 317, 316, 311, 303, 305, 302, M8, M7, M6, M5, 306, 307, 305, 302</v>
      </c>
      <c r="N57" s="75" t="str">
        <f t="shared" si="1"/>
        <v>36, 04, 03</v>
      </c>
      <c r="R57" s="70" t="s">
        <v>370</v>
      </c>
      <c r="S57" s="70" t="s">
        <v>53</v>
      </c>
      <c r="T57" s="70" t="s">
        <v>149</v>
      </c>
      <c r="U57" s="70"/>
      <c r="V57" s="70"/>
      <c r="X57" s="70" t="str">
        <f t="shared" si="21"/>
        <v>8E-E DT@E</v>
      </c>
      <c r="Y57" s="70" t="str">
        <f t="shared" si="22"/>
        <v>E DT-LS1@E</v>
      </c>
      <c r="Z57" s="70" t="str">
        <f t="shared" si="23"/>
        <v/>
      </c>
      <c r="AA57" s="70" t="str">
        <f t="shared" si="24"/>
        <v/>
      </c>
      <c r="AC57" s="70" t="str">
        <f t="shared" si="12"/>
        <v>334, 332, 331, 318, 317, 316, 311, 303, 305, 302</v>
      </c>
      <c r="AD57" s="70" t="str">
        <f t="shared" si="13"/>
        <v>M8, M7, M6, M5, 306, 307, 305, 302</v>
      </c>
      <c r="AE57" s="70" t="str">
        <f t="shared" si="14"/>
        <v/>
      </c>
      <c r="AF57" s="70" t="str">
        <f t="shared" si="15"/>
        <v/>
      </c>
      <c r="AH57" s="70" t="str">
        <f t="shared" si="16"/>
        <v>36, 04</v>
      </c>
      <c r="AI57" s="70" t="str">
        <f t="shared" si="17"/>
        <v>03</v>
      </c>
      <c r="AJ57" s="70" t="str">
        <f t="shared" si="18"/>
        <v/>
      </c>
      <c r="AK57" s="70" t="str">
        <f t="shared" si="19"/>
        <v/>
      </c>
      <c r="AM57" s="166" t="str">
        <f t="shared" si="20"/>
        <v>HM3-E AV</v>
      </c>
      <c r="AN57" s="167" t="s">
        <v>375</v>
      </c>
      <c r="AO57" s="167" t="s">
        <v>372</v>
      </c>
      <c r="AP57" s="167" t="s">
        <v>179</v>
      </c>
    </row>
    <row r="58" spans="1:42" ht="20.100000000000001" customHeight="1" thickBot="1">
      <c r="A58" s="45" t="s">
        <v>376</v>
      </c>
      <c r="B58" s="45" t="s">
        <v>147</v>
      </c>
      <c r="C58" s="45" t="s">
        <v>353</v>
      </c>
      <c r="E58" s="45">
        <f t="shared" si="2"/>
        <v>6</v>
      </c>
      <c r="F58" s="45">
        <f t="shared" si="3"/>
        <v>4</v>
      </c>
      <c r="G58" s="45" t="str">
        <f t="shared" si="4"/>
        <v>LS1</v>
      </c>
      <c r="H58" s="45" t="str">
        <f t="shared" si="5"/>
        <v>8W</v>
      </c>
      <c r="J58" s="45" t="str">
        <f t="shared" si="6"/>
        <v>8W</v>
      </c>
      <c r="K58" s="45" t="s">
        <v>130</v>
      </c>
      <c r="L58" s="45" t="str">
        <f t="shared" si="7"/>
        <v>LS1-8W@E</v>
      </c>
      <c r="M58" s="75" t="str">
        <f t="shared" si="0"/>
        <v>M8, M7, M6, M5, 306, 307, 305, 302, 334, 332, 331, 318, 317, 316, 311, 303, 305, 302</v>
      </c>
      <c r="N58" s="75" t="str">
        <f t="shared" si="1"/>
        <v>05, 03, 10, 16</v>
      </c>
      <c r="R58" s="70" t="s">
        <v>149</v>
      </c>
      <c r="S58" s="70" t="s">
        <v>53</v>
      </c>
      <c r="T58" s="70" t="s">
        <v>377</v>
      </c>
      <c r="U58" s="70"/>
      <c r="V58" s="70"/>
      <c r="X58" s="70" t="str">
        <f t="shared" si="21"/>
        <v>LS1-E DT@E</v>
      </c>
      <c r="Y58" s="70" t="str">
        <f t="shared" si="22"/>
        <v>E DT-8W@E</v>
      </c>
      <c r="Z58" s="70" t="str">
        <f t="shared" si="23"/>
        <v/>
      </c>
      <c r="AA58" s="70" t="str">
        <f t="shared" si="24"/>
        <v/>
      </c>
      <c r="AC58" s="70" t="str">
        <f t="shared" si="12"/>
        <v>M8, M7, M6, M5, 306, 307, 305, 302</v>
      </c>
      <c r="AD58" s="70" t="str">
        <f t="shared" si="13"/>
        <v>334, 332, 331, 318, 317, 316, 311, 303, 305, 302</v>
      </c>
      <c r="AE58" s="70" t="str">
        <f t="shared" si="14"/>
        <v/>
      </c>
      <c r="AF58" s="70" t="str">
        <f t="shared" si="15"/>
        <v/>
      </c>
      <c r="AH58" s="70" t="str">
        <f t="shared" si="16"/>
        <v>05</v>
      </c>
      <c r="AI58" s="70" t="str">
        <f t="shared" si="17"/>
        <v>03, 10, 16</v>
      </c>
      <c r="AJ58" s="70" t="str">
        <f t="shared" si="18"/>
        <v/>
      </c>
      <c r="AK58" s="70" t="str">
        <f t="shared" si="19"/>
        <v/>
      </c>
      <c r="AM58" s="166" t="str">
        <f t="shared" si="20"/>
        <v>RM1E-E AV</v>
      </c>
      <c r="AN58" s="167" t="s">
        <v>378</v>
      </c>
      <c r="AO58" s="167" t="s">
        <v>379</v>
      </c>
      <c r="AP58" s="167" t="s">
        <v>185</v>
      </c>
    </row>
    <row r="59" spans="1:42" ht="20.100000000000001" customHeight="1" thickBot="1">
      <c r="A59" s="45" t="s">
        <v>380</v>
      </c>
      <c r="B59" s="45" t="s">
        <v>374</v>
      </c>
      <c r="C59" s="45" t="s">
        <v>359</v>
      </c>
      <c r="E59" s="45">
        <f t="shared" si="2"/>
        <v>6</v>
      </c>
      <c r="F59" s="45">
        <f t="shared" si="3"/>
        <v>3</v>
      </c>
      <c r="G59" s="45" t="str">
        <f t="shared" si="4"/>
        <v>8W</v>
      </c>
      <c r="H59" s="45" t="str">
        <f t="shared" si="5"/>
        <v>LS1</v>
      </c>
      <c r="J59" s="45" t="str">
        <f t="shared" si="6"/>
        <v>LS1</v>
      </c>
      <c r="K59" s="45" t="s">
        <v>130</v>
      </c>
      <c r="L59" s="45" t="str">
        <f t="shared" si="7"/>
        <v>8W-LS1@E</v>
      </c>
      <c r="M59" s="75" t="str">
        <f t="shared" si="0"/>
        <v>334, 332, 331, 318, 317, 316, 311, 303, 305, 302, M8, M7, M6, M5, 306, 307, 305, 302</v>
      </c>
      <c r="N59" s="75" t="str">
        <f t="shared" si="1"/>
        <v>36, 04, 03</v>
      </c>
      <c r="R59" s="70" t="s">
        <v>377</v>
      </c>
      <c r="S59" s="70" t="s">
        <v>53</v>
      </c>
      <c r="T59" s="70" t="s">
        <v>149</v>
      </c>
      <c r="U59" s="70"/>
      <c r="V59" s="70"/>
      <c r="X59" s="70" t="str">
        <f t="shared" si="21"/>
        <v>8W-E DT@E</v>
      </c>
      <c r="Y59" s="70" t="str">
        <f t="shared" si="22"/>
        <v>E DT-LS1@E</v>
      </c>
      <c r="Z59" s="70" t="str">
        <f t="shared" si="23"/>
        <v/>
      </c>
      <c r="AA59" s="70" t="str">
        <f t="shared" si="24"/>
        <v/>
      </c>
      <c r="AC59" s="70" t="str">
        <f t="shared" si="12"/>
        <v>334, 332, 331, 318, 317, 316, 311, 303, 305, 302</v>
      </c>
      <c r="AD59" s="70" t="str">
        <f t="shared" si="13"/>
        <v>M8, M7, M6, M5, 306, 307, 305, 302</v>
      </c>
      <c r="AE59" s="70" t="str">
        <f t="shared" si="14"/>
        <v/>
      </c>
      <c r="AF59" s="70" t="str">
        <f t="shared" si="15"/>
        <v/>
      </c>
      <c r="AH59" s="70" t="str">
        <f t="shared" si="16"/>
        <v>36, 04</v>
      </c>
      <c r="AI59" s="70" t="str">
        <f t="shared" si="17"/>
        <v>03</v>
      </c>
      <c r="AJ59" s="70" t="str">
        <f t="shared" si="18"/>
        <v/>
      </c>
      <c r="AK59" s="70" t="str">
        <f t="shared" si="19"/>
        <v/>
      </c>
      <c r="AM59" s="166" t="str">
        <f t="shared" si="20"/>
        <v>RM1W-E AV</v>
      </c>
      <c r="AN59" s="167" t="s">
        <v>381</v>
      </c>
      <c r="AO59" s="167" t="s">
        <v>379</v>
      </c>
      <c r="AP59" s="167" t="s">
        <v>185</v>
      </c>
    </row>
    <row r="60" spans="1:42" ht="20.100000000000001" customHeight="1" thickBot="1">
      <c r="A60" s="45" t="s">
        <v>382</v>
      </c>
      <c r="B60" s="45" t="s">
        <v>147</v>
      </c>
      <c r="C60" s="45" t="s">
        <v>148</v>
      </c>
      <c r="E60" s="45">
        <f t="shared" si="2"/>
        <v>7</v>
      </c>
      <c r="F60" s="45">
        <f t="shared" si="3"/>
        <v>4</v>
      </c>
      <c r="G60" s="45" t="str">
        <f t="shared" si="4"/>
        <v>LS2</v>
      </c>
      <c r="H60" s="45" t="str">
        <f t="shared" si="5"/>
        <v>LF3</v>
      </c>
      <c r="J60" s="45" t="str">
        <f t="shared" si="6"/>
        <v>LF3</v>
      </c>
      <c r="K60" s="45" t="s">
        <v>130</v>
      </c>
      <c r="L60" s="45" t="str">
        <f t="shared" si="7"/>
        <v>LS2-LF3@E</v>
      </c>
      <c r="M60" s="75" t="str">
        <f t="shared" si="0"/>
        <v>302, 305, 307, 306, M5, M6, M7, M8, 323, 322, 319, 316, 311, 303, 305, 302</v>
      </c>
      <c r="N60" s="75" t="str">
        <f t="shared" si="1"/>
        <v>05, 03, 10, 16</v>
      </c>
      <c r="R60" s="70" t="s">
        <v>383</v>
      </c>
      <c r="S60" s="70" t="s">
        <v>53</v>
      </c>
      <c r="T60" s="70" t="s">
        <v>82</v>
      </c>
      <c r="U60" s="70"/>
      <c r="V60" s="70"/>
      <c r="X60" s="70" t="str">
        <f t="shared" si="21"/>
        <v>LS2-E DT@E</v>
      </c>
      <c r="Y60" s="70" t="str">
        <f t="shared" si="22"/>
        <v>E DT-LF3@E</v>
      </c>
      <c r="Z60" s="70" t="str">
        <f t="shared" si="23"/>
        <v/>
      </c>
      <c r="AA60" s="70" t="str">
        <f t="shared" si="24"/>
        <v/>
      </c>
      <c r="AC60" s="70" t="str">
        <f t="shared" si="12"/>
        <v>302, 305, 307, 306, M5, M6, M7, M8</v>
      </c>
      <c r="AD60" s="70" t="str">
        <f t="shared" si="13"/>
        <v>323, 322, 319, 316, 311, 303, 305, 302</v>
      </c>
      <c r="AE60" s="70" t="str">
        <f t="shared" si="14"/>
        <v/>
      </c>
      <c r="AF60" s="70" t="str">
        <f t="shared" si="15"/>
        <v/>
      </c>
      <c r="AH60" s="70" t="str">
        <f t="shared" si="16"/>
        <v>05</v>
      </c>
      <c r="AI60" s="70" t="str">
        <f t="shared" si="17"/>
        <v>03, 10, 16</v>
      </c>
      <c r="AJ60" s="70" t="str">
        <f t="shared" si="18"/>
        <v/>
      </c>
      <c r="AK60" s="70" t="str">
        <f t="shared" si="19"/>
        <v/>
      </c>
      <c r="AM60" s="166" t="str">
        <f t="shared" si="20"/>
        <v>RM2E-E AV</v>
      </c>
      <c r="AN60" s="167" t="s">
        <v>384</v>
      </c>
      <c r="AO60" s="167" t="s">
        <v>385</v>
      </c>
      <c r="AP60" s="167" t="s">
        <v>194</v>
      </c>
    </row>
    <row r="61" spans="1:42" ht="20.100000000000001" customHeight="1" thickBot="1">
      <c r="A61" s="45" t="s">
        <v>386</v>
      </c>
      <c r="B61" s="45" t="s">
        <v>154</v>
      </c>
      <c r="C61" s="45" t="s">
        <v>155</v>
      </c>
      <c r="E61" s="45">
        <f t="shared" si="2"/>
        <v>7</v>
      </c>
      <c r="F61" s="45">
        <f t="shared" si="3"/>
        <v>4</v>
      </c>
      <c r="G61" s="45" t="str">
        <f t="shared" si="4"/>
        <v>LF3</v>
      </c>
      <c r="H61" s="45" t="str">
        <f t="shared" si="5"/>
        <v>LS2</v>
      </c>
      <c r="J61" s="45" t="str">
        <f t="shared" si="6"/>
        <v>LS2</v>
      </c>
      <c r="K61" s="45" t="s">
        <v>130</v>
      </c>
      <c r="L61" s="45" t="str">
        <f t="shared" si="7"/>
        <v>LF3-LS2@E</v>
      </c>
      <c r="M61" s="75" t="str">
        <f t="shared" si="0"/>
        <v>323, 322, 319, 316, 311, 303, 305, 302, 302, 305, 307, 306, M5, M6, M7, M8</v>
      </c>
      <c r="N61" s="75" t="str">
        <f t="shared" si="1"/>
        <v>20, 04, 03</v>
      </c>
      <c r="R61" s="70" t="s">
        <v>82</v>
      </c>
      <c r="S61" s="70" t="s">
        <v>53</v>
      </c>
      <c r="T61" s="70" t="s">
        <v>383</v>
      </c>
      <c r="U61" s="70"/>
      <c r="V61" s="70"/>
      <c r="X61" s="70" t="str">
        <f t="shared" si="21"/>
        <v>LF3-E DT@E</v>
      </c>
      <c r="Y61" s="70" t="str">
        <f t="shared" si="22"/>
        <v>E DT-LS2@E</v>
      </c>
      <c r="Z61" s="70" t="str">
        <f t="shared" si="23"/>
        <v/>
      </c>
      <c r="AA61" s="70" t="str">
        <f t="shared" si="24"/>
        <v/>
      </c>
      <c r="AC61" s="70" t="str">
        <f t="shared" si="12"/>
        <v>323, 322, 319, 316, 311, 303, 305, 302</v>
      </c>
      <c r="AD61" s="70" t="str">
        <f t="shared" si="13"/>
        <v>302, 305, 307, 306, M5, M6, M7, M8</v>
      </c>
      <c r="AE61" s="70" t="str">
        <f t="shared" si="14"/>
        <v/>
      </c>
      <c r="AF61" s="70" t="str">
        <f t="shared" si="15"/>
        <v/>
      </c>
      <c r="AH61" s="70" t="str">
        <f t="shared" si="16"/>
        <v>20, 04</v>
      </c>
      <c r="AI61" s="70" t="str">
        <f t="shared" si="17"/>
        <v>03</v>
      </c>
      <c r="AJ61" s="70" t="str">
        <f t="shared" si="18"/>
        <v/>
      </c>
      <c r="AK61" s="70" t="str">
        <f t="shared" si="19"/>
        <v/>
      </c>
      <c r="AM61" s="166" t="str">
        <f t="shared" si="20"/>
        <v>RM2W-E AV</v>
      </c>
      <c r="AN61" s="167" t="s">
        <v>387</v>
      </c>
      <c r="AO61" s="167" t="s">
        <v>385</v>
      </c>
      <c r="AP61" s="167" t="s">
        <v>194</v>
      </c>
    </row>
    <row r="62" spans="1:42" ht="20.100000000000001" customHeight="1" thickBot="1">
      <c r="A62" s="45" t="s">
        <v>388</v>
      </c>
      <c r="B62" s="45" t="s">
        <v>147</v>
      </c>
      <c r="C62" s="45" t="s">
        <v>148</v>
      </c>
      <c r="E62" s="45">
        <f t="shared" si="2"/>
        <v>7</v>
      </c>
      <c r="F62" s="45">
        <f t="shared" si="3"/>
        <v>4</v>
      </c>
      <c r="G62" s="45" t="str">
        <f t="shared" si="4"/>
        <v>LS2</v>
      </c>
      <c r="H62" s="45" t="str">
        <f t="shared" si="5"/>
        <v>LF4</v>
      </c>
      <c r="J62" s="45" t="str">
        <f t="shared" si="6"/>
        <v>LF4</v>
      </c>
      <c r="K62" s="45" t="s">
        <v>130</v>
      </c>
      <c r="L62" s="45" t="str">
        <f t="shared" si="7"/>
        <v>LS2-LF4@E</v>
      </c>
      <c r="M62" s="75" t="str">
        <f t="shared" si="0"/>
        <v>302, 305, 307, 306, M5, M6, M7, M8, 302, 305, 303, 311, 316, 319, 322, 323</v>
      </c>
      <c r="N62" s="75" t="str">
        <f t="shared" si="1"/>
        <v>05, 03, 10, 16</v>
      </c>
      <c r="R62" s="70" t="s">
        <v>383</v>
      </c>
      <c r="S62" s="70" t="s">
        <v>53</v>
      </c>
      <c r="T62" s="70" t="s">
        <v>83</v>
      </c>
      <c r="U62" s="70"/>
      <c r="V62" s="70"/>
      <c r="X62" s="70" t="str">
        <f t="shared" si="21"/>
        <v>LS2-E DT@E</v>
      </c>
      <c r="Y62" s="70" t="str">
        <f t="shared" si="22"/>
        <v>E DT-LF4@E</v>
      </c>
      <c r="Z62" s="70" t="str">
        <f t="shared" si="23"/>
        <v/>
      </c>
      <c r="AA62" s="70" t="str">
        <f t="shared" si="24"/>
        <v/>
      </c>
      <c r="AC62" s="70" t="str">
        <f t="shared" si="12"/>
        <v>302, 305, 307, 306, M5, M6, M7, M8</v>
      </c>
      <c r="AD62" s="70" t="str">
        <f t="shared" si="13"/>
        <v>302, 305, 303, 311, 316, 319, 322, 323</v>
      </c>
      <c r="AE62" s="70" t="str">
        <f t="shared" si="14"/>
        <v/>
      </c>
      <c r="AF62" s="70" t="str">
        <f t="shared" si="15"/>
        <v/>
      </c>
      <c r="AH62" s="70" t="str">
        <f t="shared" si="16"/>
        <v>05</v>
      </c>
      <c r="AI62" s="70" t="str">
        <f t="shared" si="17"/>
        <v>03, 10, 16</v>
      </c>
      <c r="AJ62" s="70" t="str">
        <f t="shared" si="18"/>
        <v/>
      </c>
      <c r="AK62" s="70" t="str">
        <f t="shared" si="19"/>
        <v/>
      </c>
      <c r="AM62" s="166" t="str">
        <f t="shared" si="20"/>
        <v>RM3E-E AV</v>
      </c>
      <c r="AN62" s="167" t="s">
        <v>389</v>
      </c>
      <c r="AO62" s="167" t="s">
        <v>385</v>
      </c>
      <c r="AP62" s="167" t="s">
        <v>202</v>
      </c>
    </row>
    <row r="63" spans="1:42" ht="20.100000000000001" customHeight="1" thickBot="1">
      <c r="A63" s="45" t="s">
        <v>390</v>
      </c>
      <c r="B63" s="45" t="s">
        <v>165</v>
      </c>
      <c r="C63" s="45" t="s">
        <v>155</v>
      </c>
      <c r="E63" s="45">
        <f t="shared" si="2"/>
        <v>7</v>
      </c>
      <c r="F63" s="45">
        <f t="shared" si="3"/>
        <v>4</v>
      </c>
      <c r="G63" s="45" t="str">
        <f t="shared" si="4"/>
        <v>LF4</v>
      </c>
      <c r="H63" s="45" t="str">
        <f t="shared" si="5"/>
        <v>LS2</v>
      </c>
      <c r="J63" s="45" t="str">
        <f t="shared" si="6"/>
        <v>LS2</v>
      </c>
      <c r="K63" s="45" t="s">
        <v>130</v>
      </c>
      <c r="L63" s="45" t="str">
        <f t="shared" si="7"/>
        <v>LF4-LS2@E</v>
      </c>
      <c r="M63" s="75" t="str">
        <f t="shared" si="0"/>
        <v>302, 305, 303, 311, 316, 319, 322, 323, 302, 305, 307, 306, M5, M6, M7, M8</v>
      </c>
      <c r="N63" s="75" t="str">
        <f t="shared" si="1"/>
        <v>21, 04, 03</v>
      </c>
      <c r="R63" s="70" t="s">
        <v>83</v>
      </c>
      <c r="S63" s="70" t="s">
        <v>53</v>
      </c>
      <c r="T63" s="70" t="s">
        <v>383</v>
      </c>
      <c r="U63" s="70"/>
      <c r="V63" s="70"/>
      <c r="X63" s="70" t="str">
        <f t="shared" si="21"/>
        <v>LF4-E DT@E</v>
      </c>
      <c r="Y63" s="70" t="str">
        <f t="shared" si="22"/>
        <v>E DT-LS2@E</v>
      </c>
      <c r="Z63" s="70" t="str">
        <f t="shared" si="23"/>
        <v/>
      </c>
      <c r="AA63" s="70" t="str">
        <f t="shared" si="24"/>
        <v/>
      </c>
      <c r="AC63" s="70" t="str">
        <f t="shared" si="12"/>
        <v>302, 305, 303, 311, 316, 319, 322, 323</v>
      </c>
      <c r="AD63" s="70" t="str">
        <f t="shared" si="13"/>
        <v>302, 305, 307, 306, M5, M6, M7, M8</v>
      </c>
      <c r="AE63" s="70" t="str">
        <f t="shared" si="14"/>
        <v/>
      </c>
      <c r="AF63" s="70" t="str">
        <f t="shared" si="15"/>
        <v/>
      </c>
      <c r="AH63" s="70" t="str">
        <f t="shared" si="16"/>
        <v>21, 04</v>
      </c>
      <c r="AI63" s="70" t="str">
        <f t="shared" si="17"/>
        <v>03</v>
      </c>
      <c r="AJ63" s="70" t="str">
        <f t="shared" si="18"/>
        <v/>
      </c>
      <c r="AK63" s="70" t="str">
        <f t="shared" si="19"/>
        <v/>
      </c>
      <c r="AM63" s="166" t="str">
        <f t="shared" si="20"/>
        <v>RM3W-E AV</v>
      </c>
      <c r="AN63" s="167" t="s">
        <v>391</v>
      </c>
      <c r="AO63" s="167" t="s">
        <v>385</v>
      </c>
      <c r="AP63" s="167" t="s">
        <v>202</v>
      </c>
    </row>
    <row r="64" spans="1:42" ht="20.100000000000001" customHeight="1" thickBot="1">
      <c r="A64" s="45" t="s">
        <v>392</v>
      </c>
      <c r="B64" s="45" t="s">
        <v>147</v>
      </c>
      <c r="C64" s="45" t="s">
        <v>170</v>
      </c>
      <c r="E64" s="45">
        <f t="shared" si="2"/>
        <v>7</v>
      </c>
      <c r="F64" s="45">
        <f t="shared" si="3"/>
        <v>4</v>
      </c>
      <c r="G64" s="45" t="str">
        <f t="shared" si="4"/>
        <v>LS2</v>
      </c>
      <c r="H64" s="45" t="str">
        <f t="shared" si="5"/>
        <v>HM1</v>
      </c>
      <c r="J64" s="45" t="str">
        <f t="shared" si="6"/>
        <v>HM1</v>
      </c>
      <c r="K64" s="45" t="s">
        <v>130</v>
      </c>
      <c r="L64" s="45" t="str">
        <f t="shared" si="7"/>
        <v>LS2-HM1@E</v>
      </c>
      <c r="M64" s="75" t="str">
        <f t="shared" si="0"/>
        <v>302, 305, 307, 306, M5, M6, M7, M8, 322, 319, 316, 311, 303, 305, 302</v>
      </c>
      <c r="N64" s="75" t="str">
        <f t="shared" si="1"/>
        <v>05, 03, 10, 16</v>
      </c>
      <c r="R64" s="70" t="s">
        <v>383</v>
      </c>
      <c r="S64" s="70" t="s">
        <v>53</v>
      </c>
      <c r="T64" s="70" t="s">
        <v>171</v>
      </c>
      <c r="U64" s="70"/>
      <c r="V64" s="70"/>
      <c r="X64" s="70" t="str">
        <f t="shared" si="21"/>
        <v>LS2-E DT@E</v>
      </c>
      <c r="Y64" s="70" t="str">
        <f t="shared" si="22"/>
        <v>E DT-HM1@E</v>
      </c>
      <c r="Z64" s="70" t="str">
        <f t="shared" si="23"/>
        <v/>
      </c>
      <c r="AA64" s="70" t="str">
        <f t="shared" si="24"/>
        <v/>
      </c>
      <c r="AC64" s="70" t="str">
        <f t="shared" si="12"/>
        <v>302, 305, 307, 306, M5, M6, M7, M8</v>
      </c>
      <c r="AD64" s="70" t="str">
        <f t="shared" si="13"/>
        <v>322, 319, 316, 311, 303, 305, 302</v>
      </c>
      <c r="AE64" s="70" t="str">
        <f t="shared" si="14"/>
        <v/>
      </c>
      <c r="AF64" s="70" t="str">
        <f t="shared" si="15"/>
        <v/>
      </c>
      <c r="AH64" s="70" t="str">
        <f t="shared" si="16"/>
        <v>05</v>
      </c>
      <c r="AI64" s="70" t="str">
        <f t="shared" si="17"/>
        <v>03, 10, 16</v>
      </c>
      <c r="AJ64" s="70" t="str">
        <f t="shared" si="18"/>
        <v/>
      </c>
      <c r="AK64" s="70" t="str">
        <f t="shared" si="19"/>
        <v/>
      </c>
      <c r="AM64" s="166" t="str">
        <f t="shared" si="20"/>
        <v>HCTE-E AV</v>
      </c>
      <c r="AN64" s="167" t="s">
        <v>393</v>
      </c>
      <c r="AO64" s="167" t="s">
        <v>394</v>
      </c>
      <c r="AP64" s="167" t="s">
        <v>211</v>
      </c>
    </row>
    <row r="65" spans="1:42" ht="20.100000000000001" customHeight="1" thickBot="1">
      <c r="A65" s="45" t="s">
        <v>395</v>
      </c>
      <c r="B65" s="45" t="s">
        <v>176</v>
      </c>
      <c r="C65" s="45" t="s">
        <v>177</v>
      </c>
      <c r="E65" s="45">
        <f t="shared" si="2"/>
        <v>7</v>
      </c>
      <c r="F65" s="45">
        <f t="shared" si="3"/>
        <v>4</v>
      </c>
      <c r="G65" s="45" t="str">
        <f t="shared" si="4"/>
        <v>HM1</v>
      </c>
      <c r="H65" s="45" t="str">
        <f t="shared" si="5"/>
        <v>LS2</v>
      </c>
      <c r="J65" s="45" t="str">
        <f t="shared" si="6"/>
        <v>LS2</v>
      </c>
      <c r="K65" s="45" t="s">
        <v>130</v>
      </c>
      <c r="L65" s="45" t="str">
        <f t="shared" si="7"/>
        <v>HM1-LS2@E</v>
      </c>
      <c r="M65" s="75" t="str">
        <f t="shared" si="0"/>
        <v>322, 319, 316, 311, 303, 305, 302, 302, 305, 307, 306, M5, M6, M7, M8</v>
      </c>
      <c r="N65" s="75" t="str">
        <f t="shared" si="1"/>
        <v>22, 04, 03</v>
      </c>
      <c r="R65" s="70" t="s">
        <v>171</v>
      </c>
      <c r="S65" s="70" t="s">
        <v>53</v>
      </c>
      <c r="T65" s="70" t="s">
        <v>383</v>
      </c>
      <c r="U65" s="70"/>
      <c r="V65" s="70"/>
      <c r="X65" s="70" t="str">
        <f t="shared" si="21"/>
        <v>HM1-E DT@E</v>
      </c>
      <c r="Y65" s="70" t="str">
        <f t="shared" si="22"/>
        <v>E DT-LS2@E</v>
      </c>
      <c r="Z65" s="70" t="str">
        <f t="shared" si="23"/>
        <v/>
      </c>
      <c r="AA65" s="70" t="str">
        <f t="shared" si="24"/>
        <v/>
      </c>
      <c r="AC65" s="70" t="str">
        <f t="shared" si="12"/>
        <v>322, 319, 316, 311, 303, 305, 302</v>
      </c>
      <c r="AD65" s="70" t="str">
        <f t="shared" si="13"/>
        <v>302, 305, 307, 306, M5, M6, M7, M8</v>
      </c>
      <c r="AE65" s="70" t="str">
        <f t="shared" si="14"/>
        <v/>
      </c>
      <c r="AF65" s="70" t="str">
        <f t="shared" si="15"/>
        <v/>
      </c>
      <c r="AH65" s="70" t="str">
        <f t="shared" si="16"/>
        <v>22, 04</v>
      </c>
      <c r="AI65" s="70" t="str">
        <f t="shared" si="17"/>
        <v>03</v>
      </c>
      <c r="AJ65" s="70" t="str">
        <f t="shared" si="18"/>
        <v/>
      </c>
      <c r="AK65" s="70" t="str">
        <f t="shared" si="19"/>
        <v/>
      </c>
      <c r="AM65" s="166" t="str">
        <f t="shared" si="20"/>
        <v>HCTW-E AV</v>
      </c>
      <c r="AN65" s="167" t="s">
        <v>396</v>
      </c>
      <c r="AO65" s="167" t="s">
        <v>394</v>
      </c>
      <c r="AP65" s="167" t="s">
        <v>211</v>
      </c>
    </row>
    <row r="66" spans="1:42" ht="20.100000000000001" customHeight="1" thickBot="1">
      <c r="A66" s="45" t="s">
        <v>397</v>
      </c>
      <c r="B66" s="45" t="s">
        <v>147</v>
      </c>
      <c r="C66" s="45" t="s">
        <v>181</v>
      </c>
      <c r="E66" s="45">
        <f t="shared" si="2"/>
        <v>7</v>
      </c>
      <c r="F66" s="45">
        <f t="shared" si="3"/>
        <v>4</v>
      </c>
      <c r="G66" s="45" t="str">
        <f t="shared" si="4"/>
        <v>LS2</v>
      </c>
      <c r="H66" s="45" t="str">
        <f t="shared" si="5"/>
        <v>HM2</v>
      </c>
      <c r="J66" s="45" t="str">
        <f t="shared" si="6"/>
        <v>HM2</v>
      </c>
      <c r="K66" s="45" t="s">
        <v>130</v>
      </c>
      <c r="L66" s="45" t="str">
        <f t="shared" si="7"/>
        <v>LS2-HM2@E</v>
      </c>
      <c r="M66" s="75" t="str">
        <f t="shared" ref="M66:M129" si="25">IF(AF66="",IF(AE66="",IF(AD66="",AC66,CONCATENATE(AC66,", ",AD66)),CONCATENATE(AC66,", ",AD66,", ",AE66)),CONCATENATE(AC66,", ",AD66,", ",AE66,", ",AF66))</f>
        <v>302, 305, 307, 306, M5, M6, M7, M8, 324, 319, 316, 311, 303, 305, 302</v>
      </c>
      <c r="N66" s="75" t="str">
        <f t="shared" ref="N66:N129" si="26">IF(AK66="",IF(AJ66="",IF(AI66="",AH66,CONCATENATE(AH66,", ",AI66)),CONCATENATE(AH66,", ",AI66,", ",AJ66)),CONCATENATE(AH66,", ",AI66,", ",AJ66,", ",AK66))</f>
        <v>05, 03, 10, 16</v>
      </c>
      <c r="R66" s="70" t="s">
        <v>383</v>
      </c>
      <c r="S66" s="70" t="s">
        <v>53</v>
      </c>
      <c r="T66" s="70" t="s">
        <v>182</v>
      </c>
      <c r="U66" s="70"/>
      <c r="V66" s="70"/>
      <c r="X66" s="70" t="str">
        <f t="shared" si="21"/>
        <v>LS2-E DT@E</v>
      </c>
      <c r="Y66" s="70" t="str">
        <f t="shared" si="22"/>
        <v>E DT-HM2@E</v>
      </c>
      <c r="Z66" s="70" t="str">
        <f t="shared" si="23"/>
        <v/>
      </c>
      <c r="AA66" s="70" t="str">
        <f t="shared" si="24"/>
        <v/>
      </c>
      <c r="AC66" s="70" t="str">
        <f t="shared" si="12"/>
        <v>302, 305, 307, 306, M5, M6, M7, M8</v>
      </c>
      <c r="AD66" s="70" t="str">
        <f t="shared" si="13"/>
        <v>324, 319, 316, 311, 303, 305, 302</v>
      </c>
      <c r="AE66" s="70" t="str">
        <f t="shared" si="14"/>
        <v/>
      </c>
      <c r="AF66" s="70" t="str">
        <f t="shared" si="15"/>
        <v/>
      </c>
      <c r="AH66" s="70" t="str">
        <f t="shared" si="16"/>
        <v>05</v>
      </c>
      <c r="AI66" s="70" t="str">
        <f t="shared" si="17"/>
        <v>03, 10, 16</v>
      </c>
      <c r="AJ66" s="70" t="str">
        <f t="shared" si="18"/>
        <v/>
      </c>
      <c r="AK66" s="70" t="str">
        <f t="shared" si="19"/>
        <v/>
      </c>
      <c r="AM66" s="166" t="str">
        <f t="shared" si="20"/>
        <v>1E-E AV</v>
      </c>
      <c r="AN66" s="167" t="s">
        <v>398</v>
      </c>
      <c r="AO66" s="167" t="s">
        <v>394</v>
      </c>
      <c r="AP66" s="167" t="s">
        <v>218</v>
      </c>
    </row>
    <row r="67" spans="1:42" ht="20.100000000000001" customHeight="1" thickBot="1">
      <c r="A67" s="45" t="s">
        <v>399</v>
      </c>
      <c r="B67" s="45" t="s">
        <v>187</v>
      </c>
      <c r="C67" s="45" t="s">
        <v>188</v>
      </c>
      <c r="E67" s="45">
        <f t="shared" ref="E67:E130" si="27">LEN(A67)</f>
        <v>7</v>
      </c>
      <c r="F67" s="45">
        <f t="shared" ref="F67:F130" si="28">SEARCH("-",A67)</f>
        <v>4</v>
      </c>
      <c r="G67" s="45" t="str">
        <f t="shared" ref="G67:G130" si="29">LEFT(A67,F67-1)</f>
        <v>HM2</v>
      </c>
      <c r="H67" s="45" t="str">
        <f t="shared" ref="H67:H130" si="30">RIGHT(A67,E67-F67)</f>
        <v>LS2</v>
      </c>
      <c r="J67" s="45" t="str">
        <f t="shared" ref="J67:J130" si="31">IF(V67="",IF(U67="",IF(T67="",S67,T67),U67),V67)</f>
        <v>LS2</v>
      </c>
      <c r="K67" s="45" t="s">
        <v>130</v>
      </c>
      <c r="L67" s="45" t="str">
        <f t="shared" ref="L67:L130" si="32">CONCATENATE(R67,"-",J67,"@",K67)</f>
        <v>HM2-LS2@E</v>
      </c>
      <c r="M67" s="75" t="str">
        <f t="shared" si="25"/>
        <v>324, 319, 316, 311, 303, 305, 302, 302, 305, 307, 306, M5, M6, M7, M8</v>
      </c>
      <c r="N67" s="75" t="str">
        <f t="shared" si="26"/>
        <v>23, 04, 03</v>
      </c>
      <c r="R67" s="70" t="s">
        <v>182</v>
      </c>
      <c r="S67" s="70" t="s">
        <v>53</v>
      </c>
      <c r="T67" s="70" t="s">
        <v>383</v>
      </c>
      <c r="U67" s="70"/>
      <c r="V67" s="70"/>
      <c r="X67" s="70" t="str">
        <f t="shared" si="21"/>
        <v>HM2-E DT@E</v>
      </c>
      <c r="Y67" s="70" t="str">
        <f t="shared" si="22"/>
        <v>E DT-LS2@E</v>
      </c>
      <c r="Z67" s="70" t="str">
        <f t="shared" si="23"/>
        <v/>
      </c>
      <c r="AA67" s="70" t="str">
        <f t="shared" si="24"/>
        <v/>
      </c>
      <c r="AC67" s="70" t="str">
        <f t="shared" ref="AC67:AC130" si="33">IF(X67="","",VLOOKUP(X67,$AN$2:$AP$736,2,0))</f>
        <v>324, 319, 316, 311, 303, 305, 302</v>
      </c>
      <c r="AD67" s="70" t="str">
        <f t="shared" ref="AD67:AD130" si="34">IF(Y67="","",VLOOKUP(Y67,$AN$2:$AP$736,2,0))</f>
        <v>302, 305, 307, 306, M5, M6, M7, M8</v>
      </c>
      <c r="AE67" s="70" t="str">
        <f t="shared" ref="AE67:AE130" si="35">IF(Z67="","",VLOOKUP(Z67,$AN$2:$AP$736,2,0))</f>
        <v/>
      </c>
      <c r="AF67" s="70" t="str">
        <f t="shared" ref="AF67:AF130" si="36">IF(AA67="","",VLOOKUP(AA67,$AN$2:$AP$736,2,0))</f>
        <v/>
      </c>
      <c r="AH67" s="70" t="str">
        <f t="shared" ref="AH67:AH130" si="37">IF(X67="","",VLOOKUP(X67,$AN$2:$AP$162,3,0))</f>
        <v>23, 04</v>
      </c>
      <c r="AI67" s="70" t="str">
        <f t="shared" ref="AI67:AI130" si="38">IF(Y67="","",VLOOKUP(Y67,$AN$2:$AP$162,3,0))</f>
        <v>03</v>
      </c>
      <c r="AJ67" s="70" t="str">
        <f t="shared" ref="AJ67:AJ130" si="39">IF(Z67="","",VLOOKUP(Z67,$AN$2:$AP$162,3,0))</f>
        <v/>
      </c>
      <c r="AK67" s="70" t="str">
        <f t="shared" ref="AK67:AK130" si="40">IF(AA67="","",VLOOKUP(AA67,$AN$2:$AP$162,3,0))</f>
        <v/>
      </c>
      <c r="AM67" s="166" t="str">
        <f t="shared" ref="AM67:AM130" si="41">LEFT(AN67,LEN(AN67)-2)</f>
        <v>1W-E AV</v>
      </c>
      <c r="AN67" s="167" t="s">
        <v>400</v>
      </c>
      <c r="AO67" s="167" t="s">
        <v>394</v>
      </c>
      <c r="AP67" s="167" t="s">
        <v>218</v>
      </c>
    </row>
    <row r="68" spans="1:42" ht="20.100000000000001" customHeight="1" thickBot="1">
      <c r="A68" s="45" t="s">
        <v>401</v>
      </c>
      <c r="B68" s="45" t="s">
        <v>147</v>
      </c>
      <c r="C68" s="45" t="s">
        <v>181</v>
      </c>
      <c r="E68" s="45">
        <f t="shared" si="27"/>
        <v>7</v>
      </c>
      <c r="F68" s="45">
        <f t="shared" si="28"/>
        <v>4</v>
      </c>
      <c r="G68" s="45" t="str">
        <f t="shared" si="29"/>
        <v>LS2</v>
      </c>
      <c r="H68" s="45" t="str">
        <f t="shared" si="30"/>
        <v>HM3</v>
      </c>
      <c r="J68" s="45" t="str">
        <f t="shared" si="31"/>
        <v>HM3</v>
      </c>
      <c r="K68" s="45" t="s">
        <v>130</v>
      </c>
      <c r="L68" s="45" t="str">
        <f t="shared" si="32"/>
        <v>LS2-HM3@E</v>
      </c>
      <c r="M68" s="75" t="str">
        <f t="shared" si="25"/>
        <v>302, 305, 307, 306, M5, M6, M7, M8, 324, 319, 316, 311, 303, 305, 302</v>
      </c>
      <c r="N68" s="75" t="str">
        <f t="shared" si="26"/>
        <v>05, 03, 10, 16</v>
      </c>
      <c r="R68" s="70" t="s">
        <v>383</v>
      </c>
      <c r="S68" s="70" t="s">
        <v>53</v>
      </c>
      <c r="T68" s="70" t="s">
        <v>191</v>
      </c>
      <c r="U68" s="70"/>
      <c r="V68" s="70"/>
      <c r="X68" s="70" t="str">
        <f t="shared" si="21"/>
        <v>LS2-E DT@E</v>
      </c>
      <c r="Y68" s="70" t="str">
        <f t="shared" si="22"/>
        <v>E DT-HM3@E</v>
      </c>
      <c r="Z68" s="70" t="str">
        <f t="shared" si="23"/>
        <v/>
      </c>
      <c r="AA68" s="70" t="str">
        <f t="shared" si="24"/>
        <v/>
      </c>
      <c r="AC68" s="70" t="str">
        <f t="shared" si="33"/>
        <v>302, 305, 307, 306, M5, M6, M7, M8</v>
      </c>
      <c r="AD68" s="70" t="str">
        <f t="shared" si="34"/>
        <v>324, 319, 316, 311, 303, 305, 302</v>
      </c>
      <c r="AE68" s="70" t="str">
        <f t="shared" si="35"/>
        <v/>
      </c>
      <c r="AF68" s="70" t="str">
        <f t="shared" si="36"/>
        <v/>
      </c>
      <c r="AH68" s="70" t="str">
        <f t="shared" si="37"/>
        <v>05</v>
      </c>
      <c r="AI68" s="70" t="str">
        <f t="shared" si="38"/>
        <v>03, 10, 16</v>
      </c>
      <c r="AJ68" s="70" t="str">
        <f t="shared" si="39"/>
        <v/>
      </c>
      <c r="AK68" s="70" t="str">
        <f t="shared" si="40"/>
        <v/>
      </c>
      <c r="AM68" s="166" t="str">
        <f t="shared" si="41"/>
        <v>2E-E AV</v>
      </c>
      <c r="AN68" s="167" t="s">
        <v>402</v>
      </c>
      <c r="AO68" s="167" t="s">
        <v>403</v>
      </c>
      <c r="AP68" s="167" t="s">
        <v>227</v>
      </c>
    </row>
    <row r="69" spans="1:42" ht="20.100000000000001" customHeight="1" thickBot="1">
      <c r="A69" s="45" t="s">
        <v>404</v>
      </c>
      <c r="B69" s="45" t="s">
        <v>196</v>
      </c>
      <c r="C69" s="45" t="s">
        <v>188</v>
      </c>
      <c r="E69" s="45">
        <f t="shared" si="27"/>
        <v>7</v>
      </c>
      <c r="F69" s="45">
        <f t="shared" si="28"/>
        <v>4</v>
      </c>
      <c r="G69" s="45" t="str">
        <f t="shared" si="29"/>
        <v>HM3</v>
      </c>
      <c r="H69" s="45" t="str">
        <f t="shared" si="30"/>
        <v>LS2</v>
      </c>
      <c r="J69" s="45" t="str">
        <f t="shared" si="31"/>
        <v>LS2</v>
      </c>
      <c r="K69" s="45" t="s">
        <v>130</v>
      </c>
      <c r="L69" s="45" t="str">
        <f t="shared" si="32"/>
        <v>HM3-LS2@E</v>
      </c>
      <c r="M69" s="75" t="str">
        <f t="shared" si="25"/>
        <v>324, 319, 316, 311, 303, 305, 302, 302, 305, 307, 306, M5, M6, M7, M8</v>
      </c>
      <c r="N69" s="75" t="str">
        <f t="shared" si="26"/>
        <v>24,04, 03</v>
      </c>
      <c r="R69" s="70" t="s">
        <v>191</v>
      </c>
      <c r="S69" s="70" t="s">
        <v>53</v>
      </c>
      <c r="T69" s="70" t="s">
        <v>383</v>
      </c>
      <c r="U69" s="70"/>
      <c r="V69" s="70"/>
      <c r="X69" s="70" t="str">
        <f t="shared" si="21"/>
        <v>HM3-E DT@E</v>
      </c>
      <c r="Y69" s="70" t="str">
        <f t="shared" si="22"/>
        <v>E DT-LS2@E</v>
      </c>
      <c r="Z69" s="70" t="str">
        <f t="shared" si="23"/>
        <v/>
      </c>
      <c r="AA69" s="70" t="str">
        <f t="shared" si="24"/>
        <v/>
      </c>
      <c r="AC69" s="70" t="str">
        <f t="shared" si="33"/>
        <v>324, 319, 316, 311, 303, 305, 302</v>
      </c>
      <c r="AD69" s="70" t="str">
        <f t="shared" si="34"/>
        <v>302, 305, 307, 306, M5, M6, M7, M8</v>
      </c>
      <c r="AE69" s="70" t="str">
        <f t="shared" si="35"/>
        <v/>
      </c>
      <c r="AF69" s="70" t="str">
        <f t="shared" si="36"/>
        <v/>
      </c>
      <c r="AH69" s="70" t="str">
        <f t="shared" si="37"/>
        <v>24,04</v>
      </c>
      <c r="AI69" s="70" t="str">
        <f t="shared" si="38"/>
        <v>03</v>
      </c>
      <c r="AJ69" s="70" t="str">
        <f t="shared" si="39"/>
        <v/>
      </c>
      <c r="AK69" s="70" t="str">
        <f t="shared" si="40"/>
        <v/>
      </c>
      <c r="AM69" s="166" t="str">
        <f t="shared" si="41"/>
        <v>2W-E AV</v>
      </c>
      <c r="AN69" s="167" t="s">
        <v>405</v>
      </c>
      <c r="AO69" s="167" t="s">
        <v>403</v>
      </c>
      <c r="AP69" s="167" t="s">
        <v>227</v>
      </c>
    </row>
    <row r="70" spans="1:42" ht="20.100000000000001" customHeight="1" thickBot="1">
      <c r="A70" s="45" t="s">
        <v>406</v>
      </c>
      <c r="B70" s="45" t="s">
        <v>147</v>
      </c>
      <c r="C70" s="45" t="s">
        <v>199</v>
      </c>
      <c r="E70" s="45">
        <f t="shared" si="27"/>
        <v>8</v>
      </c>
      <c r="F70" s="45">
        <f t="shared" si="28"/>
        <v>4</v>
      </c>
      <c r="G70" s="45" t="str">
        <f t="shared" si="29"/>
        <v>LS2</v>
      </c>
      <c r="H70" s="45" t="str">
        <f t="shared" si="30"/>
        <v>RM1E</v>
      </c>
      <c r="J70" s="45" t="str">
        <f t="shared" si="31"/>
        <v>RM1E</v>
      </c>
      <c r="K70" s="45" t="s">
        <v>130</v>
      </c>
      <c r="L70" s="45" t="str">
        <f t="shared" si="32"/>
        <v>LS2-RM1E@E</v>
      </c>
      <c r="M70" s="75" t="str">
        <f t="shared" si="25"/>
        <v>302, 305, 307, 306, M5, M6, M7, M8, 302, 305, 303, 311, 316, 319, 324</v>
      </c>
      <c r="N70" s="75" t="str">
        <f t="shared" si="26"/>
        <v>05, 03, 10, 16</v>
      </c>
      <c r="R70" s="70" t="s">
        <v>383</v>
      </c>
      <c r="S70" s="70" t="s">
        <v>53</v>
      </c>
      <c r="T70" s="70" t="s">
        <v>200</v>
      </c>
      <c r="U70" s="70"/>
      <c r="V70" s="70"/>
      <c r="X70" s="70" t="str">
        <f t="shared" si="21"/>
        <v>LS2-E DT@E</v>
      </c>
      <c r="Y70" s="70" t="str">
        <f t="shared" si="22"/>
        <v>E DT-RM1E@E</v>
      </c>
      <c r="Z70" s="70" t="str">
        <f t="shared" si="23"/>
        <v/>
      </c>
      <c r="AA70" s="70" t="str">
        <f t="shared" si="24"/>
        <v/>
      </c>
      <c r="AC70" s="70" t="str">
        <f t="shared" si="33"/>
        <v>302, 305, 307, 306, M5, M6, M7, M8</v>
      </c>
      <c r="AD70" s="70" t="str">
        <f t="shared" si="34"/>
        <v>302, 305, 303, 311, 316, 319, 324</v>
      </c>
      <c r="AE70" s="70" t="str">
        <f t="shared" si="35"/>
        <v/>
      </c>
      <c r="AF70" s="70" t="str">
        <f t="shared" si="36"/>
        <v/>
      </c>
      <c r="AH70" s="70" t="str">
        <f t="shared" si="37"/>
        <v>05</v>
      </c>
      <c r="AI70" s="70" t="str">
        <f t="shared" si="38"/>
        <v>03, 10, 16</v>
      </c>
      <c r="AJ70" s="70" t="str">
        <f t="shared" si="39"/>
        <v/>
      </c>
      <c r="AK70" s="70" t="str">
        <f t="shared" si="40"/>
        <v/>
      </c>
      <c r="AM70" s="166" t="str">
        <f t="shared" si="41"/>
        <v>3E-E AV</v>
      </c>
      <c r="AN70" s="167" t="s">
        <v>407</v>
      </c>
      <c r="AO70" s="167" t="s">
        <v>403</v>
      </c>
      <c r="AP70" s="167" t="s">
        <v>233</v>
      </c>
    </row>
    <row r="71" spans="1:42" ht="20.100000000000001" customHeight="1" thickBot="1">
      <c r="A71" s="45" t="s">
        <v>408</v>
      </c>
      <c r="B71" s="45" t="s">
        <v>204</v>
      </c>
      <c r="C71" s="45" t="s">
        <v>205</v>
      </c>
      <c r="E71" s="45">
        <f t="shared" si="27"/>
        <v>8</v>
      </c>
      <c r="F71" s="45">
        <f t="shared" si="28"/>
        <v>5</v>
      </c>
      <c r="G71" s="45" t="str">
        <f t="shared" si="29"/>
        <v>RM1E</v>
      </c>
      <c r="H71" s="45" t="str">
        <f t="shared" si="30"/>
        <v>LS2</v>
      </c>
      <c r="J71" s="45" t="str">
        <f t="shared" si="31"/>
        <v>LS2</v>
      </c>
      <c r="K71" s="45" t="s">
        <v>130</v>
      </c>
      <c r="L71" s="45" t="str">
        <f t="shared" si="32"/>
        <v>RM1E-LS2@E</v>
      </c>
      <c r="M71" s="75" t="str">
        <f t="shared" si="25"/>
        <v>302, 305, 303, 311, 316, 319, 324, 302, 305, 307, 306, M5, M6, M7, M8</v>
      </c>
      <c r="N71" s="75" t="str">
        <f t="shared" si="26"/>
        <v>25, 04, 03</v>
      </c>
      <c r="R71" s="70" t="s">
        <v>200</v>
      </c>
      <c r="S71" s="70" t="s">
        <v>53</v>
      </c>
      <c r="T71" s="70" t="s">
        <v>383</v>
      </c>
      <c r="U71" s="70"/>
      <c r="V71" s="70"/>
      <c r="X71" s="70" t="str">
        <f t="shared" si="21"/>
        <v>RM1E-E DT@E</v>
      </c>
      <c r="Y71" s="70" t="str">
        <f t="shared" si="22"/>
        <v>E DT-LS2@E</v>
      </c>
      <c r="Z71" s="70" t="str">
        <f t="shared" si="23"/>
        <v/>
      </c>
      <c r="AA71" s="70" t="str">
        <f t="shared" si="24"/>
        <v/>
      </c>
      <c r="AC71" s="70" t="str">
        <f t="shared" si="33"/>
        <v>302, 305, 303, 311, 316, 319, 324</v>
      </c>
      <c r="AD71" s="70" t="str">
        <f t="shared" si="34"/>
        <v>302, 305, 307, 306, M5, M6, M7, M8</v>
      </c>
      <c r="AE71" s="70" t="str">
        <f t="shared" si="35"/>
        <v/>
      </c>
      <c r="AF71" s="70" t="str">
        <f t="shared" si="36"/>
        <v/>
      </c>
      <c r="AH71" s="70" t="str">
        <f t="shared" si="37"/>
        <v>25, 04</v>
      </c>
      <c r="AI71" s="70" t="str">
        <f t="shared" si="38"/>
        <v>03</v>
      </c>
      <c r="AJ71" s="70" t="str">
        <f t="shared" si="39"/>
        <v/>
      </c>
      <c r="AK71" s="70" t="str">
        <f t="shared" si="40"/>
        <v/>
      </c>
      <c r="AM71" s="166" t="str">
        <f t="shared" si="41"/>
        <v>3W-E AV</v>
      </c>
      <c r="AN71" s="167" t="s">
        <v>409</v>
      </c>
      <c r="AO71" s="167" t="s">
        <v>403</v>
      </c>
      <c r="AP71" s="167" t="s">
        <v>233</v>
      </c>
    </row>
    <row r="72" spans="1:42" ht="20.100000000000001" customHeight="1" thickBot="1">
      <c r="A72" s="45" t="s">
        <v>410</v>
      </c>
      <c r="B72" s="45" t="s">
        <v>147</v>
      </c>
      <c r="C72" s="45" t="s">
        <v>199</v>
      </c>
      <c r="E72" s="45">
        <f t="shared" si="27"/>
        <v>8</v>
      </c>
      <c r="F72" s="45">
        <f t="shared" si="28"/>
        <v>4</v>
      </c>
      <c r="G72" s="45" t="str">
        <f t="shared" si="29"/>
        <v>LS2</v>
      </c>
      <c r="H72" s="45" t="str">
        <f t="shared" si="30"/>
        <v>RM1W</v>
      </c>
      <c r="J72" s="45" t="str">
        <f t="shared" si="31"/>
        <v>RM1W</v>
      </c>
      <c r="K72" s="45" t="s">
        <v>130</v>
      </c>
      <c r="L72" s="45" t="str">
        <f t="shared" si="32"/>
        <v>LS2-RM1W@E</v>
      </c>
      <c r="M72" s="75" t="str">
        <f t="shared" si="25"/>
        <v>302, 305, 307, 306, M5, M6, M7, M8, 302, 305, 303, 311, 316, 319, 324</v>
      </c>
      <c r="N72" s="75" t="str">
        <f t="shared" si="26"/>
        <v>05, 03, 10, 16</v>
      </c>
      <c r="R72" s="70" t="s">
        <v>383</v>
      </c>
      <c r="S72" s="70" t="s">
        <v>53</v>
      </c>
      <c r="T72" s="70" t="s">
        <v>208</v>
      </c>
      <c r="U72" s="70"/>
      <c r="V72" s="70"/>
      <c r="X72" s="70" t="str">
        <f t="shared" si="21"/>
        <v>LS2-E DT@E</v>
      </c>
      <c r="Y72" s="70" t="str">
        <f t="shared" si="22"/>
        <v>E DT-RM1W@E</v>
      </c>
      <c r="Z72" s="70" t="str">
        <f t="shared" si="23"/>
        <v/>
      </c>
      <c r="AA72" s="70" t="str">
        <f t="shared" si="24"/>
        <v/>
      </c>
      <c r="AC72" s="70" t="str">
        <f t="shared" si="33"/>
        <v>302, 305, 307, 306, M5, M6, M7, M8</v>
      </c>
      <c r="AD72" s="70" t="str">
        <f t="shared" si="34"/>
        <v>302, 305, 303, 311, 316, 319, 324</v>
      </c>
      <c r="AE72" s="70" t="str">
        <f t="shared" si="35"/>
        <v/>
      </c>
      <c r="AF72" s="70" t="str">
        <f t="shared" si="36"/>
        <v/>
      </c>
      <c r="AH72" s="70" t="str">
        <f t="shared" si="37"/>
        <v>05</v>
      </c>
      <c r="AI72" s="70" t="str">
        <f t="shared" si="38"/>
        <v>03, 10, 16</v>
      </c>
      <c r="AJ72" s="70" t="str">
        <f t="shared" si="39"/>
        <v/>
      </c>
      <c r="AK72" s="70" t="str">
        <f t="shared" si="40"/>
        <v/>
      </c>
      <c r="AM72" s="166" t="str">
        <f t="shared" si="41"/>
        <v>4E-E AV</v>
      </c>
      <c r="AN72" s="167" t="s">
        <v>411</v>
      </c>
      <c r="AO72" s="167" t="s">
        <v>412</v>
      </c>
      <c r="AP72" s="167" t="s">
        <v>241</v>
      </c>
    </row>
    <row r="73" spans="1:42" ht="20.100000000000001" customHeight="1" thickBot="1">
      <c r="A73" s="45" t="s">
        <v>413</v>
      </c>
      <c r="B73" s="45" t="s">
        <v>204</v>
      </c>
      <c r="C73" s="45" t="s">
        <v>205</v>
      </c>
      <c r="E73" s="45">
        <f t="shared" si="27"/>
        <v>8</v>
      </c>
      <c r="F73" s="45">
        <f t="shared" si="28"/>
        <v>5</v>
      </c>
      <c r="G73" s="45" t="str">
        <f t="shared" si="29"/>
        <v>RM1W</v>
      </c>
      <c r="H73" s="45" t="str">
        <f t="shared" si="30"/>
        <v>LS2</v>
      </c>
      <c r="J73" s="45" t="str">
        <f t="shared" si="31"/>
        <v>LS2</v>
      </c>
      <c r="K73" s="45" t="s">
        <v>130</v>
      </c>
      <c r="L73" s="45" t="str">
        <f t="shared" si="32"/>
        <v>RM1W-LS2@E</v>
      </c>
      <c r="M73" s="75" t="str">
        <f t="shared" si="25"/>
        <v>302, 305, 303, 311, 316, 319, 324, 302, 305, 307, 306, M5, M6, M7, M8</v>
      </c>
      <c r="N73" s="75" t="str">
        <f t="shared" si="26"/>
        <v>25, 04, 03</v>
      </c>
      <c r="R73" s="70" t="s">
        <v>208</v>
      </c>
      <c r="S73" s="70" t="s">
        <v>53</v>
      </c>
      <c r="T73" s="70" t="s">
        <v>383</v>
      </c>
      <c r="U73" s="70"/>
      <c r="V73" s="70"/>
      <c r="X73" s="70" t="str">
        <f t="shared" si="21"/>
        <v>RM1W-E DT@E</v>
      </c>
      <c r="Y73" s="70" t="str">
        <f t="shared" si="22"/>
        <v>E DT-LS2@E</v>
      </c>
      <c r="Z73" s="70" t="str">
        <f t="shared" si="23"/>
        <v/>
      </c>
      <c r="AA73" s="70" t="str">
        <f t="shared" si="24"/>
        <v/>
      </c>
      <c r="AC73" s="70" t="str">
        <f t="shared" si="33"/>
        <v>302, 305, 303, 311, 316, 319, 324</v>
      </c>
      <c r="AD73" s="70" t="str">
        <f t="shared" si="34"/>
        <v>302, 305, 307, 306, M5, M6, M7, M8</v>
      </c>
      <c r="AE73" s="70" t="str">
        <f t="shared" si="35"/>
        <v/>
      </c>
      <c r="AF73" s="70" t="str">
        <f t="shared" si="36"/>
        <v/>
      </c>
      <c r="AH73" s="70" t="str">
        <f t="shared" si="37"/>
        <v>25, 04</v>
      </c>
      <c r="AI73" s="70" t="str">
        <f t="shared" si="38"/>
        <v>03</v>
      </c>
      <c r="AJ73" s="70" t="str">
        <f t="shared" si="39"/>
        <v/>
      </c>
      <c r="AK73" s="70" t="str">
        <f t="shared" si="40"/>
        <v/>
      </c>
      <c r="AM73" s="166" t="str">
        <f t="shared" si="41"/>
        <v>4W-E AV</v>
      </c>
      <c r="AN73" s="167" t="s">
        <v>414</v>
      </c>
      <c r="AO73" s="167" t="s">
        <v>412</v>
      </c>
      <c r="AP73" s="167" t="s">
        <v>241</v>
      </c>
    </row>
    <row r="74" spans="1:42" ht="20.100000000000001" customHeight="1" thickBot="1">
      <c r="A74" s="45" t="s">
        <v>415</v>
      </c>
      <c r="B74" s="45" t="s">
        <v>147</v>
      </c>
      <c r="C74" s="45" t="s">
        <v>215</v>
      </c>
      <c r="E74" s="45">
        <f t="shared" si="27"/>
        <v>8</v>
      </c>
      <c r="F74" s="45">
        <f t="shared" si="28"/>
        <v>4</v>
      </c>
      <c r="G74" s="45" t="str">
        <f t="shared" si="29"/>
        <v>LS2</v>
      </c>
      <c r="H74" s="45" t="str">
        <f t="shared" si="30"/>
        <v>RM2E</v>
      </c>
      <c r="J74" s="45" t="str">
        <f t="shared" si="31"/>
        <v>RM2E</v>
      </c>
      <c r="K74" s="45" t="s">
        <v>130</v>
      </c>
      <c r="L74" s="45" t="str">
        <f t="shared" si="32"/>
        <v>LS2-RM2E@E</v>
      </c>
      <c r="M74" s="75" t="str">
        <f t="shared" si="25"/>
        <v>302, 305, 307, 306, M5, M6, M7, M8, 327, 326, 325, 318, 317, 316, 311, 303, 305, 302</v>
      </c>
      <c r="N74" s="75" t="str">
        <f t="shared" si="26"/>
        <v>05, 03, 10, 16</v>
      </c>
      <c r="R74" s="70" t="s">
        <v>383</v>
      </c>
      <c r="S74" s="70" t="s">
        <v>53</v>
      </c>
      <c r="T74" s="70" t="s">
        <v>216</v>
      </c>
      <c r="U74" s="70"/>
      <c r="V74" s="70"/>
      <c r="X74" s="70" t="str">
        <f t="shared" si="21"/>
        <v>LS2-E DT@E</v>
      </c>
      <c r="Y74" s="70" t="str">
        <f t="shared" si="22"/>
        <v>E DT-RM2E@E</v>
      </c>
      <c r="Z74" s="70" t="str">
        <f t="shared" si="23"/>
        <v/>
      </c>
      <c r="AA74" s="70" t="str">
        <f t="shared" si="24"/>
        <v/>
      </c>
      <c r="AC74" s="70" t="str">
        <f t="shared" si="33"/>
        <v>302, 305, 307, 306, M5, M6, M7, M8</v>
      </c>
      <c r="AD74" s="70" t="str">
        <f t="shared" si="34"/>
        <v>327, 326, 325, 318, 317, 316, 311, 303, 305, 302</v>
      </c>
      <c r="AE74" s="70" t="str">
        <f t="shared" si="35"/>
        <v/>
      </c>
      <c r="AF74" s="70" t="str">
        <f t="shared" si="36"/>
        <v/>
      </c>
      <c r="AH74" s="70" t="str">
        <f t="shared" si="37"/>
        <v>05</v>
      </c>
      <c r="AI74" s="70" t="str">
        <f t="shared" si="38"/>
        <v>03, 10, 16</v>
      </c>
      <c r="AJ74" s="70" t="str">
        <f t="shared" si="39"/>
        <v/>
      </c>
      <c r="AK74" s="70" t="str">
        <f t="shared" si="40"/>
        <v/>
      </c>
      <c r="AM74" s="166" t="str">
        <f t="shared" si="41"/>
        <v>5E-E AV</v>
      </c>
      <c r="AN74" s="167" t="s">
        <v>416</v>
      </c>
      <c r="AO74" s="167" t="s">
        <v>412</v>
      </c>
      <c r="AP74" s="167" t="s">
        <v>248</v>
      </c>
    </row>
    <row r="75" spans="1:42" ht="20.100000000000001" customHeight="1" thickBot="1">
      <c r="A75" s="45" t="s">
        <v>417</v>
      </c>
      <c r="B75" s="45" t="s">
        <v>220</v>
      </c>
      <c r="C75" s="45" t="s">
        <v>221</v>
      </c>
      <c r="E75" s="45">
        <f t="shared" si="27"/>
        <v>8</v>
      </c>
      <c r="F75" s="45">
        <f t="shared" si="28"/>
        <v>5</v>
      </c>
      <c r="G75" s="45" t="str">
        <f t="shared" si="29"/>
        <v>RM2E</v>
      </c>
      <c r="H75" s="45" t="str">
        <f t="shared" si="30"/>
        <v>LS2</v>
      </c>
      <c r="J75" s="45" t="str">
        <f t="shared" si="31"/>
        <v>LS2</v>
      </c>
      <c r="K75" s="45" t="s">
        <v>130</v>
      </c>
      <c r="L75" s="45" t="str">
        <f t="shared" si="32"/>
        <v>RM2E-LS2@E</v>
      </c>
      <c r="M75" s="75" t="str">
        <f t="shared" si="25"/>
        <v>327, 326, 325, 318, 317, 316, 311, 303, 305, 302, 302, 305, 307, 306, M5, M6, M7, M8</v>
      </c>
      <c r="N75" s="75" t="str">
        <f t="shared" si="26"/>
        <v>26, 04, 03</v>
      </c>
      <c r="R75" s="70" t="s">
        <v>216</v>
      </c>
      <c r="S75" s="70" t="s">
        <v>53</v>
      </c>
      <c r="T75" s="70" t="s">
        <v>383</v>
      </c>
      <c r="U75" s="70"/>
      <c r="V75" s="70"/>
      <c r="X75" s="70" t="str">
        <f t="shared" si="21"/>
        <v>RM2E-E DT@E</v>
      </c>
      <c r="Y75" s="70" t="str">
        <f t="shared" si="22"/>
        <v>E DT-LS2@E</v>
      </c>
      <c r="Z75" s="70" t="str">
        <f t="shared" si="23"/>
        <v/>
      </c>
      <c r="AA75" s="70" t="str">
        <f t="shared" si="24"/>
        <v/>
      </c>
      <c r="AC75" s="70" t="str">
        <f t="shared" si="33"/>
        <v>327, 326, 325, 318, 317, 316, 311, 303, 305, 302</v>
      </c>
      <c r="AD75" s="70" t="str">
        <f t="shared" si="34"/>
        <v>302, 305, 307, 306, M5, M6, M7, M8</v>
      </c>
      <c r="AE75" s="70" t="str">
        <f t="shared" si="35"/>
        <v/>
      </c>
      <c r="AF75" s="70" t="str">
        <f t="shared" si="36"/>
        <v/>
      </c>
      <c r="AH75" s="70" t="str">
        <f t="shared" si="37"/>
        <v>26, 04</v>
      </c>
      <c r="AI75" s="70" t="str">
        <f t="shared" si="38"/>
        <v>03</v>
      </c>
      <c r="AJ75" s="70" t="str">
        <f t="shared" si="39"/>
        <v/>
      </c>
      <c r="AK75" s="70" t="str">
        <f t="shared" si="40"/>
        <v/>
      </c>
      <c r="AM75" s="166" t="str">
        <f t="shared" si="41"/>
        <v>5W-E AV</v>
      </c>
      <c r="AN75" s="167" t="s">
        <v>418</v>
      </c>
      <c r="AO75" s="167" t="s">
        <v>412</v>
      </c>
      <c r="AP75" s="167" t="s">
        <v>248</v>
      </c>
    </row>
    <row r="76" spans="1:42" ht="20.100000000000001" customHeight="1" thickBot="1">
      <c r="A76" s="45" t="s">
        <v>419</v>
      </c>
      <c r="B76" s="45" t="s">
        <v>147</v>
      </c>
      <c r="C76" s="45" t="s">
        <v>215</v>
      </c>
      <c r="E76" s="45">
        <f t="shared" si="27"/>
        <v>8</v>
      </c>
      <c r="F76" s="45">
        <f t="shared" si="28"/>
        <v>4</v>
      </c>
      <c r="G76" s="45" t="str">
        <f t="shared" si="29"/>
        <v>LS2</v>
      </c>
      <c r="H76" s="45" t="str">
        <f t="shared" si="30"/>
        <v>RM2W</v>
      </c>
      <c r="J76" s="45" t="str">
        <f t="shared" si="31"/>
        <v>RM2W</v>
      </c>
      <c r="K76" s="45" t="s">
        <v>130</v>
      </c>
      <c r="L76" s="45" t="str">
        <f t="shared" si="32"/>
        <v>LS2-RM2W@E</v>
      </c>
      <c r="M76" s="75" t="str">
        <f t="shared" si="25"/>
        <v>302, 305, 307, 306, M5, M6, M7, M8, 327, 326, 325, 318, 317, 316, 311, 303, 305, 302</v>
      </c>
      <c r="N76" s="75" t="str">
        <f t="shared" si="26"/>
        <v>05, 03, 10, 16</v>
      </c>
      <c r="R76" s="70" t="s">
        <v>383</v>
      </c>
      <c r="S76" s="70" t="s">
        <v>53</v>
      </c>
      <c r="T76" s="70" t="s">
        <v>224</v>
      </c>
      <c r="U76" s="70"/>
      <c r="V76" s="70"/>
      <c r="X76" s="70" t="str">
        <f t="shared" si="21"/>
        <v>LS2-E DT@E</v>
      </c>
      <c r="Y76" s="70" t="str">
        <f t="shared" si="22"/>
        <v>E DT-RM2W@E</v>
      </c>
      <c r="Z76" s="70" t="str">
        <f t="shared" si="23"/>
        <v/>
      </c>
      <c r="AA76" s="70" t="str">
        <f t="shared" si="24"/>
        <v/>
      </c>
      <c r="AC76" s="70" t="str">
        <f t="shared" si="33"/>
        <v>302, 305, 307, 306, M5, M6, M7, M8</v>
      </c>
      <c r="AD76" s="70" t="str">
        <f t="shared" si="34"/>
        <v>327, 326, 325, 318, 317, 316, 311, 303, 305, 302</v>
      </c>
      <c r="AE76" s="70" t="str">
        <f t="shared" si="35"/>
        <v/>
      </c>
      <c r="AF76" s="70" t="str">
        <f t="shared" si="36"/>
        <v/>
      </c>
      <c r="AH76" s="70" t="str">
        <f t="shared" si="37"/>
        <v>05</v>
      </c>
      <c r="AI76" s="70" t="str">
        <f t="shared" si="38"/>
        <v>03, 10, 16</v>
      </c>
      <c r="AJ76" s="70" t="str">
        <f t="shared" si="39"/>
        <v/>
      </c>
      <c r="AK76" s="70" t="str">
        <f t="shared" si="40"/>
        <v/>
      </c>
      <c r="AM76" s="166" t="str">
        <f t="shared" si="41"/>
        <v>6E-E AV</v>
      </c>
      <c r="AN76" s="167" t="s">
        <v>420</v>
      </c>
      <c r="AO76" s="167" t="s">
        <v>421</v>
      </c>
      <c r="AP76" s="167" t="s">
        <v>257</v>
      </c>
    </row>
    <row r="77" spans="1:42" ht="20.100000000000001" customHeight="1" thickBot="1">
      <c r="A77" s="45" t="s">
        <v>422</v>
      </c>
      <c r="B77" s="45" t="s">
        <v>220</v>
      </c>
      <c r="C77" s="45" t="s">
        <v>221</v>
      </c>
      <c r="E77" s="45">
        <f t="shared" si="27"/>
        <v>8</v>
      </c>
      <c r="F77" s="45">
        <f t="shared" si="28"/>
        <v>5</v>
      </c>
      <c r="G77" s="45" t="str">
        <f t="shared" si="29"/>
        <v>RM2W</v>
      </c>
      <c r="H77" s="45" t="str">
        <f t="shared" si="30"/>
        <v>LS2</v>
      </c>
      <c r="J77" s="45" t="str">
        <f t="shared" si="31"/>
        <v>LS2</v>
      </c>
      <c r="K77" s="45" t="s">
        <v>130</v>
      </c>
      <c r="L77" s="45" t="str">
        <f t="shared" si="32"/>
        <v>RM2W-LS2@E</v>
      </c>
      <c r="M77" s="75" t="str">
        <f t="shared" si="25"/>
        <v>327, 326, 325, 318, 317, 316, 311, 303, 305, 302, 302, 305, 307, 306, M5, M6, M7, M8</v>
      </c>
      <c r="N77" s="75" t="str">
        <f t="shared" si="26"/>
        <v>26, 04, 03</v>
      </c>
      <c r="R77" s="70" t="s">
        <v>224</v>
      </c>
      <c r="S77" s="70" t="s">
        <v>53</v>
      </c>
      <c r="T77" s="70" t="s">
        <v>383</v>
      </c>
      <c r="U77" s="70"/>
      <c r="V77" s="70"/>
      <c r="X77" s="70" t="str">
        <f t="shared" si="21"/>
        <v>RM2W-E DT@E</v>
      </c>
      <c r="Y77" s="70" t="str">
        <f t="shared" si="22"/>
        <v>E DT-LS2@E</v>
      </c>
      <c r="Z77" s="70" t="str">
        <f t="shared" si="23"/>
        <v/>
      </c>
      <c r="AA77" s="70" t="str">
        <f t="shared" si="24"/>
        <v/>
      </c>
      <c r="AC77" s="70" t="str">
        <f t="shared" si="33"/>
        <v>327, 326, 325, 318, 317, 316, 311, 303, 305, 302</v>
      </c>
      <c r="AD77" s="70" t="str">
        <f t="shared" si="34"/>
        <v>302, 305, 307, 306, M5, M6, M7, M8</v>
      </c>
      <c r="AE77" s="70" t="str">
        <f t="shared" si="35"/>
        <v/>
      </c>
      <c r="AF77" s="70" t="str">
        <f t="shared" si="36"/>
        <v/>
      </c>
      <c r="AH77" s="70" t="str">
        <f t="shared" si="37"/>
        <v>26, 04</v>
      </c>
      <c r="AI77" s="70" t="str">
        <f t="shared" si="38"/>
        <v>03</v>
      </c>
      <c r="AJ77" s="70" t="str">
        <f t="shared" si="39"/>
        <v/>
      </c>
      <c r="AK77" s="70" t="str">
        <f t="shared" si="40"/>
        <v/>
      </c>
      <c r="AM77" s="166" t="str">
        <f t="shared" si="41"/>
        <v>6W-E AV</v>
      </c>
      <c r="AN77" s="167" t="s">
        <v>423</v>
      </c>
      <c r="AO77" s="167" t="s">
        <v>421</v>
      </c>
      <c r="AP77" s="167" t="s">
        <v>257</v>
      </c>
    </row>
    <row r="78" spans="1:42" ht="20.100000000000001" customHeight="1" thickBot="1">
      <c r="A78" s="45" t="s">
        <v>424</v>
      </c>
      <c r="B78" s="45" t="s">
        <v>147</v>
      </c>
      <c r="C78" s="45" t="s">
        <v>215</v>
      </c>
      <c r="E78" s="45">
        <f t="shared" si="27"/>
        <v>8</v>
      </c>
      <c r="F78" s="45">
        <f t="shared" si="28"/>
        <v>4</v>
      </c>
      <c r="G78" s="45" t="str">
        <f t="shared" si="29"/>
        <v>LS2</v>
      </c>
      <c r="H78" s="45" t="str">
        <f t="shared" si="30"/>
        <v>RM3E</v>
      </c>
      <c r="J78" s="45" t="str">
        <f t="shared" si="31"/>
        <v>RM3E</v>
      </c>
      <c r="K78" s="45" t="s">
        <v>130</v>
      </c>
      <c r="L78" s="45" t="str">
        <f t="shared" si="32"/>
        <v>LS2-RM3E@E</v>
      </c>
      <c r="M78" s="75" t="str">
        <f t="shared" si="25"/>
        <v>302, 305, 307, 306, M5, M6, M7, M8, 327, 326, 325, 318, 317, 316, 311, 303, 305, 302</v>
      </c>
      <c r="N78" s="75" t="str">
        <f t="shared" si="26"/>
        <v>05, 03, 10, 16</v>
      </c>
      <c r="R78" s="70" t="s">
        <v>383</v>
      </c>
      <c r="S78" s="70" t="s">
        <v>53</v>
      </c>
      <c r="T78" s="70" t="s">
        <v>231</v>
      </c>
      <c r="U78" s="70"/>
      <c r="V78" s="70"/>
      <c r="X78" s="70" t="str">
        <f t="shared" si="21"/>
        <v>LS2-E DT@E</v>
      </c>
      <c r="Y78" s="70" t="str">
        <f t="shared" si="22"/>
        <v>E DT-RM3E@E</v>
      </c>
      <c r="Z78" s="70" t="str">
        <f t="shared" si="23"/>
        <v/>
      </c>
      <c r="AA78" s="70" t="str">
        <f t="shared" si="24"/>
        <v/>
      </c>
      <c r="AC78" s="70" t="str">
        <f t="shared" si="33"/>
        <v>302, 305, 307, 306, M5, M6, M7, M8</v>
      </c>
      <c r="AD78" s="70" t="str">
        <f t="shared" si="34"/>
        <v>327, 326, 325, 318, 317, 316, 311, 303, 305, 302</v>
      </c>
      <c r="AE78" s="70" t="str">
        <f t="shared" si="35"/>
        <v/>
      </c>
      <c r="AF78" s="70" t="str">
        <f t="shared" si="36"/>
        <v/>
      </c>
      <c r="AH78" s="70" t="str">
        <f t="shared" si="37"/>
        <v>05</v>
      </c>
      <c r="AI78" s="70" t="str">
        <f t="shared" si="38"/>
        <v>03, 10, 16</v>
      </c>
      <c r="AJ78" s="70" t="str">
        <f t="shared" si="39"/>
        <v/>
      </c>
      <c r="AK78" s="70" t="str">
        <f t="shared" si="40"/>
        <v/>
      </c>
      <c r="AM78" s="166" t="str">
        <f t="shared" si="41"/>
        <v>7E-E AV</v>
      </c>
      <c r="AN78" s="167" t="s">
        <v>425</v>
      </c>
      <c r="AO78" s="167" t="s">
        <v>426</v>
      </c>
      <c r="AP78" s="167" t="s">
        <v>264</v>
      </c>
    </row>
    <row r="79" spans="1:42" ht="20.100000000000001" customHeight="1" thickBot="1">
      <c r="A79" s="45" t="s">
        <v>427</v>
      </c>
      <c r="B79" s="45" t="s">
        <v>235</v>
      </c>
      <c r="C79" s="45" t="s">
        <v>221</v>
      </c>
      <c r="E79" s="45">
        <f t="shared" si="27"/>
        <v>8</v>
      </c>
      <c r="F79" s="45">
        <f t="shared" si="28"/>
        <v>5</v>
      </c>
      <c r="G79" s="45" t="str">
        <f t="shared" si="29"/>
        <v>RM3E</v>
      </c>
      <c r="H79" s="45" t="str">
        <f t="shared" si="30"/>
        <v>LS2</v>
      </c>
      <c r="J79" s="45" t="str">
        <f t="shared" si="31"/>
        <v>LS2</v>
      </c>
      <c r="K79" s="45" t="s">
        <v>130</v>
      </c>
      <c r="L79" s="45" t="str">
        <f t="shared" si="32"/>
        <v>RM3E-LS2@E</v>
      </c>
      <c r="M79" s="75" t="str">
        <f t="shared" si="25"/>
        <v>327, 326, 325, 318, 317, 316, 311, 303, 305, 302, 302, 305, 307, 306, M5, M6, M7, M8</v>
      </c>
      <c r="N79" s="75" t="str">
        <f t="shared" si="26"/>
        <v>27, 04, 03</v>
      </c>
      <c r="R79" s="70" t="s">
        <v>231</v>
      </c>
      <c r="S79" s="70" t="s">
        <v>53</v>
      </c>
      <c r="T79" s="70" t="s">
        <v>383</v>
      </c>
      <c r="U79" s="70"/>
      <c r="V79" s="70"/>
      <c r="X79" s="70" t="str">
        <f t="shared" si="21"/>
        <v>RM3E-E DT@E</v>
      </c>
      <c r="Y79" s="70" t="str">
        <f t="shared" si="22"/>
        <v>E DT-LS2@E</v>
      </c>
      <c r="Z79" s="70" t="str">
        <f t="shared" si="23"/>
        <v/>
      </c>
      <c r="AA79" s="70" t="str">
        <f t="shared" si="24"/>
        <v/>
      </c>
      <c r="AC79" s="70" t="str">
        <f t="shared" si="33"/>
        <v>327, 326, 325, 318, 317, 316, 311, 303, 305, 302</v>
      </c>
      <c r="AD79" s="70" t="str">
        <f t="shared" si="34"/>
        <v>302, 305, 307, 306, M5, M6, M7, M8</v>
      </c>
      <c r="AE79" s="70" t="str">
        <f t="shared" si="35"/>
        <v/>
      </c>
      <c r="AF79" s="70" t="str">
        <f t="shared" si="36"/>
        <v/>
      </c>
      <c r="AH79" s="70" t="str">
        <f t="shared" si="37"/>
        <v>27, 04</v>
      </c>
      <c r="AI79" s="70" t="str">
        <f t="shared" si="38"/>
        <v>03</v>
      </c>
      <c r="AJ79" s="70" t="str">
        <f t="shared" si="39"/>
        <v/>
      </c>
      <c r="AK79" s="70" t="str">
        <f t="shared" si="40"/>
        <v/>
      </c>
      <c r="AM79" s="166" t="str">
        <f t="shared" si="41"/>
        <v>7W-E AV</v>
      </c>
      <c r="AN79" s="167" t="s">
        <v>428</v>
      </c>
      <c r="AO79" s="167" t="s">
        <v>426</v>
      </c>
      <c r="AP79" s="167" t="s">
        <v>264</v>
      </c>
    </row>
    <row r="80" spans="1:42" ht="20.100000000000001" customHeight="1" thickBot="1">
      <c r="A80" s="45" t="s">
        <v>429</v>
      </c>
      <c r="B80" s="45" t="s">
        <v>147</v>
      </c>
      <c r="C80" s="45" t="s">
        <v>215</v>
      </c>
      <c r="E80" s="45">
        <f t="shared" si="27"/>
        <v>8</v>
      </c>
      <c r="F80" s="45">
        <f t="shared" si="28"/>
        <v>4</v>
      </c>
      <c r="G80" s="45" t="str">
        <f t="shared" si="29"/>
        <v>LS2</v>
      </c>
      <c r="H80" s="45" t="str">
        <f t="shared" si="30"/>
        <v>RM3W</v>
      </c>
      <c r="J80" s="45" t="str">
        <f t="shared" si="31"/>
        <v>RM3W</v>
      </c>
      <c r="K80" s="45" t="s">
        <v>130</v>
      </c>
      <c r="L80" s="45" t="str">
        <f t="shared" si="32"/>
        <v>LS2-RM3W@E</v>
      </c>
      <c r="M80" s="75" t="str">
        <f t="shared" si="25"/>
        <v>302, 305, 307, 306, M5, M6, M7, M8, 327, 326, 325, 318, 317, 316, 311, 303, 305, 302</v>
      </c>
      <c r="N80" s="75" t="str">
        <f t="shared" si="26"/>
        <v>05, 03, 10, 16</v>
      </c>
      <c r="R80" s="70" t="s">
        <v>383</v>
      </c>
      <c r="S80" s="70" t="s">
        <v>53</v>
      </c>
      <c r="T80" s="70" t="s">
        <v>238</v>
      </c>
      <c r="U80" s="70"/>
      <c r="V80" s="70"/>
      <c r="X80" s="70" t="str">
        <f t="shared" si="21"/>
        <v>LS2-E DT@E</v>
      </c>
      <c r="Y80" s="70" t="str">
        <f t="shared" si="22"/>
        <v>E DT-RM3W@E</v>
      </c>
      <c r="Z80" s="70" t="str">
        <f t="shared" si="23"/>
        <v/>
      </c>
      <c r="AA80" s="70" t="str">
        <f t="shared" si="24"/>
        <v/>
      </c>
      <c r="AC80" s="70" t="str">
        <f t="shared" si="33"/>
        <v>302, 305, 307, 306, M5, M6, M7, M8</v>
      </c>
      <c r="AD80" s="70" t="str">
        <f t="shared" si="34"/>
        <v>327, 326, 325, 318, 317, 316, 311, 303, 305, 302</v>
      </c>
      <c r="AE80" s="70" t="str">
        <f t="shared" si="35"/>
        <v/>
      </c>
      <c r="AF80" s="70" t="str">
        <f t="shared" si="36"/>
        <v/>
      </c>
      <c r="AH80" s="70" t="str">
        <f t="shared" si="37"/>
        <v>05</v>
      </c>
      <c r="AI80" s="70" t="str">
        <f t="shared" si="38"/>
        <v>03, 10, 16</v>
      </c>
      <c r="AJ80" s="70" t="str">
        <f t="shared" si="39"/>
        <v/>
      </c>
      <c r="AK80" s="70" t="str">
        <f t="shared" si="40"/>
        <v/>
      </c>
      <c r="AM80" s="166" t="str">
        <f t="shared" si="41"/>
        <v>8E-E AV</v>
      </c>
      <c r="AN80" s="167" t="s">
        <v>430</v>
      </c>
      <c r="AO80" s="167" t="s">
        <v>426</v>
      </c>
      <c r="AP80" s="167" t="s">
        <v>271</v>
      </c>
    </row>
    <row r="81" spans="1:42" ht="20.100000000000001" customHeight="1" thickBot="1">
      <c r="A81" s="45" t="s">
        <v>431</v>
      </c>
      <c r="B81" s="45" t="s">
        <v>235</v>
      </c>
      <c r="C81" s="45" t="s">
        <v>221</v>
      </c>
      <c r="E81" s="45">
        <f t="shared" si="27"/>
        <v>8</v>
      </c>
      <c r="F81" s="45">
        <f t="shared" si="28"/>
        <v>5</v>
      </c>
      <c r="G81" s="45" t="str">
        <f t="shared" si="29"/>
        <v>RM3W</v>
      </c>
      <c r="H81" s="45" t="str">
        <f t="shared" si="30"/>
        <v>LS2</v>
      </c>
      <c r="J81" s="45" t="str">
        <f t="shared" si="31"/>
        <v>LS2</v>
      </c>
      <c r="K81" s="45" t="s">
        <v>130</v>
      </c>
      <c r="L81" s="45" t="str">
        <f t="shared" si="32"/>
        <v>RM3W-LS2@E</v>
      </c>
      <c r="M81" s="75" t="str">
        <f t="shared" si="25"/>
        <v>327, 326, 325, 318, 317, 316, 311, 303, 305, 302, 302, 305, 307, 306, M5, M6, M7, M8</v>
      </c>
      <c r="N81" s="75" t="str">
        <f t="shared" si="26"/>
        <v>27, 04, 03</v>
      </c>
      <c r="R81" s="70" t="s">
        <v>238</v>
      </c>
      <c r="S81" s="70" t="s">
        <v>53</v>
      </c>
      <c r="T81" s="70" t="s">
        <v>383</v>
      </c>
      <c r="U81" s="70"/>
      <c r="V81" s="70"/>
      <c r="X81" s="70" t="str">
        <f t="shared" si="21"/>
        <v>RM3W-E DT@E</v>
      </c>
      <c r="Y81" s="70" t="str">
        <f t="shared" si="22"/>
        <v>E DT-LS2@E</v>
      </c>
      <c r="Z81" s="70" t="str">
        <f t="shared" si="23"/>
        <v/>
      </c>
      <c r="AA81" s="70" t="str">
        <f t="shared" si="24"/>
        <v/>
      </c>
      <c r="AC81" s="70" t="str">
        <f t="shared" si="33"/>
        <v>327, 326, 325, 318, 317, 316, 311, 303, 305, 302</v>
      </c>
      <c r="AD81" s="70" t="str">
        <f t="shared" si="34"/>
        <v>302, 305, 307, 306, M5, M6, M7, M8</v>
      </c>
      <c r="AE81" s="70" t="str">
        <f t="shared" si="35"/>
        <v/>
      </c>
      <c r="AF81" s="70" t="str">
        <f t="shared" si="36"/>
        <v/>
      </c>
      <c r="AH81" s="70" t="str">
        <f t="shared" si="37"/>
        <v>27, 04</v>
      </c>
      <c r="AI81" s="70" t="str">
        <f t="shared" si="38"/>
        <v>03</v>
      </c>
      <c r="AJ81" s="70" t="str">
        <f t="shared" si="39"/>
        <v/>
      </c>
      <c r="AK81" s="70" t="str">
        <f t="shared" si="40"/>
        <v/>
      </c>
      <c r="AM81" s="166" t="str">
        <f t="shared" si="41"/>
        <v>8W-E AV</v>
      </c>
      <c r="AN81" s="167" t="s">
        <v>432</v>
      </c>
      <c r="AO81" s="167" t="s">
        <v>426</v>
      </c>
      <c r="AP81" s="167" t="s">
        <v>271</v>
      </c>
    </row>
    <row r="82" spans="1:42" ht="20.100000000000001" customHeight="1" thickBot="1">
      <c r="A82" s="45" t="s">
        <v>433</v>
      </c>
      <c r="B82" s="45" t="s">
        <v>147</v>
      </c>
      <c r="C82" s="45" t="s">
        <v>245</v>
      </c>
      <c r="E82" s="45">
        <f t="shared" si="27"/>
        <v>8</v>
      </c>
      <c r="F82" s="45">
        <f t="shared" si="28"/>
        <v>4</v>
      </c>
      <c r="G82" s="45" t="str">
        <f t="shared" si="29"/>
        <v>LS2</v>
      </c>
      <c r="H82" s="45" t="str">
        <f t="shared" si="30"/>
        <v>HCTE</v>
      </c>
      <c r="J82" s="45" t="str">
        <f t="shared" si="31"/>
        <v>HCTE</v>
      </c>
      <c r="K82" s="45" t="s">
        <v>130</v>
      </c>
      <c r="L82" s="45" t="str">
        <f t="shared" si="32"/>
        <v>LS2-HCTE@E</v>
      </c>
      <c r="M82" s="75" t="str">
        <f t="shared" si="25"/>
        <v>302, 305, 307, 306, M5, M6, M7, M8, 329, 328, 325, 318, 317, 316, 311, 303, 305, 302</v>
      </c>
      <c r="N82" s="75" t="str">
        <f t="shared" si="26"/>
        <v>05, 03, 10, 16</v>
      </c>
      <c r="R82" s="70" t="s">
        <v>383</v>
      </c>
      <c r="S82" s="70" t="s">
        <v>53</v>
      </c>
      <c r="T82" s="70" t="s">
        <v>246</v>
      </c>
      <c r="U82" s="70"/>
      <c r="V82" s="70"/>
      <c r="X82" s="70" t="str">
        <f t="shared" si="21"/>
        <v>LS2-E DT@E</v>
      </c>
      <c r="Y82" s="70" t="str">
        <f t="shared" si="22"/>
        <v>E DT-HCTE@E</v>
      </c>
      <c r="Z82" s="70" t="str">
        <f t="shared" si="23"/>
        <v/>
      </c>
      <c r="AA82" s="70" t="str">
        <f t="shared" si="24"/>
        <v/>
      </c>
      <c r="AC82" s="70" t="str">
        <f t="shared" si="33"/>
        <v>302, 305, 307, 306, M5, M6, M7, M8</v>
      </c>
      <c r="AD82" s="70" t="str">
        <f t="shared" si="34"/>
        <v>329, 328, 325, 318, 317, 316, 311, 303, 305, 302</v>
      </c>
      <c r="AE82" s="70" t="str">
        <f t="shared" si="35"/>
        <v/>
      </c>
      <c r="AF82" s="70" t="str">
        <f t="shared" si="36"/>
        <v/>
      </c>
      <c r="AH82" s="70" t="str">
        <f t="shared" si="37"/>
        <v>05</v>
      </c>
      <c r="AI82" s="70" t="str">
        <f t="shared" si="38"/>
        <v>03, 10, 16</v>
      </c>
      <c r="AJ82" s="70" t="str">
        <f t="shared" si="39"/>
        <v/>
      </c>
      <c r="AK82" s="70" t="str">
        <f t="shared" si="40"/>
        <v/>
      </c>
      <c r="AM82" s="166" t="str">
        <f t="shared" si="41"/>
        <v>LS2-E AV</v>
      </c>
      <c r="AN82" s="167" t="s">
        <v>434</v>
      </c>
      <c r="AO82" s="167" t="s">
        <v>435</v>
      </c>
      <c r="AP82" s="167" t="s">
        <v>152</v>
      </c>
    </row>
    <row r="83" spans="1:42" ht="20.100000000000001" customHeight="1" thickBot="1">
      <c r="A83" s="45" t="s">
        <v>436</v>
      </c>
      <c r="B83" s="45" t="s">
        <v>250</v>
      </c>
      <c r="C83" s="45" t="s">
        <v>251</v>
      </c>
      <c r="E83" s="45">
        <f t="shared" si="27"/>
        <v>8</v>
      </c>
      <c r="F83" s="45">
        <f t="shared" si="28"/>
        <v>5</v>
      </c>
      <c r="G83" s="45" t="str">
        <f t="shared" si="29"/>
        <v>HCTE</v>
      </c>
      <c r="H83" s="45" t="str">
        <f t="shared" si="30"/>
        <v>LS2</v>
      </c>
      <c r="J83" s="45" t="str">
        <f t="shared" si="31"/>
        <v>LS2</v>
      </c>
      <c r="K83" s="45" t="s">
        <v>130</v>
      </c>
      <c r="L83" s="45" t="str">
        <f t="shared" si="32"/>
        <v>HCTE-LS2@E</v>
      </c>
      <c r="M83" s="75" t="str">
        <f t="shared" si="25"/>
        <v>329, 328, 325, 318, 317, 316, 311, 303, 305, 302, 302, 305, 307, 306, M5, M6, M7, M8</v>
      </c>
      <c r="N83" s="75" t="str">
        <f t="shared" si="26"/>
        <v>28, 04, 03</v>
      </c>
      <c r="R83" s="70" t="s">
        <v>246</v>
      </c>
      <c r="S83" s="70" t="s">
        <v>53</v>
      </c>
      <c r="T83" s="70" t="s">
        <v>383</v>
      </c>
      <c r="U83" s="70"/>
      <c r="V83" s="70"/>
      <c r="X83" s="70" t="str">
        <f t="shared" ref="X83:X146" si="42">IF(S83="","",CONCATENATE(R83,"-",S83,"@",$K83))</f>
        <v>HCTE-E DT@E</v>
      </c>
      <c r="Y83" s="70" t="str">
        <f t="shared" ref="Y83:Y146" si="43">IF(T83="","",CONCATENATE(S83,"-",T83,"@",$K83))</f>
        <v>E DT-LS2@E</v>
      </c>
      <c r="Z83" s="70" t="str">
        <f t="shared" ref="Z83:Z146" si="44">IF(U83="","",CONCATENATE(T83,"-",U83,"@",$K83))</f>
        <v/>
      </c>
      <c r="AA83" s="70" t="str">
        <f t="shared" ref="AA83:AA146" si="45">IF(V83="","",CONCATENATE(U83,"-",V83,"@",$K83))</f>
        <v/>
      </c>
      <c r="AC83" s="70" t="str">
        <f t="shared" si="33"/>
        <v>329, 328, 325, 318, 317, 316, 311, 303, 305, 302</v>
      </c>
      <c r="AD83" s="70" t="str">
        <f t="shared" si="34"/>
        <v>302, 305, 307, 306, M5, M6, M7, M8</v>
      </c>
      <c r="AE83" s="70" t="str">
        <f t="shared" si="35"/>
        <v/>
      </c>
      <c r="AF83" s="70" t="str">
        <f t="shared" si="36"/>
        <v/>
      </c>
      <c r="AH83" s="70" t="str">
        <f t="shared" si="37"/>
        <v>28, 04</v>
      </c>
      <c r="AI83" s="70" t="str">
        <f t="shared" si="38"/>
        <v>03</v>
      </c>
      <c r="AJ83" s="70" t="str">
        <f t="shared" si="39"/>
        <v/>
      </c>
      <c r="AK83" s="70" t="str">
        <f t="shared" si="40"/>
        <v/>
      </c>
      <c r="AM83" s="166" t="str">
        <f t="shared" si="41"/>
        <v>LS3-E AV</v>
      </c>
      <c r="AN83" s="167" t="s">
        <v>437</v>
      </c>
      <c r="AO83" s="167" t="s">
        <v>438</v>
      </c>
      <c r="AP83" s="167" t="s">
        <v>152</v>
      </c>
    </row>
    <row r="84" spans="1:42" ht="20.100000000000001" customHeight="1" thickBot="1">
      <c r="A84" s="45" t="s">
        <v>439</v>
      </c>
      <c r="B84" s="45" t="s">
        <v>147</v>
      </c>
      <c r="C84" s="45" t="s">
        <v>245</v>
      </c>
      <c r="E84" s="45">
        <f t="shared" si="27"/>
        <v>8</v>
      </c>
      <c r="F84" s="45">
        <f t="shared" si="28"/>
        <v>4</v>
      </c>
      <c r="G84" s="45" t="str">
        <f t="shared" si="29"/>
        <v>LS2</v>
      </c>
      <c r="H84" s="45" t="str">
        <f t="shared" si="30"/>
        <v>HCTW</v>
      </c>
      <c r="J84" s="45" t="str">
        <f t="shared" si="31"/>
        <v>HCTW</v>
      </c>
      <c r="K84" s="45" t="s">
        <v>130</v>
      </c>
      <c r="L84" s="45" t="str">
        <f t="shared" si="32"/>
        <v>LS2-HCTW@E</v>
      </c>
      <c r="M84" s="75" t="str">
        <f t="shared" si="25"/>
        <v>302, 305, 307, 306, M5, M6, M7, M8, 329, 328, 325, 318, 317, 316, 311, 303, 305, 302</v>
      </c>
      <c r="N84" s="75" t="str">
        <f t="shared" si="26"/>
        <v>05, 03, 10, 16</v>
      </c>
      <c r="R84" s="70" t="s">
        <v>383</v>
      </c>
      <c r="S84" s="70" t="s">
        <v>53</v>
      </c>
      <c r="T84" s="70" t="s">
        <v>254</v>
      </c>
      <c r="U84" s="70"/>
      <c r="V84" s="70"/>
      <c r="X84" s="70" t="str">
        <f t="shared" si="42"/>
        <v>LS2-E DT@E</v>
      </c>
      <c r="Y84" s="70" t="str">
        <f t="shared" si="43"/>
        <v>E DT-HCTW@E</v>
      </c>
      <c r="Z84" s="70" t="str">
        <f t="shared" si="44"/>
        <v/>
      </c>
      <c r="AA84" s="70" t="str">
        <f t="shared" si="45"/>
        <v/>
      </c>
      <c r="AC84" s="70" t="str">
        <f t="shared" si="33"/>
        <v>302, 305, 307, 306, M5, M6, M7, M8</v>
      </c>
      <c r="AD84" s="70" t="str">
        <f t="shared" si="34"/>
        <v>329, 328, 325, 318, 317, 316, 311, 303, 305, 302</v>
      </c>
      <c r="AE84" s="70" t="str">
        <f t="shared" si="35"/>
        <v/>
      </c>
      <c r="AF84" s="70" t="str">
        <f t="shared" si="36"/>
        <v/>
      </c>
      <c r="AH84" s="70" t="str">
        <f t="shared" si="37"/>
        <v>05</v>
      </c>
      <c r="AI84" s="70" t="str">
        <f t="shared" si="38"/>
        <v>03, 10, 16</v>
      </c>
      <c r="AJ84" s="70" t="str">
        <f t="shared" si="39"/>
        <v/>
      </c>
      <c r="AK84" s="70" t="str">
        <f t="shared" si="40"/>
        <v/>
      </c>
      <c r="AM84" s="166" t="str">
        <f t="shared" si="41"/>
        <v>LB-E AV</v>
      </c>
      <c r="AN84" s="167" t="s">
        <v>440</v>
      </c>
      <c r="AO84" s="167" t="s">
        <v>441</v>
      </c>
      <c r="AP84" s="167" t="s">
        <v>152</v>
      </c>
    </row>
    <row r="85" spans="1:42" ht="20.100000000000001" customHeight="1" thickBot="1">
      <c r="A85" s="45" t="s">
        <v>442</v>
      </c>
      <c r="B85" s="45" t="s">
        <v>250</v>
      </c>
      <c r="C85" s="45" t="s">
        <v>251</v>
      </c>
      <c r="E85" s="45">
        <f t="shared" si="27"/>
        <v>8</v>
      </c>
      <c r="F85" s="45">
        <f t="shared" si="28"/>
        <v>5</v>
      </c>
      <c r="G85" s="45" t="str">
        <f t="shared" si="29"/>
        <v>HCTW</v>
      </c>
      <c r="H85" s="45" t="str">
        <f t="shared" si="30"/>
        <v>LS2</v>
      </c>
      <c r="J85" s="45" t="str">
        <f t="shared" si="31"/>
        <v>LS2</v>
      </c>
      <c r="K85" s="45" t="s">
        <v>130</v>
      </c>
      <c r="L85" s="45" t="str">
        <f t="shared" si="32"/>
        <v>HCTW-LS2@E</v>
      </c>
      <c r="M85" s="75" t="str">
        <f t="shared" si="25"/>
        <v>329, 328, 325, 318, 317, 316, 311, 303, 305, 302, 302, 305, 307, 306, M5, M6, M7, M8</v>
      </c>
      <c r="N85" s="75" t="str">
        <f t="shared" si="26"/>
        <v>28, 04, 03</v>
      </c>
      <c r="R85" s="70" t="s">
        <v>254</v>
      </c>
      <c r="S85" s="70" t="s">
        <v>53</v>
      </c>
      <c r="T85" s="70" t="s">
        <v>383</v>
      </c>
      <c r="U85" s="70"/>
      <c r="V85" s="70"/>
      <c r="X85" s="70" t="str">
        <f t="shared" si="42"/>
        <v>HCTW-E DT@E</v>
      </c>
      <c r="Y85" s="70" t="str">
        <f t="shared" si="43"/>
        <v>E DT-LS2@E</v>
      </c>
      <c r="Z85" s="70" t="str">
        <f t="shared" si="44"/>
        <v/>
      </c>
      <c r="AA85" s="70" t="str">
        <f t="shared" si="45"/>
        <v/>
      </c>
      <c r="AC85" s="70" t="str">
        <f t="shared" si="33"/>
        <v>329, 328, 325, 318, 317, 316, 311, 303, 305, 302</v>
      </c>
      <c r="AD85" s="70" t="str">
        <f t="shared" si="34"/>
        <v>302, 305, 307, 306, M5, M6, M7, M8</v>
      </c>
      <c r="AE85" s="70" t="str">
        <f t="shared" si="35"/>
        <v/>
      </c>
      <c r="AF85" s="70" t="str">
        <f t="shared" si="36"/>
        <v/>
      </c>
      <c r="AH85" s="70" t="str">
        <f t="shared" si="37"/>
        <v>28, 04</v>
      </c>
      <c r="AI85" s="70" t="str">
        <f t="shared" si="38"/>
        <v>03</v>
      </c>
      <c r="AJ85" s="70" t="str">
        <f t="shared" si="39"/>
        <v/>
      </c>
      <c r="AK85" s="70" t="str">
        <f t="shared" si="40"/>
        <v/>
      </c>
      <c r="AM85" s="166" t="str">
        <f t="shared" si="41"/>
        <v>M1-E AV</v>
      </c>
      <c r="AN85" s="167" t="s">
        <v>443</v>
      </c>
      <c r="AO85" s="167" t="s">
        <v>444</v>
      </c>
      <c r="AP85" s="168" t="s">
        <v>291</v>
      </c>
    </row>
    <row r="86" spans="1:42" ht="20.100000000000001" customHeight="1" thickBot="1">
      <c r="A86" s="45" t="s">
        <v>445</v>
      </c>
      <c r="B86" s="45" t="s">
        <v>147</v>
      </c>
      <c r="C86" s="45" t="s">
        <v>245</v>
      </c>
      <c r="E86" s="45">
        <f t="shared" si="27"/>
        <v>6</v>
      </c>
      <c r="F86" s="45">
        <f t="shared" si="28"/>
        <v>4</v>
      </c>
      <c r="G86" s="45" t="str">
        <f t="shared" si="29"/>
        <v>LS2</v>
      </c>
      <c r="H86" s="45" t="str">
        <f t="shared" si="30"/>
        <v>1E</v>
      </c>
      <c r="J86" s="45" t="str">
        <f t="shared" si="31"/>
        <v>1E</v>
      </c>
      <c r="K86" s="45" t="s">
        <v>130</v>
      </c>
      <c r="L86" s="45" t="str">
        <f t="shared" si="32"/>
        <v>LS2-1E@E</v>
      </c>
      <c r="M86" s="75" t="str">
        <f t="shared" si="25"/>
        <v>302, 305, 307, 306, M5, M6, M7, M8, 329, 328, 325, 318, 317, 316, 311, 303, 305, 302</v>
      </c>
      <c r="N86" s="75" t="str">
        <f t="shared" si="26"/>
        <v>05, 03, 10, 16</v>
      </c>
      <c r="R86" s="70" t="s">
        <v>383</v>
      </c>
      <c r="S86" s="70" t="s">
        <v>53</v>
      </c>
      <c r="T86" s="70" t="s">
        <v>261</v>
      </c>
      <c r="U86" s="70"/>
      <c r="V86" s="70"/>
      <c r="X86" s="70" t="str">
        <f t="shared" si="42"/>
        <v>LS2-E DT@E</v>
      </c>
      <c r="Y86" s="70" t="str">
        <f t="shared" si="43"/>
        <v>E DT-1E@E</v>
      </c>
      <c r="Z86" s="70" t="str">
        <f t="shared" si="44"/>
        <v/>
      </c>
      <c r="AA86" s="70" t="str">
        <f t="shared" si="45"/>
        <v/>
      </c>
      <c r="AC86" s="70" t="str">
        <f t="shared" si="33"/>
        <v>302, 305, 307, 306, M5, M6, M7, M8</v>
      </c>
      <c r="AD86" s="70" t="str">
        <f t="shared" si="34"/>
        <v>329, 328, 325, 318, 317, 316, 311, 303, 305, 302</v>
      </c>
      <c r="AE86" s="70" t="str">
        <f t="shared" si="35"/>
        <v/>
      </c>
      <c r="AF86" s="70" t="str">
        <f t="shared" si="36"/>
        <v/>
      </c>
      <c r="AH86" s="70" t="str">
        <f t="shared" si="37"/>
        <v>05</v>
      </c>
      <c r="AI86" s="70" t="str">
        <f t="shared" si="38"/>
        <v>03, 10, 16</v>
      </c>
      <c r="AJ86" s="70" t="str">
        <f t="shared" si="39"/>
        <v/>
      </c>
      <c r="AK86" s="70" t="str">
        <f t="shared" si="40"/>
        <v/>
      </c>
      <c r="AM86" s="166" t="str">
        <f t="shared" si="41"/>
        <v>M2-E AV</v>
      </c>
      <c r="AN86" s="167" t="s">
        <v>446</v>
      </c>
      <c r="AO86" s="167" t="s">
        <v>447</v>
      </c>
      <c r="AP86" s="167" t="s">
        <v>291</v>
      </c>
    </row>
    <row r="87" spans="1:42" ht="20.100000000000001" customHeight="1" thickBot="1">
      <c r="A87" s="45" t="s">
        <v>448</v>
      </c>
      <c r="B87" s="45" t="s">
        <v>266</v>
      </c>
      <c r="C87" s="45" t="s">
        <v>251</v>
      </c>
      <c r="E87" s="45">
        <f t="shared" si="27"/>
        <v>6</v>
      </c>
      <c r="F87" s="45">
        <f t="shared" si="28"/>
        <v>3</v>
      </c>
      <c r="G87" s="45" t="str">
        <f t="shared" si="29"/>
        <v>1E</v>
      </c>
      <c r="H87" s="45" t="str">
        <f t="shared" si="30"/>
        <v>LS2</v>
      </c>
      <c r="J87" s="45" t="str">
        <f t="shared" si="31"/>
        <v>LS2</v>
      </c>
      <c r="K87" s="45" t="s">
        <v>130</v>
      </c>
      <c r="L87" s="45" t="str">
        <f t="shared" si="32"/>
        <v>1E-LS2@E</v>
      </c>
      <c r="M87" s="75" t="str">
        <f t="shared" si="25"/>
        <v>329, 328, 325, 318, 317, 316, 311, 303, 305, 302, 302, 305, 307, 306, M5, M6, M7, M8</v>
      </c>
      <c r="N87" s="75" t="str">
        <f t="shared" si="26"/>
        <v>29, 04, 03</v>
      </c>
      <c r="R87" s="70" t="s">
        <v>261</v>
      </c>
      <c r="S87" s="70" t="s">
        <v>53</v>
      </c>
      <c r="T87" s="70" t="s">
        <v>383</v>
      </c>
      <c r="U87" s="70"/>
      <c r="V87" s="70"/>
      <c r="X87" s="70" t="str">
        <f t="shared" si="42"/>
        <v>1E-E DT@E</v>
      </c>
      <c r="Y87" s="70" t="str">
        <f t="shared" si="43"/>
        <v>E DT-LS2@E</v>
      </c>
      <c r="Z87" s="70" t="str">
        <f t="shared" si="44"/>
        <v/>
      </c>
      <c r="AA87" s="70" t="str">
        <f t="shared" si="45"/>
        <v/>
      </c>
      <c r="AC87" s="70" t="str">
        <f t="shared" si="33"/>
        <v>329, 328, 325, 318, 317, 316, 311, 303, 305, 302</v>
      </c>
      <c r="AD87" s="70" t="str">
        <f t="shared" si="34"/>
        <v>302, 305, 307, 306, M5, M6, M7, M8</v>
      </c>
      <c r="AE87" s="70" t="str">
        <f t="shared" si="35"/>
        <v/>
      </c>
      <c r="AF87" s="70" t="str">
        <f t="shared" si="36"/>
        <v/>
      </c>
      <c r="AH87" s="70" t="str">
        <f t="shared" si="37"/>
        <v>29, 04</v>
      </c>
      <c r="AI87" s="70" t="str">
        <f t="shared" si="38"/>
        <v>03</v>
      </c>
      <c r="AJ87" s="70" t="str">
        <f t="shared" si="39"/>
        <v/>
      </c>
      <c r="AK87" s="70" t="str">
        <f t="shared" si="40"/>
        <v/>
      </c>
      <c r="AM87" s="166" t="str">
        <f t="shared" si="41"/>
        <v>M3-E AV</v>
      </c>
      <c r="AN87" s="167" t="s">
        <v>449</v>
      </c>
      <c r="AO87" s="167" t="s">
        <v>450</v>
      </c>
      <c r="AP87" s="167" t="s">
        <v>291</v>
      </c>
    </row>
    <row r="88" spans="1:42" ht="20.100000000000001" customHeight="1" thickBot="1">
      <c r="A88" s="45" t="s">
        <v>451</v>
      </c>
      <c r="B88" s="45" t="s">
        <v>147</v>
      </c>
      <c r="C88" s="45" t="s">
        <v>245</v>
      </c>
      <c r="E88" s="45">
        <f t="shared" si="27"/>
        <v>6</v>
      </c>
      <c r="F88" s="45">
        <f t="shared" si="28"/>
        <v>4</v>
      </c>
      <c r="G88" s="45" t="str">
        <f t="shared" si="29"/>
        <v>LS2</v>
      </c>
      <c r="H88" s="45" t="str">
        <f t="shared" si="30"/>
        <v>1W</v>
      </c>
      <c r="J88" s="45" t="str">
        <f t="shared" si="31"/>
        <v>1W</v>
      </c>
      <c r="K88" s="45" t="s">
        <v>130</v>
      </c>
      <c r="L88" s="45" t="str">
        <f t="shared" si="32"/>
        <v>LS2-1W@E</v>
      </c>
      <c r="M88" s="75" t="str">
        <f t="shared" si="25"/>
        <v>302, 305, 307, 306, M5, M6, M7, M8, 329, 328, 325, 318, 317, 316, 311, 303, 305, 302</v>
      </c>
      <c r="N88" s="75" t="str">
        <f t="shared" si="26"/>
        <v>05, 03, 10, 16</v>
      </c>
      <c r="R88" s="70" t="s">
        <v>383</v>
      </c>
      <c r="S88" s="70" t="s">
        <v>53</v>
      </c>
      <c r="T88" s="70" t="s">
        <v>269</v>
      </c>
      <c r="U88" s="70"/>
      <c r="V88" s="70"/>
      <c r="X88" s="70" t="str">
        <f t="shared" si="42"/>
        <v>LS2-E DT@E</v>
      </c>
      <c r="Y88" s="70" t="str">
        <f t="shared" si="43"/>
        <v>E DT-1W@E</v>
      </c>
      <c r="Z88" s="70" t="str">
        <f t="shared" si="44"/>
        <v/>
      </c>
      <c r="AA88" s="70" t="str">
        <f t="shared" si="45"/>
        <v/>
      </c>
      <c r="AC88" s="70" t="str">
        <f t="shared" si="33"/>
        <v>302, 305, 307, 306, M5, M6, M7, M8</v>
      </c>
      <c r="AD88" s="70" t="str">
        <f t="shared" si="34"/>
        <v>329, 328, 325, 318, 317, 316, 311, 303, 305, 302</v>
      </c>
      <c r="AE88" s="70" t="str">
        <f t="shared" si="35"/>
        <v/>
      </c>
      <c r="AF88" s="70" t="str">
        <f t="shared" si="36"/>
        <v/>
      </c>
      <c r="AH88" s="70" t="str">
        <f t="shared" si="37"/>
        <v>05</v>
      </c>
      <c r="AI88" s="70" t="str">
        <f t="shared" si="38"/>
        <v>03, 10, 16</v>
      </c>
      <c r="AJ88" s="70" t="str">
        <f t="shared" si="39"/>
        <v/>
      </c>
      <c r="AK88" s="70" t="str">
        <f t="shared" si="40"/>
        <v/>
      </c>
      <c r="AM88" s="166" t="str">
        <f t="shared" si="41"/>
        <v>M4-E AV</v>
      </c>
      <c r="AN88" s="167" t="s">
        <v>452</v>
      </c>
      <c r="AO88" s="167" t="s">
        <v>453</v>
      </c>
      <c r="AP88" s="167" t="s">
        <v>291</v>
      </c>
    </row>
    <row r="89" spans="1:42" ht="20.100000000000001" customHeight="1" thickBot="1">
      <c r="A89" s="45" t="s">
        <v>454</v>
      </c>
      <c r="B89" s="45" t="s">
        <v>266</v>
      </c>
      <c r="C89" s="45" t="s">
        <v>251</v>
      </c>
      <c r="E89" s="45">
        <f t="shared" si="27"/>
        <v>6</v>
      </c>
      <c r="F89" s="45">
        <f t="shared" si="28"/>
        <v>3</v>
      </c>
      <c r="G89" s="45" t="str">
        <f t="shared" si="29"/>
        <v>1W</v>
      </c>
      <c r="H89" s="45" t="str">
        <f t="shared" si="30"/>
        <v>LS2</v>
      </c>
      <c r="J89" s="45" t="str">
        <f t="shared" si="31"/>
        <v>LS2</v>
      </c>
      <c r="K89" s="45" t="s">
        <v>130</v>
      </c>
      <c r="L89" s="45" t="str">
        <f t="shared" si="32"/>
        <v>1W-LS2@E</v>
      </c>
      <c r="M89" s="75" t="str">
        <f t="shared" si="25"/>
        <v>329, 328, 325, 318, 317, 316, 311, 303, 305, 302, 302, 305, 307, 306, M5, M6, M7, M8</v>
      </c>
      <c r="N89" s="75" t="str">
        <f t="shared" si="26"/>
        <v>29, 04, 03</v>
      </c>
      <c r="R89" s="70" t="s">
        <v>269</v>
      </c>
      <c r="S89" s="70" t="s">
        <v>53</v>
      </c>
      <c r="T89" s="70" t="s">
        <v>383</v>
      </c>
      <c r="U89" s="70"/>
      <c r="V89" s="70"/>
      <c r="X89" s="70" t="str">
        <f t="shared" si="42"/>
        <v>1W-E DT@E</v>
      </c>
      <c r="Y89" s="70" t="str">
        <f t="shared" si="43"/>
        <v>E DT-LS2@E</v>
      </c>
      <c r="Z89" s="70" t="str">
        <f t="shared" si="44"/>
        <v/>
      </c>
      <c r="AA89" s="70" t="str">
        <f t="shared" si="45"/>
        <v/>
      </c>
      <c r="AC89" s="70" t="str">
        <f t="shared" si="33"/>
        <v>329, 328, 325, 318, 317, 316, 311, 303, 305, 302</v>
      </c>
      <c r="AD89" s="70" t="str">
        <f t="shared" si="34"/>
        <v>302, 305, 307, 306, M5, M6, M7, M8</v>
      </c>
      <c r="AE89" s="70" t="str">
        <f t="shared" si="35"/>
        <v/>
      </c>
      <c r="AF89" s="70" t="str">
        <f t="shared" si="36"/>
        <v/>
      </c>
      <c r="AH89" s="70" t="str">
        <f t="shared" si="37"/>
        <v>29, 04</v>
      </c>
      <c r="AI89" s="70" t="str">
        <f t="shared" si="38"/>
        <v>03</v>
      </c>
      <c r="AJ89" s="70" t="str">
        <f t="shared" si="39"/>
        <v/>
      </c>
      <c r="AK89" s="70" t="str">
        <f t="shared" si="40"/>
        <v/>
      </c>
      <c r="AM89" s="166" t="str">
        <f t="shared" si="41"/>
        <v>M5-E AV</v>
      </c>
      <c r="AN89" s="167" t="s">
        <v>455</v>
      </c>
      <c r="AO89" s="167" t="s">
        <v>453</v>
      </c>
      <c r="AP89" s="167" t="s">
        <v>291</v>
      </c>
    </row>
    <row r="90" spans="1:42" ht="20.100000000000001" customHeight="1" thickBot="1">
      <c r="A90" s="45" t="s">
        <v>456</v>
      </c>
      <c r="B90" s="45" t="s">
        <v>147</v>
      </c>
      <c r="C90" s="45" t="s">
        <v>275</v>
      </c>
      <c r="E90" s="45">
        <f t="shared" si="27"/>
        <v>6</v>
      </c>
      <c r="F90" s="45">
        <f t="shared" si="28"/>
        <v>4</v>
      </c>
      <c r="G90" s="45" t="str">
        <f t="shared" si="29"/>
        <v>LS2</v>
      </c>
      <c r="H90" s="45" t="str">
        <f t="shared" si="30"/>
        <v>2E</v>
      </c>
      <c r="J90" s="45" t="str">
        <f t="shared" si="31"/>
        <v>2E</v>
      </c>
      <c r="K90" s="45" t="s">
        <v>130</v>
      </c>
      <c r="L90" s="45" t="str">
        <f t="shared" si="32"/>
        <v>LS2-2E@E</v>
      </c>
      <c r="M90" s="75" t="str">
        <f t="shared" si="25"/>
        <v>302, 305, 307, 306, M5, M6, M7, M8, 330, 328, 325, 318, 317, 316, 311, 303, 305, 302</v>
      </c>
      <c r="N90" s="75" t="str">
        <f t="shared" si="26"/>
        <v>05, 03, 10, 16</v>
      </c>
      <c r="R90" s="70" t="s">
        <v>383</v>
      </c>
      <c r="S90" s="70" t="s">
        <v>53</v>
      </c>
      <c r="T90" s="70" t="s">
        <v>276</v>
      </c>
      <c r="U90" s="70"/>
      <c r="V90" s="70"/>
      <c r="X90" s="70" t="str">
        <f t="shared" si="42"/>
        <v>LS2-E DT@E</v>
      </c>
      <c r="Y90" s="70" t="str">
        <f t="shared" si="43"/>
        <v>E DT-2E@E</v>
      </c>
      <c r="Z90" s="70" t="str">
        <f t="shared" si="44"/>
        <v/>
      </c>
      <c r="AA90" s="70" t="str">
        <f t="shared" si="45"/>
        <v/>
      </c>
      <c r="AC90" s="70" t="str">
        <f t="shared" si="33"/>
        <v>302, 305, 307, 306, M5, M6, M7, M8</v>
      </c>
      <c r="AD90" s="70" t="str">
        <f t="shared" si="34"/>
        <v>330, 328, 325, 318, 317, 316, 311, 303, 305, 302</v>
      </c>
      <c r="AE90" s="70" t="str">
        <f t="shared" si="35"/>
        <v/>
      </c>
      <c r="AF90" s="70" t="str">
        <f t="shared" si="36"/>
        <v/>
      </c>
      <c r="AH90" s="70" t="str">
        <f t="shared" si="37"/>
        <v>05</v>
      </c>
      <c r="AI90" s="70" t="str">
        <f t="shared" si="38"/>
        <v>03, 10, 16</v>
      </c>
      <c r="AJ90" s="70" t="str">
        <f t="shared" si="39"/>
        <v/>
      </c>
      <c r="AK90" s="70" t="str">
        <f t="shared" si="40"/>
        <v/>
      </c>
      <c r="AM90" s="166" t="str">
        <f t="shared" si="41"/>
        <v>RM1E-W DT</v>
      </c>
      <c r="AN90" s="167" t="s">
        <v>457</v>
      </c>
      <c r="AO90" s="167" t="s">
        <v>458</v>
      </c>
      <c r="AP90" s="167" t="s">
        <v>185</v>
      </c>
    </row>
    <row r="91" spans="1:42" ht="20.100000000000001" customHeight="1" thickBot="1">
      <c r="A91" s="45" t="s">
        <v>459</v>
      </c>
      <c r="B91" s="45" t="s">
        <v>280</v>
      </c>
      <c r="C91" s="45" t="s">
        <v>281</v>
      </c>
      <c r="E91" s="45">
        <f t="shared" si="27"/>
        <v>6</v>
      </c>
      <c r="F91" s="45">
        <f t="shared" si="28"/>
        <v>3</v>
      </c>
      <c r="G91" s="45" t="str">
        <f t="shared" si="29"/>
        <v>2E</v>
      </c>
      <c r="H91" s="45" t="str">
        <f t="shared" si="30"/>
        <v>LS2</v>
      </c>
      <c r="J91" s="45" t="str">
        <f t="shared" si="31"/>
        <v>LS2</v>
      </c>
      <c r="K91" s="45" t="s">
        <v>130</v>
      </c>
      <c r="L91" s="45" t="str">
        <f t="shared" si="32"/>
        <v>2E-LS2@E</v>
      </c>
      <c r="M91" s="75" t="str">
        <f t="shared" si="25"/>
        <v>330, 328, 325, 318, 317, 316, 311, 303, 305, 302, 302, 305, 307, 306, M5, M6, M7, M8</v>
      </c>
      <c r="N91" s="75" t="str">
        <f t="shared" si="26"/>
        <v>30, 04, 03</v>
      </c>
      <c r="R91" s="70" t="s">
        <v>276</v>
      </c>
      <c r="S91" s="70" t="s">
        <v>53</v>
      </c>
      <c r="T91" s="70" t="s">
        <v>383</v>
      </c>
      <c r="U91" s="70"/>
      <c r="V91" s="70"/>
      <c r="X91" s="70" t="str">
        <f t="shared" si="42"/>
        <v>2E-E DT@E</v>
      </c>
      <c r="Y91" s="70" t="str">
        <f t="shared" si="43"/>
        <v>E DT-LS2@E</v>
      </c>
      <c r="Z91" s="70" t="str">
        <f t="shared" si="44"/>
        <v/>
      </c>
      <c r="AA91" s="70" t="str">
        <f t="shared" si="45"/>
        <v/>
      </c>
      <c r="AC91" s="70" t="str">
        <f t="shared" si="33"/>
        <v>330, 328, 325, 318, 317, 316, 311, 303, 305, 302</v>
      </c>
      <c r="AD91" s="70" t="str">
        <f t="shared" si="34"/>
        <v>302, 305, 307, 306, M5, M6, M7, M8</v>
      </c>
      <c r="AE91" s="70" t="str">
        <f t="shared" si="35"/>
        <v/>
      </c>
      <c r="AF91" s="70" t="str">
        <f t="shared" si="36"/>
        <v/>
      </c>
      <c r="AH91" s="70" t="str">
        <f t="shared" si="37"/>
        <v>30, 04</v>
      </c>
      <c r="AI91" s="70" t="str">
        <f t="shared" si="38"/>
        <v>03</v>
      </c>
      <c r="AJ91" s="70" t="str">
        <f t="shared" si="39"/>
        <v/>
      </c>
      <c r="AK91" s="70" t="str">
        <f t="shared" si="40"/>
        <v/>
      </c>
      <c r="AM91" s="166" t="str">
        <f t="shared" si="41"/>
        <v>RM1W-W DT</v>
      </c>
      <c r="AN91" s="167" t="s">
        <v>460</v>
      </c>
      <c r="AO91" s="167" t="s">
        <v>458</v>
      </c>
      <c r="AP91" s="167" t="s">
        <v>185</v>
      </c>
    </row>
    <row r="92" spans="1:42" ht="20.100000000000001" customHeight="1" thickBot="1">
      <c r="A92" s="45" t="s">
        <v>461</v>
      </c>
      <c r="B92" s="45" t="s">
        <v>147</v>
      </c>
      <c r="C92" s="45" t="s">
        <v>275</v>
      </c>
      <c r="E92" s="45">
        <f t="shared" si="27"/>
        <v>6</v>
      </c>
      <c r="F92" s="45">
        <f t="shared" si="28"/>
        <v>4</v>
      </c>
      <c r="G92" s="45" t="str">
        <f t="shared" si="29"/>
        <v>LS2</v>
      </c>
      <c r="H92" s="45" t="str">
        <f t="shared" si="30"/>
        <v>2W</v>
      </c>
      <c r="J92" s="45" t="str">
        <f t="shared" si="31"/>
        <v>2W</v>
      </c>
      <c r="K92" s="45" t="s">
        <v>130</v>
      </c>
      <c r="L92" s="45" t="str">
        <f t="shared" si="32"/>
        <v>LS2-2W@E</v>
      </c>
      <c r="M92" s="75" t="str">
        <f t="shared" si="25"/>
        <v>302, 305, 307, 306, M5, M6, M7, M8, 330, 328, 325, 318, 317, 316, 311, 303, 305, 302</v>
      </c>
      <c r="N92" s="75" t="str">
        <f t="shared" si="26"/>
        <v>05, 03, 10, 16</v>
      </c>
      <c r="R92" s="70" t="s">
        <v>383</v>
      </c>
      <c r="S92" s="70" t="s">
        <v>53</v>
      </c>
      <c r="T92" s="70" t="s">
        <v>285</v>
      </c>
      <c r="U92" s="70"/>
      <c r="V92" s="70"/>
      <c r="X92" s="70" t="str">
        <f t="shared" si="42"/>
        <v>LS2-E DT@E</v>
      </c>
      <c r="Y92" s="70" t="str">
        <f t="shared" si="43"/>
        <v>E DT-2W@E</v>
      </c>
      <c r="Z92" s="70" t="str">
        <f t="shared" si="44"/>
        <v/>
      </c>
      <c r="AA92" s="70" t="str">
        <f t="shared" si="45"/>
        <v/>
      </c>
      <c r="AC92" s="70" t="str">
        <f t="shared" si="33"/>
        <v>302, 305, 307, 306, M5, M6, M7, M8</v>
      </c>
      <c r="AD92" s="70" t="str">
        <f t="shared" si="34"/>
        <v>330, 328, 325, 318, 317, 316, 311, 303, 305, 302</v>
      </c>
      <c r="AE92" s="70" t="str">
        <f t="shared" si="35"/>
        <v/>
      </c>
      <c r="AF92" s="70" t="str">
        <f t="shared" si="36"/>
        <v/>
      </c>
      <c r="AH92" s="70" t="str">
        <f t="shared" si="37"/>
        <v>05</v>
      </c>
      <c r="AI92" s="70" t="str">
        <f t="shared" si="38"/>
        <v>03, 10, 16</v>
      </c>
      <c r="AJ92" s="70" t="str">
        <f t="shared" si="39"/>
        <v/>
      </c>
      <c r="AK92" s="70" t="str">
        <f t="shared" si="40"/>
        <v/>
      </c>
      <c r="AM92" s="166" t="str">
        <f t="shared" si="41"/>
        <v>RM2E-W DT</v>
      </c>
      <c r="AN92" s="167" t="s">
        <v>462</v>
      </c>
      <c r="AO92" s="167" t="s">
        <v>463</v>
      </c>
      <c r="AP92" s="167" t="s">
        <v>194</v>
      </c>
    </row>
    <row r="93" spans="1:42" ht="20.100000000000001" customHeight="1" thickBot="1">
      <c r="A93" s="45" t="s">
        <v>464</v>
      </c>
      <c r="B93" s="45" t="s">
        <v>280</v>
      </c>
      <c r="C93" s="45" t="s">
        <v>281</v>
      </c>
      <c r="E93" s="45">
        <f t="shared" si="27"/>
        <v>6</v>
      </c>
      <c r="F93" s="45">
        <f t="shared" si="28"/>
        <v>3</v>
      </c>
      <c r="G93" s="45" t="str">
        <f t="shared" si="29"/>
        <v>2W</v>
      </c>
      <c r="H93" s="45" t="str">
        <f t="shared" si="30"/>
        <v>LS2</v>
      </c>
      <c r="J93" s="45" t="str">
        <f t="shared" si="31"/>
        <v>LS2</v>
      </c>
      <c r="K93" s="45" t="s">
        <v>130</v>
      </c>
      <c r="L93" s="45" t="str">
        <f t="shared" si="32"/>
        <v>2W-LS2@E</v>
      </c>
      <c r="M93" s="75" t="str">
        <f t="shared" si="25"/>
        <v>330, 328, 325, 318, 317, 316, 311, 303, 305, 302, 302, 305, 307, 306, M5, M6, M7, M8</v>
      </c>
      <c r="N93" s="75" t="str">
        <f t="shared" si="26"/>
        <v>30, 04, 03</v>
      </c>
      <c r="R93" s="70" t="s">
        <v>285</v>
      </c>
      <c r="S93" s="70" t="s">
        <v>53</v>
      </c>
      <c r="T93" s="70" t="s">
        <v>383</v>
      </c>
      <c r="U93" s="70"/>
      <c r="V93" s="70"/>
      <c r="X93" s="70" t="str">
        <f t="shared" si="42"/>
        <v>2W-E DT@E</v>
      </c>
      <c r="Y93" s="70" t="str">
        <f t="shared" si="43"/>
        <v>E DT-LS2@E</v>
      </c>
      <c r="Z93" s="70" t="str">
        <f t="shared" si="44"/>
        <v/>
      </c>
      <c r="AA93" s="70" t="str">
        <f t="shared" si="45"/>
        <v/>
      </c>
      <c r="AC93" s="70" t="str">
        <f t="shared" si="33"/>
        <v>330, 328, 325, 318, 317, 316, 311, 303, 305, 302</v>
      </c>
      <c r="AD93" s="70" t="str">
        <f t="shared" si="34"/>
        <v>302, 305, 307, 306, M5, M6, M7, M8</v>
      </c>
      <c r="AE93" s="70" t="str">
        <f t="shared" si="35"/>
        <v/>
      </c>
      <c r="AF93" s="70" t="str">
        <f t="shared" si="36"/>
        <v/>
      </c>
      <c r="AH93" s="70" t="str">
        <f t="shared" si="37"/>
        <v>30, 04</v>
      </c>
      <c r="AI93" s="70" t="str">
        <f t="shared" si="38"/>
        <v>03</v>
      </c>
      <c r="AJ93" s="70" t="str">
        <f t="shared" si="39"/>
        <v/>
      </c>
      <c r="AK93" s="70" t="str">
        <f t="shared" si="40"/>
        <v/>
      </c>
      <c r="AM93" s="166" t="str">
        <f t="shared" si="41"/>
        <v>RM2W-W DT</v>
      </c>
      <c r="AN93" s="167" t="s">
        <v>465</v>
      </c>
      <c r="AO93" s="167" t="s">
        <v>463</v>
      </c>
      <c r="AP93" s="167" t="s">
        <v>194</v>
      </c>
    </row>
    <row r="94" spans="1:42" ht="20.100000000000001" customHeight="1" thickBot="1">
      <c r="A94" s="45" t="s">
        <v>466</v>
      </c>
      <c r="B94" s="45" t="s">
        <v>147</v>
      </c>
      <c r="C94" s="45" t="s">
        <v>275</v>
      </c>
      <c r="E94" s="45">
        <f t="shared" si="27"/>
        <v>6</v>
      </c>
      <c r="F94" s="45">
        <f t="shared" si="28"/>
        <v>4</v>
      </c>
      <c r="G94" s="45" t="str">
        <f t="shared" si="29"/>
        <v>LS2</v>
      </c>
      <c r="H94" s="45" t="str">
        <f t="shared" si="30"/>
        <v>3E</v>
      </c>
      <c r="J94" s="45" t="str">
        <f t="shared" si="31"/>
        <v>3E</v>
      </c>
      <c r="K94" s="45" t="s">
        <v>130</v>
      </c>
      <c r="L94" s="45" t="str">
        <f t="shared" si="32"/>
        <v>LS2-3E@E</v>
      </c>
      <c r="M94" s="75" t="str">
        <f t="shared" si="25"/>
        <v>302, 305, 307, 306, M5, M6, M7, M8, 330, 328, 325, 318, 317, 316, 311, 303, 305, 302</v>
      </c>
      <c r="N94" s="75" t="str">
        <f t="shared" si="26"/>
        <v>05, 03, 10, 16</v>
      </c>
      <c r="R94" s="70" t="s">
        <v>383</v>
      </c>
      <c r="S94" s="70" t="s">
        <v>53</v>
      </c>
      <c r="T94" s="70" t="s">
        <v>293</v>
      </c>
      <c r="U94" s="70"/>
      <c r="V94" s="70"/>
      <c r="X94" s="70" t="str">
        <f t="shared" si="42"/>
        <v>LS2-E DT@E</v>
      </c>
      <c r="Y94" s="70" t="str">
        <f t="shared" si="43"/>
        <v>E DT-3E@E</v>
      </c>
      <c r="Z94" s="70" t="str">
        <f t="shared" si="44"/>
        <v/>
      </c>
      <c r="AA94" s="70" t="str">
        <f t="shared" si="45"/>
        <v/>
      </c>
      <c r="AC94" s="70" t="str">
        <f t="shared" si="33"/>
        <v>302, 305, 307, 306, M5, M6, M7, M8</v>
      </c>
      <c r="AD94" s="70" t="str">
        <f t="shared" si="34"/>
        <v>330, 328, 325, 318, 317, 316, 311, 303, 305, 302</v>
      </c>
      <c r="AE94" s="70" t="str">
        <f t="shared" si="35"/>
        <v/>
      </c>
      <c r="AF94" s="70" t="str">
        <f t="shared" si="36"/>
        <v/>
      </c>
      <c r="AH94" s="70" t="str">
        <f t="shared" si="37"/>
        <v>05</v>
      </c>
      <c r="AI94" s="70" t="str">
        <f t="shared" si="38"/>
        <v>03, 10, 16</v>
      </c>
      <c r="AJ94" s="70" t="str">
        <f t="shared" si="39"/>
        <v/>
      </c>
      <c r="AK94" s="70" t="str">
        <f t="shared" si="40"/>
        <v/>
      </c>
      <c r="AM94" s="166" t="str">
        <f t="shared" si="41"/>
        <v>RM3E-W DT</v>
      </c>
      <c r="AN94" s="167" t="s">
        <v>467</v>
      </c>
      <c r="AO94" s="167" t="s">
        <v>463</v>
      </c>
      <c r="AP94" s="167" t="s">
        <v>202</v>
      </c>
    </row>
    <row r="95" spans="1:42" ht="20.100000000000001" customHeight="1" thickBot="1">
      <c r="A95" s="45" t="s">
        <v>468</v>
      </c>
      <c r="B95" s="45" t="s">
        <v>297</v>
      </c>
      <c r="C95" s="45" t="s">
        <v>281</v>
      </c>
      <c r="E95" s="45">
        <f t="shared" si="27"/>
        <v>6</v>
      </c>
      <c r="F95" s="45">
        <f t="shared" si="28"/>
        <v>3</v>
      </c>
      <c r="G95" s="45" t="str">
        <f t="shared" si="29"/>
        <v>3E</v>
      </c>
      <c r="H95" s="45" t="str">
        <f t="shared" si="30"/>
        <v>LS2</v>
      </c>
      <c r="J95" s="45" t="str">
        <f t="shared" si="31"/>
        <v>LS2</v>
      </c>
      <c r="K95" s="45" t="s">
        <v>130</v>
      </c>
      <c r="L95" s="45" t="str">
        <f t="shared" si="32"/>
        <v>3E-LS2@E</v>
      </c>
      <c r="M95" s="75" t="str">
        <f t="shared" si="25"/>
        <v>330, 328, 325, 318, 317, 316, 311, 303, 305, 302, 302, 305, 307, 306, M5, M6, M7, M8</v>
      </c>
      <c r="N95" s="75" t="str">
        <f t="shared" si="26"/>
        <v>31, 04, 03</v>
      </c>
      <c r="R95" s="70" t="s">
        <v>293</v>
      </c>
      <c r="S95" s="70" t="s">
        <v>53</v>
      </c>
      <c r="T95" s="70" t="s">
        <v>383</v>
      </c>
      <c r="U95" s="70"/>
      <c r="V95" s="70"/>
      <c r="X95" s="70" t="str">
        <f t="shared" si="42"/>
        <v>3E-E DT@E</v>
      </c>
      <c r="Y95" s="70" t="str">
        <f t="shared" si="43"/>
        <v>E DT-LS2@E</v>
      </c>
      <c r="Z95" s="70" t="str">
        <f t="shared" si="44"/>
        <v/>
      </c>
      <c r="AA95" s="70" t="str">
        <f t="shared" si="45"/>
        <v/>
      </c>
      <c r="AC95" s="70" t="str">
        <f t="shared" si="33"/>
        <v>330, 328, 325, 318, 317, 316, 311, 303, 305, 302</v>
      </c>
      <c r="AD95" s="70" t="str">
        <f t="shared" si="34"/>
        <v>302, 305, 307, 306, M5, M6, M7, M8</v>
      </c>
      <c r="AE95" s="70" t="str">
        <f t="shared" si="35"/>
        <v/>
      </c>
      <c r="AF95" s="70" t="str">
        <f t="shared" si="36"/>
        <v/>
      </c>
      <c r="AH95" s="70" t="str">
        <f t="shared" si="37"/>
        <v>31, 04</v>
      </c>
      <c r="AI95" s="70" t="str">
        <f t="shared" si="38"/>
        <v>03</v>
      </c>
      <c r="AJ95" s="70" t="str">
        <f t="shared" si="39"/>
        <v/>
      </c>
      <c r="AK95" s="70" t="str">
        <f t="shared" si="40"/>
        <v/>
      </c>
      <c r="AM95" s="166" t="str">
        <f t="shared" si="41"/>
        <v>RM3W-W DT</v>
      </c>
      <c r="AN95" s="167" t="s">
        <v>469</v>
      </c>
      <c r="AO95" s="167" t="s">
        <v>463</v>
      </c>
      <c r="AP95" s="167" t="s">
        <v>202</v>
      </c>
    </row>
    <row r="96" spans="1:42" ht="20.100000000000001" customHeight="1" thickBot="1">
      <c r="A96" s="45" t="s">
        <v>470</v>
      </c>
      <c r="B96" s="45" t="s">
        <v>147</v>
      </c>
      <c r="C96" s="45" t="s">
        <v>275</v>
      </c>
      <c r="E96" s="45">
        <f t="shared" si="27"/>
        <v>6</v>
      </c>
      <c r="F96" s="45">
        <f t="shared" si="28"/>
        <v>4</v>
      </c>
      <c r="G96" s="45" t="str">
        <f t="shared" si="29"/>
        <v>LS2</v>
      </c>
      <c r="H96" s="45" t="str">
        <f t="shared" si="30"/>
        <v>3W</v>
      </c>
      <c r="J96" s="45" t="str">
        <f t="shared" si="31"/>
        <v>3W</v>
      </c>
      <c r="K96" s="45" t="s">
        <v>130</v>
      </c>
      <c r="L96" s="45" t="str">
        <f t="shared" si="32"/>
        <v>LS2-3W@E</v>
      </c>
      <c r="M96" s="75" t="str">
        <f t="shared" si="25"/>
        <v>302, 305, 307, 306, M5, M6, M7, M8, 330, 328, 325, 318, 317, 316, 311, 303, 305, 302</v>
      </c>
      <c r="N96" s="75" t="str">
        <f t="shared" si="26"/>
        <v>05, 03, 10, 16</v>
      </c>
      <c r="R96" s="70" t="s">
        <v>383</v>
      </c>
      <c r="S96" s="70" t="s">
        <v>53</v>
      </c>
      <c r="T96" s="70" t="s">
        <v>301</v>
      </c>
      <c r="U96" s="70"/>
      <c r="V96" s="70"/>
      <c r="X96" s="70" t="str">
        <f t="shared" si="42"/>
        <v>LS2-E DT@E</v>
      </c>
      <c r="Y96" s="70" t="str">
        <f t="shared" si="43"/>
        <v>E DT-3W@E</v>
      </c>
      <c r="Z96" s="70" t="str">
        <f t="shared" si="44"/>
        <v/>
      </c>
      <c r="AA96" s="70" t="str">
        <f t="shared" si="45"/>
        <v/>
      </c>
      <c r="AC96" s="70" t="str">
        <f t="shared" si="33"/>
        <v>302, 305, 307, 306, M5, M6, M7, M8</v>
      </c>
      <c r="AD96" s="70" t="str">
        <f t="shared" si="34"/>
        <v>330, 328, 325, 318, 317, 316, 311, 303, 305, 302</v>
      </c>
      <c r="AE96" s="70" t="str">
        <f t="shared" si="35"/>
        <v/>
      </c>
      <c r="AF96" s="70" t="str">
        <f t="shared" si="36"/>
        <v/>
      </c>
      <c r="AH96" s="70" t="str">
        <f t="shared" si="37"/>
        <v>05</v>
      </c>
      <c r="AI96" s="70" t="str">
        <f t="shared" si="38"/>
        <v>03, 10, 16</v>
      </c>
      <c r="AJ96" s="70" t="str">
        <f t="shared" si="39"/>
        <v/>
      </c>
      <c r="AK96" s="70" t="str">
        <f t="shared" si="40"/>
        <v/>
      </c>
      <c r="AM96" s="166" t="str">
        <f t="shared" si="41"/>
        <v>HCTE-W DT</v>
      </c>
      <c r="AN96" s="167" t="s">
        <v>471</v>
      </c>
      <c r="AO96" s="167" t="s">
        <v>472</v>
      </c>
      <c r="AP96" s="167" t="s">
        <v>211</v>
      </c>
    </row>
    <row r="97" spans="1:42" ht="20.100000000000001" customHeight="1" thickBot="1">
      <c r="A97" s="45" t="s">
        <v>473</v>
      </c>
      <c r="B97" s="45" t="s">
        <v>297</v>
      </c>
      <c r="C97" s="45" t="s">
        <v>281</v>
      </c>
      <c r="E97" s="45">
        <f t="shared" si="27"/>
        <v>6</v>
      </c>
      <c r="F97" s="45">
        <f t="shared" si="28"/>
        <v>3</v>
      </c>
      <c r="G97" s="45" t="str">
        <f t="shared" si="29"/>
        <v>3W</v>
      </c>
      <c r="H97" s="45" t="str">
        <f t="shared" si="30"/>
        <v>LS2</v>
      </c>
      <c r="J97" s="45" t="str">
        <f t="shared" si="31"/>
        <v>LS2</v>
      </c>
      <c r="K97" s="45" t="s">
        <v>130</v>
      </c>
      <c r="L97" s="45" t="str">
        <f t="shared" si="32"/>
        <v>3W-LS2@E</v>
      </c>
      <c r="M97" s="75" t="str">
        <f t="shared" si="25"/>
        <v>330, 328, 325, 318, 317, 316, 311, 303, 305, 302, 302, 305, 307, 306, M5, M6, M7, M8</v>
      </c>
      <c r="N97" s="75" t="str">
        <f t="shared" si="26"/>
        <v>31, 04, 03</v>
      </c>
      <c r="R97" s="70" t="s">
        <v>301</v>
      </c>
      <c r="S97" s="70" t="s">
        <v>53</v>
      </c>
      <c r="T97" s="70" t="s">
        <v>383</v>
      </c>
      <c r="U97" s="70"/>
      <c r="V97" s="70"/>
      <c r="X97" s="70" t="str">
        <f t="shared" si="42"/>
        <v>3W-E DT@E</v>
      </c>
      <c r="Y97" s="70" t="str">
        <f t="shared" si="43"/>
        <v>E DT-LS2@E</v>
      </c>
      <c r="Z97" s="70" t="str">
        <f t="shared" si="44"/>
        <v/>
      </c>
      <c r="AA97" s="70" t="str">
        <f t="shared" si="45"/>
        <v/>
      </c>
      <c r="AC97" s="70" t="str">
        <f t="shared" si="33"/>
        <v>330, 328, 325, 318, 317, 316, 311, 303, 305, 302</v>
      </c>
      <c r="AD97" s="70" t="str">
        <f t="shared" si="34"/>
        <v>302, 305, 307, 306, M5, M6, M7, M8</v>
      </c>
      <c r="AE97" s="70" t="str">
        <f t="shared" si="35"/>
        <v/>
      </c>
      <c r="AF97" s="70" t="str">
        <f t="shared" si="36"/>
        <v/>
      </c>
      <c r="AH97" s="70" t="str">
        <f t="shared" si="37"/>
        <v>31, 04</v>
      </c>
      <c r="AI97" s="70" t="str">
        <f t="shared" si="38"/>
        <v>03</v>
      </c>
      <c r="AJ97" s="70" t="str">
        <f t="shared" si="39"/>
        <v/>
      </c>
      <c r="AK97" s="70" t="str">
        <f t="shared" si="40"/>
        <v/>
      </c>
      <c r="AM97" s="166" t="str">
        <f t="shared" si="41"/>
        <v>HCTW-W DT</v>
      </c>
      <c r="AN97" s="167" t="s">
        <v>474</v>
      </c>
      <c r="AO97" s="167" t="s">
        <v>472</v>
      </c>
      <c r="AP97" s="167" t="s">
        <v>211</v>
      </c>
    </row>
    <row r="98" spans="1:42" ht="20.100000000000001" customHeight="1" thickBot="1">
      <c r="A98" s="45" t="s">
        <v>475</v>
      </c>
      <c r="B98" s="45" t="s">
        <v>147</v>
      </c>
      <c r="C98" s="45" t="s">
        <v>308</v>
      </c>
      <c r="E98" s="45">
        <f t="shared" si="27"/>
        <v>6</v>
      </c>
      <c r="F98" s="45">
        <f t="shared" si="28"/>
        <v>4</v>
      </c>
      <c r="G98" s="45" t="str">
        <f t="shared" si="29"/>
        <v>LS2</v>
      </c>
      <c r="H98" s="45" t="str">
        <f t="shared" si="30"/>
        <v>4E</v>
      </c>
      <c r="J98" s="45" t="str">
        <f t="shared" si="31"/>
        <v>4E</v>
      </c>
      <c r="K98" s="45" t="s">
        <v>130</v>
      </c>
      <c r="L98" s="45" t="str">
        <f t="shared" si="32"/>
        <v>LS2-4E@E</v>
      </c>
      <c r="M98" s="75" t="str">
        <f t="shared" si="25"/>
        <v>302, 305, 307, 306, M5, M6, M7, M8, 333, 331, 318, 317, 316, 311, 303, 305, 302</v>
      </c>
      <c r="N98" s="75" t="str">
        <f t="shared" si="26"/>
        <v>05, 03, 10, 16</v>
      </c>
      <c r="R98" s="70" t="s">
        <v>383</v>
      </c>
      <c r="S98" s="70" t="s">
        <v>53</v>
      </c>
      <c r="T98" s="70" t="s">
        <v>309</v>
      </c>
      <c r="U98" s="70"/>
      <c r="V98" s="70"/>
      <c r="X98" s="70" t="str">
        <f t="shared" si="42"/>
        <v>LS2-E DT@E</v>
      </c>
      <c r="Y98" s="70" t="str">
        <f t="shared" si="43"/>
        <v>E DT-4E@E</v>
      </c>
      <c r="Z98" s="70" t="str">
        <f t="shared" si="44"/>
        <v/>
      </c>
      <c r="AA98" s="70" t="str">
        <f t="shared" si="45"/>
        <v/>
      </c>
      <c r="AC98" s="70" t="str">
        <f t="shared" si="33"/>
        <v>302, 305, 307, 306, M5, M6, M7, M8</v>
      </c>
      <c r="AD98" s="70" t="str">
        <f t="shared" si="34"/>
        <v>333, 331, 318, 317, 316, 311, 303, 305, 302</v>
      </c>
      <c r="AE98" s="70" t="str">
        <f t="shared" si="35"/>
        <v/>
      </c>
      <c r="AF98" s="70" t="str">
        <f t="shared" si="36"/>
        <v/>
      </c>
      <c r="AH98" s="70" t="str">
        <f t="shared" si="37"/>
        <v>05</v>
      </c>
      <c r="AI98" s="70" t="str">
        <f t="shared" si="38"/>
        <v>03, 10, 16</v>
      </c>
      <c r="AJ98" s="70" t="str">
        <f t="shared" si="39"/>
        <v/>
      </c>
      <c r="AK98" s="70" t="str">
        <f t="shared" si="40"/>
        <v/>
      </c>
      <c r="AM98" s="166" t="str">
        <f t="shared" si="41"/>
        <v>1E-W DT</v>
      </c>
      <c r="AN98" s="167" t="s">
        <v>476</v>
      </c>
      <c r="AO98" s="167" t="s">
        <v>472</v>
      </c>
      <c r="AP98" s="167" t="s">
        <v>477</v>
      </c>
    </row>
    <row r="99" spans="1:42" ht="20.100000000000001" customHeight="1" thickBot="1">
      <c r="A99" s="45" t="s">
        <v>478</v>
      </c>
      <c r="B99" s="45" t="s">
        <v>313</v>
      </c>
      <c r="C99" s="45" t="s">
        <v>314</v>
      </c>
      <c r="E99" s="45">
        <f t="shared" si="27"/>
        <v>6</v>
      </c>
      <c r="F99" s="45">
        <f t="shared" si="28"/>
        <v>3</v>
      </c>
      <c r="G99" s="45" t="str">
        <f t="shared" si="29"/>
        <v>4E</v>
      </c>
      <c r="H99" s="45" t="str">
        <f t="shared" si="30"/>
        <v>LS2</v>
      </c>
      <c r="J99" s="45" t="str">
        <f t="shared" si="31"/>
        <v>LS2</v>
      </c>
      <c r="K99" s="45" t="s">
        <v>130</v>
      </c>
      <c r="L99" s="45" t="str">
        <f t="shared" si="32"/>
        <v>4E-LS2@E</v>
      </c>
      <c r="M99" s="75" t="str">
        <f t="shared" si="25"/>
        <v>333, 331, 318, 317, 316, 311, 303, 305, 302, 302, 305, 307, 306, M5, M6, M7, M8</v>
      </c>
      <c r="N99" s="75" t="str">
        <f t="shared" si="26"/>
        <v>32, 04, 03</v>
      </c>
      <c r="R99" s="70" t="s">
        <v>309</v>
      </c>
      <c r="S99" s="70" t="s">
        <v>53</v>
      </c>
      <c r="T99" s="70" t="s">
        <v>383</v>
      </c>
      <c r="U99" s="70"/>
      <c r="V99" s="70"/>
      <c r="X99" s="70" t="str">
        <f t="shared" si="42"/>
        <v>4E-E DT@E</v>
      </c>
      <c r="Y99" s="70" t="str">
        <f t="shared" si="43"/>
        <v>E DT-LS2@E</v>
      </c>
      <c r="Z99" s="70" t="str">
        <f t="shared" si="44"/>
        <v/>
      </c>
      <c r="AA99" s="70" t="str">
        <f t="shared" si="45"/>
        <v/>
      </c>
      <c r="AC99" s="70" t="str">
        <f t="shared" si="33"/>
        <v>333, 331, 318, 317, 316, 311, 303, 305, 302</v>
      </c>
      <c r="AD99" s="70" t="str">
        <f t="shared" si="34"/>
        <v>302, 305, 307, 306, M5, M6, M7, M8</v>
      </c>
      <c r="AE99" s="70" t="str">
        <f t="shared" si="35"/>
        <v/>
      </c>
      <c r="AF99" s="70" t="str">
        <f t="shared" si="36"/>
        <v/>
      </c>
      <c r="AH99" s="70" t="str">
        <f t="shared" si="37"/>
        <v>32, 04</v>
      </c>
      <c r="AI99" s="70" t="str">
        <f t="shared" si="38"/>
        <v>03</v>
      </c>
      <c r="AJ99" s="70" t="str">
        <f t="shared" si="39"/>
        <v/>
      </c>
      <c r="AK99" s="70" t="str">
        <f t="shared" si="40"/>
        <v/>
      </c>
      <c r="AM99" s="166" t="str">
        <f t="shared" si="41"/>
        <v>1W-W DT</v>
      </c>
      <c r="AN99" s="167" t="s">
        <v>479</v>
      </c>
      <c r="AO99" s="167" t="s">
        <v>472</v>
      </c>
      <c r="AP99" s="167" t="s">
        <v>477</v>
      </c>
    </row>
    <row r="100" spans="1:42" ht="20.100000000000001" customHeight="1" thickBot="1">
      <c r="A100" s="45" t="s">
        <v>480</v>
      </c>
      <c r="B100" s="45" t="s">
        <v>147</v>
      </c>
      <c r="C100" s="45" t="s">
        <v>308</v>
      </c>
      <c r="E100" s="45">
        <f t="shared" si="27"/>
        <v>6</v>
      </c>
      <c r="F100" s="45">
        <f t="shared" si="28"/>
        <v>4</v>
      </c>
      <c r="G100" s="45" t="str">
        <f t="shared" si="29"/>
        <v>LS2</v>
      </c>
      <c r="H100" s="45" t="str">
        <f t="shared" si="30"/>
        <v>4W</v>
      </c>
      <c r="J100" s="45" t="str">
        <f t="shared" si="31"/>
        <v>4W</v>
      </c>
      <c r="K100" s="45" t="s">
        <v>130</v>
      </c>
      <c r="L100" s="45" t="str">
        <f t="shared" si="32"/>
        <v>LS2-4W@E</v>
      </c>
      <c r="M100" s="75" t="str">
        <f t="shared" si="25"/>
        <v>302, 305, 307, 306, M5, M6, M7, M8, 333, 331, 318, 317, 316, 311, 303, 305, 302</v>
      </c>
      <c r="N100" s="75" t="str">
        <f t="shared" si="26"/>
        <v>05, 03, 10, 16</v>
      </c>
      <c r="R100" s="70" t="s">
        <v>383</v>
      </c>
      <c r="S100" s="70" t="s">
        <v>53</v>
      </c>
      <c r="T100" s="70" t="s">
        <v>318</v>
      </c>
      <c r="U100" s="70"/>
      <c r="V100" s="70"/>
      <c r="X100" s="70" t="str">
        <f t="shared" si="42"/>
        <v>LS2-E DT@E</v>
      </c>
      <c r="Y100" s="70" t="str">
        <f t="shared" si="43"/>
        <v>E DT-4W@E</v>
      </c>
      <c r="Z100" s="70" t="str">
        <f t="shared" si="44"/>
        <v/>
      </c>
      <c r="AA100" s="70" t="str">
        <f t="shared" si="45"/>
        <v/>
      </c>
      <c r="AC100" s="70" t="str">
        <f t="shared" si="33"/>
        <v>302, 305, 307, 306, M5, M6, M7, M8</v>
      </c>
      <c r="AD100" s="70" t="str">
        <f t="shared" si="34"/>
        <v>333, 331, 318, 317, 316, 311, 303, 305, 302</v>
      </c>
      <c r="AE100" s="70" t="str">
        <f t="shared" si="35"/>
        <v/>
      </c>
      <c r="AF100" s="70" t="str">
        <f t="shared" si="36"/>
        <v/>
      </c>
      <c r="AH100" s="70" t="str">
        <f t="shared" si="37"/>
        <v>05</v>
      </c>
      <c r="AI100" s="70" t="str">
        <f t="shared" si="38"/>
        <v>03, 10, 16</v>
      </c>
      <c r="AJ100" s="70" t="str">
        <f t="shared" si="39"/>
        <v/>
      </c>
      <c r="AK100" s="70" t="str">
        <f t="shared" si="40"/>
        <v/>
      </c>
      <c r="AM100" s="166" t="str">
        <f t="shared" si="41"/>
        <v>2E-W DT</v>
      </c>
      <c r="AN100" s="167" t="s">
        <v>481</v>
      </c>
      <c r="AO100" s="167" t="s">
        <v>482</v>
      </c>
      <c r="AP100" s="167" t="s">
        <v>483</v>
      </c>
    </row>
    <row r="101" spans="1:42" ht="20.100000000000001" customHeight="1" thickBot="1">
      <c r="A101" s="45" t="s">
        <v>484</v>
      </c>
      <c r="B101" s="45" t="s">
        <v>313</v>
      </c>
      <c r="C101" s="45" t="s">
        <v>314</v>
      </c>
      <c r="E101" s="45">
        <f t="shared" si="27"/>
        <v>6</v>
      </c>
      <c r="F101" s="45">
        <f t="shared" si="28"/>
        <v>3</v>
      </c>
      <c r="G101" s="45" t="str">
        <f t="shared" si="29"/>
        <v>4W</v>
      </c>
      <c r="H101" s="45" t="str">
        <f t="shared" si="30"/>
        <v>LS2</v>
      </c>
      <c r="J101" s="45" t="str">
        <f t="shared" si="31"/>
        <v>LS2</v>
      </c>
      <c r="K101" s="45" t="s">
        <v>130</v>
      </c>
      <c r="L101" s="45" t="str">
        <f t="shared" si="32"/>
        <v>4W-LS2@E</v>
      </c>
      <c r="M101" s="75" t="str">
        <f t="shared" si="25"/>
        <v>333, 331, 318, 317, 316, 311, 303, 305, 302, 302, 305, 307, 306, M5, M6, M7, M8</v>
      </c>
      <c r="N101" s="75" t="str">
        <f t="shared" si="26"/>
        <v>32, 04, 03</v>
      </c>
      <c r="R101" s="70" t="s">
        <v>318</v>
      </c>
      <c r="S101" s="70" t="s">
        <v>53</v>
      </c>
      <c r="T101" s="70" t="s">
        <v>383</v>
      </c>
      <c r="U101" s="70"/>
      <c r="V101" s="70"/>
      <c r="X101" s="70" t="str">
        <f t="shared" si="42"/>
        <v>4W-E DT@E</v>
      </c>
      <c r="Y101" s="70" t="str">
        <f t="shared" si="43"/>
        <v>E DT-LS2@E</v>
      </c>
      <c r="Z101" s="70" t="str">
        <f t="shared" si="44"/>
        <v/>
      </c>
      <c r="AA101" s="70" t="str">
        <f t="shared" si="45"/>
        <v/>
      </c>
      <c r="AC101" s="70" t="str">
        <f t="shared" si="33"/>
        <v>333, 331, 318, 317, 316, 311, 303, 305, 302</v>
      </c>
      <c r="AD101" s="70" t="str">
        <f t="shared" si="34"/>
        <v>302, 305, 307, 306, M5, M6, M7, M8</v>
      </c>
      <c r="AE101" s="70" t="str">
        <f t="shared" si="35"/>
        <v/>
      </c>
      <c r="AF101" s="70" t="str">
        <f t="shared" si="36"/>
        <v/>
      </c>
      <c r="AH101" s="70" t="str">
        <f t="shared" si="37"/>
        <v>32, 04</v>
      </c>
      <c r="AI101" s="70" t="str">
        <f t="shared" si="38"/>
        <v>03</v>
      </c>
      <c r="AJ101" s="70" t="str">
        <f t="shared" si="39"/>
        <v/>
      </c>
      <c r="AK101" s="70" t="str">
        <f t="shared" si="40"/>
        <v/>
      </c>
      <c r="AM101" s="166" t="str">
        <f t="shared" si="41"/>
        <v>2W-W DT</v>
      </c>
      <c r="AN101" s="167" t="s">
        <v>485</v>
      </c>
      <c r="AO101" s="167" t="s">
        <v>482</v>
      </c>
      <c r="AP101" s="167" t="s">
        <v>483</v>
      </c>
    </row>
    <row r="102" spans="1:42" ht="20.100000000000001" customHeight="1" thickBot="1">
      <c r="A102" s="45" t="s">
        <v>486</v>
      </c>
      <c r="B102" s="45" t="s">
        <v>147</v>
      </c>
      <c r="C102" s="45" t="s">
        <v>308</v>
      </c>
      <c r="E102" s="45">
        <f t="shared" si="27"/>
        <v>6</v>
      </c>
      <c r="F102" s="45">
        <f t="shared" si="28"/>
        <v>4</v>
      </c>
      <c r="G102" s="45" t="str">
        <f t="shared" si="29"/>
        <v>LS2</v>
      </c>
      <c r="H102" s="45" t="str">
        <f t="shared" si="30"/>
        <v>5E</v>
      </c>
      <c r="J102" s="45" t="str">
        <f t="shared" si="31"/>
        <v>5E</v>
      </c>
      <c r="K102" s="45" t="s">
        <v>130</v>
      </c>
      <c r="L102" s="45" t="str">
        <f t="shared" si="32"/>
        <v>LS2-5E@E</v>
      </c>
      <c r="M102" s="75" t="str">
        <f t="shared" si="25"/>
        <v>302, 305, 307, 306, M5, M6, M7, M8, 333, 331, 318, 317, 316, 311, 303, 305, 302</v>
      </c>
      <c r="N102" s="75" t="str">
        <f t="shared" si="26"/>
        <v>05, 03, 10, 16</v>
      </c>
      <c r="R102" s="70" t="s">
        <v>383</v>
      </c>
      <c r="S102" s="70" t="s">
        <v>53</v>
      </c>
      <c r="T102" s="70" t="s">
        <v>325</v>
      </c>
      <c r="U102" s="70"/>
      <c r="V102" s="70"/>
      <c r="X102" s="70" t="str">
        <f t="shared" si="42"/>
        <v>LS2-E DT@E</v>
      </c>
      <c r="Y102" s="70" t="str">
        <f t="shared" si="43"/>
        <v>E DT-5E@E</v>
      </c>
      <c r="Z102" s="70" t="str">
        <f t="shared" si="44"/>
        <v/>
      </c>
      <c r="AA102" s="70" t="str">
        <f t="shared" si="45"/>
        <v/>
      </c>
      <c r="AC102" s="70" t="str">
        <f t="shared" si="33"/>
        <v>302, 305, 307, 306, M5, M6, M7, M8</v>
      </c>
      <c r="AD102" s="70" t="str">
        <f t="shared" si="34"/>
        <v>333, 331, 318, 317, 316, 311, 303, 305, 302</v>
      </c>
      <c r="AE102" s="70" t="str">
        <f t="shared" si="35"/>
        <v/>
      </c>
      <c r="AF102" s="70" t="str">
        <f t="shared" si="36"/>
        <v/>
      </c>
      <c r="AH102" s="70" t="str">
        <f t="shared" si="37"/>
        <v>05</v>
      </c>
      <c r="AI102" s="70" t="str">
        <f t="shared" si="38"/>
        <v>03, 10, 16</v>
      </c>
      <c r="AJ102" s="70" t="str">
        <f t="shared" si="39"/>
        <v/>
      </c>
      <c r="AK102" s="70" t="str">
        <f t="shared" si="40"/>
        <v/>
      </c>
      <c r="AM102" s="166" t="str">
        <f t="shared" si="41"/>
        <v>3E-W DT</v>
      </c>
      <c r="AN102" s="167" t="s">
        <v>487</v>
      </c>
      <c r="AO102" s="167" t="s">
        <v>482</v>
      </c>
      <c r="AP102" s="167" t="s">
        <v>488</v>
      </c>
    </row>
    <row r="103" spans="1:42" ht="20.100000000000001" customHeight="1" thickBot="1">
      <c r="A103" s="45" t="s">
        <v>489</v>
      </c>
      <c r="B103" s="45" t="s">
        <v>329</v>
      </c>
      <c r="C103" s="45" t="s">
        <v>314</v>
      </c>
      <c r="E103" s="45">
        <f t="shared" si="27"/>
        <v>6</v>
      </c>
      <c r="F103" s="45">
        <f t="shared" si="28"/>
        <v>3</v>
      </c>
      <c r="G103" s="45" t="str">
        <f t="shared" si="29"/>
        <v>5E</v>
      </c>
      <c r="H103" s="45" t="str">
        <f t="shared" si="30"/>
        <v>LS2</v>
      </c>
      <c r="J103" s="45" t="str">
        <f t="shared" si="31"/>
        <v>LS2</v>
      </c>
      <c r="K103" s="45" t="s">
        <v>130</v>
      </c>
      <c r="L103" s="45" t="str">
        <f t="shared" si="32"/>
        <v>5E-LS2@E</v>
      </c>
      <c r="M103" s="75" t="str">
        <f t="shared" si="25"/>
        <v>333, 331, 318, 317, 316, 311, 303, 305, 302, 302, 305, 307, 306, M5, M6, M7, M8</v>
      </c>
      <c r="N103" s="75" t="str">
        <f t="shared" si="26"/>
        <v>33, 04, 03</v>
      </c>
      <c r="R103" s="70" t="s">
        <v>325</v>
      </c>
      <c r="S103" s="70" t="s">
        <v>53</v>
      </c>
      <c r="T103" s="70" t="s">
        <v>383</v>
      </c>
      <c r="U103" s="70"/>
      <c r="V103" s="70"/>
      <c r="X103" s="70" t="str">
        <f t="shared" si="42"/>
        <v>5E-E DT@E</v>
      </c>
      <c r="Y103" s="70" t="str">
        <f t="shared" si="43"/>
        <v>E DT-LS2@E</v>
      </c>
      <c r="Z103" s="70" t="str">
        <f t="shared" si="44"/>
        <v/>
      </c>
      <c r="AA103" s="70" t="str">
        <f t="shared" si="45"/>
        <v/>
      </c>
      <c r="AC103" s="70" t="str">
        <f t="shared" si="33"/>
        <v>333, 331, 318, 317, 316, 311, 303, 305, 302</v>
      </c>
      <c r="AD103" s="70" t="str">
        <f t="shared" si="34"/>
        <v>302, 305, 307, 306, M5, M6, M7, M8</v>
      </c>
      <c r="AE103" s="70" t="str">
        <f t="shared" si="35"/>
        <v/>
      </c>
      <c r="AF103" s="70" t="str">
        <f t="shared" si="36"/>
        <v/>
      </c>
      <c r="AH103" s="70" t="str">
        <f t="shared" si="37"/>
        <v>33, 04</v>
      </c>
      <c r="AI103" s="70" t="str">
        <f t="shared" si="38"/>
        <v>03</v>
      </c>
      <c r="AJ103" s="70" t="str">
        <f t="shared" si="39"/>
        <v/>
      </c>
      <c r="AK103" s="70" t="str">
        <f t="shared" si="40"/>
        <v/>
      </c>
      <c r="AM103" s="166" t="str">
        <f t="shared" si="41"/>
        <v>3W-W DT</v>
      </c>
      <c r="AN103" s="167" t="s">
        <v>490</v>
      </c>
      <c r="AO103" s="167" t="s">
        <v>482</v>
      </c>
      <c r="AP103" s="167" t="s">
        <v>488</v>
      </c>
    </row>
    <row r="104" spans="1:42" ht="20.100000000000001" customHeight="1" thickBot="1">
      <c r="A104" s="45" t="s">
        <v>491</v>
      </c>
      <c r="B104" s="45" t="s">
        <v>147</v>
      </c>
      <c r="C104" s="45" t="s">
        <v>308</v>
      </c>
      <c r="E104" s="45">
        <f t="shared" si="27"/>
        <v>6</v>
      </c>
      <c r="F104" s="45">
        <f t="shared" si="28"/>
        <v>4</v>
      </c>
      <c r="G104" s="45" t="str">
        <f t="shared" si="29"/>
        <v>LS2</v>
      </c>
      <c r="H104" s="45" t="str">
        <f t="shared" si="30"/>
        <v>5W</v>
      </c>
      <c r="J104" s="45" t="str">
        <f t="shared" si="31"/>
        <v>5W</v>
      </c>
      <c r="K104" s="45" t="s">
        <v>130</v>
      </c>
      <c r="L104" s="45" t="str">
        <f t="shared" si="32"/>
        <v>LS2-5W@E</v>
      </c>
      <c r="M104" s="75" t="str">
        <f t="shared" si="25"/>
        <v>302, 305, 307, 306, M5, M6, M7, M8, 333, 331, 318, 317, 316, 311, 303, 305, 302</v>
      </c>
      <c r="N104" s="75" t="str">
        <f t="shared" si="26"/>
        <v>05, 03, 10, 16</v>
      </c>
      <c r="R104" s="70" t="s">
        <v>383</v>
      </c>
      <c r="S104" s="70" t="s">
        <v>53</v>
      </c>
      <c r="T104" s="70" t="s">
        <v>333</v>
      </c>
      <c r="U104" s="70"/>
      <c r="V104" s="70"/>
      <c r="X104" s="70" t="str">
        <f t="shared" si="42"/>
        <v>LS2-E DT@E</v>
      </c>
      <c r="Y104" s="70" t="str">
        <f t="shared" si="43"/>
        <v>E DT-5W@E</v>
      </c>
      <c r="Z104" s="70" t="str">
        <f t="shared" si="44"/>
        <v/>
      </c>
      <c r="AA104" s="70" t="str">
        <f t="shared" si="45"/>
        <v/>
      </c>
      <c r="AC104" s="70" t="str">
        <f t="shared" si="33"/>
        <v>302, 305, 307, 306, M5, M6, M7, M8</v>
      </c>
      <c r="AD104" s="70" t="str">
        <f t="shared" si="34"/>
        <v>333, 331, 318, 317, 316, 311, 303, 305, 302</v>
      </c>
      <c r="AE104" s="70" t="str">
        <f t="shared" si="35"/>
        <v/>
      </c>
      <c r="AF104" s="70" t="str">
        <f t="shared" si="36"/>
        <v/>
      </c>
      <c r="AH104" s="70" t="str">
        <f t="shared" si="37"/>
        <v>05</v>
      </c>
      <c r="AI104" s="70" t="str">
        <f t="shared" si="38"/>
        <v>03, 10, 16</v>
      </c>
      <c r="AJ104" s="70" t="str">
        <f t="shared" si="39"/>
        <v/>
      </c>
      <c r="AK104" s="70" t="str">
        <f t="shared" si="40"/>
        <v/>
      </c>
      <c r="AM104" s="166" t="str">
        <f t="shared" si="41"/>
        <v>4E-W DT</v>
      </c>
      <c r="AN104" s="167" t="s">
        <v>492</v>
      </c>
      <c r="AO104" s="167" t="s">
        <v>493</v>
      </c>
      <c r="AP104" s="167" t="s">
        <v>494</v>
      </c>
    </row>
    <row r="105" spans="1:42" ht="20.100000000000001" customHeight="1" thickBot="1">
      <c r="A105" s="45" t="s">
        <v>495</v>
      </c>
      <c r="B105" s="45" t="s">
        <v>329</v>
      </c>
      <c r="C105" s="45" t="s">
        <v>314</v>
      </c>
      <c r="E105" s="45">
        <f t="shared" si="27"/>
        <v>6</v>
      </c>
      <c r="F105" s="45">
        <f t="shared" si="28"/>
        <v>3</v>
      </c>
      <c r="G105" s="45" t="str">
        <f t="shared" si="29"/>
        <v>5W</v>
      </c>
      <c r="H105" s="45" t="str">
        <f t="shared" si="30"/>
        <v>LS2</v>
      </c>
      <c r="J105" s="45" t="str">
        <f t="shared" si="31"/>
        <v>LS2</v>
      </c>
      <c r="K105" s="45" t="s">
        <v>130</v>
      </c>
      <c r="L105" s="45" t="str">
        <f t="shared" si="32"/>
        <v>5W-LS2@E</v>
      </c>
      <c r="M105" s="75" t="str">
        <f t="shared" si="25"/>
        <v>333, 331, 318, 317, 316, 311, 303, 305, 302, 302, 305, 307, 306, M5, M6, M7, M8</v>
      </c>
      <c r="N105" s="75" t="str">
        <f t="shared" si="26"/>
        <v>33, 04, 03</v>
      </c>
      <c r="R105" s="70" t="s">
        <v>333</v>
      </c>
      <c r="S105" s="70" t="s">
        <v>53</v>
      </c>
      <c r="T105" s="70" t="s">
        <v>383</v>
      </c>
      <c r="U105" s="70"/>
      <c r="V105" s="70"/>
      <c r="X105" s="70" t="str">
        <f t="shared" si="42"/>
        <v>5W-E DT@E</v>
      </c>
      <c r="Y105" s="70" t="str">
        <f t="shared" si="43"/>
        <v>E DT-LS2@E</v>
      </c>
      <c r="Z105" s="70" t="str">
        <f t="shared" si="44"/>
        <v/>
      </c>
      <c r="AA105" s="70" t="str">
        <f t="shared" si="45"/>
        <v/>
      </c>
      <c r="AC105" s="70" t="str">
        <f t="shared" si="33"/>
        <v>333, 331, 318, 317, 316, 311, 303, 305, 302</v>
      </c>
      <c r="AD105" s="70" t="str">
        <f t="shared" si="34"/>
        <v>302, 305, 307, 306, M5, M6, M7, M8</v>
      </c>
      <c r="AE105" s="70" t="str">
        <f t="shared" si="35"/>
        <v/>
      </c>
      <c r="AF105" s="70" t="str">
        <f t="shared" si="36"/>
        <v/>
      </c>
      <c r="AH105" s="70" t="str">
        <f t="shared" si="37"/>
        <v>33, 04</v>
      </c>
      <c r="AI105" s="70" t="str">
        <f t="shared" si="38"/>
        <v>03</v>
      </c>
      <c r="AJ105" s="70" t="str">
        <f t="shared" si="39"/>
        <v/>
      </c>
      <c r="AK105" s="70" t="str">
        <f t="shared" si="40"/>
        <v/>
      </c>
      <c r="AM105" s="166" t="str">
        <f t="shared" si="41"/>
        <v>4W-W DT</v>
      </c>
      <c r="AN105" s="167" t="s">
        <v>496</v>
      </c>
      <c r="AO105" s="167" t="s">
        <v>493</v>
      </c>
      <c r="AP105" s="167" t="s">
        <v>494</v>
      </c>
    </row>
    <row r="106" spans="1:42" ht="20.100000000000001" customHeight="1" thickBot="1">
      <c r="A106" s="45" t="s">
        <v>497</v>
      </c>
      <c r="B106" s="45" t="s">
        <v>147</v>
      </c>
      <c r="C106" s="45" t="s">
        <v>338</v>
      </c>
      <c r="E106" s="45">
        <f t="shared" si="27"/>
        <v>6</v>
      </c>
      <c r="F106" s="45">
        <f t="shared" si="28"/>
        <v>4</v>
      </c>
      <c r="G106" s="45" t="str">
        <f t="shared" si="29"/>
        <v>LS2</v>
      </c>
      <c r="H106" s="45" t="str">
        <f t="shared" si="30"/>
        <v>6E</v>
      </c>
      <c r="J106" s="45" t="str">
        <f t="shared" si="31"/>
        <v>6E</v>
      </c>
      <c r="K106" s="45" t="s">
        <v>130</v>
      </c>
      <c r="L106" s="45" t="str">
        <f t="shared" si="32"/>
        <v>LS2-6E@E</v>
      </c>
      <c r="M106" s="75" t="str">
        <f t="shared" si="25"/>
        <v>302, 305, 307, 306, M5, M6, M7, M8, 332, 331, 318, 317, 316, 311, 303, 305, 302</v>
      </c>
      <c r="N106" s="75" t="str">
        <f t="shared" si="26"/>
        <v>05, 03, 10, 16</v>
      </c>
      <c r="R106" s="70" t="s">
        <v>383</v>
      </c>
      <c r="S106" s="70" t="s">
        <v>53</v>
      </c>
      <c r="T106" s="70" t="s">
        <v>339</v>
      </c>
      <c r="U106" s="70"/>
      <c r="V106" s="70"/>
      <c r="X106" s="70" t="str">
        <f t="shared" si="42"/>
        <v>LS2-E DT@E</v>
      </c>
      <c r="Y106" s="70" t="str">
        <f t="shared" si="43"/>
        <v>E DT-6E@E</v>
      </c>
      <c r="Z106" s="70" t="str">
        <f t="shared" si="44"/>
        <v/>
      </c>
      <c r="AA106" s="70" t="str">
        <f t="shared" si="45"/>
        <v/>
      </c>
      <c r="AC106" s="70" t="str">
        <f t="shared" si="33"/>
        <v>302, 305, 307, 306, M5, M6, M7, M8</v>
      </c>
      <c r="AD106" s="70" t="str">
        <f t="shared" si="34"/>
        <v>332, 331, 318, 317, 316, 311, 303, 305, 302</v>
      </c>
      <c r="AE106" s="70" t="str">
        <f t="shared" si="35"/>
        <v/>
      </c>
      <c r="AF106" s="70" t="str">
        <f t="shared" si="36"/>
        <v/>
      </c>
      <c r="AH106" s="70" t="str">
        <f t="shared" si="37"/>
        <v>05</v>
      </c>
      <c r="AI106" s="70" t="str">
        <f t="shared" si="38"/>
        <v>03, 10, 16</v>
      </c>
      <c r="AJ106" s="70" t="str">
        <f t="shared" si="39"/>
        <v/>
      </c>
      <c r="AK106" s="70" t="str">
        <f t="shared" si="40"/>
        <v/>
      </c>
      <c r="AM106" s="166" t="str">
        <f t="shared" si="41"/>
        <v>5E-W DT</v>
      </c>
      <c r="AN106" s="167" t="s">
        <v>498</v>
      </c>
      <c r="AO106" s="167" t="s">
        <v>499</v>
      </c>
      <c r="AP106" s="167" t="s">
        <v>500</v>
      </c>
    </row>
    <row r="107" spans="1:42" ht="20.100000000000001" customHeight="1" thickBot="1">
      <c r="A107" s="45" t="s">
        <v>501</v>
      </c>
      <c r="B107" s="45" t="s">
        <v>342</v>
      </c>
      <c r="C107" s="45" t="s">
        <v>343</v>
      </c>
      <c r="E107" s="45">
        <f t="shared" si="27"/>
        <v>6</v>
      </c>
      <c r="F107" s="45">
        <f t="shared" si="28"/>
        <v>3</v>
      </c>
      <c r="G107" s="45" t="str">
        <f t="shared" si="29"/>
        <v>6E</v>
      </c>
      <c r="H107" s="45" t="str">
        <f t="shared" si="30"/>
        <v>LS2</v>
      </c>
      <c r="J107" s="45" t="str">
        <f t="shared" si="31"/>
        <v>LS2</v>
      </c>
      <c r="K107" s="45" t="s">
        <v>130</v>
      </c>
      <c r="L107" s="45" t="str">
        <f t="shared" si="32"/>
        <v>6E-LS2@E</v>
      </c>
      <c r="M107" s="75" t="str">
        <f t="shared" si="25"/>
        <v>332, 331, 318, 317, 316, 311, 303, 305, 302, 302, 305, 307, 306, M5, M6, M7, M8</v>
      </c>
      <c r="N107" s="75" t="str">
        <f t="shared" si="26"/>
        <v>34, 04, 03</v>
      </c>
      <c r="R107" s="70" t="s">
        <v>339</v>
      </c>
      <c r="S107" s="70" t="s">
        <v>53</v>
      </c>
      <c r="T107" s="70" t="s">
        <v>383</v>
      </c>
      <c r="U107" s="70"/>
      <c r="V107" s="70"/>
      <c r="X107" s="70" t="str">
        <f t="shared" si="42"/>
        <v>6E-E DT@E</v>
      </c>
      <c r="Y107" s="70" t="str">
        <f t="shared" si="43"/>
        <v>E DT-LS2@E</v>
      </c>
      <c r="Z107" s="70" t="str">
        <f t="shared" si="44"/>
        <v/>
      </c>
      <c r="AA107" s="70" t="str">
        <f t="shared" si="45"/>
        <v/>
      </c>
      <c r="AC107" s="70" t="str">
        <f t="shared" si="33"/>
        <v>332, 331, 318, 317, 316, 311, 303, 305, 302</v>
      </c>
      <c r="AD107" s="70" t="str">
        <f t="shared" si="34"/>
        <v>302, 305, 307, 306, M5, M6, M7, M8</v>
      </c>
      <c r="AE107" s="70" t="str">
        <f t="shared" si="35"/>
        <v/>
      </c>
      <c r="AF107" s="70" t="str">
        <f t="shared" si="36"/>
        <v/>
      </c>
      <c r="AH107" s="70" t="str">
        <f t="shared" si="37"/>
        <v>34, 04</v>
      </c>
      <c r="AI107" s="70" t="str">
        <f t="shared" si="38"/>
        <v>03</v>
      </c>
      <c r="AJ107" s="70" t="str">
        <f t="shared" si="39"/>
        <v/>
      </c>
      <c r="AK107" s="70" t="str">
        <f t="shared" si="40"/>
        <v/>
      </c>
      <c r="AM107" s="166" t="str">
        <f t="shared" si="41"/>
        <v>5W-W DT</v>
      </c>
      <c r="AN107" s="167" t="s">
        <v>502</v>
      </c>
      <c r="AO107" s="167" t="s">
        <v>499</v>
      </c>
      <c r="AP107" s="167" t="s">
        <v>500</v>
      </c>
    </row>
    <row r="108" spans="1:42" ht="20.100000000000001" customHeight="1" thickBot="1">
      <c r="A108" s="45" t="s">
        <v>503</v>
      </c>
      <c r="B108" s="45" t="s">
        <v>147</v>
      </c>
      <c r="C108" s="45" t="s">
        <v>338</v>
      </c>
      <c r="E108" s="45">
        <f t="shared" si="27"/>
        <v>6</v>
      </c>
      <c r="F108" s="45">
        <f t="shared" si="28"/>
        <v>4</v>
      </c>
      <c r="G108" s="45" t="str">
        <f t="shared" si="29"/>
        <v>LS2</v>
      </c>
      <c r="H108" s="45" t="str">
        <f t="shared" si="30"/>
        <v>6W</v>
      </c>
      <c r="J108" s="45" t="str">
        <f t="shared" si="31"/>
        <v>6W</v>
      </c>
      <c r="K108" s="45" t="s">
        <v>130</v>
      </c>
      <c r="L108" s="45" t="str">
        <f t="shared" si="32"/>
        <v>LS2-6W@E</v>
      </c>
      <c r="M108" s="75" t="str">
        <f t="shared" si="25"/>
        <v>302, 305, 307, 306, M5, M6, M7, M8, 332, 331, 318, 317, 316, 311, 303, 305, 302</v>
      </c>
      <c r="N108" s="75" t="str">
        <f t="shared" si="26"/>
        <v>05, 03, 10, 16</v>
      </c>
      <c r="R108" s="70" t="s">
        <v>383</v>
      </c>
      <c r="S108" s="70" t="s">
        <v>53</v>
      </c>
      <c r="T108" s="70" t="s">
        <v>346</v>
      </c>
      <c r="U108" s="70"/>
      <c r="V108" s="70"/>
      <c r="X108" s="70" t="str">
        <f t="shared" si="42"/>
        <v>LS2-E DT@E</v>
      </c>
      <c r="Y108" s="70" t="str">
        <f t="shared" si="43"/>
        <v>E DT-6W@E</v>
      </c>
      <c r="Z108" s="70" t="str">
        <f t="shared" si="44"/>
        <v/>
      </c>
      <c r="AA108" s="70" t="str">
        <f t="shared" si="45"/>
        <v/>
      </c>
      <c r="AC108" s="70" t="str">
        <f t="shared" si="33"/>
        <v>302, 305, 307, 306, M5, M6, M7, M8</v>
      </c>
      <c r="AD108" s="70" t="str">
        <f t="shared" si="34"/>
        <v>332, 331, 318, 317, 316, 311, 303, 305, 302</v>
      </c>
      <c r="AE108" s="70" t="str">
        <f t="shared" si="35"/>
        <v/>
      </c>
      <c r="AF108" s="70" t="str">
        <f t="shared" si="36"/>
        <v/>
      </c>
      <c r="AH108" s="70" t="str">
        <f t="shared" si="37"/>
        <v>05</v>
      </c>
      <c r="AI108" s="70" t="str">
        <f t="shared" si="38"/>
        <v>03, 10, 16</v>
      </c>
      <c r="AJ108" s="70" t="str">
        <f t="shared" si="39"/>
        <v/>
      </c>
      <c r="AK108" s="70" t="str">
        <f t="shared" si="40"/>
        <v/>
      </c>
      <c r="AM108" s="166" t="str">
        <f t="shared" si="41"/>
        <v>6E-W DT</v>
      </c>
      <c r="AN108" s="167" t="s">
        <v>504</v>
      </c>
      <c r="AO108" s="167" t="s">
        <v>499</v>
      </c>
      <c r="AP108" s="167" t="s">
        <v>505</v>
      </c>
    </row>
    <row r="109" spans="1:42" ht="20.100000000000001" customHeight="1" thickBot="1">
      <c r="A109" s="45" t="s">
        <v>506</v>
      </c>
      <c r="B109" s="45" t="s">
        <v>342</v>
      </c>
      <c r="C109" s="45" t="s">
        <v>343</v>
      </c>
      <c r="E109" s="45">
        <f t="shared" si="27"/>
        <v>6</v>
      </c>
      <c r="F109" s="45">
        <f t="shared" si="28"/>
        <v>3</v>
      </c>
      <c r="G109" s="45" t="str">
        <f t="shared" si="29"/>
        <v>6W</v>
      </c>
      <c r="H109" s="45" t="str">
        <f t="shared" si="30"/>
        <v>LS2</v>
      </c>
      <c r="J109" s="45" t="str">
        <f t="shared" si="31"/>
        <v>LS2</v>
      </c>
      <c r="K109" s="45" t="s">
        <v>130</v>
      </c>
      <c r="L109" s="45" t="str">
        <f t="shared" si="32"/>
        <v>6W-LS2@E</v>
      </c>
      <c r="M109" s="75" t="str">
        <f t="shared" si="25"/>
        <v>332, 331, 318, 317, 316, 311, 303, 305, 302, 302, 305, 307, 306, M5, M6, M7, M8</v>
      </c>
      <c r="N109" s="75" t="str">
        <f t="shared" si="26"/>
        <v>34, 04, 03</v>
      </c>
      <c r="R109" s="70" t="s">
        <v>346</v>
      </c>
      <c r="S109" s="70" t="s">
        <v>53</v>
      </c>
      <c r="T109" s="70" t="s">
        <v>383</v>
      </c>
      <c r="U109" s="70"/>
      <c r="V109" s="70"/>
      <c r="X109" s="70" t="str">
        <f t="shared" si="42"/>
        <v>6W-E DT@E</v>
      </c>
      <c r="Y109" s="70" t="str">
        <f t="shared" si="43"/>
        <v>E DT-LS2@E</v>
      </c>
      <c r="Z109" s="70" t="str">
        <f t="shared" si="44"/>
        <v/>
      </c>
      <c r="AA109" s="70" t="str">
        <f t="shared" si="45"/>
        <v/>
      </c>
      <c r="AC109" s="70" t="str">
        <f t="shared" si="33"/>
        <v>332, 331, 318, 317, 316, 311, 303, 305, 302</v>
      </c>
      <c r="AD109" s="70" t="str">
        <f t="shared" si="34"/>
        <v>302, 305, 307, 306, M5, M6, M7, M8</v>
      </c>
      <c r="AE109" s="70" t="str">
        <f t="shared" si="35"/>
        <v/>
      </c>
      <c r="AF109" s="70" t="str">
        <f t="shared" si="36"/>
        <v/>
      </c>
      <c r="AH109" s="70" t="str">
        <f t="shared" si="37"/>
        <v>34, 04</v>
      </c>
      <c r="AI109" s="70" t="str">
        <f t="shared" si="38"/>
        <v>03</v>
      </c>
      <c r="AJ109" s="70" t="str">
        <f t="shared" si="39"/>
        <v/>
      </c>
      <c r="AK109" s="70" t="str">
        <f t="shared" si="40"/>
        <v/>
      </c>
      <c r="AM109" s="166" t="str">
        <f t="shared" si="41"/>
        <v>6W-W DT</v>
      </c>
      <c r="AN109" s="167" t="s">
        <v>507</v>
      </c>
      <c r="AO109" s="167" t="s">
        <v>499</v>
      </c>
      <c r="AP109" s="167" t="s">
        <v>505</v>
      </c>
    </row>
    <row r="110" spans="1:42" ht="20.100000000000001" customHeight="1" thickBot="1">
      <c r="A110" s="45" t="s">
        <v>508</v>
      </c>
      <c r="B110" s="45" t="s">
        <v>147</v>
      </c>
      <c r="C110" s="45" t="s">
        <v>353</v>
      </c>
      <c r="E110" s="45">
        <f t="shared" si="27"/>
        <v>6</v>
      </c>
      <c r="F110" s="45">
        <f t="shared" si="28"/>
        <v>4</v>
      </c>
      <c r="G110" s="45" t="str">
        <f t="shared" si="29"/>
        <v>LS2</v>
      </c>
      <c r="H110" s="45" t="str">
        <f t="shared" si="30"/>
        <v>7E</v>
      </c>
      <c r="J110" s="45" t="str">
        <f t="shared" si="31"/>
        <v>7E</v>
      </c>
      <c r="K110" s="45" t="s">
        <v>130</v>
      </c>
      <c r="L110" s="45" t="str">
        <f t="shared" si="32"/>
        <v>LS2-7E@E</v>
      </c>
      <c r="M110" s="75" t="str">
        <f t="shared" si="25"/>
        <v>302, 305, 307, 306, M5, M6, M7, M8, 334, 332, 331, 318, 317, 316, 311, 303, 305, 302</v>
      </c>
      <c r="N110" s="75" t="str">
        <f t="shared" si="26"/>
        <v>05, 03, 10, 16</v>
      </c>
      <c r="R110" s="70" t="s">
        <v>383</v>
      </c>
      <c r="S110" s="70" t="s">
        <v>53</v>
      </c>
      <c r="T110" s="70" t="s">
        <v>354</v>
      </c>
      <c r="U110" s="70"/>
      <c r="V110" s="70"/>
      <c r="X110" s="70" t="str">
        <f t="shared" si="42"/>
        <v>LS2-E DT@E</v>
      </c>
      <c r="Y110" s="70" t="str">
        <f t="shared" si="43"/>
        <v>E DT-7E@E</v>
      </c>
      <c r="Z110" s="70" t="str">
        <f t="shared" si="44"/>
        <v/>
      </c>
      <c r="AA110" s="70" t="str">
        <f t="shared" si="45"/>
        <v/>
      </c>
      <c r="AC110" s="70" t="str">
        <f t="shared" si="33"/>
        <v>302, 305, 307, 306, M5, M6, M7, M8</v>
      </c>
      <c r="AD110" s="70" t="str">
        <f t="shared" si="34"/>
        <v>334, 332, 331, 318, 317, 316, 311, 303, 305, 302</v>
      </c>
      <c r="AE110" s="70" t="str">
        <f t="shared" si="35"/>
        <v/>
      </c>
      <c r="AF110" s="70" t="str">
        <f t="shared" si="36"/>
        <v/>
      </c>
      <c r="AH110" s="70" t="str">
        <f t="shared" si="37"/>
        <v>05</v>
      </c>
      <c r="AI110" s="70" t="str">
        <f t="shared" si="38"/>
        <v>03, 10, 16</v>
      </c>
      <c r="AJ110" s="70" t="str">
        <f t="shared" si="39"/>
        <v/>
      </c>
      <c r="AK110" s="70" t="str">
        <f t="shared" si="40"/>
        <v/>
      </c>
      <c r="AM110" s="166" t="str">
        <f t="shared" si="41"/>
        <v>7E-W DT</v>
      </c>
      <c r="AN110" s="167" t="s">
        <v>509</v>
      </c>
      <c r="AO110" s="167" t="s">
        <v>510</v>
      </c>
      <c r="AP110" s="167" t="s">
        <v>511</v>
      </c>
    </row>
    <row r="111" spans="1:42" ht="20.100000000000001" customHeight="1" thickBot="1">
      <c r="A111" s="45" t="s">
        <v>512</v>
      </c>
      <c r="B111" s="45" t="s">
        <v>358</v>
      </c>
      <c r="C111" s="45" t="s">
        <v>359</v>
      </c>
      <c r="E111" s="45">
        <f t="shared" si="27"/>
        <v>6</v>
      </c>
      <c r="F111" s="45">
        <f t="shared" si="28"/>
        <v>3</v>
      </c>
      <c r="G111" s="45" t="str">
        <f t="shared" si="29"/>
        <v>7E</v>
      </c>
      <c r="H111" s="45" t="str">
        <f t="shared" si="30"/>
        <v>LS2</v>
      </c>
      <c r="J111" s="45" t="str">
        <f t="shared" si="31"/>
        <v>LS2</v>
      </c>
      <c r="K111" s="45" t="s">
        <v>130</v>
      </c>
      <c r="L111" s="45" t="str">
        <f t="shared" si="32"/>
        <v>7E-LS2@E</v>
      </c>
      <c r="M111" s="75" t="str">
        <f t="shared" si="25"/>
        <v>334, 332, 331, 318, 317, 316, 311, 303, 305, 302, 302, 305, 307, 306, M5, M6, M7, M8</v>
      </c>
      <c r="N111" s="75" t="str">
        <f t="shared" si="26"/>
        <v>35, 04, 03</v>
      </c>
      <c r="R111" s="70" t="s">
        <v>354</v>
      </c>
      <c r="S111" s="70" t="s">
        <v>53</v>
      </c>
      <c r="T111" s="70" t="s">
        <v>383</v>
      </c>
      <c r="U111" s="70"/>
      <c r="V111" s="70"/>
      <c r="X111" s="70" t="str">
        <f t="shared" si="42"/>
        <v>7E-E DT@E</v>
      </c>
      <c r="Y111" s="70" t="str">
        <f t="shared" si="43"/>
        <v>E DT-LS2@E</v>
      </c>
      <c r="Z111" s="70" t="str">
        <f t="shared" si="44"/>
        <v/>
      </c>
      <c r="AA111" s="70" t="str">
        <f t="shared" si="45"/>
        <v/>
      </c>
      <c r="AC111" s="70" t="str">
        <f t="shared" si="33"/>
        <v>334, 332, 331, 318, 317, 316, 311, 303, 305, 302</v>
      </c>
      <c r="AD111" s="70" t="str">
        <f t="shared" si="34"/>
        <v>302, 305, 307, 306, M5, M6, M7, M8</v>
      </c>
      <c r="AE111" s="70" t="str">
        <f t="shared" si="35"/>
        <v/>
      </c>
      <c r="AF111" s="70" t="str">
        <f t="shared" si="36"/>
        <v/>
      </c>
      <c r="AH111" s="70" t="str">
        <f t="shared" si="37"/>
        <v>35, 04</v>
      </c>
      <c r="AI111" s="70" t="str">
        <f t="shared" si="38"/>
        <v>03</v>
      </c>
      <c r="AJ111" s="70" t="str">
        <f t="shared" si="39"/>
        <v/>
      </c>
      <c r="AK111" s="70" t="str">
        <f t="shared" si="40"/>
        <v/>
      </c>
      <c r="AM111" s="166" t="str">
        <f t="shared" si="41"/>
        <v>7W-W DT</v>
      </c>
      <c r="AN111" s="167" t="s">
        <v>513</v>
      </c>
      <c r="AO111" s="167" t="s">
        <v>510</v>
      </c>
      <c r="AP111" s="167" t="s">
        <v>511</v>
      </c>
    </row>
    <row r="112" spans="1:42" ht="20.100000000000001" customHeight="1" thickBot="1">
      <c r="A112" s="45" t="s">
        <v>514</v>
      </c>
      <c r="B112" s="45" t="s">
        <v>147</v>
      </c>
      <c r="C112" s="45" t="s">
        <v>353</v>
      </c>
      <c r="E112" s="45">
        <f t="shared" si="27"/>
        <v>6</v>
      </c>
      <c r="F112" s="45">
        <f t="shared" si="28"/>
        <v>4</v>
      </c>
      <c r="G112" s="45" t="str">
        <f t="shared" si="29"/>
        <v>LS2</v>
      </c>
      <c r="H112" s="45" t="str">
        <f t="shared" si="30"/>
        <v>7W</v>
      </c>
      <c r="J112" s="45" t="str">
        <f t="shared" si="31"/>
        <v>7W</v>
      </c>
      <c r="K112" s="45" t="s">
        <v>130</v>
      </c>
      <c r="L112" s="45" t="str">
        <f t="shared" si="32"/>
        <v>LS2-7W@E</v>
      </c>
      <c r="M112" s="75" t="str">
        <f t="shared" si="25"/>
        <v>302, 305, 307, 306, M5, M6, M7, M8, 334, 332, 331, 318, 317, 316, 311, 303, 305, 302</v>
      </c>
      <c r="N112" s="75" t="str">
        <f t="shared" si="26"/>
        <v>05, 03, 10, 16</v>
      </c>
      <c r="R112" s="70" t="s">
        <v>383</v>
      </c>
      <c r="S112" s="70" t="s">
        <v>53</v>
      </c>
      <c r="T112" s="70" t="s">
        <v>363</v>
      </c>
      <c r="U112" s="70"/>
      <c r="V112" s="70"/>
      <c r="X112" s="70" t="str">
        <f t="shared" si="42"/>
        <v>LS2-E DT@E</v>
      </c>
      <c r="Y112" s="70" t="str">
        <f t="shared" si="43"/>
        <v>E DT-7W@E</v>
      </c>
      <c r="Z112" s="70" t="str">
        <f t="shared" si="44"/>
        <v/>
      </c>
      <c r="AA112" s="70" t="str">
        <f t="shared" si="45"/>
        <v/>
      </c>
      <c r="AC112" s="70" t="str">
        <f t="shared" si="33"/>
        <v>302, 305, 307, 306, M5, M6, M7, M8</v>
      </c>
      <c r="AD112" s="70" t="str">
        <f t="shared" si="34"/>
        <v>334, 332, 331, 318, 317, 316, 311, 303, 305, 302</v>
      </c>
      <c r="AE112" s="70" t="str">
        <f t="shared" si="35"/>
        <v/>
      </c>
      <c r="AF112" s="70" t="str">
        <f t="shared" si="36"/>
        <v/>
      </c>
      <c r="AH112" s="70" t="str">
        <f t="shared" si="37"/>
        <v>05</v>
      </c>
      <c r="AI112" s="70" t="str">
        <f t="shared" si="38"/>
        <v>03, 10, 16</v>
      </c>
      <c r="AJ112" s="70" t="str">
        <f t="shared" si="39"/>
        <v/>
      </c>
      <c r="AK112" s="70" t="str">
        <f t="shared" si="40"/>
        <v/>
      </c>
      <c r="AM112" s="166" t="str">
        <f t="shared" si="41"/>
        <v>8E-W DT</v>
      </c>
      <c r="AN112" s="167" t="s">
        <v>515</v>
      </c>
      <c r="AO112" s="167" t="s">
        <v>510</v>
      </c>
      <c r="AP112" s="167" t="s">
        <v>516</v>
      </c>
    </row>
    <row r="113" spans="1:42" ht="20.100000000000001" customHeight="1" thickBot="1">
      <c r="A113" s="45" t="s">
        <v>517</v>
      </c>
      <c r="B113" s="45" t="s">
        <v>358</v>
      </c>
      <c r="C113" s="45" t="s">
        <v>359</v>
      </c>
      <c r="E113" s="45">
        <f t="shared" si="27"/>
        <v>6</v>
      </c>
      <c r="F113" s="45">
        <f t="shared" si="28"/>
        <v>3</v>
      </c>
      <c r="G113" s="45" t="str">
        <f t="shared" si="29"/>
        <v>7W</v>
      </c>
      <c r="H113" s="45" t="str">
        <f t="shared" si="30"/>
        <v>LS2</v>
      </c>
      <c r="J113" s="45" t="str">
        <f t="shared" si="31"/>
        <v>LS2</v>
      </c>
      <c r="K113" s="45" t="s">
        <v>130</v>
      </c>
      <c r="L113" s="45" t="str">
        <f t="shared" si="32"/>
        <v>7W-LS2@E</v>
      </c>
      <c r="M113" s="75" t="str">
        <f t="shared" si="25"/>
        <v>334, 332, 331, 318, 317, 316, 311, 303, 305, 302, 302, 305, 307, 306, M5, M6, M7, M8</v>
      </c>
      <c r="N113" s="75" t="str">
        <f t="shared" si="26"/>
        <v>35, 04, 03</v>
      </c>
      <c r="R113" s="70" t="s">
        <v>363</v>
      </c>
      <c r="S113" s="70" t="s">
        <v>53</v>
      </c>
      <c r="T113" s="70" t="s">
        <v>383</v>
      </c>
      <c r="U113" s="70"/>
      <c r="V113" s="70"/>
      <c r="X113" s="70" t="str">
        <f t="shared" si="42"/>
        <v>7W-E DT@E</v>
      </c>
      <c r="Y113" s="70" t="str">
        <f t="shared" si="43"/>
        <v>E DT-LS2@E</v>
      </c>
      <c r="Z113" s="70" t="str">
        <f t="shared" si="44"/>
        <v/>
      </c>
      <c r="AA113" s="70" t="str">
        <f t="shared" si="45"/>
        <v/>
      </c>
      <c r="AC113" s="70" t="str">
        <f t="shared" si="33"/>
        <v>334, 332, 331, 318, 317, 316, 311, 303, 305, 302</v>
      </c>
      <c r="AD113" s="70" t="str">
        <f t="shared" si="34"/>
        <v>302, 305, 307, 306, M5, M6, M7, M8</v>
      </c>
      <c r="AE113" s="70" t="str">
        <f t="shared" si="35"/>
        <v/>
      </c>
      <c r="AF113" s="70" t="str">
        <f t="shared" si="36"/>
        <v/>
      </c>
      <c r="AH113" s="70" t="str">
        <f t="shared" si="37"/>
        <v>35, 04</v>
      </c>
      <c r="AI113" s="70" t="str">
        <f t="shared" si="38"/>
        <v>03</v>
      </c>
      <c r="AJ113" s="70" t="str">
        <f t="shared" si="39"/>
        <v/>
      </c>
      <c r="AK113" s="70" t="str">
        <f t="shared" si="40"/>
        <v/>
      </c>
      <c r="AM113" s="166" t="str">
        <f t="shared" si="41"/>
        <v>8W-W DT</v>
      </c>
      <c r="AN113" s="167" t="s">
        <v>518</v>
      </c>
      <c r="AO113" s="167" t="s">
        <v>510</v>
      </c>
      <c r="AP113" s="167" t="s">
        <v>516</v>
      </c>
    </row>
    <row r="114" spans="1:42" ht="20.100000000000001" customHeight="1" thickBot="1">
      <c r="A114" s="45" t="s">
        <v>519</v>
      </c>
      <c r="B114" s="45" t="s">
        <v>147</v>
      </c>
      <c r="C114" s="45" t="s">
        <v>353</v>
      </c>
      <c r="E114" s="45">
        <f t="shared" si="27"/>
        <v>6</v>
      </c>
      <c r="F114" s="45">
        <f t="shared" si="28"/>
        <v>4</v>
      </c>
      <c r="G114" s="45" t="str">
        <f t="shared" si="29"/>
        <v>LS2</v>
      </c>
      <c r="H114" s="45" t="str">
        <f t="shared" si="30"/>
        <v>8E</v>
      </c>
      <c r="J114" s="45" t="str">
        <f t="shared" si="31"/>
        <v>8E</v>
      </c>
      <c r="K114" s="45" t="s">
        <v>130</v>
      </c>
      <c r="L114" s="45" t="str">
        <f t="shared" si="32"/>
        <v>LS2-8E@E</v>
      </c>
      <c r="M114" s="75" t="str">
        <f t="shared" si="25"/>
        <v>302, 305, 307, 306, M5, M6, M7, M8, 334, 332, 331, 318, 317, 316, 311, 303, 305, 302</v>
      </c>
      <c r="N114" s="75" t="str">
        <f t="shared" si="26"/>
        <v>05, 03, 10, 16</v>
      </c>
      <c r="R114" s="70" t="s">
        <v>383</v>
      </c>
      <c r="S114" s="70" t="s">
        <v>53</v>
      </c>
      <c r="T114" s="70" t="s">
        <v>370</v>
      </c>
      <c r="U114" s="70"/>
      <c r="V114" s="70"/>
      <c r="X114" s="70" t="str">
        <f t="shared" si="42"/>
        <v>LS2-E DT@E</v>
      </c>
      <c r="Y114" s="70" t="str">
        <f t="shared" si="43"/>
        <v>E DT-8E@E</v>
      </c>
      <c r="Z114" s="70" t="str">
        <f t="shared" si="44"/>
        <v/>
      </c>
      <c r="AA114" s="70" t="str">
        <f t="shared" si="45"/>
        <v/>
      </c>
      <c r="AC114" s="70" t="str">
        <f t="shared" si="33"/>
        <v>302, 305, 307, 306, M5, M6, M7, M8</v>
      </c>
      <c r="AD114" s="70" t="str">
        <f t="shared" si="34"/>
        <v>334, 332, 331, 318, 317, 316, 311, 303, 305, 302</v>
      </c>
      <c r="AE114" s="70" t="str">
        <f t="shared" si="35"/>
        <v/>
      </c>
      <c r="AF114" s="70" t="str">
        <f t="shared" si="36"/>
        <v/>
      </c>
      <c r="AH114" s="70" t="str">
        <f t="shared" si="37"/>
        <v>05</v>
      </c>
      <c r="AI114" s="70" t="str">
        <f t="shared" si="38"/>
        <v>03, 10, 16</v>
      </c>
      <c r="AJ114" s="70" t="str">
        <f t="shared" si="39"/>
        <v/>
      </c>
      <c r="AK114" s="70" t="str">
        <f t="shared" si="40"/>
        <v/>
      </c>
      <c r="AM114" s="166" t="str">
        <f t="shared" si="41"/>
        <v>E DT-LF3</v>
      </c>
      <c r="AN114" s="167" t="s">
        <v>520</v>
      </c>
      <c r="AO114" s="167" t="s">
        <v>157</v>
      </c>
      <c r="AP114" s="167" t="s">
        <v>521</v>
      </c>
    </row>
    <row r="115" spans="1:42" ht="20.100000000000001" customHeight="1" thickBot="1">
      <c r="A115" s="45" t="s">
        <v>522</v>
      </c>
      <c r="B115" s="45" t="s">
        <v>374</v>
      </c>
      <c r="C115" s="45" t="s">
        <v>359</v>
      </c>
      <c r="E115" s="45">
        <f t="shared" si="27"/>
        <v>6</v>
      </c>
      <c r="F115" s="45">
        <f t="shared" si="28"/>
        <v>3</v>
      </c>
      <c r="G115" s="45" t="str">
        <f t="shared" si="29"/>
        <v>8E</v>
      </c>
      <c r="H115" s="45" t="str">
        <f t="shared" si="30"/>
        <v>LS2</v>
      </c>
      <c r="J115" s="45" t="str">
        <f t="shared" si="31"/>
        <v>LS2</v>
      </c>
      <c r="K115" s="45" t="s">
        <v>130</v>
      </c>
      <c r="L115" s="45" t="str">
        <f t="shared" si="32"/>
        <v>8E-LS2@E</v>
      </c>
      <c r="M115" s="75" t="str">
        <f t="shared" si="25"/>
        <v>334, 332, 331, 318, 317, 316, 311, 303, 305, 302, 302, 305, 307, 306, M5, M6, M7, M8</v>
      </c>
      <c r="N115" s="75" t="str">
        <f t="shared" si="26"/>
        <v>36, 04, 03</v>
      </c>
      <c r="R115" s="70" t="s">
        <v>370</v>
      </c>
      <c r="S115" s="70" t="s">
        <v>53</v>
      </c>
      <c r="T115" s="70" t="s">
        <v>383</v>
      </c>
      <c r="U115" s="70"/>
      <c r="V115" s="70"/>
      <c r="X115" s="70" t="str">
        <f t="shared" si="42"/>
        <v>8E-E DT@E</v>
      </c>
      <c r="Y115" s="70" t="str">
        <f t="shared" si="43"/>
        <v>E DT-LS2@E</v>
      </c>
      <c r="Z115" s="70" t="str">
        <f t="shared" si="44"/>
        <v/>
      </c>
      <c r="AA115" s="70" t="str">
        <f t="shared" si="45"/>
        <v/>
      </c>
      <c r="AC115" s="70" t="str">
        <f t="shared" si="33"/>
        <v>334, 332, 331, 318, 317, 316, 311, 303, 305, 302</v>
      </c>
      <c r="AD115" s="70" t="str">
        <f t="shared" si="34"/>
        <v>302, 305, 307, 306, M5, M6, M7, M8</v>
      </c>
      <c r="AE115" s="70" t="str">
        <f t="shared" si="35"/>
        <v/>
      </c>
      <c r="AF115" s="70" t="str">
        <f t="shared" si="36"/>
        <v/>
      </c>
      <c r="AH115" s="70" t="str">
        <f t="shared" si="37"/>
        <v>36, 04</v>
      </c>
      <c r="AI115" s="70" t="str">
        <f t="shared" si="38"/>
        <v>03</v>
      </c>
      <c r="AJ115" s="70" t="str">
        <f t="shared" si="39"/>
        <v/>
      </c>
      <c r="AK115" s="70" t="str">
        <f t="shared" si="40"/>
        <v/>
      </c>
      <c r="AM115" s="166" t="str">
        <f t="shared" si="41"/>
        <v>E DT-LS1</v>
      </c>
      <c r="AN115" s="167" t="s">
        <v>523</v>
      </c>
      <c r="AO115" s="167" t="s">
        <v>151</v>
      </c>
      <c r="AP115" s="167" t="s">
        <v>524</v>
      </c>
    </row>
    <row r="116" spans="1:42" ht="20.100000000000001" customHeight="1" thickBot="1">
      <c r="A116" s="45" t="s">
        <v>525</v>
      </c>
      <c r="B116" s="45" t="s">
        <v>147</v>
      </c>
      <c r="C116" s="45" t="s">
        <v>353</v>
      </c>
      <c r="E116" s="45">
        <f t="shared" si="27"/>
        <v>6</v>
      </c>
      <c r="F116" s="45">
        <f t="shared" si="28"/>
        <v>4</v>
      </c>
      <c r="G116" s="45" t="str">
        <f t="shared" si="29"/>
        <v>LS2</v>
      </c>
      <c r="H116" s="45" t="str">
        <f t="shared" si="30"/>
        <v>8W</v>
      </c>
      <c r="J116" s="45" t="str">
        <f t="shared" si="31"/>
        <v>8W</v>
      </c>
      <c r="K116" s="45" t="s">
        <v>130</v>
      </c>
      <c r="L116" s="45" t="str">
        <f t="shared" si="32"/>
        <v>LS2-8W@E</v>
      </c>
      <c r="M116" s="75" t="str">
        <f t="shared" si="25"/>
        <v>302, 305, 307, 306, M5, M6, M7, M8, 334, 332, 331, 318, 317, 316, 311, 303, 305, 302</v>
      </c>
      <c r="N116" s="75" t="str">
        <f t="shared" si="26"/>
        <v>05, 03, 10, 16</v>
      </c>
      <c r="R116" s="70" t="s">
        <v>383</v>
      </c>
      <c r="S116" s="70" t="s">
        <v>53</v>
      </c>
      <c r="T116" s="70" t="s">
        <v>377</v>
      </c>
      <c r="U116" s="70"/>
      <c r="V116" s="70"/>
      <c r="X116" s="70" t="str">
        <f t="shared" si="42"/>
        <v>LS2-E DT@E</v>
      </c>
      <c r="Y116" s="70" t="str">
        <f t="shared" si="43"/>
        <v>E DT-8W@E</v>
      </c>
      <c r="Z116" s="70" t="str">
        <f t="shared" si="44"/>
        <v/>
      </c>
      <c r="AA116" s="70" t="str">
        <f t="shared" si="45"/>
        <v/>
      </c>
      <c r="AC116" s="70" t="str">
        <f t="shared" si="33"/>
        <v>302, 305, 307, 306, M5, M6, M7, M8</v>
      </c>
      <c r="AD116" s="70" t="str">
        <f t="shared" si="34"/>
        <v>334, 332, 331, 318, 317, 316, 311, 303, 305, 302</v>
      </c>
      <c r="AE116" s="70" t="str">
        <f t="shared" si="35"/>
        <v/>
      </c>
      <c r="AF116" s="70" t="str">
        <f t="shared" si="36"/>
        <v/>
      </c>
      <c r="AH116" s="70" t="str">
        <f t="shared" si="37"/>
        <v>05</v>
      </c>
      <c r="AI116" s="70" t="str">
        <f t="shared" si="38"/>
        <v>03, 10, 16</v>
      </c>
      <c r="AJ116" s="70" t="str">
        <f t="shared" si="39"/>
        <v/>
      </c>
      <c r="AK116" s="70" t="str">
        <f t="shared" si="40"/>
        <v/>
      </c>
      <c r="AM116" s="166" t="str">
        <f t="shared" si="41"/>
        <v>E DT-LF4</v>
      </c>
      <c r="AN116" s="167" t="s">
        <v>526</v>
      </c>
      <c r="AO116" s="167" t="s">
        <v>161</v>
      </c>
      <c r="AP116" s="167" t="s">
        <v>521</v>
      </c>
    </row>
    <row r="117" spans="1:42" ht="20.100000000000001" customHeight="1" thickBot="1">
      <c r="A117" s="45" t="s">
        <v>527</v>
      </c>
      <c r="B117" s="45" t="s">
        <v>374</v>
      </c>
      <c r="C117" s="45" t="s">
        <v>359</v>
      </c>
      <c r="E117" s="45">
        <f t="shared" si="27"/>
        <v>6</v>
      </c>
      <c r="F117" s="45">
        <f t="shared" si="28"/>
        <v>3</v>
      </c>
      <c r="G117" s="45" t="str">
        <f t="shared" si="29"/>
        <v>8W</v>
      </c>
      <c r="H117" s="45" t="str">
        <f t="shared" si="30"/>
        <v>LS2</v>
      </c>
      <c r="J117" s="45" t="str">
        <f t="shared" si="31"/>
        <v>LS2</v>
      </c>
      <c r="K117" s="45" t="s">
        <v>130</v>
      </c>
      <c r="L117" s="45" t="str">
        <f t="shared" si="32"/>
        <v>8W-LS2@E</v>
      </c>
      <c r="M117" s="75" t="str">
        <f t="shared" si="25"/>
        <v>334, 332, 331, 318, 317, 316, 311, 303, 305, 302, 302, 305, 307, 306, M5, M6, M7, M8</v>
      </c>
      <c r="N117" s="75" t="str">
        <f t="shared" si="26"/>
        <v>36, 04, 03</v>
      </c>
      <c r="R117" s="70" t="s">
        <v>377</v>
      </c>
      <c r="S117" s="70" t="s">
        <v>53</v>
      </c>
      <c r="T117" s="70" t="s">
        <v>383</v>
      </c>
      <c r="U117" s="70"/>
      <c r="V117" s="70"/>
      <c r="X117" s="70" t="str">
        <f t="shared" si="42"/>
        <v>8W-E DT@E</v>
      </c>
      <c r="Y117" s="70" t="str">
        <f t="shared" si="43"/>
        <v>E DT-LS2@E</v>
      </c>
      <c r="Z117" s="70" t="str">
        <f t="shared" si="44"/>
        <v/>
      </c>
      <c r="AA117" s="70" t="str">
        <f t="shared" si="45"/>
        <v/>
      </c>
      <c r="AC117" s="70" t="str">
        <f t="shared" si="33"/>
        <v>334, 332, 331, 318, 317, 316, 311, 303, 305, 302</v>
      </c>
      <c r="AD117" s="70" t="str">
        <f t="shared" si="34"/>
        <v>302, 305, 307, 306, M5, M6, M7, M8</v>
      </c>
      <c r="AE117" s="70" t="str">
        <f t="shared" si="35"/>
        <v/>
      </c>
      <c r="AF117" s="70" t="str">
        <f t="shared" si="36"/>
        <v/>
      </c>
      <c r="AH117" s="70" t="str">
        <f t="shared" si="37"/>
        <v>36, 04</v>
      </c>
      <c r="AI117" s="70" t="str">
        <f t="shared" si="38"/>
        <v>03</v>
      </c>
      <c r="AJ117" s="70" t="str">
        <f t="shared" si="39"/>
        <v/>
      </c>
      <c r="AK117" s="70" t="str">
        <f t="shared" si="40"/>
        <v/>
      </c>
      <c r="AM117" s="166" t="str">
        <f t="shared" si="41"/>
        <v>E DT-HM1</v>
      </c>
      <c r="AN117" s="167" t="s">
        <v>528</v>
      </c>
      <c r="AO117" s="167" t="s">
        <v>167</v>
      </c>
      <c r="AP117" s="167" t="s">
        <v>521</v>
      </c>
    </row>
    <row r="118" spans="1:42" ht="20.100000000000001" customHeight="1" thickBot="1">
      <c r="A118" s="45" t="s">
        <v>529</v>
      </c>
      <c r="B118" s="45" t="s">
        <v>147</v>
      </c>
      <c r="C118" s="45" t="s">
        <v>530</v>
      </c>
      <c r="E118" s="45">
        <f t="shared" si="27"/>
        <v>7</v>
      </c>
      <c r="F118" s="45">
        <f t="shared" si="28"/>
        <v>4</v>
      </c>
      <c r="G118" s="45" t="str">
        <f t="shared" si="29"/>
        <v>LS3</v>
      </c>
      <c r="H118" s="45" t="str">
        <f t="shared" si="30"/>
        <v>LF3</v>
      </c>
      <c r="J118" s="45" t="str">
        <f t="shared" si="31"/>
        <v>LF3</v>
      </c>
      <c r="K118" s="45" t="s">
        <v>130</v>
      </c>
      <c r="L118" s="45" t="str">
        <f t="shared" si="32"/>
        <v>LS3-LF3@E</v>
      </c>
      <c r="M118" s="75" t="str">
        <f t="shared" si="25"/>
        <v>302, 305, 307, 306, M5, M6, 323, 322, 319, 316, 311, 303, 305, 302</v>
      </c>
      <c r="N118" s="75" t="str">
        <f t="shared" si="26"/>
        <v>05, 03, 10, 16</v>
      </c>
      <c r="R118" s="70" t="s">
        <v>531</v>
      </c>
      <c r="S118" s="70" t="s">
        <v>53</v>
      </c>
      <c r="T118" s="70" t="s">
        <v>82</v>
      </c>
      <c r="U118" s="70"/>
      <c r="V118" s="70"/>
      <c r="X118" s="70" t="str">
        <f t="shared" si="42"/>
        <v>LS3-E DT@E</v>
      </c>
      <c r="Y118" s="70" t="str">
        <f t="shared" si="43"/>
        <v>E DT-LF3@E</v>
      </c>
      <c r="Z118" s="70" t="str">
        <f t="shared" si="44"/>
        <v/>
      </c>
      <c r="AA118" s="70" t="str">
        <f t="shared" si="45"/>
        <v/>
      </c>
      <c r="AC118" s="70" t="str">
        <f t="shared" si="33"/>
        <v>302, 305, 307, 306, M5, M6</v>
      </c>
      <c r="AD118" s="70" t="str">
        <f t="shared" si="34"/>
        <v>323, 322, 319, 316, 311, 303, 305, 302</v>
      </c>
      <c r="AE118" s="70" t="str">
        <f t="shared" si="35"/>
        <v/>
      </c>
      <c r="AF118" s="70" t="str">
        <f t="shared" si="36"/>
        <v/>
      </c>
      <c r="AH118" s="70" t="str">
        <f t="shared" si="37"/>
        <v>05</v>
      </c>
      <c r="AI118" s="70" t="str">
        <f t="shared" si="38"/>
        <v>03, 10, 16</v>
      </c>
      <c r="AJ118" s="70" t="str">
        <f t="shared" si="39"/>
        <v/>
      </c>
      <c r="AK118" s="70" t="str">
        <f t="shared" si="40"/>
        <v/>
      </c>
      <c r="AM118" s="166" t="str">
        <f t="shared" si="41"/>
        <v>E DT-HM2</v>
      </c>
      <c r="AN118" s="167" t="s">
        <v>532</v>
      </c>
      <c r="AO118" s="167" t="s">
        <v>173</v>
      </c>
      <c r="AP118" s="167" t="s">
        <v>521</v>
      </c>
    </row>
    <row r="119" spans="1:42" ht="20.100000000000001" customHeight="1" thickBot="1">
      <c r="A119" s="45" t="s">
        <v>533</v>
      </c>
      <c r="B119" s="45" t="s">
        <v>154</v>
      </c>
      <c r="C119" s="45" t="s">
        <v>534</v>
      </c>
      <c r="E119" s="45">
        <f t="shared" si="27"/>
        <v>7</v>
      </c>
      <c r="F119" s="45">
        <f t="shared" si="28"/>
        <v>4</v>
      </c>
      <c r="G119" s="45" t="str">
        <f t="shared" si="29"/>
        <v>LF3</v>
      </c>
      <c r="H119" s="45" t="str">
        <f t="shared" si="30"/>
        <v>LS3</v>
      </c>
      <c r="J119" s="45" t="str">
        <f t="shared" si="31"/>
        <v>LS3</v>
      </c>
      <c r="K119" s="45" t="s">
        <v>130</v>
      </c>
      <c r="L119" s="45" t="str">
        <f t="shared" si="32"/>
        <v>LF3-LS3@E</v>
      </c>
      <c r="M119" s="75" t="str">
        <f t="shared" si="25"/>
        <v>323, 322, 319, 316, 311, 303, 305, 302, 302, 305, 307, 306, M5, M6</v>
      </c>
      <c r="N119" s="75" t="str">
        <f t="shared" si="26"/>
        <v>20, 04, 03</v>
      </c>
      <c r="R119" s="70" t="s">
        <v>82</v>
      </c>
      <c r="S119" s="70" t="s">
        <v>53</v>
      </c>
      <c r="T119" s="70" t="s">
        <v>531</v>
      </c>
      <c r="U119" s="70"/>
      <c r="V119" s="70"/>
      <c r="X119" s="70" t="str">
        <f t="shared" si="42"/>
        <v>LF3-E DT@E</v>
      </c>
      <c r="Y119" s="70" t="str">
        <f t="shared" si="43"/>
        <v>E DT-LS3@E</v>
      </c>
      <c r="Z119" s="70" t="str">
        <f t="shared" si="44"/>
        <v/>
      </c>
      <c r="AA119" s="70" t="str">
        <f t="shared" si="45"/>
        <v/>
      </c>
      <c r="AC119" s="70" t="str">
        <f t="shared" si="33"/>
        <v>323, 322, 319, 316, 311, 303, 305, 302</v>
      </c>
      <c r="AD119" s="70" t="str">
        <f t="shared" si="34"/>
        <v>302, 305, 307, 306, M5, M6</v>
      </c>
      <c r="AE119" s="70" t="str">
        <f t="shared" si="35"/>
        <v/>
      </c>
      <c r="AF119" s="70" t="str">
        <f t="shared" si="36"/>
        <v/>
      </c>
      <c r="AH119" s="70" t="str">
        <f t="shared" si="37"/>
        <v>20, 04</v>
      </c>
      <c r="AI119" s="70" t="str">
        <f t="shared" si="38"/>
        <v>03</v>
      </c>
      <c r="AJ119" s="70" t="str">
        <f t="shared" si="39"/>
        <v/>
      </c>
      <c r="AK119" s="70" t="str">
        <f t="shared" si="40"/>
        <v/>
      </c>
      <c r="AM119" s="166" t="str">
        <f t="shared" si="41"/>
        <v>E DT-HM3</v>
      </c>
      <c r="AN119" s="167" t="s">
        <v>535</v>
      </c>
      <c r="AO119" s="167" t="s">
        <v>173</v>
      </c>
      <c r="AP119" s="167" t="s">
        <v>521</v>
      </c>
    </row>
    <row r="120" spans="1:42" ht="20.100000000000001" customHeight="1" thickBot="1">
      <c r="A120" s="45" t="s">
        <v>536</v>
      </c>
      <c r="B120" s="45" t="s">
        <v>147</v>
      </c>
      <c r="C120" s="45" t="s">
        <v>530</v>
      </c>
      <c r="E120" s="45">
        <f t="shared" si="27"/>
        <v>7</v>
      </c>
      <c r="F120" s="45">
        <f t="shared" si="28"/>
        <v>4</v>
      </c>
      <c r="G120" s="45" t="str">
        <f t="shared" si="29"/>
        <v>LS3</v>
      </c>
      <c r="H120" s="45" t="str">
        <f t="shared" si="30"/>
        <v>LF4</v>
      </c>
      <c r="J120" s="45" t="str">
        <f t="shared" si="31"/>
        <v>LF4</v>
      </c>
      <c r="K120" s="45" t="s">
        <v>130</v>
      </c>
      <c r="L120" s="45" t="str">
        <f t="shared" si="32"/>
        <v>LS3-LF4@E</v>
      </c>
      <c r="M120" s="75" t="str">
        <f t="shared" si="25"/>
        <v>302, 305, 307, 306, M5, M6, 302, 305, 303, 311, 316, 319, 322, 323</v>
      </c>
      <c r="N120" s="75" t="str">
        <f t="shared" si="26"/>
        <v>05, 03, 10, 16</v>
      </c>
      <c r="R120" s="70" t="s">
        <v>531</v>
      </c>
      <c r="S120" s="70" t="s">
        <v>53</v>
      </c>
      <c r="T120" s="70" t="s">
        <v>83</v>
      </c>
      <c r="U120" s="70"/>
      <c r="V120" s="70"/>
      <c r="X120" s="70" t="str">
        <f t="shared" si="42"/>
        <v>LS3-E DT@E</v>
      </c>
      <c r="Y120" s="70" t="str">
        <f t="shared" si="43"/>
        <v>E DT-LF4@E</v>
      </c>
      <c r="Z120" s="70" t="str">
        <f t="shared" si="44"/>
        <v/>
      </c>
      <c r="AA120" s="70" t="str">
        <f t="shared" si="45"/>
        <v/>
      </c>
      <c r="AC120" s="70" t="str">
        <f t="shared" si="33"/>
        <v>302, 305, 307, 306, M5, M6</v>
      </c>
      <c r="AD120" s="70" t="str">
        <f t="shared" si="34"/>
        <v>302, 305, 303, 311, 316, 319, 322, 323</v>
      </c>
      <c r="AE120" s="70" t="str">
        <f t="shared" si="35"/>
        <v/>
      </c>
      <c r="AF120" s="70" t="str">
        <f t="shared" si="36"/>
        <v/>
      </c>
      <c r="AH120" s="70" t="str">
        <f t="shared" si="37"/>
        <v>05</v>
      </c>
      <c r="AI120" s="70" t="str">
        <f t="shared" si="38"/>
        <v>03, 10, 16</v>
      </c>
      <c r="AJ120" s="70" t="str">
        <f t="shared" si="39"/>
        <v/>
      </c>
      <c r="AK120" s="70" t="str">
        <f t="shared" si="40"/>
        <v/>
      </c>
      <c r="AM120" s="166" t="str">
        <f t="shared" si="41"/>
        <v>E DT-RM1E</v>
      </c>
      <c r="AN120" s="167" t="s">
        <v>537</v>
      </c>
      <c r="AO120" s="167" t="s">
        <v>184</v>
      </c>
      <c r="AP120" s="167" t="s">
        <v>521</v>
      </c>
    </row>
    <row r="121" spans="1:42" ht="20.100000000000001" customHeight="1" thickBot="1">
      <c r="A121" s="45" t="s">
        <v>538</v>
      </c>
      <c r="B121" s="45" t="s">
        <v>165</v>
      </c>
      <c r="C121" s="45" t="s">
        <v>534</v>
      </c>
      <c r="E121" s="45">
        <f t="shared" si="27"/>
        <v>7</v>
      </c>
      <c r="F121" s="45">
        <f t="shared" si="28"/>
        <v>4</v>
      </c>
      <c r="G121" s="45" t="str">
        <f t="shared" si="29"/>
        <v>LF4</v>
      </c>
      <c r="H121" s="45" t="str">
        <f t="shared" si="30"/>
        <v>LS3</v>
      </c>
      <c r="J121" s="45" t="str">
        <f t="shared" si="31"/>
        <v>LS3</v>
      </c>
      <c r="K121" s="45" t="s">
        <v>130</v>
      </c>
      <c r="L121" s="45" t="str">
        <f t="shared" si="32"/>
        <v>LF4-LS3@E</v>
      </c>
      <c r="M121" s="75" t="str">
        <f t="shared" si="25"/>
        <v>302, 305, 303, 311, 316, 319, 322, 323, 302, 305, 307, 306, M5, M6</v>
      </c>
      <c r="N121" s="75" t="str">
        <f t="shared" si="26"/>
        <v>21, 04, 03</v>
      </c>
      <c r="R121" s="70" t="s">
        <v>83</v>
      </c>
      <c r="S121" s="70" t="s">
        <v>53</v>
      </c>
      <c r="T121" s="70" t="s">
        <v>531</v>
      </c>
      <c r="U121" s="70"/>
      <c r="V121" s="70"/>
      <c r="X121" s="70" t="str">
        <f t="shared" si="42"/>
        <v>LF4-E DT@E</v>
      </c>
      <c r="Y121" s="70" t="str">
        <f t="shared" si="43"/>
        <v>E DT-LS3@E</v>
      </c>
      <c r="Z121" s="70" t="str">
        <f t="shared" si="44"/>
        <v/>
      </c>
      <c r="AA121" s="70" t="str">
        <f t="shared" si="45"/>
        <v/>
      </c>
      <c r="AC121" s="70" t="str">
        <f t="shared" si="33"/>
        <v>302, 305, 303, 311, 316, 319, 322, 323</v>
      </c>
      <c r="AD121" s="70" t="str">
        <f t="shared" si="34"/>
        <v>302, 305, 307, 306, M5, M6</v>
      </c>
      <c r="AE121" s="70" t="str">
        <f t="shared" si="35"/>
        <v/>
      </c>
      <c r="AF121" s="70" t="str">
        <f t="shared" si="36"/>
        <v/>
      </c>
      <c r="AH121" s="70" t="str">
        <f t="shared" si="37"/>
        <v>21, 04</v>
      </c>
      <c r="AI121" s="70" t="str">
        <f t="shared" si="38"/>
        <v>03</v>
      </c>
      <c r="AJ121" s="70" t="str">
        <f t="shared" si="39"/>
        <v/>
      </c>
      <c r="AK121" s="70" t="str">
        <f t="shared" si="40"/>
        <v/>
      </c>
      <c r="AM121" s="166" t="str">
        <f t="shared" si="41"/>
        <v>E DT-RM1W</v>
      </c>
      <c r="AN121" s="167" t="s">
        <v>539</v>
      </c>
      <c r="AO121" s="167" t="s">
        <v>184</v>
      </c>
      <c r="AP121" s="167" t="s">
        <v>521</v>
      </c>
    </row>
    <row r="122" spans="1:42" ht="20.100000000000001" customHeight="1" thickBot="1">
      <c r="A122" s="45" t="s">
        <v>540</v>
      </c>
      <c r="B122" s="45" t="s">
        <v>147</v>
      </c>
      <c r="C122" s="45" t="s">
        <v>541</v>
      </c>
      <c r="E122" s="45">
        <f t="shared" si="27"/>
        <v>7</v>
      </c>
      <c r="F122" s="45">
        <f t="shared" si="28"/>
        <v>4</v>
      </c>
      <c r="G122" s="45" t="str">
        <f t="shared" si="29"/>
        <v>LS3</v>
      </c>
      <c r="H122" s="45" t="str">
        <f t="shared" si="30"/>
        <v>HM1</v>
      </c>
      <c r="J122" s="45" t="str">
        <f t="shared" si="31"/>
        <v>HM1</v>
      </c>
      <c r="K122" s="45" t="s">
        <v>130</v>
      </c>
      <c r="L122" s="45" t="str">
        <f t="shared" si="32"/>
        <v>LS3-HM1@E</v>
      </c>
      <c r="M122" s="75" t="str">
        <f t="shared" si="25"/>
        <v>302, 305, 307, 306, M5, M6, 322, 319, 316, 311, 303, 305, 302</v>
      </c>
      <c r="N122" s="75" t="str">
        <f t="shared" si="26"/>
        <v>05, 03, 10, 16</v>
      </c>
      <c r="R122" s="70" t="s">
        <v>531</v>
      </c>
      <c r="S122" s="70" t="s">
        <v>53</v>
      </c>
      <c r="T122" s="70" t="s">
        <v>171</v>
      </c>
      <c r="U122" s="70"/>
      <c r="V122" s="70"/>
      <c r="X122" s="70" t="str">
        <f t="shared" si="42"/>
        <v>LS3-E DT@E</v>
      </c>
      <c r="Y122" s="70" t="str">
        <f t="shared" si="43"/>
        <v>E DT-HM1@E</v>
      </c>
      <c r="Z122" s="70" t="str">
        <f t="shared" si="44"/>
        <v/>
      </c>
      <c r="AA122" s="70" t="str">
        <f t="shared" si="45"/>
        <v/>
      </c>
      <c r="AC122" s="70" t="str">
        <f t="shared" si="33"/>
        <v>302, 305, 307, 306, M5, M6</v>
      </c>
      <c r="AD122" s="70" t="str">
        <f t="shared" si="34"/>
        <v>322, 319, 316, 311, 303, 305, 302</v>
      </c>
      <c r="AE122" s="70" t="str">
        <f t="shared" si="35"/>
        <v/>
      </c>
      <c r="AF122" s="70" t="str">
        <f t="shared" si="36"/>
        <v/>
      </c>
      <c r="AH122" s="70" t="str">
        <f t="shared" si="37"/>
        <v>05</v>
      </c>
      <c r="AI122" s="70" t="str">
        <f t="shared" si="38"/>
        <v>03, 10, 16</v>
      </c>
      <c r="AJ122" s="70" t="str">
        <f t="shared" si="39"/>
        <v/>
      </c>
      <c r="AK122" s="70" t="str">
        <f t="shared" si="40"/>
        <v/>
      </c>
      <c r="AM122" s="166" t="str">
        <f t="shared" si="41"/>
        <v>E DT-RM2E</v>
      </c>
      <c r="AN122" s="167" t="s">
        <v>542</v>
      </c>
      <c r="AO122" s="167" t="s">
        <v>193</v>
      </c>
      <c r="AP122" s="167" t="s">
        <v>521</v>
      </c>
    </row>
    <row r="123" spans="1:42" ht="20.100000000000001" customHeight="1" thickBot="1">
      <c r="A123" s="45" t="s">
        <v>543</v>
      </c>
      <c r="B123" s="45" t="s">
        <v>176</v>
      </c>
      <c r="C123" s="45" t="s">
        <v>544</v>
      </c>
      <c r="E123" s="45">
        <f t="shared" si="27"/>
        <v>7</v>
      </c>
      <c r="F123" s="45">
        <f t="shared" si="28"/>
        <v>4</v>
      </c>
      <c r="G123" s="45" t="str">
        <f t="shared" si="29"/>
        <v>HM1</v>
      </c>
      <c r="H123" s="45" t="str">
        <f t="shared" si="30"/>
        <v>LS3</v>
      </c>
      <c r="J123" s="45" t="str">
        <f t="shared" si="31"/>
        <v>LS3</v>
      </c>
      <c r="K123" s="45" t="s">
        <v>130</v>
      </c>
      <c r="L123" s="45" t="str">
        <f t="shared" si="32"/>
        <v>HM1-LS3@E</v>
      </c>
      <c r="M123" s="75" t="str">
        <f t="shared" si="25"/>
        <v>322, 319, 316, 311, 303, 305, 302, 302, 305, 307, 306, M5, M6</v>
      </c>
      <c r="N123" s="75" t="str">
        <f t="shared" si="26"/>
        <v>22, 04, 03</v>
      </c>
      <c r="R123" s="70" t="s">
        <v>171</v>
      </c>
      <c r="S123" s="70" t="s">
        <v>53</v>
      </c>
      <c r="T123" s="70" t="s">
        <v>531</v>
      </c>
      <c r="U123" s="70"/>
      <c r="V123" s="70"/>
      <c r="X123" s="70" t="str">
        <f t="shared" si="42"/>
        <v>HM1-E DT@E</v>
      </c>
      <c r="Y123" s="70" t="str">
        <f t="shared" si="43"/>
        <v>E DT-LS3@E</v>
      </c>
      <c r="Z123" s="70" t="str">
        <f t="shared" si="44"/>
        <v/>
      </c>
      <c r="AA123" s="70" t="str">
        <f t="shared" si="45"/>
        <v/>
      </c>
      <c r="AC123" s="70" t="str">
        <f t="shared" si="33"/>
        <v>322, 319, 316, 311, 303, 305, 302</v>
      </c>
      <c r="AD123" s="70" t="str">
        <f t="shared" si="34"/>
        <v>302, 305, 307, 306, M5, M6</v>
      </c>
      <c r="AE123" s="70" t="str">
        <f t="shared" si="35"/>
        <v/>
      </c>
      <c r="AF123" s="70" t="str">
        <f t="shared" si="36"/>
        <v/>
      </c>
      <c r="AH123" s="70" t="str">
        <f t="shared" si="37"/>
        <v>22, 04</v>
      </c>
      <c r="AI123" s="70" t="str">
        <f t="shared" si="38"/>
        <v>03</v>
      </c>
      <c r="AJ123" s="70" t="str">
        <f t="shared" si="39"/>
        <v/>
      </c>
      <c r="AK123" s="70" t="str">
        <f t="shared" si="40"/>
        <v/>
      </c>
      <c r="AM123" s="166" t="str">
        <f t="shared" si="41"/>
        <v>E DT-RM2W</v>
      </c>
      <c r="AN123" s="167" t="s">
        <v>545</v>
      </c>
      <c r="AO123" s="167" t="s">
        <v>193</v>
      </c>
      <c r="AP123" s="167" t="s">
        <v>521</v>
      </c>
    </row>
    <row r="124" spans="1:42" ht="20.100000000000001" customHeight="1" thickBot="1">
      <c r="A124" s="45" t="s">
        <v>546</v>
      </c>
      <c r="B124" s="45" t="s">
        <v>147</v>
      </c>
      <c r="C124" s="45" t="s">
        <v>547</v>
      </c>
      <c r="E124" s="45">
        <f t="shared" si="27"/>
        <v>7</v>
      </c>
      <c r="F124" s="45">
        <f t="shared" si="28"/>
        <v>4</v>
      </c>
      <c r="G124" s="45" t="str">
        <f t="shared" si="29"/>
        <v>LS3</v>
      </c>
      <c r="H124" s="45" t="str">
        <f t="shared" si="30"/>
        <v>HM2</v>
      </c>
      <c r="J124" s="45" t="str">
        <f t="shared" si="31"/>
        <v>HM2</v>
      </c>
      <c r="K124" s="45" t="s">
        <v>130</v>
      </c>
      <c r="L124" s="45" t="str">
        <f t="shared" si="32"/>
        <v>LS3-HM2@E</v>
      </c>
      <c r="M124" s="75" t="str">
        <f t="shared" si="25"/>
        <v>302, 305, 307, 306, M5, M6, 324, 319, 316, 311, 303, 305, 302</v>
      </c>
      <c r="N124" s="75" t="str">
        <f t="shared" si="26"/>
        <v>05, 03, 10, 16</v>
      </c>
      <c r="R124" s="70" t="s">
        <v>531</v>
      </c>
      <c r="S124" s="70" t="s">
        <v>53</v>
      </c>
      <c r="T124" s="70" t="s">
        <v>182</v>
      </c>
      <c r="U124" s="70"/>
      <c r="V124" s="70"/>
      <c r="X124" s="70" t="str">
        <f t="shared" si="42"/>
        <v>LS3-E DT@E</v>
      </c>
      <c r="Y124" s="70" t="str">
        <f t="shared" si="43"/>
        <v>E DT-HM2@E</v>
      </c>
      <c r="Z124" s="70" t="str">
        <f t="shared" si="44"/>
        <v/>
      </c>
      <c r="AA124" s="70" t="str">
        <f t="shared" si="45"/>
        <v/>
      </c>
      <c r="AC124" s="70" t="str">
        <f t="shared" si="33"/>
        <v>302, 305, 307, 306, M5, M6</v>
      </c>
      <c r="AD124" s="70" t="str">
        <f t="shared" si="34"/>
        <v>324, 319, 316, 311, 303, 305, 302</v>
      </c>
      <c r="AE124" s="70" t="str">
        <f t="shared" si="35"/>
        <v/>
      </c>
      <c r="AF124" s="70" t="str">
        <f t="shared" si="36"/>
        <v/>
      </c>
      <c r="AH124" s="70" t="str">
        <f t="shared" si="37"/>
        <v>05</v>
      </c>
      <c r="AI124" s="70" t="str">
        <f t="shared" si="38"/>
        <v>03, 10, 16</v>
      </c>
      <c r="AJ124" s="70" t="str">
        <f t="shared" si="39"/>
        <v/>
      </c>
      <c r="AK124" s="70" t="str">
        <f t="shared" si="40"/>
        <v/>
      </c>
      <c r="AM124" s="166" t="str">
        <f t="shared" si="41"/>
        <v>E DT-RM3E</v>
      </c>
      <c r="AN124" s="167" t="s">
        <v>548</v>
      </c>
      <c r="AO124" s="167" t="s">
        <v>193</v>
      </c>
      <c r="AP124" s="167" t="s">
        <v>521</v>
      </c>
    </row>
    <row r="125" spans="1:42" ht="20.100000000000001" customHeight="1" thickBot="1">
      <c r="A125" s="45" t="s">
        <v>549</v>
      </c>
      <c r="B125" s="45" t="s">
        <v>187</v>
      </c>
      <c r="C125" s="45" t="s">
        <v>550</v>
      </c>
      <c r="E125" s="45">
        <f t="shared" si="27"/>
        <v>7</v>
      </c>
      <c r="F125" s="45">
        <f t="shared" si="28"/>
        <v>4</v>
      </c>
      <c r="G125" s="45" t="str">
        <f t="shared" si="29"/>
        <v>HM2</v>
      </c>
      <c r="H125" s="45" t="str">
        <f t="shared" si="30"/>
        <v>LS3</v>
      </c>
      <c r="J125" s="45" t="str">
        <f t="shared" si="31"/>
        <v>LS3</v>
      </c>
      <c r="K125" s="45" t="s">
        <v>130</v>
      </c>
      <c r="L125" s="45" t="str">
        <f t="shared" si="32"/>
        <v>HM2-LS3@E</v>
      </c>
      <c r="M125" s="75" t="str">
        <f t="shared" si="25"/>
        <v>324, 319, 316, 311, 303, 305, 302, 302, 305, 307, 306, M5, M6</v>
      </c>
      <c r="N125" s="75" t="str">
        <f t="shared" si="26"/>
        <v>23, 04, 03</v>
      </c>
      <c r="R125" s="70" t="s">
        <v>182</v>
      </c>
      <c r="S125" s="70" t="s">
        <v>53</v>
      </c>
      <c r="T125" s="70" t="s">
        <v>531</v>
      </c>
      <c r="U125" s="70"/>
      <c r="V125" s="70"/>
      <c r="X125" s="70" t="str">
        <f t="shared" si="42"/>
        <v>HM2-E DT@E</v>
      </c>
      <c r="Y125" s="70" t="str">
        <f t="shared" si="43"/>
        <v>E DT-LS3@E</v>
      </c>
      <c r="Z125" s="70" t="str">
        <f t="shared" si="44"/>
        <v/>
      </c>
      <c r="AA125" s="70" t="str">
        <f t="shared" si="45"/>
        <v/>
      </c>
      <c r="AC125" s="70" t="str">
        <f t="shared" si="33"/>
        <v>324, 319, 316, 311, 303, 305, 302</v>
      </c>
      <c r="AD125" s="70" t="str">
        <f t="shared" si="34"/>
        <v>302, 305, 307, 306, M5, M6</v>
      </c>
      <c r="AE125" s="70" t="str">
        <f t="shared" si="35"/>
        <v/>
      </c>
      <c r="AF125" s="70" t="str">
        <f t="shared" si="36"/>
        <v/>
      </c>
      <c r="AH125" s="70" t="str">
        <f t="shared" si="37"/>
        <v>23, 04</v>
      </c>
      <c r="AI125" s="70" t="str">
        <f t="shared" si="38"/>
        <v>03</v>
      </c>
      <c r="AJ125" s="70" t="str">
        <f t="shared" si="39"/>
        <v/>
      </c>
      <c r="AK125" s="70" t="str">
        <f t="shared" si="40"/>
        <v/>
      </c>
      <c r="AM125" s="166" t="str">
        <f t="shared" si="41"/>
        <v>E DT-RM3W</v>
      </c>
      <c r="AN125" s="167" t="s">
        <v>551</v>
      </c>
      <c r="AO125" s="167" t="s">
        <v>193</v>
      </c>
      <c r="AP125" s="167" t="s">
        <v>521</v>
      </c>
    </row>
    <row r="126" spans="1:42" ht="20.100000000000001" customHeight="1" thickBot="1">
      <c r="A126" s="45" t="s">
        <v>552</v>
      </c>
      <c r="B126" s="45" t="s">
        <v>147</v>
      </c>
      <c r="C126" s="45" t="s">
        <v>547</v>
      </c>
      <c r="E126" s="45">
        <f t="shared" si="27"/>
        <v>7</v>
      </c>
      <c r="F126" s="45">
        <f t="shared" si="28"/>
        <v>4</v>
      </c>
      <c r="G126" s="45" t="str">
        <f t="shared" si="29"/>
        <v>LS3</v>
      </c>
      <c r="H126" s="45" t="str">
        <f t="shared" si="30"/>
        <v>HM3</v>
      </c>
      <c r="J126" s="45" t="str">
        <f t="shared" si="31"/>
        <v>HM3</v>
      </c>
      <c r="K126" s="45" t="s">
        <v>130</v>
      </c>
      <c r="L126" s="45" t="str">
        <f t="shared" si="32"/>
        <v>LS3-HM3@E</v>
      </c>
      <c r="M126" s="75" t="str">
        <f t="shared" si="25"/>
        <v>302, 305, 307, 306, M5, M6, 324, 319, 316, 311, 303, 305, 302</v>
      </c>
      <c r="N126" s="75" t="str">
        <f t="shared" si="26"/>
        <v>05, 03, 10, 16</v>
      </c>
      <c r="R126" s="70" t="s">
        <v>531</v>
      </c>
      <c r="S126" s="70" t="s">
        <v>53</v>
      </c>
      <c r="T126" s="70" t="s">
        <v>191</v>
      </c>
      <c r="U126" s="70"/>
      <c r="V126" s="70"/>
      <c r="X126" s="70" t="str">
        <f t="shared" si="42"/>
        <v>LS3-E DT@E</v>
      </c>
      <c r="Y126" s="70" t="str">
        <f t="shared" si="43"/>
        <v>E DT-HM3@E</v>
      </c>
      <c r="Z126" s="70" t="str">
        <f t="shared" si="44"/>
        <v/>
      </c>
      <c r="AA126" s="70" t="str">
        <f t="shared" si="45"/>
        <v/>
      </c>
      <c r="AC126" s="70" t="str">
        <f t="shared" si="33"/>
        <v>302, 305, 307, 306, M5, M6</v>
      </c>
      <c r="AD126" s="70" t="str">
        <f t="shared" si="34"/>
        <v>324, 319, 316, 311, 303, 305, 302</v>
      </c>
      <c r="AE126" s="70" t="str">
        <f t="shared" si="35"/>
        <v/>
      </c>
      <c r="AF126" s="70" t="str">
        <f t="shared" si="36"/>
        <v/>
      </c>
      <c r="AH126" s="70" t="str">
        <f t="shared" si="37"/>
        <v>05</v>
      </c>
      <c r="AI126" s="70" t="str">
        <f t="shared" si="38"/>
        <v>03, 10, 16</v>
      </c>
      <c r="AJ126" s="70" t="str">
        <f t="shared" si="39"/>
        <v/>
      </c>
      <c r="AK126" s="70" t="str">
        <f t="shared" si="40"/>
        <v/>
      </c>
      <c r="AM126" s="166" t="str">
        <f t="shared" si="41"/>
        <v>E DT-HCTE</v>
      </c>
      <c r="AN126" s="167" t="s">
        <v>553</v>
      </c>
      <c r="AO126" s="167" t="s">
        <v>210</v>
      </c>
      <c r="AP126" s="167" t="s">
        <v>521</v>
      </c>
    </row>
    <row r="127" spans="1:42" ht="20.100000000000001" customHeight="1" thickBot="1">
      <c r="A127" s="45" t="s">
        <v>554</v>
      </c>
      <c r="B127" s="45" t="s">
        <v>196</v>
      </c>
      <c r="C127" s="45" t="s">
        <v>550</v>
      </c>
      <c r="E127" s="45">
        <f t="shared" si="27"/>
        <v>7</v>
      </c>
      <c r="F127" s="45">
        <f t="shared" si="28"/>
        <v>4</v>
      </c>
      <c r="G127" s="45" t="str">
        <f t="shared" si="29"/>
        <v>HM3</v>
      </c>
      <c r="H127" s="45" t="str">
        <f t="shared" si="30"/>
        <v>LS3</v>
      </c>
      <c r="J127" s="45" t="str">
        <f t="shared" si="31"/>
        <v>LS3</v>
      </c>
      <c r="K127" s="45" t="s">
        <v>130</v>
      </c>
      <c r="L127" s="45" t="str">
        <f t="shared" si="32"/>
        <v>HM3-LS3@E</v>
      </c>
      <c r="M127" s="75" t="str">
        <f t="shared" si="25"/>
        <v>324, 319, 316, 311, 303, 305, 302, 302, 305, 307, 306, M5, M6</v>
      </c>
      <c r="N127" s="75" t="str">
        <f t="shared" si="26"/>
        <v>24,04, 03</v>
      </c>
      <c r="R127" s="70" t="s">
        <v>191</v>
      </c>
      <c r="S127" s="70" t="s">
        <v>53</v>
      </c>
      <c r="T127" s="70" t="s">
        <v>531</v>
      </c>
      <c r="U127" s="70"/>
      <c r="V127" s="70"/>
      <c r="X127" s="70" t="str">
        <f t="shared" si="42"/>
        <v>HM3-E DT@E</v>
      </c>
      <c r="Y127" s="70" t="str">
        <f t="shared" si="43"/>
        <v>E DT-LS3@E</v>
      </c>
      <c r="Z127" s="70" t="str">
        <f t="shared" si="44"/>
        <v/>
      </c>
      <c r="AA127" s="70" t="str">
        <f t="shared" si="45"/>
        <v/>
      </c>
      <c r="AC127" s="70" t="str">
        <f t="shared" si="33"/>
        <v>324, 319, 316, 311, 303, 305, 302</v>
      </c>
      <c r="AD127" s="70" t="str">
        <f t="shared" si="34"/>
        <v>302, 305, 307, 306, M5, M6</v>
      </c>
      <c r="AE127" s="70" t="str">
        <f t="shared" si="35"/>
        <v/>
      </c>
      <c r="AF127" s="70" t="str">
        <f t="shared" si="36"/>
        <v/>
      </c>
      <c r="AH127" s="70" t="str">
        <f t="shared" si="37"/>
        <v>24,04</v>
      </c>
      <c r="AI127" s="70" t="str">
        <f t="shared" si="38"/>
        <v>03</v>
      </c>
      <c r="AJ127" s="70" t="str">
        <f t="shared" si="39"/>
        <v/>
      </c>
      <c r="AK127" s="70" t="str">
        <f t="shared" si="40"/>
        <v/>
      </c>
      <c r="AM127" s="166" t="str">
        <f t="shared" si="41"/>
        <v>E DT-HCTW</v>
      </c>
      <c r="AN127" s="167" t="s">
        <v>555</v>
      </c>
      <c r="AO127" s="167" t="s">
        <v>210</v>
      </c>
      <c r="AP127" s="167" t="s">
        <v>521</v>
      </c>
    </row>
    <row r="128" spans="1:42" ht="20.100000000000001" customHeight="1" thickBot="1">
      <c r="A128" s="45" t="s">
        <v>556</v>
      </c>
      <c r="B128" s="45" t="s">
        <v>147</v>
      </c>
      <c r="C128" s="45" t="s">
        <v>557</v>
      </c>
      <c r="E128" s="45">
        <f t="shared" si="27"/>
        <v>8</v>
      </c>
      <c r="F128" s="45">
        <f t="shared" si="28"/>
        <v>4</v>
      </c>
      <c r="G128" s="45" t="str">
        <f t="shared" si="29"/>
        <v>LS3</v>
      </c>
      <c r="H128" s="45" t="str">
        <f t="shared" si="30"/>
        <v>RM1E</v>
      </c>
      <c r="J128" s="45" t="str">
        <f t="shared" si="31"/>
        <v>RM1E</v>
      </c>
      <c r="K128" s="45" t="s">
        <v>130</v>
      </c>
      <c r="L128" s="45" t="str">
        <f t="shared" si="32"/>
        <v>LS3-RM1E@E</v>
      </c>
      <c r="M128" s="75" t="str">
        <f t="shared" si="25"/>
        <v>302, 305, 307, 306, M5, M6, 302, 305, 303, 311, 316, 319, 324</v>
      </c>
      <c r="N128" s="75" t="str">
        <f t="shared" si="26"/>
        <v>05, 03, 10, 16</v>
      </c>
      <c r="R128" s="70" t="s">
        <v>531</v>
      </c>
      <c r="S128" s="70" t="s">
        <v>53</v>
      </c>
      <c r="T128" s="70" t="s">
        <v>200</v>
      </c>
      <c r="U128" s="70"/>
      <c r="V128" s="70"/>
      <c r="X128" s="70" t="str">
        <f t="shared" si="42"/>
        <v>LS3-E DT@E</v>
      </c>
      <c r="Y128" s="70" t="str">
        <f t="shared" si="43"/>
        <v>E DT-RM1E@E</v>
      </c>
      <c r="Z128" s="70" t="str">
        <f t="shared" si="44"/>
        <v/>
      </c>
      <c r="AA128" s="70" t="str">
        <f t="shared" si="45"/>
        <v/>
      </c>
      <c r="AC128" s="70" t="str">
        <f t="shared" si="33"/>
        <v>302, 305, 307, 306, M5, M6</v>
      </c>
      <c r="AD128" s="70" t="str">
        <f t="shared" si="34"/>
        <v>302, 305, 303, 311, 316, 319, 324</v>
      </c>
      <c r="AE128" s="70" t="str">
        <f t="shared" si="35"/>
        <v/>
      </c>
      <c r="AF128" s="70" t="str">
        <f t="shared" si="36"/>
        <v/>
      </c>
      <c r="AH128" s="70" t="str">
        <f t="shared" si="37"/>
        <v>05</v>
      </c>
      <c r="AI128" s="70" t="str">
        <f t="shared" si="38"/>
        <v>03, 10, 16</v>
      </c>
      <c r="AJ128" s="70" t="str">
        <f t="shared" si="39"/>
        <v/>
      </c>
      <c r="AK128" s="70" t="str">
        <f t="shared" si="40"/>
        <v/>
      </c>
      <c r="AM128" s="166" t="str">
        <f t="shared" si="41"/>
        <v>E DT-1E</v>
      </c>
      <c r="AN128" s="167" t="s">
        <v>558</v>
      </c>
      <c r="AO128" s="167" t="s">
        <v>210</v>
      </c>
      <c r="AP128" s="167" t="s">
        <v>521</v>
      </c>
    </row>
    <row r="129" spans="1:42" ht="20.100000000000001" customHeight="1" thickBot="1">
      <c r="A129" s="45" t="s">
        <v>559</v>
      </c>
      <c r="B129" s="45" t="s">
        <v>204</v>
      </c>
      <c r="C129" s="45" t="s">
        <v>560</v>
      </c>
      <c r="E129" s="45">
        <f t="shared" si="27"/>
        <v>8</v>
      </c>
      <c r="F129" s="45">
        <f t="shared" si="28"/>
        <v>5</v>
      </c>
      <c r="G129" s="45" t="str">
        <f t="shared" si="29"/>
        <v>RM1E</v>
      </c>
      <c r="H129" s="45" t="str">
        <f t="shared" si="30"/>
        <v>LS3</v>
      </c>
      <c r="J129" s="45" t="str">
        <f t="shared" si="31"/>
        <v>LS3</v>
      </c>
      <c r="K129" s="45" t="s">
        <v>130</v>
      </c>
      <c r="L129" s="45" t="str">
        <f t="shared" si="32"/>
        <v>RM1E-LS3@E</v>
      </c>
      <c r="M129" s="75" t="str">
        <f t="shared" si="25"/>
        <v>302, 305, 303, 311, 316, 319, 324, 302, 305, 307, 306, M5, M6</v>
      </c>
      <c r="N129" s="75" t="str">
        <f t="shared" si="26"/>
        <v>25, 04, 03</v>
      </c>
      <c r="R129" s="70" t="s">
        <v>200</v>
      </c>
      <c r="S129" s="70" t="s">
        <v>53</v>
      </c>
      <c r="T129" s="70" t="s">
        <v>531</v>
      </c>
      <c r="U129" s="70"/>
      <c r="V129" s="70"/>
      <c r="X129" s="70" t="str">
        <f t="shared" si="42"/>
        <v>RM1E-E DT@E</v>
      </c>
      <c r="Y129" s="70" t="str">
        <f t="shared" si="43"/>
        <v>E DT-LS3@E</v>
      </c>
      <c r="Z129" s="70" t="str">
        <f t="shared" si="44"/>
        <v/>
      </c>
      <c r="AA129" s="70" t="str">
        <f t="shared" si="45"/>
        <v/>
      </c>
      <c r="AC129" s="70" t="str">
        <f t="shared" si="33"/>
        <v>302, 305, 303, 311, 316, 319, 324</v>
      </c>
      <c r="AD129" s="70" t="str">
        <f t="shared" si="34"/>
        <v>302, 305, 307, 306, M5, M6</v>
      </c>
      <c r="AE129" s="70" t="str">
        <f t="shared" si="35"/>
        <v/>
      </c>
      <c r="AF129" s="70" t="str">
        <f t="shared" si="36"/>
        <v/>
      </c>
      <c r="AH129" s="70" t="str">
        <f t="shared" si="37"/>
        <v>25, 04</v>
      </c>
      <c r="AI129" s="70" t="str">
        <f t="shared" si="38"/>
        <v>03</v>
      </c>
      <c r="AJ129" s="70" t="str">
        <f t="shared" si="39"/>
        <v/>
      </c>
      <c r="AK129" s="70" t="str">
        <f t="shared" si="40"/>
        <v/>
      </c>
      <c r="AM129" s="166" t="str">
        <f t="shared" si="41"/>
        <v>E DT-1W</v>
      </c>
      <c r="AN129" s="167" t="s">
        <v>561</v>
      </c>
      <c r="AO129" s="167" t="s">
        <v>210</v>
      </c>
      <c r="AP129" s="167" t="s">
        <v>521</v>
      </c>
    </row>
    <row r="130" spans="1:42" ht="20.100000000000001" customHeight="1" thickBot="1">
      <c r="A130" s="45" t="s">
        <v>562</v>
      </c>
      <c r="B130" s="45" t="s">
        <v>147</v>
      </c>
      <c r="C130" s="45" t="s">
        <v>557</v>
      </c>
      <c r="E130" s="45">
        <f t="shared" si="27"/>
        <v>8</v>
      </c>
      <c r="F130" s="45">
        <f t="shared" si="28"/>
        <v>4</v>
      </c>
      <c r="G130" s="45" t="str">
        <f t="shared" si="29"/>
        <v>LS3</v>
      </c>
      <c r="H130" s="45" t="str">
        <f t="shared" si="30"/>
        <v>RM1W</v>
      </c>
      <c r="J130" s="45" t="str">
        <f t="shared" si="31"/>
        <v>RM1W</v>
      </c>
      <c r="K130" s="45" t="s">
        <v>130</v>
      </c>
      <c r="L130" s="45" t="str">
        <f t="shared" si="32"/>
        <v>LS3-RM1W@E</v>
      </c>
      <c r="M130" s="75" t="str">
        <f t="shared" ref="M130:M193" si="46">IF(AF130="",IF(AE130="",IF(AD130="",AC130,CONCATENATE(AC130,", ",AD130)),CONCATENATE(AC130,", ",AD130,", ",AE130)),CONCATENATE(AC130,", ",AD130,", ",AE130,", ",AF130))</f>
        <v>302, 305, 307, 306, M5, M6, 302, 305, 303, 311, 316, 319, 324</v>
      </c>
      <c r="N130" s="75" t="str">
        <f t="shared" ref="N130:N193" si="47">IF(AK130="",IF(AJ130="",IF(AI130="",AH130,CONCATENATE(AH130,", ",AI130)),CONCATENATE(AH130,", ",AI130,", ",AJ130)),CONCATENATE(AH130,", ",AI130,", ",AJ130,", ",AK130))</f>
        <v>05, 03, 10, 16</v>
      </c>
      <c r="R130" s="70" t="s">
        <v>531</v>
      </c>
      <c r="S130" s="70" t="s">
        <v>53</v>
      </c>
      <c r="T130" s="70" t="s">
        <v>208</v>
      </c>
      <c r="U130" s="70"/>
      <c r="V130" s="70"/>
      <c r="X130" s="70" t="str">
        <f t="shared" si="42"/>
        <v>LS3-E DT@E</v>
      </c>
      <c r="Y130" s="70" t="str">
        <f t="shared" si="43"/>
        <v>E DT-RM1W@E</v>
      </c>
      <c r="Z130" s="70" t="str">
        <f t="shared" si="44"/>
        <v/>
      </c>
      <c r="AA130" s="70" t="str">
        <f t="shared" si="45"/>
        <v/>
      </c>
      <c r="AC130" s="70" t="str">
        <f t="shared" si="33"/>
        <v>302, 305, 307, 306, M5, M6</v>
      </c>
      <c r="AD130" s="70" t="str">
        <f t="shared" si="34"/>
        <v>302, 305, 303, 311, 316, 319, 324</v>
      </c>
      <c r="AE130" s="70" t="str">
        <f t="shared" si="35"/>
        <v/>
      </c>
      <c r="AF130" s="70" t="str">
        <f t="shared" si="36"/>
        <v/>
      </c>
      <c r="AH130" s="70" t="str">
        <f t="shared" si="37"/>
        <v>05</v>
      </c>
      <c r="AI130" s="70" t="str">
        <f t="shared" si="38"/>
        <v>03, 10, 16</v>
      </c>
      <c r="AJ130" s="70" t="str">
        <f t="shared" si="39"/>
        <v/>
      </c>
      <c r="AK130" s="70" t="str">
        <f t="shared" si="40"/>
        <v/>
      </c>
      <c r="AM130" s="166" t="str">
        <f t="shared" si="41"/>
        <v>E DT-2E</v>
      </c>
      <c r="AN130" s="167" t="s">
        <v>563</v>
      </c>
      <c r="AO130" s="167" t="s">
        <v>226</v>
      </c>
      <c r="AP130" s="167" t="s">
        <v>521</v>
      </c>
    </row>
    <row r="131" spans="1:42" ht="20.100000000000001" customHeight="1" thickBot="1">
      <c r="A131" s="45" t="s">
        <v>564</v>
      </c>
      <c r="B131" s="45" t="s">
        <v>204</v>
      </c>
      <c r="C131" s="45" t="s">
        <v>560</v>
      </c>
      <c r="E131" s="45">
        <f t="shared" ref="E131:E194" si="48">LEN(A131)</f>
        <v>8</v>
      </c>
      <c r="F131" s="45">
        <f t="shared" ref="F131:F194" si="49">SEARCH("-",A131)</f>
        <v>5</v>
      </c>
      <c r="G131" s="45" t="str">
        <f t="shared" ref="G131:G194" si="50">LEFT(A131,F131-1)</f>
        <v>RM1W</v>
      </c>
      <c r="H131" s="45" t="str">
        <f t="shared" ref="H131:H194" si="51">RIGHT(A131,E131-F131)</f>
        <v>LS3</v>
      </c>
      <c r="J131" s="45" t="str">
        <f t="shared" ref="J131:J194" si="52">IF(V131="",IF(U131="",IF(T131="",S131,T131),U131),V131)</f>
        <v>LS3</v>
      </c>
      <c r="K131" s="45" t="s">
        <v>130</v>
      </c>
      <c r="L131" s="45" t="str">
        <f t="shared" ref="L131:L194" si="53">CONCATENATE(R131,"-",J131,"@",K131)</f>
        <v>RM1W-LS3@E</v>
      </c>
      <c r="M131" s="75" t="str">
        <f t="shared" si="46"/>
        <v>302, 305, 303, 311, 316, 319, 324, 302, 305, 307, 306, M5, M6</v>
      </c>
      <c r="N131" s="75" t="str">
        <f t="shared" si="47"/>
        <v>25, 04, 03</v>
      </c>
      <c r="R131" s="70" t="s">
        <v>208</v>
      </c>
      <c r="S131" s="70" t="s">
        <v>53</v>
      </c>
      <c r="T131" s="70" t="s">
        <v>531</v>
      </c>
      <c r="U131" s="70"/>
      <c r="V131" s="70"/>
      <c r="X131" s="70" t="str">
        <f t="shared" si="42"/>
        <v>RM1W-E DT@E</v>
      </c>
      <c r="Y131" s="70" t="str">
        <f t="shared" si="43"/>
        <v>E DT-LS3@E</v>
      </c>
      <c r="Z131" s="70" t="str">
        <f t="shared" si="44"/>
        <v/>
      </c>
      <c r="AA131" s="70" t="str">
        <f t="shared" si="45"/>
        <v/>
      </c>
      <c r="AC131" s="70" t="str">
        <f t="shared" ref="AC131:AC194" si="54">IF(X131="","",VLOOKUP(X131,$AN$2:$AP$736,2,0))</f>
        <v>302, 305, 303, 311, 316, 319, 324</v>
      </c>
      <c r="AD131" s="70" t="str">
        <f t="shared" ref="AD131:AD194" si="55">IF(Y131="","",VLOOKUP(Y131,$AN$2:$AP$736,2,0))</f>
        <v>302, 305, 307, 306, M5, M6</v>
      </c>
      <c r="AE131" s="70" t="str">
        <f t="shared" ref="AE131:AE194" si="56">IF(Z131="","",VLOOKUP(Z131,$AN$2:$AP$736,2,0))</f>
        <v/>
      </c>
      <c r="AF131" s="70" t="str">
        <f t="shared" ref="AF131:AF194" si="57">IF(AA131="","",VLOOKUP(AA131,$AN$2:$AP$736,2,0))</f>
        <v/>
      </c>
      <c r="AH131" s="70" t="str">
        <f t="shared" ref="AH131:AH194" si="58">IF(X131="","",VLOOKUP(X131,$AN$2:$AP$162,3,0))</f>
        <v>25, 04</v>
      </c>
      <c r="AI131" s="70" t="str">
        <f t="shared" ref="AI131:AI194" si="59">IF(Y131="","",VLOOKUP(Y131,$AN$2:$AP$162,3,0))</f>
        <v>03</v>
      </c>
      <c r="AJ131" s="70" t="str">
        <f t="shared" ref="AJ131:AJ194" si="60">IF(Z131="","",VLOOKUP(Z131,$AN$2:$AP$162,3,0))</f>
        <v/>
      </c>
      <c r="AK131" s="70" t="str">
        <f t="shared" ref="AK131:AK194" si="61">IF(AA131="","",VLOOKUP(AA131,$AN$2:$AP$162,3,0))</f>
        <v/>
      </c>
      <c r="AM131" s="166" t="str">
        <f t="shared" ref="AM131:AM194" si="62">LEFT(AN131,LEN(AN131)-2)</f>
        <v>E DT-2W</v>
      </c>
      <c r="AN131" s="167" t="s">
        <v>565</v>
      </c>
      <c r="AO131" s="167" t="s">
        <v>226</v>
      </c>
      <c r="AP131" s="167" t="s">
        <v>521</v>
      </c>
    </row>
    <row r="132" spans="1:42" ht="20.100000000000001" customHeight="1" thickBot="1">
      <c r="A132" s="45" t="s">
        <v>566</v>
      </c>
      <c r="B132" s="45" t="s">
        <v>147</v>
      </c>
      <c r="C132" s="45" t="s">
        <v>567</v>
      </c>
      <c r="E132" s="45">
        <f t="shared" si="48"/>
        <v>8</v>
      </c>
      <c r="F132" s="45">
        <f t="shared" si="49"/>
        <v>4</v>
      </c>
      <c r="G132" s="45" t="str">
        <f t="shared" si="50"/>
        <v>LS3</v>
      </c>
      <c r="H132" s="45" t="str">
        <f t="shared" si="51"/>
        <v>RM2E</v>
      </c>
      <c r="J132" s="45" t="str">
        <f t="shared" si="52"/>
        <v>RM2E</v>
      </c>
      <c r="K132" s="45" t="s">
        <v>130</v>
      </c>
      <c r="L132" s="45" t="str">
        <f t="shared" si="53"/>
        <v>LS3-RM2E@E</v>
      </c>
      <c r="M132" s="75" t="str">
        <f t="shared" si="46"/>
        <v>302, 305, 307, 306, M5, M6, 327, 326, 325, 318, 317, 316, 311, 303, 305, 302</v>
      </c>
      <c r="N132" s="75" t="str">
        <f t="shared" si="47"/>
        <v>05, 03, 10, 16</v>
      </c>
      <c r="R132" s="70" t="s">
        <v>531</v>
      </c>
      <c r="S132" s="70" t="s">
        <v>53</v>
      </c>
      <c r="T132" s="70" t="s">
        <v>216</v>
      </c>
      <c r="U132" s="70"/>
      <c r="V132" s="70"/>
      <c r="X132" s="70" t="str">
        <f t="shared" si="42"/>
        <v>LS3-E DT@E</v>
      </c>
      <c r="Y132" s="70" t="str">
        <f t="shared" si="43"/>
        <v>E DT-RM2E@E</v>
      </c>
      <c r="Z132" s="70" t="str">
        <f t="shared" si="44"/>
        <v/>
      </c>
      <c r="AA132" s="70" t="str">
        <f t="shared" si="45"/>
        <v/>
      </c>
      <c r="AC132" s="70" t="str">
        <f t="shared" si="54"/>
        <v>302, 305, 307, 306, M5, M6</v>
      </c>
      <c r="AD132" s="70" t="str">
        <f t="shared" si="55"/>
        <v>327, 326, 325, 318, 317, 316, 311, 303, 305, 302</v>
      </c>
      <c r="AE132" s="70" t="str">
        <f t="shared" si="56"/>
        <v/>
      </c>
      <c r="AF132" s="70" t="str">
        <f t="shared" si="57"/>
        <v/>
      </c>
      <c r="AH132" s="70" t="str">
        <f t="shared" si="58"/>
        <v>05</v>
      </c>
      <c r="AI132" s="70" t="str">
        <f t="shared" si="59"/>
        <v>03, 10, 16</v>
      </c>
      <c r="AJ132" s="70" t="str">
        <f t="shared" si="60"/>
        <v/>
      </c>
      <c r="AK132" s="70" t="str">
        <f t="shared" si="61"/>
        <v/>
      </c>
      <c r="AM132" s="166" t="str">
        <f t="shared" si="62"/>
        <v>E DT-3E</v>
      </c>
      <c r="AN132" s="167" t="s">
        <v>568</v>
      </c>
      <c r="AO132" s="167" t="s">
        <v>226</v>
      </c>
      <c r="AP132" s="167" t="s">
        <v>521</v>
      </c>
    </row>
    <row r="133" spans="1:42" ht="20.100000000000001" customHeight="1" thickBot="1">
      <c r="A133" s="45" t="s">
        <v>569</v>
      </c>
      <c r="B133" s="45" t="s">
        <v>220</v>
      </c>
      <c r="C133" s="45" t="s">
        <v>570</v>
      </c>
      <c r="E133" s="45">
        <f t="shared" si="48"/>
        <v>8</v>
      </c>
      <c r="F133" s="45">
        <f t="shared" si="49"/>
        <v>5</v>
      </c>
      <c r="G133" s="45" t="str">
        <f t="shared" si="50"/>
        <v>RM2E</v>
      </c>
      <c r="H133" s="45" t="str">
        <f t="shared" si="51"/>
        <v>LS3</v>
      </c>
      <c r="J133" s="45" t="str">
        <f t="shared" si="52"/>
        <v>LS3</v>
      </c>
      <c r="K133" s="45" t="s">
        <v>130</v>
      </c>
      <c r="L133" s="45" t="str">
        <f t="shared" si="53"/>
        <v>RM2E-LS3@E</v>
      </c>
      <c r="M133" s="75" t="str">
        <f t="shared" si="46"/>
        <v>327, 326, 325, 318, 317, 316, 311, 303, 305, 302, 302, 305, 307, 306, M5, M6</v>
      </c>
      <c r="N133" s="75" t="str">
        <f t="shared" si="47"/>
        <v>26, 04, 03</v>
      </c>
      <c r="R133" s="70" t="s">
        <v>216</v>
      </c>
      <c r="S133" s="70" t="s">
        <v>53</v>
      </c>
      <c r="T133" s="70" t="s">
        <v>531</v>
      </c>
      <c r="U133" s="70"/>
      <c r="V133" s="70"/>
      <c r="X133" s="70" t="str">
        <f t="shared" si="42"/>
        <v>RM2E-E DT@E</v>
      </c>
      <c r="Y133" s="70" t="str">
        <f t="shared" si="43"/>
        <v>E DT-LS3@E</v>
      </c>
      <c r="Z133" s="70" t="str">
        <f t="shared" si="44"/>
        <v/>
      </c>
      <c r="AA133" s="70" t="str">
        <f t="shared" si="45"/>
        <v/>
      </c>
      <c r="AC133" s="70" t="str">
        <f t="shared" si="54"/>
        <v>327, 326, 325, 318, 317, 316, 311, 303, 305, 302</v>
      </c>
      <c r="AD133" s="70" t="str">
        <f t="shared" si="55"/>
        <v>302, 305, 307, 306, M5, M6</v>
      </c>
      <c r="AE133" s="70" t="str">
        <f t="shared" si="56"/>
        <v/>
      </c>
      <c r="AF133" s="70" t="str">
        <f t="shared" si="57"/>
        <v/>
      </c>
      <c r="AH133" s="70" t="str">
        <f t="shared" si="58"/>
        <v>26, 04</v>
      </c>
      <c r="AI133" s="70" t="str">
        <f t="shared" si="59"/>
        <v>03</v>
      </c>
      <c r="AJ133" s="70" t="str">
        <f t="shared" si="60"/>
        <v/>
      </c>
      <c r="AK133" s="70" t="str">
        <f t="shared" si="61"/>
        <v/>
      </c>
      <c r="AM133" s="166" t="str">
        <f t="shared" si="62"/>
        <v>E DT-3W</v>
      </c>
      <c r="AN133" s="167" t="s">
        <v>571</v>
      </c>
      <c r="AO133" s="167" t="s">
        <v>226</v>
      </c>
      <c r="AP133" s="167" t="s">
        <v>521</v>
      </c>
    </row>
    <row r="134" spans="1:42" ht="20.100000000000001" customHeight="1" thickBot="1">
      <c r="A134" s="45" t="s">
        <v>572</v>
      </c>
      <c r="B134" s="45" t="s">
        <v>147</v>
      </c>
      <c r="C134" s="45" t="s">
        <v>567</v>
      </c>
      <c r="E134" s="45">
        <f t="shared" si="48"/>
        <v>8</v>
      </c>
      <c r="F134" s="45">
        <f t="shared" si="49"/>
        <v>4</v>
      </c>
      <c r="G134" s="45" t="str">
        <f t="shared" si="50"/>
        <v>LS3</v>
      </c>
      <c r="H134" s="45" t="str">
        <f t="shared" si="51"/>
        <v>RM2W</v>
      </c>
      <c r="J134" s="45" t="str">
        <f t="shared" si="52"/>
        <v>RM2W</v>
      </c>
      <c r="K134" s="45" t="s">
        <v>130</v>
      </c>
      <c r="L134" s="45" t="str">
        <f t="shared" si="53"/>
        <v>LS3-RM2W@E</v>
      </c>
      <c r="M134" s="75" t="str">
        <f t="shared" si="46"/>
        <v>302, 305, 307, 306, M5, M6, 327, 326, 325, 318, 317, 316, 311, 303, 305, 302</v>
      </c>
      <c r="N134" s="75" t="str">
        <f t="shared" si="47"/>
        <v>05, 03, 10, 16</v>
      </c>
      <c r="R134" s="70" t="s">
        <v>531</v>
      </c>
      <c r="S134" s="70" t="s">
        <v>53</v>
      </c>
      <c r="T134" s="70" t="s">
        <v>224</v>
      </c>
      <c r="U134" s="70"/>
      <c r="V134" s="70"/>
      <c r="X134" s="70" t="str">
        <f t="shared" si="42"/>
        <v>LS3-E DT@E</v>
      </c>
      <c r="Y134" s="70" t="str">
        <f t="shared" si="43"/>
        <v>E DT-RM2W@E</v>
      </c>
      <c r="Z134" s="70" t="str">
        <f t="shared" si="44"/>
        <v/>
      </c>
      <c r="AA134" s="70" t="str">
        <f t="shared" si="45"/>
        <v/>
      </c>
      <c r="AC134" s="70" t="str">
        <f t="shared" si="54"/>
        <v>302, 305, 307, 306, M5, M6</v>
      </c>
      <c r="AD134" s="70" t="str">
        <f t="shared" si="55"/>
        <v>327, 326, 325, 318, 317, 316, 311, 303, 305, 302</v>
      </c>
      <c r="AE134" s="70" t="str">
        <f t="shared" si="56"/>
        <v/>
      </c>
      <c r="AF134" s="70" t="str">
        <f t="shared" si="57"/>
        <v/>
      </c>
      <c r="AH134" s="70" t="str">
        <f t="shared" si="58"/>
        <v>05</v>
      </c>
      <c r="AI134" s="70" t="str">
        <f t="shared" si="59"/>
        <v>03, 10, 16</v>
      </c>
      <c r="AJ134" s="70" t="str">
        <f t="shared" si="60"/>
        <v/>
      </c>
      <c r="AK134" s="70" t="str">
        <f t="shared" si="61"/>
        <v/>
      </c>
      <c r="AM134" s="166" t="str">
        <f t="shared" si="62"/>
        <v>E DT-4E</v>
      </c>
      <c r="AN134" s="167" t="s">
        <v>573</v>
      </c>
      <c r="AO134" s="167" t="s">
        <v>240</v>
      </c>
      <c r="AP134" s="167" t="s">
        <v>521</v>
      </c>
    </row>
    <row r="135" spans="1:42" ht="20.100000000000001" customHeight="1" thickBot="1">
      <c r="A135" s="45" t="s">
        <v>574</v>
      </c>
      <c r="B135" s="45" t="s">
        <v>220</v>
      </c>
      <c r="C135" s="45" t="s">
        <v>570</v>
      </c>
      <c r="E135" s="45">
        <f t="shared" si="48"/>
        <v>8</v>
      </c>
      <c r="F135" s="45">
        <f t="shared" si="49"/>
        <v>5</v>
      </c>
      <c r="G135" s="45" t="str">
        <f t="shared" si="50"/>
        <v>RM2W</v>
      </c>
      <c r="H135" s="45" t="str">
        <f t="shared" si="51"/>
        <v>LS3</v>
      </c>
      <c r="J135" s="45" t="str">
        <f t="shared" si="52"/>
        <v>LS3</v>
      </c>
      <c r="K135" s="45" t="s">
        <v>130</v>
      </c>
      <c r="L135" s="45" t="str">
        <f t="shared" si="53"/>
        <v>RM2W-LS3@E</v>
      </c>
      <c r="M135" s="75" t="str">
        <f t="shared" si="46"/>
        <v>327, 326, 325, 318, 317, 316, 311, 303, 305, 302, 302, 305, 307, 306, M5, M6</v>
      </c>
      <c r="N135" s="75" t="str">
        <f t="shared" si="47"/>
        <v>26, 04, 03</v>
      </c>
      <c r="R135" s="70" t="s">
        <v>224</v>
      </c>
      <c r="S135" s="70" t="s">
        <v>53</v>
      </c>
      <c r="T135" s="70" t="s">
        <v>531</v>
      </c>
      <c r="U135" s="70"/>
      <c r="V135" s="70"/>
      <c r="X135" s="70" t="str">
        <f t="shared" si="42"/>
        <v>RM2W-E DT@E</v>
      </c>
      <c r="Y135" s="70" t="str">
        <f t="shared" si="43"/>
        <v>E DT-LS3@E</v>
      </c>
      <c r="Z135" s="70" t="str">
        <f t="shared" si="44"/>
        <v/>
      </c>
      <c r="AA135" s="70" t="str">
        <f t="shared" si="45"/>
        <v/>
      </c>
      <c r="AC135" s="70" t="str">
        <f t="shared" si="54"/>
        <v>327, 326, 325, 318, 317, 316, 311, 303, 305, 302</v>
      </c>
      <c r="AD135" s="70" t="str">
        <f t="shared" si="55"/>
        <v>302, 305, 307, 306, M5, M6</v>
      </c>
      <c r="AE135" s="70" t="str">
        <f t="shared" si="56"/>
        <v/>
      </c>
      <c r="AF135" s="70" t="str">
        <f t="shared" si="57"/>
        <v/>
      </c>
      <c r="AH135" s="70" t="str">
        <f t="shared" si="58"/>
        <v>26, 04</v>
      </c>
      <c r="AI135" s="70" t="str">
        <f t="shared" si="59"/>
        <v>03</v>
      </c>
      <c r="AJ135" s="70" t="str">
        <f t="shared" si="60"/>
        <v/>
      </c>
      <c r="AK135" s="70" t="str">
        <f t="shared" si="61"/>
        <v/>
      </c>
      <c r="AM135" s="166" t="str">
        <f t="shared" si="62"/>
        <v>E DT-4W</v>
      </c>
      <c r="AN135" s="167" t="s">
        <v>575</v>
      </c>
      <c r="AO135" s="167" t="s">
        <v>240</v>
      </c>
      <c r="AP135" s="167" t="s">
        <v>521</v>
      </c>
    </row>
    <row r="136" spans="1:42" ht="20.100000000000001" customHeight="1" thickBot="1">
      <c r="A136" s="45" t="s">
        <v>576</v>
      </c>
      <c r="B136" s="45" t="s">
        <v>147</v>
      </c>
      <c r="C136" s="45" t="s">
        <v>567</v>
      </c>
      <c r="E136" s="45">
        <f t="shared" si="48"/>
        <v>8</v>
      </c>
      <c r="F136" s="45">
        <f t="shared" si="49"/>
        <v>4</v>
      </c>
      <c r="G136" s="45" t="str">
        <f t="shared" si="50"/>
        <v>LS3</v>
      </c>
      <c r="H136" s="45" t="str">
        <f t="shared" si="51"/>
        <v>RM3E</v>
      </c>
      <c r="J136" s="45" t="str">
        <f t="shared" si="52"/>
        <v>RM3E</v>
      </c>
      <c r="K136" s="45" t="s">
        <v>130</v>
      </c>
      <c r="L136" s="45" t="str">
        <f t="shared" si="53"/>
        <v>LS3-RM3E@E</v>
      </c>
      <c r="M136" s="75" t="str">
        <f t="shared" si="46"/>
        <v>302, 305, 307, 306, M5, M6, 327, 326, 325, 318, 317, 316, 311, 303, 305, 302</v>
      </c>
      <c r="N136" s="75" t="str">
        <f t="shared" si="47"/>
        <v>05, 03, 10, 16</v>
      </c>
      <c r="R136" s="70" t="s">
        <v>531</v>
      </c>
      <c r="S136" s="70" t="s">
        <v>53</v>
      </c>
      <c r="T136" s="70" t="s">
        <v>231</v>
      </c>
      <c r="U136" s="70"/>
      <c r="V136" s="70"/>
      <c r="X136" s="70" t="str">
        <f t="shared" si="42"/>
        <v>LS3-E DT@E</v>
      </c>
      <c r="Y136" s="70" t="str">
        <f t="shared" si="43"/>
        <v>E DT-RM3E@E</v>
      </c>
      <c r="Z136" s="70" t="str">
        <f t="shared" si="44"/>
        <v/>
      </c>
      <c r="AA136" s="70" t="str">
        <f t="shared" si="45"/>
        <v/>
      </c>
      <c r="AC136" s="70" t="str">
        <f t="shared" si="54"/>
        <v>302, 305, 307, 306, M5, M6</v>
      </c>
      <c r="AD136" s="70" t="str">
        <f t="shared" si="55"/>
        <v>327, 326, 325, 318, 317, 316, 311, 303, 305, 302</v>
      </c>
      <c r="AE136" s="70" t="str">
        <f t="shared" si="56"/>
        <v/>
      </c>
      <c r="AF136" s="70" t="str">
        <f t="shared" si="57"/>
        <v/>
      </c>
      <c r="AH136" s="70" t="str">
        <f t="shared" si="58"/>
        <v>05</v>
      </c>
      <c r="AI136" s="70" t="str">
        <f t="shared" si="59"/>
        <v>03, 10, 16</v>
      </c>
      <c r="AJ136" s="70" t="str">
        <f t="shared" si="60"/>
        <v/>
      </c>
      <c r="AK136" s="70" t="str">
        <f t="shared" si="61"/>
        <v/>
      </c>
      <c r="AM136" s="166" t="str">
        <f t="shared" si="62"/>
        <v>E DT-5E</v>
      </c>
      <c r="AN136" s="167" t="s">
        <v>577</v>
      </c>
      <c r="AO136" s="167" t="s">
        <v>240</v>
      </c>
      <c r="AP136" s="167" t="s">
        <v>521</v>
      </c>
    </row>
    <row r="137" spans="1:42" ht="20.100000000000001" customHeight="1" thickBot="1">
      <c r="A137" s="45" t="s">
        <v>578</v>
      </c>
      <c r="B137" s="45" t="s">
        <v>235</v>
      </c>
      <c r="C137" s="45" t="s">
        <v>570</v>
      </c>
      <c r="E137" s="45">
        <f t="shared" si="48"/>
        <v>8</v>
      </c>
      <c r="F137" s="45">
        <f t="shared" si="49"/>
        <v>5</v>
      </c>
      <c r="G137" s="45" t="str">
        <f t="shared" si="50"/>
        <v>RM3E</v>
      </c>
      <c r="H137" s="45" t="str">
        <f t="shared" si="51"/>
        <v>LS3</v>
      </c>
      <c r="J137" s="45" t="str">
        <f t="shared" si="52"/>
        <v>LS3</v>
      </c>
      <c r="K137" s="45" t="s">
        <v>130</v>
      </c>
      <c r="L137" s="45" t="str">
        <f t="shared" si="53"/>
        <v>RM3E-LS3@E</v>
      </c>
      <c r="M137" s="75" t="str">
        <f t="shared" si="46"/>
        <v>327, 326, 325, 318, 317, 316, 311, 303, 305, 302, 302, 305, 307, 306, M5, M6</v>
      </c>
      <c r="N137" s="75" t="str">
        <f t="shared" si="47"/>
        <v>27, 04, 03</v>
      </c>
      <c r="R137" s="70" t="s">
        <v>231</v>
      </c>
      <c r="S137" s="70" t="s">
        <v>53</v>
      </c>
      <c r="T137" s="70" t="s">
        <v>531</v>
      </c>
      <c r="U137" s="70"/>
      <c r="V137" s="70"/>
      <c r="X137" s="70" t="str">
        <f t="shared" si="42"/>
        <v>RM3E-E DT@E</v>
      </c>
      <c r="Y137" s="70" t="str">
        <f t="shared" si="43"/>
        <v>E DT-LS3@E</v>
      </c>
      <c r="Z137" s="70" t="str">
        <f t="shared" si="44"/>
        <v/>
      </c>
      <c r="AA137" s="70" t="str">
        <f t="shared" si="45"/>
        <v/>
      </c>
      <c r="AC137" s="70" t="str">
        <f t="shared" si="54"/>
        <v>327, 326, 325, 318, 317, 316, 311, 303, 305, 302</v>
      </c>
      <c r="AD137" s="70" t="str">
        <f t="shared" si="55"/>
        <v>302, 305, 307, 306, M5, M6</v>
      </c>
      <c r="AE137" s="70" t="str">
        <f t="shared" si="56"/>
        <v/>
      </c>
      <c r="AF137" s="70" t="str">
        <f t="shared" si="57"/>
        <v/>
      </c>
      <c r="AH137" s="70" t="str">
        <f t="shared" si="58"/>
        <v>27, 04</v>
      </c>
      <c r="AI137" s="70" t="str">
        <f t="shared" si="59"/>
        <v>03</v>
      </c>
      <c r="AJ137" s="70" t="str">
        <f t="shared" si="60"/>
        <v/>
      </c>
      <c r="AK137" s="70" t="str">
        <f t="shared" si="61"/>
        <v/>
      </c>
      <c r="AM137" s="166" t="str">
        <f t="shared" si="62"/>
        <v>E DT-5W</v>
      </c>
      <c r="AN137" s="167" t="s">
        <v>579</v>
      </c>
      <c r="AO137" s="167" t="s">
        <v>240</v>
      </c>
      <c r="AP137" s="167" t="s">
        <v>521</v>
      </c>
    </row>
    <row r="138" spans="1:42" ht="20.100000000000001" customHeight="1" thickBot="1">
      <c r="A138" s="45" t="s">
        <v>580</v>
      </c>
      <c r="B138" s="45" t="s">
        <v>147</v>
      </c>
      <c r="C138" s="45" t="s">
        <v>567</v>
      </c>
      <c r="E138" s="45">
        <f t="shared" si="48"/>
        <v>8</v>
      </c>
      <c r="F138" s="45">
        <f t="shared" si="49"/>
        <v>4</v>
      </c>
      <c r="G138" s="45" t="str">
        <f t="shared" si="50"/>
        <v>LS3</v>
      </c>
      <c r="H138" s="45" t="str">
        <f t="shared" si="51"/>
        <v>RM3W</v>
      </c>
      <c r="J138" s="45" t="str">
        <f t="shared" si="52"/>
        <v>RM3W</v>
      </c>
      <c r="K138" s="45" t="s">
        <v>130</v>
      </c>
      <c r="L138" s="45" t="str">
        <f t="shared" si="53"/>
        <v>LS3-RM3W@E</v>
      </c>
      <c r="M138" s="75" t="str">
        <f t="shared" si="46"/>
        <v>302, 305, 307, 306, M5, M6, 327, 326, 325, 318, 317, 316, 311, 303, 305, 302</v>
      </c>
      <c r="N138" s="75" t="str">
        <f t="shared" si="47"/>
        <v>05, 03, 10, 16</v>
      </c>
      <c r="R138" s="70" t="s">
        <v>531</v>
      </c>
      <c r="S138" s="70" t="s">
        <v>53</v>
      </c>
      <c r="T138" s="70" t="s">
        <v>238</v>
      </c>
      <c r="U138" s="70"/>
      <c r="V138" s="70"/>
      <c r="X138" s="70" t="str">
        <f t="shared" si="42"/>
        <v>LS3-E DT@E</v>
      </c>
      <c r="Y138" s="70" t="str">
        <f t="shared" si="43"/>
        <v>E DT-RM3W@E</v>
      </c>
      <c r="Z138" s="70" t="str">
        <f t="shared" si="44"/>
        <v/>
      </c>
      <c r="AA138" s="70" t="str">
        <f t="shared" si="45"/>
        <v/>
      </c>
      <c r="AC138" s="70" t="str">
        <f t="shared" si="54"/>
        <v>302, 305, 307, 306, M5, M6</v>
      </c>
      <c r="AD138" s="70" t="str">
        <f t="shared" si="55"/>
        <v>327, 326, 325, 318, 317, 316, 311, 303, 305, 302</v>
      </c>
      <c r="AE138" s="70" t="str">
        <f t="shared" si="56"/>
        <v/>
      </c>
      <c r="AF138" s="70" t="str">
        <f t="shared" si="57"/>
        <v/>
      </c>
      <c r="AH138" s="70" t="str">
        <f t="shared" si="58"/>
        <v>05</v>
      </c>
      <c r="AI138" s="70" t="str">
        <f t="shared" si="59"/>
        <v>03, 10, 16</v>
      </c>
      <c r="AJ138" s="70" t="str">
        <f t="shared" si="60"/>
        <v/>
      </c>
      <c r="AK138" s="70" t="str">
        <f t="shared" si="61"/>
        <v/>
      </c>
      <c r="AM138" s="166" t="str">
        <f t="shared" si="62"/>
        <v>E DT-6E</v>
      </c>
      <c r="AN138" s="167" t="s">
        <v>581</v>
      </c>
      <c r="AO138" s="167" t="s">
        <v>256</v>
      </c>
      <c r="AP138" s="167" t="s">
        <v>521</v>
      </c>
    </row>
    <row r="139" spans="1:42" ht="20.100000000000001" customHeight="1" thickBot="1">
      <c r="A139" s="45" t="s">
        <v>582</v>
      </c>
      <c r="B139" s="45" t="s">
        <v>235</v>
      </c>
      <c r="C139" s="45" t="s">
        <v>570</v>
      </c>
      <c r="E139" s="45">
        <f t="shared" si="48"/>
        <v>8</v>
      </c>
      <c r="F139" s="45">
        <f t="shared" si="49"/>
        <v>5</v>
      </c>
      <c r="G139" s="45" t="str">
        <f t="shared" si="50"/>
        <v>RM3W</v>
      </c>
      <c r="H139" s="45" t="str">
        <f t="shared" si="51"/>
        <v>LS3</v>
      </c>
      <c r="J139" s="45" t="str">
        <f t="shared" si="52"/>
        <v>LS3</v>
      </c>
      <c r="K139" s="45" t="s">
        <v>130</v>
      </c>
      <c r="L139" s="45" t="str">
        <f t="shared" si="53"/>
        <v>RM3W-LS3@E</v>
      </c>
      <c r="M139" s="75" t="str">
        <f t="shared" si="46"/>
        <v>327, 326, 325, 318, 317, 316, 311, 303, 305, 302, 302, 305, 307, 306, M5, M6</v>
      </c>
      <c r="N139" s="75" t="str">
        <f t="shared" si="47"/>
        <v>27, 04, 03</v>
      </c>
      <c r="R139" s="70" t="s">
        <v>238</v>
      </c>
      <c r="S139" s="70" t="s">
        <v>53</v>
      </c>
      <c r="T139" s="70" t="s">
        <v>531</v>
      </c>
      <c r="U139" s="70"/>
      <c r="V139" s="70"/>
      <c r="X139" s="70" t="str">
        <f t="shared" si="42"/>
        <v>RM3W-E DT@E</v>
      </c>
      <c r="Y139" s="70" t="str">
        <f t="shared" si="43"/>
        <v>E DT-LS3@E</v>
      </c>
      <c r="Z139" s="70" t="str">
        <f t="shared" si="44"/>
        <v/>
      </c>
      <c r="AA139" s="70" t="str">
        <f t="shared" si="45"/>
        <v/>
      </c>
      <c r="AC139" s="70" t="str">
        <f t="shared" si="54"/>
        <v>327, 326, 325, 318, 317, 316, 311, 303, 305, 302</v>
      </c>
      <c r="AD139" s="70" t="str">
        <f t="shared" si="55"/>
        <v>302, 305, 307, 306, M5, M6</v>
      </c>
      <c r="AE139" s="70" t="str">
        <f t="shared" si="56"/>
        <v/>
      </c>
      <c r="AF139" s="70" t="str">
        <f t="shared" si="57"/>
        <v/>
      </c>
      <c r="AH139" s="70" t="str">
        <f t="shared" si="58"/>
        <v>27, 04</v>
      </c>
      <c r="AI139" s="70" t="str">
        <f t="shared" si="59"/>
        <v>03</v>
      </c>
      <c r="AJ139" s="70" t="str">
        <f t="shared" si="60"/>
        <v/>
      </c>
      <c r="AK139" s="70" t="str">
        <f t="shared" si="61"/>
        <v/>
      </c>
      <c r="AM139" s="166" t="str">
        <f t="shared" si="62"/>
        <v>E DT-6W</v>
      </c>
      <c r="AN139" s="167" t="s">
        <v>583</v>
      </c>
      <c r="AO139" s="167" t="s">
        <v>256</v>
      </c>
      <c r="AP139" s="167" t="s">
        <v>521</v>
      </c>
    </row>
    <row r="140" spans="1:42" ht="20.100000000000001" customHeight="1" thickBot="1">
      <c r="A140" s="45" t="s">
        <v>584</v>
      </c>
      <c r="B140" s="45" t="s">
        <v>147</v>
      </c>
      <c r="C140" s="45" t="s">
        <v>585</v>
      </c>
      <c r="E140" s="45">
        <f t="shared" si="48"/>
        <v>8</v>
      </c>
      <c r="F140" s="45">
        <f t="shared" si="49"/>
        <v>4</v>
      </c>
      <c r="G140" s="45" t="str">
        <f t="shared" si="50"/>
        <v>LS3</v>
      </c>
      <c r="H140" s="45" t="str">
        <f t="shared" si="51"/>
        <v>HCTE</v>
      </c>
      <c r="J140" s="45" t="str">
        <f t="shared" si="52"/>
        <v>HCTE</v>
      </c>
      <c r="K140" s="45" t="s">
        <v>130</v>
      </c>
      <c r="L140" s="45" t="str">
        <f t="shared" si="53"/>
        <v>LS3-HCTE@E</v>
      </c>
      <c r="M140" s="75" t="str">
        <f t="shared" si="46"/>
        <v>302, 305, 307, 306, M5, M6, 329, 328, 325, 318, 317, 316, 311, 303, 305, 302</v>
      </c>
      <c r="N140" s="75" t="str">
        <f t="shared" si="47"/>
        <v>05, 03, 10, 16</v>
      </c>
      <c r="R140" s="70" t="s">
        <v>531</v>
      </c>
      <c r="S140" s="70" t="s">
        <v>53</v>
      </c>
      <c r="T140" s="70" t="s">
        <v>246</v>
      </c>
      <c r="U140" s="70"/>
      <c r="V140" s="70"/>
      <c r="X140" s="70" t="str">
        <f t="shared" si="42"/>
        <v>LS3-E DT@E</v>
      </c>
      <c r="Y140" s="70" t="str">
        <f t="shared" si="43"/>
        <v>E DT-HCTE@E</v>
      </c>
      <c r="Z140" s="70" t="str">
        <f t="shared" si="44"/>
        <v/>
      </c>
      <c r="AA140" s="70" t="str">
        <f t="shared" si="45"/>
        <v/>
      </c>
      <c r="AC140" s="70" t="str">
        <f t="shared" si="54"/>
        <v>302, 305, 307, 306, M5, M6</v>
      </c>
      <c r="AD140" s="70" t="str">
        <f t="shared" si="55"/>
        <v>329, 328, 325, 318, 317, 316, 311, 303, 305, 302</v>
      </c>
      <c r="AE140" s="70" t="str">
        <f t="shared" si="56"/>
        <v/>
      </c>
      <c r="AF140" s="70" t="str">
        <f t="shared" si="57"/>
        <v/>
      </c>
      <c r="AH140" s="70" t="str">
        <f t="shared" si="58"/>
        <v>05</v>
      </c>
      <c r="AI140" s="70" t="str">
        <f t="shared" si="59"/>
        <v>03, 10, 16</v>
      </c>
      <c r="AJ140" s="70" t="str">
        <f t="shared" si="60"/>
        <v/>
      </c>
      <c r="AK140" s="70" t="str">
        <f t="shared" si="61"/>
        <v/>
      </c>
      <c r="AM140" s="166" t="str">
        <f t="shared" si="62"/>
        <v>E DT-7E</v>
      </c>
      <c r="AN140" s="167" t="s">
        <v>586</v>
      </c>
      <c r="AO140" s="167" t="s">
        <v>263</v>
      </c>
      <c r="AP140" s="167" t="s">
        <v>521</v>
      </c>
    </row>
    <row r="141" spans="1:42" ht="20.100000000000001" customHeight="1" thickBot="1">
      <c r="A141" s="45" t="s">
        <v>587</v>
      </c>
      <c r="B141" s="45" t="s">
        <v>250</v>
      </c>
      <c r="C141" s="45" t="s">
        <v>588</v>
      </c>
      <c r="E141" s="45">
        <f t="shared" si="48"/>
        <v>8</v>
      </c>
      <c r="F141" s="45">
        <f t="shared" si="49"/>
        <v>5</v>
      </c>
      <c r="G141" s="45" t="str">
        <f t="shared" si="50"/>
        <v>HCTE</v>
      </c>
      <c r="H141" s="45" t="str">
        <f t="shared" si="51"/>
        <v>LS3</v>
      </c>
      <c r="J141" s="45" t="str">
        <f t="shared" si="52"/>
        <v>LS3</v>
      </c>
      <c r="K141" s="45" t="s">
        <v>130</v>
      </c>
      <c r="L141" s="45" t="str">
        <f t="shared" si="53"/>
        <v>HCTE-LS3@E</v>
      </c>
      <c r="M141" s="75" t="str">
        <f t="shared" si="46"/>
        <v>329, 328, 325, 318, 317, 316, 311, 303, 305, 302, 302, 305, 307, 306, M5, M6</v>
      </c>
      <c r="N141" s="75" t="str">
        <f t="shared" si="47"/>
        <v>28, 04, 03</v>
      </c>
      <c r="R141" s="70" t="s">
        <v>246</v>
      </c>
      <c r="S141" s="70" t="s">
        <v>53</v>
      </c>
      <c r="T141" s="70" t="s">
        <v>531</v>
      </c>
      <c r="U141" s="70"/>
      <c r="V141" s="70"/>
      <c r="X141" s="70" t="str">
        <f t="shared" si="42"/>
        <v>HCTE-E DT@E</v>
      </c>
      <c r="Y141" s="70" t="str">
        <f t="shared" si="43"/>
        <v>E DT-LS3@E</v>
      </c>
      <c r="Z141" s="70" t="str">
        <f t="shared" si="44"/>
        <v/>
      </c>
      <c r="AA141" s="70" t="str">
        <f t="shared" si="45"/>
        <v/>
      </c>
      <c r="AC141" s="70" t="str">
        <f t="shared" si="54"/>
        <v>329, 328, 325, 318, 317, 316, 311, 303, 305, 302</v>
      </c>
      <c r="AD141" s="70" t="str">
        <f t="shared" si="55"/>
        <v>302, 305, 307, 306, M5, M6</v>
      </c>
      <c r="AE141" s="70" t="str">
        <f t="shared" si="56"/>
        <v/>
      </c>
      <c r="AF141" s="70" t="str">
        <f t="shared" si="57"/>
        <v/>
      </c>
      <c r="AH141" s="70" t="str">
        <f t="shared" si="58"/>
        <v>28, 04</v>
      </c>
      <c r="AI141" s="70" t="str">
        <f t="shared" si="59"/>
        <v>03</v>
      </c>
      <c r="AJ141" s="70" t="str">
        <f t="shared" si="60"/>
        <v/>
      </c>
      <c r="AK141" s="70" t="str">
        <f t="shared" si="61"/>
        <v/>
      </c>
      <c r="AM141" s="166" t="str">
        <f t="shared" si="62"/>
        <v>E DT-7W</v>
      </c>
      <c r="AN141" s="167" t="s">
        <v>589</v>
      </c>
      <c r="AO141" s="167" t="s">
        <v>263</v>
      </c>
      <c r="AP141" s="167" t="s">
        <v>521</v>
      </c>
    </row>
    <row r="142" spans="1:42" ht="20.100000000000001" customHeight="1" thickBot="1">
      <c r="A142" s="45" t="s">
        <v>590</v>
      </c>
      <c r="B142" s="45" t="s">
        <v>147</v>
      </c>
      <c r="C142" s="45" t="s">
        <v>585</v>
      </c>
      <c r="E142" s="45">
        <f t="shared" si="48"/>
        <v>8</v>
      </c>
      <c r="F142" s="45">
        <f t="shared" si="49"/>
        <v>4</v>
      </c>
      <c r="G142" s="45" t="str">
        <f t="shared" si="50"/>
        <v>LS3</v>
      </c>
      <c r="H142" s="45" t="str">
        <f t="shared" si="51"/>
        <v>HCTW</v>
      </c>
      <c r="J142" s="45" t="str">
        <f t="shared" si="52"/>
        <v>HCTW</v>
      </c>
      <c r="K142" s="45" t="s">
        <v>130</v>
      </c>
      <c r="L142" s="45" t="str">
        <f t="shared" si="53"/>
        <v>LS3-HCTW@E</v>
      </c>
      <c r="M142" s="75" t="str">
        <f t="shared" si="46"/>
        <v>302, 305, 307, 306, M5, M6, 329, 328, 325, 318, 317, 316, 311, 303, 305, 302</v>
      </c>
      <c r="N142" s="75" t="str">
        <f t="shared" si="47"/>
        <v>05, 03, 10, 16</v>
      </c>
      <c r="R142" s="70" t="s">
        <v>531</v>
      </c>
      <c r="S142" s="70" t="s">
        <v>53</v>
      </c>
      <c r="T142" s="70" t="s">
        <v>254</v>
      </c>
      <c r="U142" s="70"/>
      <c r="V142" s="70"/>
      <c r="X142" s="70" t="str">
        <f t="shared" si="42"/>
        <v>LS3-E DT@E</v>
      </c>
      <c r="Y142" s="70" t="str">
        <f t="shared" si="43"/>
        <v>E DT-HCTW@E</v>
      </c>
      <c r="Z142" s="70" t="str">
        <f t="shared" si="44"/>
        <v/>
      </c>
      <c r="AA142" s="70" t="str">
        <f t="shared" si="45"/>
        <v/>
      </c>
      <c r="AC142" s="70" t="str">
        <f t="shared" si="54"/>
        <v>302, 305, 307, 306, M5, M6</v>
      </c>
      <c r="AD142" s="70" t="str">
        <f t="shared" si="55"/>
        <v>329, 328, 325, 318, 317, 316, 311, 303, 305, 302</v>
      </c>
      <c r="AE142" s="70" t="str">
        <f t="shared" si="56"/>
        <v/>
      </c>
      <c r="AF142" s="70" t="str">
        <f t="shared" si="57"/>
        <v/>
      </c>
      <c r="AH142" s="70" t="str">
        <f t="shared" si="58"/>
        <v>05</v>
      </c>
      <c r="AI142" s="70" t="str">
        <f t="shared" si="59"/>
        <v>03, 10, 16</v>
      </c>
      <c r="AJ142" s="70" t="str">
        <f t="shared" si="60"/>
        <v/>
      </c>
      <c r="AK142" s="70" t="str">
        <f t="shared" si="61"/>
        <v/>
      </c>
      <c r="AM142" s="166" t="str">
        <f t="shared" si="62"/>
        <v>E DT-8E</v>
      </c>
      <c r="AN142" s="167" t="s">
        <v>591</v>
      </c>
      <c r="AO142" s="167" t="s">
        <v>263</v>
      </c>
      <c r="AP142" s="167" t="s">
        <v>521</v>
      </c>
    </row>
    <row r="143" spans="1:42" ht="20.100000000000001" customHeight="1" thickBot="1">
      <c r="A143" s="45" t="s">
        <v>592</v>
      </c>
      <c r="B143" s="45" t="s">
        <v>250</v>
      </c>
      <c r="C143" s="45" t="s">
        <v>588</v>
      </c>
      <c r="E143" s="45">
        <f t="shared" si="48"/>
        <v>8</v>
      </c>
      <c r="F143" s="45">
        <f t="shared" si="49"/>
        <v>5</v>
      </c>
      <c r="G143" s="45" t="str">
        <f t="shared" si="50"/>
        <v>HCTW</v>
      </c>
      <c r="H143" s="45" t="str">
        <f t="shared" si="51"/>
        <v>LS3</v>
      </c>
      <c r="J143" s="45" t="str">
        <f t="shared" si="52"/>
        <v>LS3</v>
      </c>
      <c r="K143" s="45" t="s">
        <v>130</v>
      </c>
      <c r="L143" s="45" t="str">
        <f t="shared" si="53"/>
        <v>HCTW-LS3@E</v>
      </c>
      <c r="M143" s="75" t="str">
        <f t="shared" si="46"/>
        <v>329, 328, 325, 318, 317, 316, 311, 303, 305, 302, 302, 305, 307, 306, M5, M6</v>
      </c>
      <c r="N143" s="75" t="str">
        <f t="shared" si="47"/>
        <v>28, 04, 03</v>
      </c>
      <c r="R143" s="70" t="s">
        <v>254</v>
      </c>
      <c r="S143" s="70" t="s">
        <v>53</v>
      </c>
      <c r="T143" s="70" t="s">
        <v>531</v>
      </c>
      <c r="U143" s="70"/>
      <c r="V143" s="70"/>
      <c r="X143" s="70" t="str">
        <f t="shared" si="42"/>
        <v>HCTW-E DT@E</v>
      </c>
      <c r="Y143" s="70" t="str">
        <f t="shared" si="43"/>
        <v>E DT-LS3@E</v>
      </c>
      <c r="Z143" s="70" t="str">
        <f t="shared" si="44"/>
        <v/>
      </c>
      <c r="AA143" s="70" t="str">
        <f t="shared" si="45"/>
        <v/>
      </c>
      <c r="AC143" s="70" t="str">
        <f t="shared" si="54"/>
        <v>329, 328, 325, 318, 317, 316, 311, 303, 305, 302</v>
      </c>
      <c r="AD143" s="70" t="str">
        <f t="shared" si="55"/>
        <v>302, 305, 307, 306, M5, M6</v>
      </c>
      <c r="AE143" s="70" t="str">
        <f t="shared" si="56"/>
        <v/>
      </c>
      <c r="AF143" s="70" t="str">
        <f t="shared" si="57"/>
        <v/>
      </c>
      <c r="AH143" s="70" t="str">
        <f t="shared" si="58"/>
        <v>28, 04</v>
      </c>
      <c r="AI143" s="70" t="str">
        <f t="shared" si="59"/>
        <v>03</v>
      </c>
      <c r="AJ143" s="70" t="str">
        <f t="shared" si="60"/>
        <v/>
      </c>
      <c r="AK143" s="70" t="str">
        <f t="shared" si="61"/>
        <v/>
      </c>
      <c r="AM143" s="166" t="str">
        <f t="shared" si="62"/>
        <v>E DT-8W</v>
      </c>
      <c r="AN143" s="167" t="s">
        <v>593</v>
      </c>
      <c r="AO143" s="167" t="s">
        <v>263</v>
      </c>
      <c r="AP143" s="167" t="s">
        <v>521</v>
      </c>
    </row>
    <row r="144" spans="1:42" ht="20.100000000000001" customHeight="1" thickBot="1">
      <c r="A144" s="45" t="s">
        <v>594</v>
      </c>
      <c r="B144" s="45" t="s">
        <v>147</v>
      </c>
      <c r="C144" s="45" t="s">
        <v>585</v>
      </c>
      <c r="E144" s="45">
        <f t="shared" si="48"/>
        <v>6</v>
      </c>
      <c r="F144" s="45">
        <f t="shared" si="49"/>
        <v>4</v>
      </c>
      <c r="G144" s="45" t="str">
        <f t="shared" si="50"/>
        <v>LS3</v>
      </c>
      <c r="H144" s="45" t="str">
        <f t="shared" si="51"/>
        <v>1E</v>
      </c>
      <c r="J144" s="45" t="str">
        <f t="shared" si="52"/>
        <v>1E</v>
      </c>
      <c r="K144" s="45" t="s">
        <v>130</v>
      </c>
      <c r="L144" s="45" t="str">
        <f t="shared" si="53"/>
        <v>LS3-1E@E</v>
      </c>
      <c r="M144" s="75" t="str">
        <f t="shared" si="46"/>
        <v>302, 305, 307, 306, M5, M6, 329, 328, 325, 318, 317, 316, 311, 303, 305, 302</v>
      </c>
      <c r="N144" s="75" t="str">
        <f t="shared" si="47"/>
        <v>05, 03, 10, 16</v>
      </c>
      <c r="R144" s="70" t="s">
        <v>531</v>
      </c>
      <c r="S144" s="70" t="s">
        <v>53</v>
      </c>
      <c r="T144" s="70" t="s">
        <v>261</v>
      </c>
      <c r="U144" s="70"/>
      <c r="V144" s="70"/>
      <c r="X144" s="70" t="str">
        <f t="shared" si="42"/>
        <v>LS3-E DT@E</v>
      </c>
      <c r="Y144" s="70" t="str">
        <f t="shared" si="43"/>
        <v>E DT-1E@E</v>
      </c>
      <c r="Z144" s="70" t="str">
        <f t="shared" si="44"/>
        <v/>
      </c>
      <c r="AA144" s="70" t="str">
        <f t="shared" si="45"/>
        <v/>
      </c>
      <c r="AC144" s="70" t="str">
        <f t="shared" si="54"/>
        <v>302, 305, 307, 306, M5, M6</v>
      </c>
      <c r="AD144" s="70" t="str">
        <f t="shared" si="55"/>
        <v>329, 328, 325, 318, 317, 316, 311, 303, 305, 302</v>
      </c>
      <c r="AE144" s="70" t="str">
        <f t="shared" si="56"/>
        <v/>
      </c>
      <c r="AF144" s="70" t="str">
        <f t="shared" si="57"/>
        <v/>
      </c>
      <c r="AH144" s="70" t="str">
        <f t="shared" si="58"/>
        <v>05</v>
      </c>
      <c r="AI144" s="70" t="str">
        <f t="shared" si="59"/>
        <v>03, 10, 16</v>
      </c>
      <c r="AJ144" s="70" t="str">
        <f t="shared" si="60"/>
        <v/>
      </c>
      <c r="AK144" s="70" t="str">
        <f t="shared" si="61"/>
        <v/>
      </c>
      <c r="AM144" s="166" t="str">
        <f t="shared" si="62"/>
        <v>E DT-LS2</v>
      </c>
      <c r="AN144" s="167" t="s">
        <v>595</v>
      </c>
      <c r="AO144" s="167" t="s">
        <v>278</v>
      </c>
      <c r="AP144" s="168" t="s">
        <v>524</v>
      </c>
    </row>
    <row r="145" spans="1:42" ht="20.100000000000001" customHeight="1" thickBot="1">
      <c r="A145" s="45" t="s">
        <v>596</v>
      </c>
      <c r="B145" s="45" t="s">
        <v>266</v>
      </c>
      <c r="C145" s="45" t="s">
        <v>588</v>
      </c>
      <c r="E145" s="45">
        <f t="shared" si="48"/>
        <v>6</v>
      </c>
      <c r="F145" s="45">
        <f t="shared" si="49"/>
        <v>3</v>
      </c>
      <c r="G145" s="45" t="str">
        <f t="shared" si="50"/>
        <v>1E</v>
      </c>
      <c r="H145" s="45" t="str">
        <f t="shared" si="51"/>
        <v>LS3</v>
      </c>
      <c r="J145" s="45" t="str">
        <f t="shared" si="52"/>
        <v>LS3</v>
      </c>
      <c r="K145" s="45" t="s">
        <v>130</v>
      </c>
      <c r="L145" s="45" t="str">
        <f t="shared" si="53"/>
        <v>1E-LS3@E</v>
      </c>
      <c r="M145" s="75" t="str">
        <f t="shared" si="46"/>
        <v>329, 328, 325, 318, 317, 316, 311, 303, 305, 302, 302, 305, 307, 306, M5, M6</v>
      </c>
      <c r="N145" s="75" t="str">
        <f t="shared" si="47"/>
        <v>29, 04, 03</v>
      </c>
      <c r="R145" s="70" t="s">
        <v>261</v>
      </c>
      <c r="S145" s="70" t="s">
        <v>53</v>
      </c>
      <c r="T145" s="70" t="s">
        <v>531</v>
      </c>
      <c r="U145" s="70"/>
      <c r="V145" s="70"/>
      <c r="X145" s="70" t="str">
        <f t="shared" si="42"/>
        <v>1E-E DT@E</v>
      </c>
      <c r="Y145" s="70" t="str">
        <f t="shared" si="43"/>
        <v>E DT-LS3@E</v>
      </c>
      <c r="Z145" s="70" t="str">
        <f t="shared" si="44"/>
        <v/>
      </c>
      <c r="AA145" s="70" t="str">
        <f t="shared" si="45"/>
        <v/>
      </c>
      <c r="AC145" s="70" t="str">
        <f t="shared" si="54"/>
        <v>329, 328, 325, 318, 317, 316, 311, 303, 305, 302</v>
      </c>
      <c r="AD145" s="70" t="str">
        <f t="shared" si="55"/>
        <v>302, 305, 307, 306, M5, M6</v>
      </c>
      <c r="AE145" s="70" t="str">
        <f t="shared" si="56"/>
        <v/>
      </c>
      <c r="AF145" s="70" t="str">
        <f t="shared" si="57"/>
        <v/>
      </c>
      <c r="AH145" s="70" t="str">
        <f t="shared" si="58"/>
        <v>29, 04</v>
      </c>
      <c r="AI145" s="70" t="str">
        <f t="shared" si="59"/>
        <v>03</v>
      </c>
      <c r="AJ145" s="70" t="str">
        <f t="shared" si="60"/>
        <v/>
      </c>
      <c r="AK145" s="70" t="str">
        <f t="shared" si="61"/>
        <v/>
      </c>
      <c r="AM145" s="166" t="str">
        <f t="shared" si="62"/>
        <v>E DT-LS3</v>
      </c>
      <c r="AN145" s="167" t="s">
        <v>597</v>
      </c>
      <c r="AO145" s="167" t="s">
        <v>283</v>
      </c>
      <c r="AP145" s="167" t="s">
        <v>524</v>
      </c>
    </row>
    <row r="146" spans="1:42" ht="20.100000000000001" customHeight="1" thickBot="1">
      <c r="A146" s="45" t="s">
        <v>598</v>
      </c>
      <c r="B146" s="45" t="s">
        <v>147</v>
      </c>
      <c r="C146" s="45" t="s">
        <v>585</v>
      </c>
      <c r="E146" s="45">
        <f t="shared" si="48"/>
        <v>6</v>
      </c>
      <c r="F146" s="45">
        <f t="shared" si="49"/>
        <v>4</v>
      </c>
      <c r="G146" s="45" t="str">
        <f t="shared" si="50"/>
        <v>LS3</v>
      </c>
      <c r="H146" s="45" t="str">
        <f t="shared" si="51"/>
        <v>1W</v>
      </c>
      <c r="J146" s="45" t="str">
        <f t="shared" si="52"/>
        <v>1W</v>
      </c>
      <c r="K146" s="45" t="s">
        <v>130</v>
      </c>
      <c r="L146" s="45" t="str">
        <f t="shared" si="53"/>
        <v>LS3-1W@E</v>
      </c>
      <c r="M146" s="75" t="str">
        <f t="shared" si="46"/>
        <v>302, 305, 307, 306, M5, M6, 329, 328, 325, 318, 317, 316, 311, 303, 305, 302</v>
      </c>
      <c r="N146" s="75" t="str">
        <f t="shared" si="47"/>
        <v>05, 03, 10, 16</v>
      </c>
      <c r="R146" s="70" t="s">
        <v>531</v>
      </c>
      <c r="S146" s="70" t="s">
        <v>53</v>
      </c>
      <c r="T146" s="70" t="s">
        <v>269</v>
      </c>
      <c r="U146" s="70"/>
      <c r="V146" s="70"/>
      <c r="X146" s="70" t="str">
        <f t="shared" si="42"/>
        <v>LS3-E DT@E</v>
      </c>
      <c r="Y146" s="70" t="str">
        <f t="shared" si="43"/>
        <v>E DT-1W@E</v>
      </c>
      <c r="Z146" s="70" t="str">
        <f t="shared" si="44"/>
        <v/>
      </c>
      <c r="AA146" s="70" t="str">
        <f t="shared" si="45"/>
        <v/>
      </c>
      <c r="AC146" s="70" t="str">
        <f t="shared" si="54"/>
        <v>302, 305, 307, 306, M5, M6</v>
      </c>
      <c r="AD146" s="70" t="str">
        <f t="shared" si="55"/>
        <v>329, 328, 325, 318, 317, 316, 311, 303, 305, 302</v>
      </c>
      <c r="AE146" s="70" t="str">
        <f t="shared" si="56"/>
        <v/>
      </c>
      <c r="AF146" s="70" t="str">
        <f t="shared" si="57"/>
        <v/>
      </c>
      <c r="AH146" s="70" t="str">
        <f t="shared" si="58"/>
        <v>05</v>
      </c>
      <c r="AI146" s="70" t="str">
        <f t="shared" si="59"/>
        <v>03, 10, 16</v>
      </c>
      <c r="AJ146" s="70" t="str">
        <f t="shared" si="60"/>
        <v/>
      </c>
      <c r="AK146" s="70" t="str">
        <f t="shared" si="61"/>
        <v/>
      </c>
      <c r="AM146" s="166" t="str">
        <f t="shared" si="62"/>
        <v>E DT-LB</v>
      </c>
      <c r="AN146" s="167" t="s">
        <v>599</v>
      </c>
      <c r="AO146" s="167" t="s">
        <v>287</v>
      </c>
      <c r="AP146" s="167" t="s">
        <v>524</v>
      </c>
    </row>
    <row r="147" spans="1:42" ht="20.100000000000001" customHeight="1" thickBot="1">
      <c r="A147" s="45" t="s">
        <v>600</v>
      </c>
      <c r="B147" s="45" t="s">
        <v>266</v>
      </c>
      <c r="C147" s="45" t="s">
        <v>588</v>
      </c>
      <c r="E147" s="45">
        <f t="shared" si="48"/>
        <v>6</v>
      </c>
      <c r="F147" s="45">
        <f t="shared" si="49"/>
        <v>3</v>
      </c>
      <c r="G147" s="45" t="str">
        <f t="shared" si="50"/>
        <v>1W</v>
      </c>
      <c r="H147" s="45" t="str">
        <f t="shared" si="51"/>
        <v>LS3</v>
      </c>
      <c r="J147" s="45" t="str">
        <f t="shared" si="52"/>
        <v>LS3</v>
      </c>
      <c r="K147" s="45" t="s">
        <v>130</v>
      </c>
      <c r="L147" s="45" t="str">
        <f t="shared" si="53"/>
        <v>1W-LS3@E</v>
      </c>
      <c r="M147" s="75" t="str">
        <f t="shared" si="46"/>
        <v>329, 328, 325, 318, 317, 316, 311, 303, 305, 302, 302, 305, 307, 306, M5, M6</v>
      </c>
      <c r="N147" s="75" t="str">
        <f t="shared" si="47"/>
        <v>29, 04, 03</v>
      </c>
      <c r="R147" s="70" t="s">
        <v>269</v>
      </c>
      <c r="S147" s="70" t="s">
        <v>53</v>
      </c>
      <c r="T147" s="70" t="s">
        <v>531</v>
      </c>
      <c r="U147" s="70"/>
      <c r="V147" s="70"/>
      <c r="X147" s="70" t="str">
        <f t="shared" ref="X147:X210" si="63">IF(S147="","",CONCATENATE(R147,"-",S147,"@",$K147))</f>
        <v>1W-E DT@E</v>
      </c>
      <c r="Y147" s="70" t="str">
        <f t="shared" ref="Y147:Y210" si="64">IF(T147="","",CONCATENATE(S147,"-",T147,"@",$K147))</f>
        <v>E DT-LS3@E</v>
      </c>
      <c r="Z147" s="70" t="str">
        <f t="shared" ref="Z147:Z210" si="65">IF(U147="","",CONCATENATE(T147,"-",U147,"@",$K147))</f>
        <v/>
      </c>
      <c r="AA147" s="70" t="str">
        <f t="shared" ref="AA147:AA210" si="66">IF(V147="","",CONCATENATE(U147,"-",V147,"@",$K147))</f>
        <v/>
      </c>
      <c r="AC147" s="70" t="str">
        <f t="shared" si="54"/>
        <v>329, 328, 325, 318, 317, 316, 311, 303, 305, 302</v>
      </c>
      <c r="AD147" s="70" t="str">
        <f t="shared" si="55"/>
        <v>302, 305, 307, 306, M5, M6</v>
      </c>
      <c r="AE147" s="70" t="str">
        <f t="shared" si="56"/>
        <v/>
      </c>
      <c r="AF147" s="70" t="str">
        <f t="shared" si="57"/>
        <v/>
      </c>
      <c r="AH147" s="70" t="str">
        <f t="shared" si="58"/>
        <v>29, 04</v>
      </c>
      <c r="AI147" s="70" t="str">
        <f t="shared" si="59"/>
        <v>03</v>
      </c>
      <c r="AJ147" s="70" t="str">
        <f t="shared" si="60"/>
        <v/>
      </c>
      <c r="AK147" s="70" t="str">
        <f t="shared" si="61"/>
        <v/>
      </c>
      <c r="AM147" s="166" t="str">
        <f t="shared" si="62"/>
        <v>E DT-M1</v>
      </c>
      <c r="AN147" s="167" t="s">
        <v>601</v>
      </c>
      <c r="AO147" s="167" t="s">
        <v>290</v>
      </c>
      <c r="AP147" s="167" t="s">
        <v>524</v>
      </c>
    </row>
    <row r="148" spans="1:42" ht="20.100000000000001" customHeight="1" thickBot="1">
      <c r="A148" s="45" t="s">
        <v>602</v>
      </c>
      <c r="B148" s="45" t="s">
        <v>147</v>
      </c>
      <c r="C148" s="45" t="s">
        <v>603</v>
      </c>
      <c r="E148" s="45">
        <f t="shared" si="48"/>
        <v>6</v>
      </c>
      <c r="F148" s="45">
        <f t="shared" si="49"/>
        <v>4</v>
      </c>
      <c r="G148" s="45" t="str">
        <f t="shared" si="50"/>
        <v>LS3</v>
      </c>
      <c r="H148" s="45" t="str">
        <f t="shared" si="51"/>
        <v>2E</v>
      </c>
      <c r="J148" s="45" t="str">
        <f t="shared" si="52"/>
        <v>2E</v>
      </c>
      <c r="K148" s="45" t="s">
        <v>130</v>
      </c>
      <c r="L148" s="45" t="str">
        <f t="shared" si="53"/>
        <v>LS3-2E@E</v>
      </c>
      <c r="M148" s="75" t="str">
        <f t="shared" si="46"/>
        <v>302, 305, 307, 306, M5, M6, 330, 328, 325, 318, 317, 316, 311, 303, 305, 302</v>
      </c>
      <c r="N148" s="75" t="str">
        <f t="shared" si="47"/>
        <v>05, 03, 10, 16</v>
      </c>
      <c r="R148" s="70" t="s">
        <v>531</v>
      </c>
      <c r="S148" s="70" t="s">
        <v>53</v>
      </c>
      <c r="T148" s="70" t="s">
        <v>276</v>
      </c>
      <c r="U148" s="70"/>
      <c r="V148" s="70"/>
      <c r="X148" s="70" t="str">
        <f t="shared" si="63"/>
        <v>LS3-E DT@E</v>
      </c>
      <c r="Y148" s="70" t="str">
        <f t="shared" si="64"/>
        <v>E DT-2E@E</v>
      </c>
      <c r="Z148" s="70" t="str">
        <f t="shared" si="65"/>
        <v/>
      </c>
      <c r="AA148" s="70" t="str">
        <f t="shared" si="66"/>
        <v/>
      </c>
      <c r="AC148" s="70" t="str">
        <f t="shared" si="54"/>
        <v>302, 305, 307, 306, M5, M6</v>
      </c>
      <c r="AD148" s="70" t="str">
        <f t="shared" si="55"/>
        <v>330, 328, 325, 318, 317, 316, 311, 303, 305, 302</v>
      </c>
      <c r="AE148" s="70" t="str">
        <f t="shared" si="56"/>
        <v/>
      </c>
      <c r="AF148" s="70" t="str">
        <f t="shared" si="57"/>
        <v/>
      </c>
      <c r="AH148" s="70" t="str">
        <f t="shared" si="58"/>
        <v>05</v>
      </c>
      <c r="AI148" s="70" t="str">
        <f t="shared" si="59"/>
        <v>03, 10, 16</v>
      </c>
      <c r="AJ148" s="70" t="str">
        <f t="shared" si="60"/>
        <v/>
      </c>
      <c r="AK148" s="70" t="str">
        <f t="shared" si="61"/>
        <v/>
      </c>
      <c r="AM148" s="166" t="str">
        <f t="shared" si="62"/>
        <v>E DT-M2</v>
      </c>
      <c r="AN148" s="167" t="s">
        <v>604</v>
      </c>
      <c r="AO148" s="167" t="s">
        <v>295</v>
      </c>
      <c r="AP148" s="167" t="s">
        <v>524</v>
      </c>
    </row>
    <row r="149" spans="1:42" ht="20.100000000000001" customHeight="1" thickBot="1">
      <c r="A149" s="45" t="s">
        <v>605</v>
      </c>
      <c r="B149" s="45" t="s">
        <v>280</v>
      </c>
      <c r="C149" s="45" t="s">
        <v>606</v>
      </c>
      <c r="E149" s="45">
        <f t="shared" si="48"/>
        <v>6</v>
      </c>
      <c r="F149" s="45">
        <f t="shared" si="49"/>
        <v>3</v>
      </c>
      <c r="G149" s="45" t="str">
        <f t="shared" si="50"/>
        <v>2E</v>
      </c>
      <c r="H149" s="45" t="str">
        <f t="shared" si="51"/>
        <v>LS3</v>
      </c>
      <c r="J149" s="45" t="str">
        <f t="shared" si="52"/>
        <v>LS3</v>
      </c>
      <c r="K149" s="45" t="s">
        <v>130</v>
      </c>
      <c r="L149" s="45" t="str">
        <f t="shared" si="53"/>
        <v>2E-LS3@E</v>
      </c>
      <c r="M149" s="75" t="str">
        <f t="shared" si="46"/>
        <v>330, 328, 325, 318, 317, 316, 311, 303, 305, 302, 302, 305, 307, 306, M5, M6</v>
      </c>
      <c r="N149" s="75" t="str">
        <f t="shared" si="47"/>
        <v>30, 04, 03</v>
      </c>
      <c r="R149" s="70" t="s">
        <v>276</v>
      </c>
      <c r="S149" s="70" t="s">
        <v>53</v>
      </c>
      <c r="T149" s="70" t="s">
        <v>531</v>
      </c>
      <c r="U149" s="70"/>
      <c r="V149" s="70"/>
      <c r="X149" s="70" t="str">
        <f t="shared" si="63"/>
        <v>2E-E DT@E</v>
      </c>
      <c r="Y149" s="70" t="str">
        <f t="shared" si="64"/>
        <v>E DT-LS3@E</v>
      </c>
      <c r="Z149" s="70" t="str">
        <f t="shared" si="65"/>
        <v/>
      </c>
      <c r="AA149" s="70" t="str">
        <f t="shared" si="66"/>
        <v/>
      </c>
      <c r="AC149" s="70" t="str">
        <f t="shared" si="54"/>
        <v>330, 328, 325, 318, 317, 316, 311, 303, 305, 302</v>
      </c>
      <c r="AD149" s="70" t="str">
        <f t="shared" si="55"/>
        <v>302, 305, 307, 306, M5, M6</v>
      </c>
      <c r="AE149" s="70" t="str">
        <f t="shared" si="56"/>
        <v/>
      </c>
      <c r="AF149" s="70" t="str">
        <f t="shared" si="57"/>
        <v/>
      </c>
      <c r="AH149" s="70" t="str">
        <f t="shared" si="58"/>
        <v>30, 04</v>
      </c>
      <c r="AI149" s="70" t="str">
        <f t="shared" si="59"/>
        <v>03</v>
      </c>
      <c r="AJ149" s="70" t="str">
        <f t="shared" si="60"/>
        <v/>
      </c>
      <c r="AK149" s="70" t="str">
        <f t="shared" si="61"/>
        <v/>
      </c>
      <c r="AM149" s="166" t="str">
        <f t="shared" si="62"/>
        <v>E DT-M3</v>
      </c>
      <c r="AN149" s="167" t="s">
        <v>607</v>
      </c>
      <c r="AO149" s="167" t="s">
        <v>299</v>
      </c>
      <c r="AP149" s="167" t="s">
        <v>524</v>
      </c>
    </row>
    <row r="150" spans="1:42" ht="20.100000000000001" customHeight="1" thickBot="1">
      <c r="A150" s="45" t="s">
        <v>608</v>
      </c>
      <c r="B150" s="45" t="s">
        <v>147</v>
      </c>
      <c r="C150" s="45" t="s">
        <v>603</v>
      </c>
      <c r="E150" s="45">
        <f t="shared" si="48"/>
        <v>6</v>
      </c>
      <c r="F150" s="45">
        <f t="shared" si="49"/>
        <v>4</v>
      </c>
      <c r="G150" s="45" t="str">
        <f t="shared" si="50"/>
        <v>LS3</v>
      </c>
      <c r="H150" s="45" t="str">
        <f t="shared" si="51"/>
        <v>2W</v>
      </c>
      <c r="J150" s="45" t="str">
        <f t="shared" si="52"/>
        <v>2W</v>
      </c>
      <c r="K150" s="45" t="s">
        <v>130</v>
      </c>
      <c r="L150" s="45" t="str">
        <f t="shared" si="53"/>
        <v>LS3-2W@E</v>
      </c>
      <c r="M150" s="75" t="str">
        <f t="shared" si="46"/>
        <v>302, 305, 307, 306, M5, M6, 330, 328, 325, 318, 317, 316, 311, 303, 305, 302</v>
      </c>
      <c r="N150" s="75" t="str">
        <f t="shared" si="47"/>
        <v>05, 03, 10, 16</v>
      </c>
      <c r="R150" s="70" t="s">
        <v>531</v>
      </c>
      <c r="S150" s="70" t="s">
        <v>53</v>
      </c>
      <c r="T150" s="70" t="s">
        <v>285</v>
      </c>
      <c r="U150" s="70"/>
      <c r="V150" s="70"/>
      <c r="X150" s="70" t="str">
        <f t="shared" si="63"/>
        <v>LS3-E DT@E</v>
      </c>
      <c r="Y150" s="70" t="str">
        <f t="shared" si="64"/>
        <v>E DT-2W@E</v>
      </c>
      <c r="Z150" s="70" t="str">
        <f t="shared" si="65"/>
        <v/>
      </c>
      <c r="AA150" s="70" t="str">
        <f t="shared" si="66"/>
        <v/>
      </c>
      <c r="AC150" s="70" t="str">
        <f t="shared" si="54"/>
        <v>302, 305, 307, 306, M5, M6</v>
      </c>
      <c r="AD150" s="70" t="str">
        <f t="shared" si="55"/>
        <v>330, 328, 325, 318, 317, 316, 311, 303, 305, 302</v>
      </c>
      <c r="AE150" s="70" t="str">
        <f t="shared" si="56"/>
        <v/>
      </c>
      <c r="AF150" s="70" t="str">
        <f t="shared" si="57"/>
        <v/>
      </c>
      <c r="AH150" s="70" t="str">
        <f t="shared" si="58"/>
        <v>05</v>
      </c>
      <c r="AI150" s="70" t="str">
        <f t="shared" si="59"/>
        <v>03, 10, 16</v>
      </c>
      <c r="AJ150" s="70" t="str">
        <f t="shared" si="60"/>
        <v/>
      </c>
      <c r="AK150" s="70" t="str">
        <f t="shared" si="61"/>
        <v/>
      </c>
      <c r="AM150" s="166" t="str">
        <f t="shared" si="62"/>
        <v>E DT-M4</v>
      </c>
      <c r="AN150" s="167" t="s">
        <v>609</v>
      </c>
      <c r="AO150" s="167" t="s">
        <v>303</v>
      </c>
      <c r="AP150" s="167" t="s">
        <v>524</v>
      </c>
    </row>
    <row r="151" spans="1:42" ht="20.100000000000001" customHeight="1" thickBot="1">
      <c r="A151" s="45" t="s">
        <v>610</v>
      </c>
      <c r="B151" s="45" t="s">
        <v>280</v>
      </c>
      <c r="C151" s="45" t="s">
        <v>606</v>
      </c>
      <c r="E151" s="45">
        <f t="shared" si="48"/>
        <v>6</v>
      </c>
      <c r="F151" s="45">
        <f t="shared" si="49"/>
        <v>3</v>
      </c>
      <c r="G151" s="45" t="str">
        <f t="shared" si="50"/>
        <v>2W</v>
      </c>
      <c r="H151" s="45" t="str">
        <f t="shared" si="51"/>
        <v>LS3</v>
      </c>
      <c r="J151" s="45" t="str">
        <f t="shared" si="52"/>
        <v>LS3</v>
      </c>
      <c r="K151" s="45" t="s">
        <v>130</v>
      </c>
      <c r="L151" s="45" t="str">
        <f t="shared" si="53"/>
        <v>2W-LS3@E</v>
      </c>
      <c r="M151" s="75" t="str">
        <f t="shared" si="46"/>
        <v>330, 328, 325, 318, 317, 316, 311, 303, 305, 302, 302, 305, 307, 306, M5, M6</v>
      </c>
      <c r="N151" s="75" t="str">
        <f t="shared" si="47"/>
        <v>30, 04, 03</v>
      </c>
      <c r="R151" s="70" t="s">
        <v>285</v>
      </c>
      <c r="S151" s="70" t="s">
        <v>53</v>
      </c>
      <c r="T151" s="70" t="s">
        <v>531</v>
      </c>
      <c r="U151" s="70"/>
      <c r="V151" s="70"/>
      <c r="X151" s="70" t="str">
        <f t="shared" si="63"/>
        <v>2W-E DT@E</v>
      </c>
      <c r="Y151" s="70" t="str">
        <f t="shared" si="64"/>
        <v>E DT-LS3@E</v>
      </c>
      <c r="Z151" s="70" t="str">
        <f t="shared" si="65"/>
        <v/>
      </c>
      <c r="AA151" s="70" t="str">
        <f t="shared" si="66"/>
        <v/>
      </c>
      <c r="AC151" s="70" t="str">
        <f t="shared" si="54"/>
        <v>330, 328, 325, 318, 317, 316, 311, 303, 305, 302</v>
      </c>
      <c r="AD151" s="70" t="str">
        <f t="shared" si="55"/>
        <v>302, 305, 307, 306, M5, M6</v>
      </c>
      <c r="AE151" s="70" t="str">
        <f t="shared" si="56"/>
        <v/>
      </c>
      <c r="AF151" s="70" t="str">
        <f t="shared" si="57"/>
        <v/>
      </c>
      <c r="AH151" s="70" t="str">
        <f t="shared" si="58"/>
        <v>30, 04</v>
      </c>
      <c r="AI151" s="70" t="str">
        <f t="shared" si="59"/>
        <v>03</v>
      </c>
      <c r="AJ151" s="70" t="str">
        <f t="shared" si="60"/>
        <v/>
      </c>
      <c r="AK151" s="70" t="str">
        <f t="shared" si="61"/>
        <v/>
      </c>
      <c r="AM151" s="166" t="str">
        <f t="shared" si="62"/>
        <v>TEST-W DT</v>
      </c>
      <c r="AN151" s="167" t="s">
        <v>611</v>
      </c>
      <c r="AO151" s="167" t="s">
        <v>612</v>
      </c>
      <c r="AP151" s="167" t="s">
        <v>613</v>
      </c>
    </row>
    <row r="152" spans="1:42" ht="20.100000000000001" customHeight="1" thickBot="1">
      <c r="A152" s="45" t="s">
        <v>614</v>
      </c>
      <c r="B152" s="45" t="s">
        <v>147</v>
      </c>
      <c r="C152" s="45" t="s">
        <v>603</v>
      </c>
      <c r="E152" s="45">
        <f t="shared" si="48"/>
        <v>6</v>
      </c>
      <c r="F152" s="45">
        <f t="shared" si="49"/>
        <v>4</v>
      </c>
      <c r="G152" s="45" t="str">
        <f t="shared" si="50"/>
        <v>LS3</v>
      </c>
      <c r="H152" s="45" t="str">
        <f t="shared" si="51"/>
        <v>3E</v>
      </c>
      <c r="J152" s="45" t="str">
        <f t="shared" si="52"/>
        <v>3E</v>
      </c>
      <c r="K152" s="45" t="s">
        <v>130</v>
      </c>
      <c r="L152" s="45" t="str">
        <f t="shared" si="53"/>
        <v>LS3-3E@E</v>
      </c>
      <c r="M152" s="75" t="str">
        <f t="shared" si="46"/>
        <v>302, 305, 307, 306, M5, M6, 330, 328, 325, 318, 317, 316, 311, 303, 305, 302</v>
      </c>
      <c r="N152" s="75" t="str">
        <f t="shared" si="47"/>
        <v>05, 03, 10, 16</v>
      </c>
      <c r="R152" s="70" t="s">
        <v>531</v>
      </c>
      <c r="S152" s="70" t="s">
        <v>53</v>
      </c>
      <c r="T152" s="70" t="s">
        <v>293</v>
      </c>
      <c r="U152" s="70"/>
      <c r="V152" s="70"/>
      <c r="X152" s="70" t="str">
        <f t="shared" si="63"/>
        <v>LS3-E DT@E</v>
      </c>
      <c r="Y152" s="70" t="str">
        <f t="shared" si="64"/>
        <v>E DT-3E@E</v>
      </c>
      <c r="Z152" s="70" t="str">
        <f t="shared" si="65"/>
        <v/>
      </c>
      <c r="AA152" s="70" t="str">
        <f t="shared" si="66"/>
        <v/>
      </c>
      <c r="AC152" s="70" t="str">
        <f t="shared" si="54"/>
        <v>302, 305, 307, 306, M5, M6</v>
      </c>
      <c r="AD152" s="70" t="str">
        <f t="shared" si="55"/>
        <v>330, 328, 325, 318, 317, 316, 311, 303, 305, 302</v>
      </c>
      <c r="AE152" s="70" t="str">
        <f t="shared" si="56"/>
        <v/>
      </c>
      <c r="AF152" s="70" t="str">
        <f t="shared" si="57"/>
        <v/>
      </c>
      <c r="AH152" s="70" t="str">
        <f t="shared" si="58"/>
        <v>05</v>
      </c>
      <c r="AI152" s="70" t="str">
        <f t="shared" si="59"/>
        <v>03, 10, 16</v>
      </c>
      <c r="AJ152" s="70" t="str">
        <f t="shared" si="60"/>
        <v/>
      </c>
      <c r="AK152" s="70" t="str">
        <f t="shared" si="61"/>
        <v/>
      </c>
      <c r="AM152" s="166" t="str">
        <f t="shared" si="62"/>
        <v>E DT-TEST</v>
      </c>
      <c r="AN152" s="167" t="s">
        <v>615</v>
      </c>
      <c r="AO152" s="167" t="s">
        <v>616</v>
      </c>
      <c r="AP152" s="167" t="s">
        <v>617</v>
      </c>
    </row>
    <row r="153" spans="1:42" ht="20.100000000000001" customHeight="1" thickBot="1">
      <c r="A153" s="45" t="s">
        <v>618</v>
      </c>
      <c r="B153" s="45" t="s">
        <v>297</v>
      </c>
      <c r="C153" s="45" t="s">
        <v>606</v>
      </c>
      <c r="E153" s="45">
        <f t="shared" si="48"/>
        <v>6</v>
      </c>
      <c r="F153" s="45">
        <f t="shared" si="49"/>
        <v>3</v>
      </c>
      <c r="G153" s="45" t="str">
        <f t="shared" si="50"/>
        <v>3E</v>
      </c>
      <c r="H153" s="45" t="str">
        <f t="shared" si="51"/>
        <v>LS3</v>
      </c>
      <c r="J153" s="45" t="str">
        <f t="shared" si="52"/>
        <v>LS3</v>
      </c>
      <c r="K153" s="45" t="s">
        <v>130</v>
      </c>
      <c r="L153" s="45" t="str">
        <f t="shared" si="53"/>
        <v>3E-LS3@E</v>
      </c>
      <c r="M153" s="75" t="str">
        <f t="shared" si="46"/>
        <v>330, 328, 325, 318, 317, 316, 311, 303, 305, 302, 302, 305, 307, 306, M5, M6</v>
      </c>
      <c r="N153" s="75" t="str">
        <f t="shared" si="47"/>
        <v>31, 04, 03</v>
      </c>
      <c r="R153" s="70" t="s">
        <v>293</v>
      </c>
      <c r="S153" s="70" t="s">
        <v>53</v>
      </c>
      <c r="T153" s="70" t="s">
        <v>531</v>
      </c>
      <c r="U153" s="70"/>
      <c r="V153" s="70"/>
      <c r="X153" s="70" t="str">
        <f t="shared" si="63"/>
        <v>3E-E DT@E</v>
      </c>
      <c r="Y153" s="70" t="str">
        <f t="shared" si="64"/>
        <v>E DT-LS3@E</v>
      </c>
      <c r="Z153" s="70" t="str">
        <f t="shared" si="65"/>
        <v/>
      </c>
      <c r="AA153" s="70" t="str">
        <f t="shared" si="66"/>
        <v/>
      </c>
      <c r="AC153" s="70" t="str">
        <f t="shared" si="54"/>
        <v>330, 328, 325, 318, 317, 316, 311, 303, 305, 302</v>
      </c>
      <c r="AD153" s="70" t="str">
        <f t="shared" si="55"/>
        <v>302, 305, 307, 306, M5, M6</v>
      </c>
      <c r="AE153" s="70" t="str">
        <f t="shared" si="56"/>
        <v/>
      </c>
      <c r="AF153" s="70" t="str">
        <f t="shared" si="57"/>
        <v/>
      </c>
      <c r="AH153" s="70" t="str">
        <f t="shared" si="58"/>
        <v>31, 04</v>
      </c>
      <c r="AI153" s="70" t="str">
        <f t="shared" si="59"/>
        <v>03</v>
      </c>
      <c r="AJ153" s="70" t="str">
        <f t="shared" si="60"/>
        <v/>
      </c>
      <c r="AK153" s="70" t="str">
        <f t="shared" si="61"/>
        <v/>
      </c>
      <c r="AM153" s="166" t="str">
        <f t="shared" si="62"/>
        <v>TEST-E DT</v>
      </c>
      <c r="AN153" s="167" t="s">
        <v>619</v>
      </c>
      <c r="AO153" s="167" t="s">
        <v>616</v>
      </c>
      <c r="AP153" s="167" t="s">
        <v>620</v>
      </c>
    </row>
    <row r="154" spans="1:42" ht="20.100000000000001" customHeight="1" thickBot="1">
      <c r="A154" s="45" t="s">
        <v>621</v>
      </c>
      <c r="B154" s="45" t="s">
        <v>147</v>
      </c>
      <c r="C154" s="45" t="s">
        <v>603</v>
      </c>
      <c r="E154" s="45">
        <f t="shared" si="48"/>
        <v>6</v>
      </c>
      <c r="F154" s="45">
        <f t="shared" si="49"/>
        <v>4</v>
      </c>
      <c r="G154" s="45" t="str">
        <f t="shared" si="50"/>
        <v>LS3</v>
      </c>
      <c r="H154" s="45" t="str">
        <f t="shared" si="51"/>
        <v>3W</v>
      </c>
      <c r="J154" s="45" t="str">
        <f t="shared" si="52"/>
        <v>3W</v>
      </c>
      <c r="K154" s="45" t="s">
        <v>130</v>
      </c>
      <c r="L154" s="45" t="str">
        <f t="shared" si="53"/>
        <v>LS3-3W@E</v>
      </c>
      <c r="M154" s="75" t="str">
        <f t="shared" si="46"/>
        <v>302, 305, 307, 306, M5, M6, 330, 328, 325, 318, 317, 316, 311, 303, 305, 302</v>
      </c>
      <c r="N154" s="75" t="str">
        <f t="shared" si="47"/>
        <v>05, 03, 10, 16</v>
      </c>
      <c r="R154" s="70" t="s">
        <v>531</v>
      </c>
      <c r="S154" s="70" t="s">
        <v>53</v>
      </c>
      <c r="T154" s="70" t="s">
        <v>301</v>
      </c>
      <c r="U154" s="70"/>
      <c r="V154" s="70"/>
      <c r="X154" s="70" t="str">
        <f t="shared" si="63"/>
        <v>LS3-E DT@E</v>
      </c>
      <c r="Y154" s="70" t="str">
        <f t="shared" si="64"/>
        <v>E DT-3W@E</v>
      </c>
      <c r="Z154" s="70" t="str">
        <f t="shared" si="65"/>
        <v/>
      </c>
      <c r="AA154" s="70" t="str">
        <f t="shared" si="66"/>
        <v/>
      </c>
      <c r="AC154" s="70" t="str">
        <f t="shared" si="54"/>
        <v>302, 305, 307, 306, M5, M6</v>
      </c>
      <c r="AD154" s="70" t="str">
        <f t="shared" si="55"/>
        <v>330, 328, 325, 318, 317, 316, 311, 303, 305, 302</v>
      </c>
      <c r="AE154" s="70" t="str">
        <f t="shared" si="56"/>
        <v/>
      </c>
      <c r="AF154" s="70" t="str">
        <f t="shared" si="57"/>
        <v/>
      </c>
      <c r="AH154" s="70" t="str">
        <f t="shared" si="58"/>
        <v>05</v>
      </c>
      <c r="AI154" s="70" t="str">
        <f t="shared" si="59"/>
        <v>03, 10, 16</v>
      </c>
      <c r="AJ154" s="70" t="str">
        <f t="shared" si="60"/>
        <v/>
      </c>
      <c r="AK154" s="70" t="str">
        <f t="shared" si="61"/>
        <v/>
      </c>
      <c r="AM154" s="166" t="str">
        <f t="shared" si="62"/>
        <v>W DT-TEST</v>
      </c>
      <c r="AN154" s="167" t="s">
        <v>622</v>
      </c>
      <c r="AO154" s="167" t="s">
        <v>612</v>
      </c>
      <c r="AP154" s="167">
        <v>55</v>
      </c>
    </row>
    <row r="155" spans="1:42" ht="20.100000000000001" customHeight="1" thickBot="1">
      <c r="A155" s="45" t="s">
        <v>623</v>
      </c>
      <c r="B155" s="45" t="s">
        <v>297</v>
      </c>
      <c r="C155" s="45" t="s">
        <v>606</v>
      </c>
      <c r="E155" s="45">
        <f t="shared" si="48"/>
        <v>6</v>
      </c>
      <c r="F155" s="45">
        <f t="shared" si="49"/>
        <v>3</v>
      </c>
      <c r="G155" s="45" t="str">
        <f t="shared" si="50"/>
        <v>3W</v>
      </c>
      <c r="H155" s="45" t="str">
        <f t="shared" si="51"/>
        <v>LS3</v>
      </c>
      <c r="J155" s="45" t="str">
        <f t="shared" si="52"/>
        <v>LS3</v>
      </c>
      <c r="K155" s="45" t="s">
        <v>130</v>
      </c>
      <c r="L155" s="45" t="str">
        <f t="shared" si="53"/>
        <v>3W-LS3@E</v>
      </c>
      <c r="M155" s="75" t="str">
        <f t="shared" si="46"/>
        <v>330, 328, 325, 318, 317, 316, 311, 303, 305, 302, 302, 305, 307, 306, M5, M6</v>
      </c>
      <c r="N155" s="75" t="str">
        <f t="shared" si="47"/>
        <v>31, 04, 03</v>
      </c>
      <c r="R155" s="70" t="s">
        <v>301</v>
      </c>
      <c r="S155" s="70" t="s">
        <v>53</v>
      </c>
      <c r="T155" s="70" t="s">
        <v>531</v>
      </c>
      <c r="U155" s="70"/>
      <c r="V155" s="70"/>
      <c r="X155" s="70" t="str">
        <f t="shared" si="63"/>
        <v>3W-E DT@E</v>
      </c>
      <c r="Y155" s="70" t="str">
        <f t="shared" si="64"/>
        <v>E DT-LS3@E</v>
      </c>
      <c r="Z155" s="70" t="str">
        <f t="shared" si="65"/>
        <v/>
      </c>
      <c r="AA155" s="70" t="str">
        <f t="shared" si="66"/>
        <v/>
      </c>
      <c r="AC155" s="70" t="str">
        <f t="shared" si="54"/>
        <v>330, 328, 325, 318, 317, 316, 311, 303, 305, 302</v>
      </c>
      <c r="AD155" s="70" t="str">
        <f t="shared" si="55"/>
        <v>302, 305, 307, 306, M5, M6</v>
      </c>
      <c r="AE155" s="70" t="str">
        <f t="shared" si="56"/>
        <v/>
      </c>
      <c r="AF155" s="70" t="str">
        <f t="shared" si="57"/>
        <v/>
      </c>
      <c r="AH155" s="70" t="str">
        <f t="shared" si="58"/>
        <v>31, 04</v>
      </c>
      <c r="AI155" s="70" t="str">
        <f t="shared" si="59"/>
        <v>03</v>
      </c>
      <c r="AJ155" s="70" t="str">
        <f t="shared" si="60"/>
        <v/>
      </c>
      <c r="AK155" s="70" t="str">
        <f t="shared" si="61"/>
        <v/>
      </c>
      <c r="AM155" s="166" t="str">
        <f t="shared" si="62"/>
        <v>E DT-LS1</v>
      </c>
      <c r="AN155" s="170" t="s">
        <v>624</v>
      </c>
      <c r="AO155" s="167" t="s">
        <v>151</v>
      </c>
      <c r="AP155" s="167" t="s">
        <v>524</v>
      </c>
    </row>
    <row r="156" spans="1:42" ht="20.100000000000001" customHeight="1" thickBot="1">
      <c r="A156" s="45" t="s">
        <v>625</v>
      </c>
      <c r="B156" s="45" t="s">
        <v>147</v>
      </c>
      <c r="C156" s="45" t="s">
        <v>626</v>
      </c>
      <c r="E156" s="45">
        <f t="shared" si="48"/>
        <v>6</v>
      </c>
      <c r="F156" s="45">
        <f t="shared" si="49"/>
        <v>4</v>
      </c>
      <c r="G156" s="45" t="str">
        <f t="shared" si="50"/>
        <v>LS3</v>
      </c>
      <c r="H156" s="45" t="str">
        <f t="shared" si="51"/>
        <v>4E</v>
      </c>
      <c r="J156" s="45" t="str">
        <f t="shared" si="52"/>
        <v>4E</v>
      </c>
      <c r="K156" s="45" t="s">
        <v>130</v>
      </c>
      <c r="L156" s="45" t="str">
        <f t="shared" si="53"/>
        <v>LS3-4E@E</v>
      </c>
      <c r="M156" s="75" t="str">
        <f t="shared" si="46"/>
        <v>302, 305, 307, 306, M5, M6, 333, 331, 318, 317, 316, 311, 303, 305, 302</v>
      </c>
      <c r="N156" s="75" t="str">
        <f t="shared" si="47"/>
        <v>05, 03, 10, 16</v>
      </c>
      <c r="R156" s="70" t="s">
        <v>531</v>
      </c>
      <c r="S156" s="70" t="s">
        <v>53</v>
      </c>
      <c r="T156" s="70" t="s">
        <v>309</v>
      </c>
      <c r="U156" s="70"/>
      <c r="V156" s="70"/>
      <c r="X156" s="70" t="str">
        <f t="shared" si="63"/>
        <v>LS3-E DT@E</v>
      </c>
      <c r="Y156" s="70" t="str">
        <f t="shared" si="64"/>
        <v>E DT-4E@E</v>
      </c>
      <c r="Z156" s="70" t="str">
        <f t="shared" si="65"/>
        <v/>
      </c>
      <c r="AA156" s="70" t="str">
        <f t="shared" si="66"/>
        <v/>
      </c>
      <c r="AC156" s="70" t="str">
        <f t="shared" si="54"/>
        <v>302, 305, 307, 306, M5, M6</v>
      </c>
      <c r="AD156" s="70" t="str">
        <f t="shared" si="55"/>
        <v>333, 331, 318, 317, 316, 311, 303, 305, 302</v>
      </c>
      <c r="AE156" s="70" t="str">
        <f t="shared" si="56"/>
        <v/>
      </c>
      <c r="AF156" s="70" t="str">
        <f t="shared" si="57"/>
        <v/>
      </c>
      <c r="AH156" s="70" t="str">
        <f t="shared" si="58"/>
        <v>05</v>
      </c>
      <c r="AI156" s="70" t="str">
        <f t="shared" si="59"/>
        <v>03, 10, 16</v>
      </c>
      <c r="AJ156" s="70" t="str">
        <f t="shared" si="60"/>
        <v/>
      </c>
      <c r="AK156" s="70" t="str">
        <f t="shared" si="61"/>
        <v/>
      </c>
      <c r="AM156" s="166" t="str">
        <f t="shared" si="62"/>
        <v>E DT-LS2</v>
      </c>
      <c r="AN156" s="167" t="s">
        <v>627</v>
      </c>
      <c r="AO156" s="167" t="s">
        <v>151</v>
      </c>
      <c r="AP156" s="167" t="s">
        <v>524</v>
      </c>
    </row>
    <row r="157" spans="1:42" ht="20.100000000000001" customHeight="1" thickBot="1">
      <c r="A157" s="45" t="s">
        <v>628</v>
      </c>
      <c r="B157" s="45" t="s">
        <v>313</v>
      </c>
      <c r="C157" s="45" t="s">
        <v>629</v>
      </c>
      <c r="E157" s="45">
        <f t="shared" si="48"/>
        <v>6</v>
      </c>
      <c r="F157" s="45">
        <f t="shared" si="49"/>
        <v>3</v>
      </c>
      <c r="G157" s="45" t="str">
        <f t="shared" si="50"/>
        <v>4E</v>
      </c>
      <c r="H157" s="45" t="str">
        <f t="shared" si="51"/>
        <v>LS3</v>
      </c>
      <c r="J157" s="45" t="str">
        <f t="shared" si="52"/>
        <v>LS3</v>
      </c>
      <c r="K157" s="45" t="s">
        <v>130</v>
      </c>
      <c r="L157" s="45" t="str">
        <f t="shared" si="53"/>
        <v>4E-LS3@E</v>
      </c>
      <c r="M157" s="75" t="str">
        <f t="shared" si="46"/>
        <v>333, 331, 318, 317, 316, 311, 303, 305, 302, 302, 305, 307, 306, M5, M6</v>
      </c>
      <c r="N157" s="75" t="str">
        <f t="shared" si="47"/>
        <v>32, 04, 03</v>
      </c>
      <c r="R157" s="70" t="s">
        <v>309</v>
      </c>
      <c r="S157" s="70" t="s">
        <v>53</v>
      </c>
      <c r="T157" s="70" t="s">
        <v>531</v>
      </c>
      <c r="U157" s="70"/>
      <c r="V157" s="70"/>
      <c r="X157" s="70" t="str">
        <f t="shared" si="63"/>
        <v>4E-E DT@E</v>
      </c>
      <c r="Y157" s="70" t="str">
        <f t="shared" si="64"/>
        <v>E DT-LS3@E</v>
      </c>
      <c r="Z157" s="70" t="str">
        <f t="shared" si="65"/>
        <v/>
      </c>
      <c r="AA157" s="70" t="str">
        <f t="shared" si="66"/>
        <v/>
      </c>
      <c r="AC157" s="70" t="str">
        <f t="shared" si="54"/>
        <v>333, 331, 318, 317, 316, 311, 303, 305, 302</v>
      </c>
      <c r="AD157" s="70" t="str">
        <f t="shared" si="55"/>
        <v>302, 305, 307, 306, M5, M6</v>
      </c>
      <c r="AE157" s="70" t="str">
        <f t="shared" si="56"/>
        <v/>
      </c>
      <c r="AF157" s="70" t="str">
        <f t="shared" si="57"/>
        <v/>
      </c>
      <c r="AH157" s="70" t="str">
        <f t="shared" si="58"/>
        <v>32, 04</v>
      </c>
      <c r="AI157" s="70" t="str">
        <f t="shared" si="59"/>
        <v>03</v>
      </c>
      <c r="AJ157" s="70" t="str">
        <f t="shared" si="60"/>
        <v/>
      </c>
      <c r="AK157" s="70" t="str">
        <f t="shared" si="61"/>
        <v/>
      </c>
      <c r="AM157" s="166" t="str">
        <f t="shared" si="62"/>
        <v>E DT-LS3</v>
      </c>
      <c r="AN157" s="167" t="s">
        <v>630</v>
      </c>
      <c r="AO157" s="167" t="s">
        <v>631</v>
      </c>
      <c r="AP157" s="167" t="s">
        <v>524</v>
      </c>
    </row>
    <row r="158" spans="1:42" ht="20.100000000000001" customHeight="1" thickBot="1">
      <c r="A158" s="45" t="s">
        <v>632</v>
      </c>
      <c r="B158" s="45" t="s">
        <v>147</v>
      </c>
      <c r="C158" s="45" t="s">
        <v>626</v>
      </c>
      <c r="E158" s="45">
        <f t="shared" si="48"/>
        <v>6</v>
      </c>
      <c r="F158" s="45">
        <f t="shared" si="49"/>
        <v>4</v>
      </c>
      <c r="G158" s="45" t="str">
        <f t="shared" si="50"/>
        <v>LS3</v>
      </c>
      <c r="H158" s="45" t="str">
        <f t="shared" si="51"/>
        <v>4W</v>
      </c>
      <c r="J158" s="45" t="str">
        <f t="shared" si="52"/>
        <v>4W</v>
      </c>
      <c r="K158" s="45" t="s">
        <v>130</v>
      </c>
      <c r="L158" s="45" t="str">
        <f t="shared" si="53"/>
        <v>LS3-4W@E</v>
      </c>
      <c r="M158" s="75" t="str">
        <f t="shared" si="46"/>
        <v>302, 305, 307, 306, M5, M6, 333, 331, 318, 317, 316, 311, 303, 305, 302</v>
      </c>
      <c r="N158" s="75" t="str">
        <f t="shared" si="47"/>
        <v>05, 03, 10, 16</v>
      </c>
      <c r="R158" s="70" t="s">
        <v>531</v>
      </c>
      <c r="S158" s="70" t="s">
        <v>53</v>
      </c>
      <c r="T158" s="70" t="s">
        <v>318</v>
      </c>
      <c r="U158" s="70"/>
      <c r="V158" s="70"/>
      <c r="X158" s="70" t="str">
        <f t="shared" si="63"/>
        <v>LS3-E DT@E</v>
      </c>
      <c r="Y158" s="70" t="str">
        <f t="shared" si="64"/>
        <v>E DT-4W@E</v>
      </c>
      <c r="Z158" s="70" t="str">
        <f t="shared" si="65"/>
        <v/>
      </c>
      <c r="AA158" s="70" t="str">
        <f t="shared" si="66"/>
        <v/>
      </c>
      <c r="AC158" s="70" t="str">
        <f t="shared" si="54"/>
        <v>302, 305, 307, 306, M5, M6</v>
      </c>
      <c r="AD158" s="70" t="str">
        <f t="shared" si="55"/>
        <v>333, 331, 318, 317, 316, 311, 303, 305, 302</v>
      </c>
      <c r="AE158" s="70" t="str">
        <f t="shared" si="56"/>
        <v/>
      </c>
      <c r="AF158" s="70" t="str">
        <f t="shared" si="57"/>
        <v/>
      </c>
      <c r="AH158" s="70" t="str">
        <f t="shared" si="58"/>
        <v>05</v>
      </c>
      <c r="AI158" s="70" t="str">
        <f t="shared" si="59"/>
        <v>03, 10, 16</v>
      </c>
      <c r="AJ158" s="70" t="str">
        <f t="shared" si="60"/>
        <v/>
      </c>
      <c r="AK158" s="70" t="str">
        <f t="shared" si="61"/>
        <v/>
      </c>
      <c r="AM158" s="166" t="str">
        <f t="shared" si="62"/>
        <v>E DT-M1</v>
      </c>
      <c r="AN158" s="167" t="s">
        <v>633</v>
      </c>
      <c r="AO158" s="167" t="s">
        <v>290</v>
      </c>
      <c r="AP158" s="167" t="s">
        <v>524</v>
      </c>
    </row>
    <row r="159" spans="1:42" ht="20.100000000000001" customHeight="1" thickBot="1">
      <c r="A159" s="45" t="s">
        <v>634</v>
      </c>
      <c r="B159" s="45" t="s">
        <v>313</v>
      </c>
      <c r="C159" s="45" t="s">
        <v>629</v>
      </c>
      <c r="E159" s="45">
        <f t="shared" si="48"/>
        <v>6</v>
      </c>
      <c r="F159" s="45">
        <f t="shared" si="49"/>
        <v>3</v>
      </c>
      <c r="G159" s="45" t="str">
        <f t="shared" si="50"/>
        <v>4W</v>
      </c>
      <c r="H159" s="45" t="str">
        <f t="shared" si="51"/>
        <v>LS3</v>
      </c>
      <c r="J159" s="45" t="str">
        <f t="shared" si="52"/>
        <v>LS3</v>
      </c>
      <c r="K159" s="45" t="s">
        <v>130</v>
      </c>
      <c r="L159" s="45" t="str">
        <f t="shared" si="53"/>
        <v>4W-LS3@E</v>
      </c>
      <c r="M159" s="75" t="str">
        <f t="shared" si="46"/>
        <v>333, 331, 318, 317, 316, 311, 303, 305, 302, 302, 305, 307, 306, M5, M6</v>
      </c>
      <c r="N159" s="75" t="str">
        <f t="shared" si="47"/>
        <v>32, 04, 03</v>
      </c>
      <c r="R159" s="70" t="s">
        <v>318</v>
      </c>
      <c r="S159" s="70" t="s">
        <v>53</v>
      </c>
      <c r="T159" s="70" t="s">
        <v>531</v>
      </c>
      <c r="U159" s="70"/>
      <c r="V159" s="70"/>
      <c r="X159" s="70" t="str">
        <f t="shared" si="63"/>
        <v>4W-E DT@E</v>
      </c>
      <c r="Y159" s="70" t="str">
        <f t="shared" si="64"/>
        <v>E DT-LS3@E</v>
      </c>
      <c r="Z159" s="70" t="str">
        <f t="shared" si="65"/>
        <v/>
      </c>
      <c r="AA159" s="70" t="str">
        <f t="shared" si="66"/>
        <v/>
      </c>
      <c r="AC159" s="70" t="str">
        <f t="shared" si="54"/>
        <v>333, 331, 318, 317, 316, 311, 303, 305, 302</v>
      </c>
      <c r="AD159" s="70" t="str">
        <f t="shared" si="55"/>
        <v>302, 305, 307, 306, M5, M6</v>
      </c>
      <c r="AE159" s="70" t="str">
        <f t="shared" si="56"/>
        <v/>
      </c>
      <c r="AF159" s="70" t="str">
        <f t="shared" si="57"/>
        <v/>
      </c>
      <c r="AH159" s="70" t="str">
        <f t="shared" si="58"/>
        <v>32, 04</v>
      </c>
      <c r="AI159" s="70" t="str">
        <f t="shared" si="59"/>
        <v>03</v>
      </c>
      <c r="AJ159" s="70" t="str">
        <f t="shared" si="60"/>
        <v/>
      </c>
      <c r="AK159" s="70" t="str">
        <f t="shared" si="61"/>
        <v/>
      </c>
      <c r="AM159" s="166" t="str">
        <f t="shared" si="62"/>
        <v>E DT-M2</v>
      </c>
      <c r="AN159" s="167" t="s">
        <v>635</v>
      </c>
      <c r="AO159" s="167" t="s">
        <v>295</v>
      </c>
      <c r="AP159" s="167" t="s">
        <v>524</v>
      </c>
    </row>
    <row r="160" spans="1:42" ht="20.100000000000001" customHeight="1" thickBot="1">
      <c r="A160" s="45" t="s">
        <v>636</v>
      </c>
      <c r="B160" s="45" t="s">
        <v>147</v>
      </c>
      <c r="C160" s="45" t="s">
        <v>626</v>
      </c>
      <c r="E160" s="45">
        <f t="shared" si="48"/>
        <v>6</v>
      </c>
      <c r="F160" s="45">
        <f t="shared" si="49"/>
        <v>4</v>
      </c>
      <c r="G160" s="45" t="str">
        <f t="shared" si="50"/>
        <v>LS3</v>
      </c>
      <c r="H160" s="45" t="str">
        <f t="shared" si="51"/>
        <v>5E</v>
      </c>
      <c r="J160" s="45" t="str">
        <f t="shared" si="52"/>
        <v>5E</v>
      </c>
      <c r="K160" s="45" t="s">
        <v>130</v>
      </c>
      <c r="L160" s="45" t="str">
        <f t="shared" si="53"/>
        <v>LS3-5E@E</v>
      </c>
      <c r="M160" s="75" t="str">
        <f t="shared" si="46"/>
        <v>302, 305, 307, 306, M5, M6, 333, 331, 318, 317, 316, 311, 303, 305, 302</v>
      </c>
      <c r="N160" s="75" t="str">
        <f t="shared" si="47"/>
        <v>05, 03, 10, 16</v>
      </c>
      <c r="R160" s="70" t="s">
        <v>531</v>
      </c>
      <c r="S160" s="70" t="s">
        <v>53</v>
      </c>
      <c r="T160" s="70" t="s">
        <v>325</v>
      </c>
      <c r="U160" s="70"/>
      <c r="V160" s="70"/>
      <c r="X160" s="70" t="str">
        <f t="shared" si="63"/>
        <v>LS3-E DT@E</v>
      </c>
      <c r="Y160" s="70" t="str">
        <f t="shared" si="64"/>
        <v>E DT-5E@E</v>
      </c>
      <c r="Z160" s="70" t="str">
        <f t="shared" si="65"/>
        <v/>
      </c>
      <c r="AA160" s="70" t="str">
        <f t="shared" si="66"/>
        <v/>
      </c>
      <c r="AC160" s="70" t="str">
        <f t="shared" si="54"/>
        <v>302, 305, 307, 306, M5, M6</v>
      </c>
      <c r="AD160" s="70" t="str">
        <f t="shared" si="55"/>
        <v>333, 331, 318, 317, 316, 311, 303, 305, 302</v>
      </c>
      <c r="AE160" s="70" t="str">
        <f t="shared" si="56"/>
        <v/>
      </c>
      <c r="AF160" s="70" t="str">
        <f t="shared" si="57"/>
        <v/>
      </c>
      <c r="AH160" s="70" t="str">
        <f t="shared" si="58"/>
        <v>05</v>
      </c>
      <c r="AI160" s="70" t="str">
        <f t="shared" si="59"/>
        <v>03, 10, 16</v>
      </c>
      <c r="AJ160" s="70" t="str">
        <f t="shared" si="60"/>
        <v/>
      </c>
      <c r="AK160" s="70" t="str">
        <f t="shared" si="61"/>
        <v/>
      </c>
      <c r="AM160" s="166" t="str">
        <f t="shared" si="62"/>
        <v>E DT-M3</v>
      </c>
      <c r="AN160" s="167" t="s">
        <v>637</v>
      </c>
      <c r="AO160" s="167" t="s">
        <v>299</v>
      </c>
      <c r="AP160" s="167" t="s">
        <v>524</v>
      </c>
    </row>
    <row r="161" spans="1:42" ht="20.100000000000001" customHeight="1" thickBot="1">
      <c r="A161" s="45" t="s">
        <v>638</v>
      </c>
      <c r="B161" s="45" t="s">
        <v>329</v>
      </c>
      <c r="C161" s="45" t="s">
        <v>629</v>
      </c>
      <c r="E161" s="45">
        <f t="shared" si="48"/>
        <v>6</v>
      </c>
      <c r="F161" s="45">
        <f t="shared" si="49"/>
        <v>3</v>
      </c>
      <c r="G161" s="45" t="str">
        <f t="shared" si="50"/>
        <v>5E</v>
      </c>
      <c r="H161" s="45" t="str">
        <f t="shared" si="51"/>
        <v>LS3</v>
      </c>
      <c r="J161" s="45" t="str">
        <f t="shared" si="52"/>
        <v>LS3</v>
      </c>
      <c r="K161" s="45" t="s">
        <v>130</v>
      </c>
      <c r="L161" s="45" t="str">
        <f t="shared" si="53"/>
        <v>5E-LS3@E</v>
      </c>
      <c r="M161" s="75" t="str">
        <f t="shared" si="46"/>
        <v>333, 331, 318, 317, 316, 311, 303, 305, 302, 302, 305, 307, 306, M5, M6</v>
      </c>
      <c r="N161" s="75" t="str">
        <f t="shared" si="47"/>
        <v>33, 04, 03</v>
      </c>
      <c r="R161" s="70" t="s">
        <v>325</v>
      </c>
      <c r="S161" s="70" t="s">
        <v>53</v>
      </c>
      <c r="T161" s="70" t="s">
        <v>531</v>
      </c>
      <c r="U161" s="70"/>
      <c r="V161" s="70"/>
      <c r="X161" s="70" t="str">
        <f t="shared" si="63"/>
        <v>5E-E DT@E</v>
      </c>
      <c r="Y161" s="70" t="str">
        <f t="shared" si="64"/>
        <v>E DT-LS3@E</v>
      </c>
      <c r="Z161" s="70" t="str">
        <f t="shared" si="65"/>
        <v/>
      </c>
      <c r="AA161" s="70" t="str">
        <f t="shared" si="66"/>
        <v/>
      </c>
      <c r="AC161" s="70" t="str">
        <f t="shared" si="54"/>
        <v>333, 331, 318, 317, 316, 311, 303, 305, 302</v>
      </c>
      <c r="AD161" s="70" t="str">
        <f t="shared" si="55"/>
        <v>302, 305, 307, 306, M5, M6</v>
      </c>
      <c r="AE161" s="70" t="str">
        <f t="shared" si="56"/>
        <v/>
      </c>
      <c r="AF161" s="70" t="str">
        <f t="shared" si="57"/>
        <v/>
      </c>
      <c r="AH161" s="70" t="str">
        <f t="shared" si="58"/>
        <v>33, 04</v>
      </c>
      <c r="AI161" s="70" t="str">
        <f t="shared" si="59"/>
        <v>03</v>
      </c>
      <c r="AJ161" s="70" t="str">
        <f t="shared" si="60"/>
        <v/>
      </c>
      <c r="AK161" s="70" t="str">
        <f t="shared" si="61"/>
        <v/>
      </c>
      <c r="AM161" s="166" t="str">
        <f t="shared" si="62"/>
        <v>E DT-M4</v>
      </c>
      <c r="AN161" s="167" t="s">
        <v>639</v>
      </c>
      <c r="AO161" s="167" t="s">
        <v>303</v>
      </c>
      <c r="AP161" s="167" t="s">
        <v>524</v>
      </c>
    </row>
    <row r="162" spans="1:42" ht="20.100000000000001" customHeight="1" thickBot="1">
      <c r="A162" s="45" t="s">
        <v>640</v>
      </c>
      <c r="B162" s="45" t="s">
        <v>147</v>
      </c>
      <c r="C162" s="45" t="s">
        <v>626</v>
      </c>
      <c r="E162" s="45">
        <f t="shared" si="48"/>
        <v>6</v>
      </c>
      <c r="F162" s="45">
        <f t="shared" si="49"/>
        <v>4</v>
      </c>
      <c r="G162" s="45" t="str">
        <f t="shared" si="50"/>
        <v>LS3</v>
      </c>
      <c r="H162" s="45" t="str">
        <f t="shared" si="51"/>
        <v>5W</v>
      </c>
      <c r="J162" s="45" t="str">
        <f t="shared" si="52"/>
        <v>5W</v>
      </c>
      <c r="K162" s="45" t="s">
        <v>130</v>
      </c>
      <c r="L162" s="45" t="str">
        <f t="shared" si="53"/>
        <v>LS3-5W@E</v>
      </c>
      <c r="M162" s="75" t="str">
        <f t="shared" si="46"/>
        <v>302, 305, 307, 306, M5, M6, 333, 331, 318, 317, 316, 311, 303, 305, 302</v>
      </c>
      <c r="N162" s="75" t="str">
        <f t="shared" si="47"/>
        <v>05, 03, 10, 16</v>
      </c>
      <c r="R162" s="70" t="s">
        <v>531</v>
      </c>
      <c r="S162" s="70" t="s">
        <v>53</v>
      </c>
      <c r="T162" s="70" t="s">
        <v>333</v>
      </c>
      <c r="U162" s="70"/>
      <c r="V162" s="70"/>
      <c r="X162" s="70" t="str">
        <f t="shared" si="63"/>
        <v>LS3-E DT@E</v>
      </c>
      <c r="Y162" s="70" t="str">
        <f t="shared" si="64"/>
        <v>E DT-5W@E</v>
      </c>
      <c r="Z162" s="70" t="str">
        <f t="shared" si="65"/>
        <v/>
      </c>
      <c r="AA162" s="70" t="str">
        <f t="shared" si="66"/>
        <v/>
      </c>
      <c r="AC162" s="70" t="str">
        <f t="shared" si="54"/>
        <v>302, 305, 307, 306, M5, M6</v>
      </c>
      <c r="AD162" s="70" t="str">
        <f t="shared" si="55"/>
        <v>333, 331, 318, 317, 316, 311, 303, 305, 302</v>
      </c>
      <c r="AE162" s="70" t="str">
        <f t="shared" si="56"/>
        <v/>
      </c>
      <c r="AF162" s="70" t="str">
        <f t="shared" si="57"/>
        <v/>
      </c>
      <c r="AH162" s="70" t="str">
        <f t="shared" si="58"/>
        <v>05</v>
      </c>
      <c r="AI162" s="70" t="str">
        <f t="shared" si="59"/>
        <v>03, 10, 16</v>
      </c>
      <c r="AJ162" s="70" t="str">
        <f t="shared" si="60"/>
        <v/>
      </c>
      <c r="AK162" s="70" t="str">
        <f t="shared" si="61"/>
        <v/>
      </c>
      <c r="AM162" s="166" t="str">
        <f t="shared" si="62"/>
        <v>E DT-M5</v>
      </c>
      <c r="AN162" s="167" t="s">
        <v>641</v>
      </c>
      <c r="AO162" s="167" t="s">
        <v>303</v>
      </c>
      <c r="AP162" s="167" t="s">
        <v>524</v>
      </c>
    </row>
    <row r="163" spans="1:42" ht="20.100000000000001" customHeight="1" thickBot="1">
      <c r="A163" s="45" t="s">
        <v>642</v>
      </c>
      <c r="B163" s="45" t="s">
        <v>329</v>
      </c>
      <c r="C163" s="45" t="s">
        <v>629</v>
      </c>
      <c r="E163" s="45">
        <f t="shared" si="48"/>
        <v>6</v>
      </c>
      <c r="F163" s="45">
        <f t="shared" si="49"/>
        <v>3</v>
      </c>
      <c r="G163" s="45" t="str">
        <f t="shared" si="50"/>
        <v>5W</v>
      </c>
      <c r="H163" s="45" t="str">
        <f t="shared" si="51"/>
        <v>LS3</v>
      </c>
      <c r="J163" s="45" t="str">
        <f t="shared" si="52"/>
        <v>LS3</v>
      </c>
      <c r="K163" s="45" t="s">
        <v>130</v>
      </c>
      <c r="L163" s="45" t="str">
        <f t="shared" si="53"/>
        <v>5W-LS3@E</v>
      </c>
      <c r="M163" s="75" t="str">
        <f t="shared" si="46"/>
        <v>333, 331, 318, 317, 316, 311, 303, 305, 302, 302, 305, 307, 306, M5, M6</v>
      </c>
      <c r="N163" s="75" t="str">
        <f t="shared" si="47"/>
        <v>33, 04, 03</v>
      </c>
      <c r="R163" s="70" t="s">
        <v>333</v>
      </c>
      <c r="S163" s="70" t="s">
        <v>53</v>
      </c>
      <c r="T163" s="70" t="s">
        <v>531</v>
      </c>
      <c r="U163" s="70"/>
      <c r="V163" s="70"/>
      <c r="X163" s="70" t="str">
        <f t="shared" si="63"/>
        <v>5W-E DT@E</v>
      </c>
      <c r="Y163" s="70" t="str">
        <f t="shared" si="64"/>
        <v>E DT-LS3@E</v>
      </c>
      <c r="Z163" s="70" t="str">
        <f t="shared" si="65"/>
        <v/>
      </c>
      <c r="AA163" s="70" t="str">
        <f t="shared" si="66"/>
        <v/>
      </c>
      <c r="AC163" s="70" t="str">
        <f t="shared" si="54"/>
        <v>333, 331, 318, 317, 316, 311, 303, 305, 302</v>
      </c>
      <c r="AD163" s="70" t="str">
        <f t="shared" si="55"/>
        <v>302, 305, 307, 306, M5, M6</v>
      </c>
      <c r="AE163" s="70" t="str">
        <f t="shared" si="56"/>
        <v/>
      </c>
      <c r="AF163" s="70" t="str">
        <f t="shared" si="57"/>
        <v/>
      </c>
      <c r="AH163" s="70" t="str">
        <f t="shared" si="58"/>
        <v>33, 04</v>
      </c>
      <c r="AI163" s="70" t="str">
        <f t="shared" si="59"/>
        <v>03</v>
      </c>
      <c r="AJ163" s="70" t="str">
        <f t="shared" si="60"/>
        <v/>
      </c>
      <c r="AK163" s="70" t="str">
        <f t="shared" si="61"/>
        <v/>
      </c>
      <c r="AM163" s="166" t="str">
        <f t="shared" si="62"/>
        <v>E DT-LF3</v>
      </c>
      <c r="AN163" s="167" t="s">
        <v>520</v>
      </c>
      <c r="AO163" s="167" t="s">
        <v>157</v>
      </c>
      <c r="AP163" s="167" t="s">
        <v>521</v>
      </c>
    </row>
    <row r="164" spans="1:42" ht="20.100000000000001" customHeight="1" thickBot="1">
      <c r="A164" s="45" t="s">
        <v>643</v>
      </c>
      <c r="B164" s="45" t="s">
        <v>147</v>
      </c>
      <c r="C164" s="45" t="s">
        <v>644</v>
      </c>
      <c r="E164" s="45">
        <f t="shared" si="48"/>
        <v>6</v>
      </c>
      <c r="F164" s="45">
        <f t="shared" si="49"/>
        <v>4</v>
      </c>
      <c r="G164" s="45" t="str">
        <f t="shared" si="50"/>
        <v>LS3</v>
      </c>
      <c r="H164" s="45" t="str">
        <f t="shared" si="51"/>
        <v>6E</v>
      </c>
      <c r="J164" s="45" t="str">
        <f t="shared" si="52"/>
        <v>6E</v>
      </c>
      <c r="K164" s="45" t="s">
        <v>130</v>
      </c>
      <c r="L164" s="45" t="str">
        <f t="shared" si="53"/>
        <v>LS3-6E@E</v>
      </c>
      <c r="M164" s="75" t="str">
        <f t="shared" si="46"/>
        <v>302, 305, 307, 306, M5, M6, 332, 331, 318, 317, 316, 311, 303, 305, 302</v>
      </c>
      <c r="N164" s="75" t="str">
        <f t="shared" si="47"/>
        <v>05, 03, 10, 16</v>
      </c>
      <c r="R164" s="70" t="s">
        <v>531</v>
      </c>
      <c r="S164" s="70" t="s">
        <v>53</v>
      </c>
      <c r="T164" s="70" t="s">
        <v>339</v>
      </c>
      <c r="U164" s="70"/>
      <c r="V164" s="70"/>
      <c r="X164" s="70" t="str">
        <f t="shared" si="63"/>
        <v>LS3-E DT@E</v>
      </c>
      <c r="Y164" s="70" t="str">
        <f t="shared" si="64"/>
        <v>E DT-6E@E</v>
      </c>
      <c r="Z164" s="70" t="str">
        <f t="shared" si="65"/>
        <v/>
      </c>
      <c r="AA164" s="70" t="str">
        <f t="shared" si="66"/>
        <v/>
      </c>
      <c r="AC164" s="70" t="str">
        <f t="shared" si="54"/>
        <v>302, 305, 307, 306, M5, M6</v>
      </c>
      <c r="AD164" s="70" t="str">
        <f t="shared" si="55"/>
        <v>332, 331, 318, 317, 316, 311, 303, 305, 302</v>
      </c>
      <c r="AE164" s="70" t="str">
        <f t="shared" si="56"/>
        <v/>
      </c>
      <c r="AF164" s="70" t="str">
        <f t="shared" si="57"/>
        <v/>
      </c>
      <c r="AH164" s="70" t="str">
        <f t="shared" si="58"/>
        <v>05</v>
      </c>
      <c r="AI164" s="70" t="str">
        <f t="shared" si="59"/>
        <v>03, 10, 16</v>
      </c>
      <c r="AJ164" s="70" t="str">
        <f t="shared" si="60"/>
        <v/>
      </c>
      <c r="AK164" s="70" t="str">
        <f t="shared" si="61"/>
        <v/>
      </c>
      <c r="AM164" s="166" t="str">
        <f t="shared" si="62"/>
        <v>E DT-LS1</v>
      </c>
      <c r="AN164" s="167" t="s">
        <v>523</v>
      </c>
      <c r="AO164" s="167" t="s">
        <v>151</v>
      </c>
      <c r="AP164" s="168" t="s">
        <v>524</v>
      </c>
    </row>
    <row r="165" spans="1:42" ht="20.100000000000001" customHeight="1" thickBot="1">
      <c r="A165" s="45" t="s">
        <v>645</v>
      </c>
      <c r="B165" s="45" t="s">
        <v>342</v>
      </c>
      <c r="C165" s="45" t="s">
        <v>646</v>
      </c>
      <c r="E165" s="45">
        <f t="shared" si="48"/>
        <v>6</v>
      </c>
      <c r="F165" s="45">
        <f t="shared" si="49"/>
        <v>3</v>
      </c>
      <c r="G165" s="45" t="str">
        <f t="shared" si="50"/>
        <v>6E</v>
      </c>
      <c r="H165" s="45" t="str">
        <f t="shared" si="51"/>
        <v>LS3</v>
      </c>
      <c r="J165" s="45" t="str">
        <f t="shared" si="52"/>
        <v>LS3</v>
      </c>
      <c r="K165" s="45" t="s">
        <v>130</v>
      </c>
      <c r="L165" s="45" t="str">
        <f t="shared" si="53"/>
        <v>6E-LS3@E</v>
      </c>
      <c r="M165" s="75" t="str">
        <f t="shared" si="46"/>
        <v>332, 331, 318, 317, 316, 311, 303, 305, 302, 302, 305, 307, 306, M5, M6</v>
      </c>
      <c r="N165" s="75" t="str">
        <f t="shared" si="47"/>
        <v>34, 04, 03</v>
      </c>
      <c r="R165" s="70" t="s">
        <v>339</v>
      </c>
      <c r="S165" s="70" t="s">
        <v>53</v>
      </c>
      <c r="T165" s="70" t="s">
        <v>531</v>
      </c>
      <c r="U165" s="70"/>
      <c r="V165" s="70"/>
      <c r="X165" s="70" t="str">
        <f t="shared" si="63"/>
        <v>6E-E DT@E</v>
      </c>
      <c r="Y165" s="70" t="str">
        <f t="shared" si="64"/>
        <v>E DT-LS3@E</v>
      </c>
      <c r="Z165" s="70" t="str">
        <f t="shared" si="65"/>
        <v/>
      </c>
      <c r="AA165" s="70" t="str">
        <f t="shared" si="66"/>
        <v/>
      </c>
      <c r="AC165" s="70" t="str">
        <f t="shared" si="54"/>
        <v>332, 331, 318, 317, 316, 311, 303, 305, 302</v>
      </c>
      <c r="AD165" s="70" t="str">
        <f t="shared" si="55"/>
        <v>302, 305, 307, 306, M5, M6</v>
      </c>
      <c r="AE165" s="70" t="str">
        <f t="shared" si="56"/>
        <v/>
      </c>
      <c r="AF165" s="70" t="str">
        <f t="shared" si="57"/>
        <v/>
      </c>
      <c r="AH165" s="70" t="str">
        <f t="shared" si="58"/>
        <v>34, 04</v>
      </c>
      <c r="AI165" s="70" t="str">
        <f t="shared" si="59"/>
        <v>03</v>
      </c>
      <c r="AJ165" s="70" t="str">
        <f t="shared" si="60"/>
        <v/>
      </c>
      <c r="AK165" s="70" t="str">
        <f t="shared" si="61"/>
        <v/>
      </c>
      <c r="AM165" s="166" t="str">
        <f t="shared" si="62"/>
        <v>E DT-LF4</v>
      </c>
      <c r="AN165" s="167" t="s">
        <v>526</v>
      </c>
      <c r="AO165" s="167" t="s">
        <v>161</v>
      </c>
      <c r="AP165" s="167" t="s">
        <v>521</v>
      </c>
    </row>
    <row r="166" spans="1:42" ht="20.100000000000001" customHeight="1" thickBot="1">
      <c r="A166" s="45" t="s">
        <v>647</v>
      </c>
      <c r="B166" s="45" t="s">
        <v>147</v>
      </c>
      <c r="C166" s="45" t="s">
        <v>644</v>
      </c>
      <c r="E166" s="45">
        <f t="shared" si="48"/>
        <v>6</v>
      </c>
      <c r="F166" s="45">
        <f t="shared" si="49"/>
        <v>4</v>
      </c>
      <c r="G166" s="45" t="str">
        <f t="shared" si="50"/>
        <v>LS3</v>
      </c>
      <c r="H166" s="45" t="str">
        <f t="shared" si="51"/>
        <v>6W</v>
      </c>
      <c r="J166" s="45" t="str">
        <f t="shared" si="52"/>
        <v>6W</v>
      </c>
      <c r="K166" s="45" t="s">
        <v>130</v>
      </c>
      <c r="L166" s="45" t="str">
        <f t="shared" si="53"/>
        <v>LS3-6W@E</v>
      </c>
      <c r="M166" s="75" t="str">
        <f t="shared" si="46"/>
        <v>302, 305, 307, 306, M5, M6, 332, 331, 318, 317, 316, 311, 303, 305, 302</v>
      </c>
      <c r="N166" s="75" t="str">
        <f t="shared" si="47"/>
        <v>05, 03, 10, 16</v>
      </c>
      <c r="R166" s="70" t="s">
        <v>531</v>
      </c>
      <c r="S166" s="70" t="s">
        <v>53</v>
      </c>
      <c r="T166" s="70" t="s">
        <v>346</v>
      </c>
      <c r="U166" s="70"/>
      <c r="V166" s="70"/>
      <c r="X166" s="70" t="str">
        <f t="shared" si="63"/>
        <v>LS3-E DT@E</v>
      </c>
      <c r="Y166" s="70" t="str">
        <f t="shared" si="64"/>
        <v>E DT-6W@E</v>
      </c>
      <c r="Z166" s="70" t="str">
        <f t="shared" si="65"/>
        <v/>
      </c>
      <c r="AA166" s="70" t="str">
        <f t="shared" si="66"/>
        <v/>
      </c>
      <c r="AC166" s="70" t="str">
        <f t="shared" si="54"/>
        <v>302, 305, 307, 306, M5, M6</v>
      </c>
      <c r="AD166" s="70" t="str">
        <f t="shared" si="55"/>
        <v>332, 331, 318, 317, 316, 311, 303, 305, 302</v>
      </c>
      <c r="AE166" s="70" t="str">
        <f t="shared" si="56"/>
        <v/>
      </c>
      <c r="AF166" s="70" t="str">
        <f t="shared" si="57"/>
        <v/>
      </c>
      <c r="AH166" s="70" t="str">
        <f t="shared" si="58"/>
        <v>05</v>
      </c>
      <c r="AI166" s="70" t="str">
        <f t="shared" si="59"/>
        <v>03, 10, 16</v>
      </c>
      <c r="AJ166" s="70" t="str">
        <f t="shared" si="60"/>
        <v/>
      </c>
      <c r="AK166" s="70" t="str">
        <f t="shared" si="61"/>
        <v/>
      </c>
      <c r="AM166" s="166" t="str">
        <f t="shared" si="62"/>
        <v>E DT-HM1</v>
      </c>
      <c r="AN166" s="167" t="s">
        <v>528</v>
      </c>
      <c r="AO166" s="167" t="s">
        <v>167</v>
      </c>
      <c r="AP166" s="167" t="s">
        <v>521</v>
      </c>
    </row>
    <row r="167" spans="1:42" ht="20.100000000000001" customHeight="1" thickBot="1">
      <c r="A167" s="45" t="s">
        <v>648</v>
      </c>
      <c r="B167" s="45" t="s">
        <v>342</v>
      </c>
      <c r="C167" s="45" t="s">
        <v>646</v>
      </c>
      <c r="E167" s="45">
        <f t="shared" si="48"/>
        <v>6</v>
      </c>
      <c r="F167" s="45">
        <f t="shared" si="49"/>
        <v>3</v>
      </c>
      <c r="G167" s="45" t="str">
        <f t="shared" si="50"/>
        <v>6W</v>
      </c>
      <c r="H167" s="45" t="str">
        <f t="shared" si="51"/>
        <v>LS3</v>
      </c>
      <c r="J167" s="45" t="str">
        <f t="shared" si="52"/>
        <v>LS3</v>
      </c>
      <c r="K167" s="45" t="s">
        <v>130</v>
      </c>
      <c r="L167" s="45" t="str">
        <f t="shared" si="53"/>
        <v>6W-LS3@E</v>
      </c>
      <c r="M167" s="75" t="str">
        <f t="shared" si="46"/>
        <v>332, 331, 318, 317, 316, 311, 303, 305, 302, 302, 305, 307, 306, M5, M6</v>
      </c>
      <c r="N167" s="75" t="str">
        <f t="shared" si="47"/>
        <v>34, 04, 03</v>
      </c>
      <c r="R167" s="70" t="s">
        <v>346</v>
      </c>
      <c r="S167" s="70" t="s">
        <v>53</v>
      </c>
      <c r="T167" s="70" t="s">
        <v>531</v>
      </c>
      <c r="U167" s="70"/>
      <c r="V167" s="70"/>
      <c r="X167" s="70" t="str">
        <f t="shared" si="63"/>
        <v>6W-E DT@E</v>
      </c>
      <c r="Y167" s="70" t="str">
        <f t="shared" si="64"/>
        <v>E DT-LS3@E</v>
      </c>
      <c r="Z167" s="70" t="str">
        <f t="shared" si="65"/>
        <v/>
      </c>
      <c r="AA167" s="70" t="str">
        <f t="shared" si="66"/>
        <v/>
      </c>
      <c r="AC167" s="70" t="str">
        <f t="shared" si="54"/>
        <v>332, 331, 318, 317, 316, 311, 303, 305, 302</v>
      </c>
      <c r="AD167" s="70" t="str">
        <f t="shared" si="55"/>
        <v>302, 305, 307, 306, M5, M6</v>
      </c>
      <c r="AE167" s="70" t="str">
        <f t="shared" si="56"/>
        <v/>
      </c>
      <c r="AF167" s="70" t="str">
        <f t="shared" si="57"/>
        <v/>
      </c>
      <c r="AH167" s="70" t="str">
        <f t="shared" si="58"/>
        <v>34, 04</v>
      </c>
      <c r="AI167" s="70" t="str">
        <f t="shared" si="59"/>
        <v>03</v>
      </c>
      <c r="AJ167" s="70" t="str">
        <f t="shared" si="60"/>
        <v/>
      </c>
      <c r="AK167" s="70" t="str">
        <f t="shared" si="61"/>
        <v/>
      </c>
      <c r="AM167" s="166" t="str">
        <f t="shared" si="62"/>
        <v>E AV-HM2</v>
      </c>
      <c r="AN167" s="171" t="s">
        <v>649</v>
      </c>
      <c r="AO167" s="167" t="s">
        <v>372</v>
      </c>
      <c r="AP167" s="167" t="s">
        <v>650</v>
      </c>
    </row>
    <row r="168" spans="1:42" ht="20.100000000000001" customHeight="1" thickBot="1">
      <c r="A168" s="45" t="s">
        <v>651</v>
      </c>
      <c r="B168" s="45" t="s">
        <v>147</v>
      </c>
      <c r="C168" s="45" t="s">
        <v>652</v>
      </c>
      <c r="E168" s="45">
        <f t="shared" si="48"/>
        <v>6</v>
      </c>
      <c r="F168" s="45">
        <f t="shared" si="49"/>
        <v>4</v>
      </c>
      <c r="G168" s="45" t="str">
        <f t="shared" si="50"/>
        <v>LS3</v>
      </c>
      <c r="H168" s="45" t="str">
        <f t="shared" si="51"/>
        <v>7E</v>
      </c>
      <c r="J168" s="45" t="str">
        <f t="shared" si="52"/>
        <v>7E</v>
      </c>
      <c r="K168" s="45" t="s">
        <v>130</v>
      </c>
      <c r="L168" s="45" t="str">
        <f t="shared" si="53"/>
        <v>LS3-7E@E</v>
      </c>
      <c r="M168" s="75" t="str">
        <f t="shared" si="46"/>
        <v>302, 305, 307, 306, M5, M6, 334, 332, 331, 318, 317, 316, 311, 303, 305, 302</v>
      </c>
      <c r="N168" s="75" t="str">
        <f t="shared" si="47"/>
        <v>05, 03, 10, 16</v>
      </c>
      <c r="R168" s="70" t="s">
        <v>531</v>
      </c>
      <c r="S168" s="70" t="s">
        <v>53</v>
      </c>
      <c r="T168" s="70" t="s">
        <v>354</v>
      </c>
      <c r="U168" s="70"/>
      <c r="V168" s="70"/>
      <c r="X168" s="70" t="str">
        <f t="shared" si="63"/>
        <v>LS3-E DT@E</v>
      </c>
      <c r="Y168" s="70" t="str">
        <f t="shared" si="64"/>
        <v>E DT-7E@E</v>
      </c>
      <c r="Z168" s="70" t="str">
        <f t="shared" si="65"/>
        <v/>
      </c>
      <c r="AA168" s="70" t="str">
        <f t="shared" si="66"/>
        <v/>
      </c>
      <c r="AC168" s="70" t="str">
        <f t="shared" si="54"/>
        <v>302, 305, 307, 306, M5, M6</v>
      </c>
      <c r="AD168" s="70" t="str">
        <f t="shared" si="55"/>
        <v>334, 332, 331, 318, 317, 316, 311, 303, 305, 302</v>
      </c>
      <c r="AE168" s="70" t="str">
        <f t="shared" si="56"/>
        <v/>
      </c>
      <c r="AF168" s="70" t="str">
        <f t="shared" si="57"/>
        <v/>
      </c>
      <c r="AH168" s="70" t="str">
        <f t="shared" si="58"/>
        <v>05</v>
      </c>
      <c r="AI168" s="70" t="str">
        <f t="shared" si="59"/>
        <v>03, 10, 16</v>
      </c>
      <c r="AJ168" s="70" t="str">
        <f t="shared" si="60"/>
        <v/>
      </c>
      <c r="AK168" s="70" t="str">
        <f t="shared" si="61"/>
        <v/>
      </c>
      <c r="AM168" s="166" t="str">
        <f t="shared" si="62"/>
        <v>E AV-HM3</v>
      </c>
      <c r="AN168" s="171" t="s">
        <v>653</v>
      </c>
      <c r="AO168" s="167" t="s">
        <v>173</v>
      </c>
      <c r="AP168" s="167" t="s">
        <v>650</v>
      </c>
    </row>
    <row r="169" spans="1:42" ht="20.100000000000001" customHeight="1" thickBot="1">
      <c r="A169" s="45" t="s">
        <v>654</v>
      </c>
      <c r="B169" s="45" t="s">
        <v>358</v>
      </c>
      <c r="C169" s="45" t="s">
        <v>655</v>
      </c>
      <c r="E169" s="45">
        <f t="shared" si="48"/>
        <v>6</v>
      </c>
      <c r="F169" s="45">
        <f t="shared" si="49"/>
        <v>3</v>
      </c>
      <c r="G169" s="45" t="str">
        <f t="shared" si="50"/>
        <v>7E</v>
      </c>
      <c r="H169" s="45" t="str">
        <f t="shared" si="51"/>
        <v>LS3</v>
      </c>
      <c r="J169" s="45" t="str">
        <f t="shared" si="52"/>
        <v>LS3</v>
      </c>
      <c r="K169" s="45" t="s">
        <v>130</v>
      </c>
      <c r="L169" s="45" t="str">
        <f t="shared" si="53"/>
        <v>7E-LS3@E</v>
      </c>
      <c r="M169" s="75" t="str">
        <f t="shared" si="46"/>
        <v>334, 332, 331, 318, 317, 316, 311, 303, 305, 302, 302, 305, 307, 306, M5, M6</v>
      </c>
      <c r="N169" s="75" t="str">
        <f t="shared" si="47"/>
        <v>35, 04, 03</v>
      </c>
      <c r="R169" s="70" t="s">
        <v>354</v>
      </c>
      <c r="S169" s="70" t="s">
        <v>53</v>
      </c>
      <c r="T169" s="70" t="s">
        <v>531</v>
      </c>
      <c r="U169" s="70"/>
      <c r="V169" s="70"/>
      <c r="X169" s="70" t="str">
        <f t="shared" si="63"/>
        <v>7E-E DT@E</v>
      </c>
      <c r="Y169" s="70" t="str">
        <f t="shared" si="64"/>
        <v>E DT-LS3@E</v>
      </c>
      <c r="Z169" s="70" t="str">
        <f t="shared" si="65"/>
        <v/>
      </c>
      <c r="AA169" s="70" t="str">
        <f t="shared" si="66"/>
        <v/>
      </c>
      <c r="AC169" s="70" t="str">
        <f t="shared" si="54"/>
        <v>334, 332, 331, 318, 317, 316, 311, 303, 305, 302</v>
      </c>
      <c r="AD169" s="70" t="str">
        <f t="shared" si="55"/>
        <v>302, 305, 307, 306, M5, M6</v>
      </c>
      <c r="AE169" s="70" t="str">
        <f t="shared" si="56"/>
        <v/>
      </c>
      <c r="AF169" s="70" t="str">
        <f t="shared" si="57"/>
        <v/>
      </c>
      <c r="AH169" s="70" t="str">
        <f t="shared" si="58"/>
        <v>35, 04</v>
      </c>
      <c r="AI169" s="70" t="str">
        <f t="shared" si="59"/>
        <v>03</v>
      </c>
      <c r="AJ169" s="70" t="str">
        <f t="shared" si="60"/>
        <v/>
      </c>
      <c r="AK169" s="70" t="str">
        <f t="shared" si="61"/>
        <v/>
      </c>
      <c r="AM169" s="166" t="str">
        <f t="shared" si="62"/>
        <v>E AV-RM1E</v>
      </c>
      <c r="AN169" s="171" t="s">
        <v>656</v>
      </c>
      <c r="AO169" s="167" t="s">
        <v>657</v>
      </c>
      <c r="AP169" s="167" t="s">
        <v>650</v>
      </c>
    </row>
    <row r="170" spans="1:42" ht="20.100000000000001" customHeight="1" thickBot="1">
      <c r="A170" s="45" t="s">
        <v>658</v>
      </c>
      <c r="B170" s="45" t="s">
        <v>147</v>
      </c>
      <c r="C170" s="45" t="s">
        <v>652</v>
      </c>
      <c r="E170" s="45">
        <f t="shared" si="48"/>
        <v>6</v>
      </c>
      <c r="F170" s="45">
        <f t="shared" si="49"/>
        <v>4</v>
      </c>
      <c r="G170" s="45" t="str">
        <f t="shared" si="50"/>
        <v>LS3</v>
      </c>
      <c r="H170" s="45" t="str">
        <f t="shared" si="51"/>
        <v>7W</v>
      </c>
      <c r="J170" s="45" t="str">
        <f t="shared" si="52"/>
        <v>7W</v>
      </c>
      <c r="K170" s="45" t="s">
        <v>130</v>
      </c>
      <c r="L170" s="45" t="str">
        <f t="shared" si="53"/>
        <v>LS3-7W@E</v>
      </c>
      <c r="M170" s="75" t="str">
        <f t="shared" si="46"/>
        <v>302, 305, 307, 306, M5, M6, 334, 332, 331, 318, 317, 316, 311, 303, 305, 302</v>
      </c>
      <c r="N170" s="75" t="str">
        <f t="shared" si="47"/>
        <v>05, 03, 10, 16</v>
      </c>
      <c r="R170" s="70" t="s">
        <v>531</v>
      </c>
      <c r="S170" s="70" t="s">
        <v>53</v>
      </c>
      <c r="T170" s="70" t="s">
        <v>363</v>
      </c>
      <c r="U170" s="70"/>
      <c r="V170" s="70"/>
      <c r="X170" s="70" t="str">
        <f t="shared" si="63"/>
        <v>LS3-E DT@E</v>
      </c>
      <c r="Y170" s="70" t="str">
        <f t="shared" si="64"/>
        <v>E DT-7W@E</v>
      </c>
      <c r="Z170" s="70" t="str">
        <f t="shared" si="65"/>
        <v/>
      </c>
      <c r="AA170" s="70" t="str">
        <f t="shared" si="66"/>
        <v/>
      </c>
      <c r="AC170" s="70" t="str">
        <f t="shared" si="54"/>
        <v>302, 305, 307, 306, M5, M6</v>
      </c>
      <c r="AD170" s="70" t="str">
        <f t="shared" si="55"/>
        <v>334, 332, 331, 318, 317, 316, 311, 303, 305, 302</v>
      </c>
      <c r="AE170" s="70" t="str">
        <f t="shared" si="56"/>
        <v/>
      </c>
      <c r="AF170" s="70" t="str">
        <f t="shared" si="57"/>
        <v/>
      </c>
      <c r="AH170" s="70" t="str">
        <f t="shared" si="58"/>
        <v>05</v>
      </c>
      <c r="AI170" s="70" t="str">
        <f t="shared" si="59"/>
        <v>03, 10, 16</v>
      </c>
      <c r="AJ170" s="70" t="str">
        <f t="shared" si="60"/>
        <v/>
      </c>
      <c r="AK170" s="70" t="str">
        <f t="shared" si="61"/>
        <v/>
      </c>
      <c r="AM170" s="166" t="str">
        <f t="shared" si="62"/>
        <v>E AV-RM1W</v>
      </c>
      <c r="AN170" s="171" t="s">
        <v>659</v>
      </c>
      <c r="AO170" s="167" t="s">
        <v>657</v>
      </c>
      <c r="AP170" s="167" t="s">
        <v>650</v>
      </c>
    </row>
    <row r="171" spans="1:42" ht="20.100000000000001" customHeight="1" thickBot="1">
      <c r="A171" s="45" t="s">
        <v>660</v>
      </c>
      <c r="B171" s="45" t="s">
        <v>358</v>
      </c>
      <c r="C171" s="45" t="s">
        <v>655</v>
      </c>
      <c r="E171" s="45">
        <f t="shared" si="48"/>
        <v>6</v>
      </c>
      <c r="F171" s="45">
        <f t="shared" si="49"/>
        <v>3</v>
      </c>
      <c r="G171" s="45" t="str">
        <f t="shared" si="50"/>
        <v>7W</v>
      </c>
      <c r="H171" s="45" t="str">
        <f t="shared" si="51"/>
        <v>LS3</v>
      </c>
      <c r="J171" s="45" t="str">
        <f t="shared" si="52"/>
        <v>LS3</v>
      </c>
      <c r="K171" s="45" t="s">
        <v>130</v>
      </c>
      <c r="L171" s="45" t="str">
        <f t="shared" si="53"/>
        <v>7W-LS3@E</v>
      </c>
      <c r="M171" s="75" t="str">
        <f t="shared" si="46"/>
        <v>334, 332, 331, 318, 317, 316, 311, 303, 305, 302, 302, 305, 307, 306, M5, M6</v>
      </c>
      <c r="N171" s="75" t="str">
        <f t="shared" si="47"/>
        <v>35, 04, 03</v>
      </c>
      <c r="R171" s="70" t="s">
        <v>363</v>
      </c>
      <c r="S171" s="70" t="s">
        <v>53</v>
      </c>
      <c r="T171" s="70" t="s">
        <v>531</v>
      </c>
      <c r="U171" s="70"/>
      <c r="V171" s="70"/>
      <c r="X171" s="70" t="str">
        <f t="shared" si="63"/>
        <v>7W-E DT@E</v>
      </c>
      <c r="Y171" s="70" t="str">
        <f t="shared" si="64"/>
        <v>E DT-LS3@E</v>
      </c>
      <c r="Z171" s="70" t="str">
        <f t="shared" si="65"/>
        <v/>
      </c>
      <c r="AA171" s="70" t="str">
        <f t="shared" si="66"/>
        <v/>
      </c>
      <c r="AC171" s="70" t="str">
        <f t="shared" si="54"/>
        <v>334, 332, 331, 318, 317, 316, 311, 303, 305, 302</v>
      </c>
      <c r="AD171" s="70" t="str">
        <f t="shared" si="55"/>
        <v>302, 305, 307, 306, M5, M6</v>
      </c>
      <c r="AE171" s="70" t="str">
        <f t="shared" si="56"/>
        <v/>
      </c>
      <c r="AF171" s="70" t="str">
        <f t="shared" si="57"/>
        <v/>
      </c>
      <c r="AH171" s="70" t="str">
        <f t="shared" si="58"/>
        <v>35, 04</v>
      </c>
      <c r="AI171" s="70" t="str">
        <f t="shared" si="59"/>
        <v>03</v>
      </c>
      <c r="AJ171" s="70" t="str">
        <f t="shared" si="60"/>
        <v/>
      </c>
      <c r="AK171" s="70" t="str">
        <f t="shared" si="61"/>
        <v/>
      </c>
      <c r="AM171" s="166" t="str">
        <f t="shared" si="62"/>
        <v>E AV-RM2E</v>
      </c>
      <c r="AN171" s="171" t="s">
        <v>661</v>
      </c>
      <c r="AO171" s="167" t="s">
        <v>385</v>
      </c>
      <c r="AP171" s="167" t="s">
        <v>650</v>
      </c>
    </row>
    <row r="172" spans="1:42" ht="20.100000000000001" customHeight="1" thickBot="1">
      <c r="A172" s="45" t="s">
        <v>662</v>
      </c>
      <c r="B172" s="45" t="s">
        <v>147</v>
      </c>
      <c r="C172" s="45" t="s">
        <v>652</v>
      </c>
      <c r="E172" s="45">
        <f t="shared" si="48"/>
        <v>6</v>
      </c>
      <c r="F172" s="45">
        <f t="shared" si="49"/>
        <v>4</v>
      </c>
      <c r="G172" s="45" t="str">
        <f t="shared" si="50"/>
        <v>LS3</v>
      </c>
      <c r="H172" s="45" t="str">
        <f t="shared" si="51"/>
        <v>8E</v>
      </c>
      <c r="J172" s="45" t="str">
        <f t="shared" si="52"/>
        <v>8E</v>
      </c>
      <c r="K172" s="45" t="s">
        <v>130</v>
      </c>
      <c r="L172" s="45" t="str">
        <f t="shared" si="53"/>
        <v>LS3-8E@E</v>
      </c>
      <c r="M172" s="75" t="str">
        <f t="shared" si="46"/>
        <v>302, 305, 307, 306, M5, M6, 334, 332, 331, 318, 317, 316, 311, 303, 305, 302</v>
      </c>
      <c r="N172" s="75" t="str">
        <f t="shared" si="47"/>
        <v>05, 03, 10, 16</v>
      </c>
      <c r="R172" s="70" t="s">
        <v>531</v>
      </c>
      <c r="S172" s="70" t="s">
        <v>53</v>
      </c>
      <c r="T172" s="70" t="s">
        <v>370</v>
      </c>
      <c r="U172" s="70"/>
      <c r="V172" s="70"/>
      <c r="X172" s="70" t="str">
        <f t="shared" si="63"/>
        <v>LS3-E DT@E</v>
      </c>
      <c r="Y172" s="70" t="str">
        <f t="shared" si="64"/>
        <v>E DT-8E@E</v>
      </c>
      <c r="Z172" s="70" t="str">
        <f t="shared" si="65"/>
        <v/>
      </c>
      <c r="AA172" s="70" t="str">
        <f t="shared" si="66"/>
        <v/>
      </c>
      <c r="AC172" s="70" t="str">
        <f t="shared" si="54"/>
        <v>302, 305, 307, 306, M5, M6</v>
      </c>
      <c r="AD172" s="70" t="str">
        <f t="shared" si="55"/>
        <v>334, 332, 331, 318, 317, 316, 311, 303, 305, 302</v>
      </c>
      <c r="AE172" s="70" t="str">
        <f t="shared" si="56"/>
        <v/>
      </c>
      <c r="AF172" s="70" t="str">
        <f t="shared" si="57"/>
        <v/>
      </c>
      <c r="AH172" s="70" t="str">
        <f t="shared" si="58"/>
        <v>05</v>
      </c>
      <c r="AI172" s="70" t="str">
        <f t="shared" si="59"/>
        <v>03, 10, 16</v>
      </c>
      <c r="AJ172" s="70" t="str">
        <f t="shared" si="60"/>
        <v/>
      </c>
      <c r="AK172" s="70" t="str">
        <f t="shared" si="61"/>
        <v/>
      </c>
      <c r="AM172" s="166" t="str">
        <f t="shared" si="62"/>
        <v>E AV-RM2W</v>
      </c>
      <c r="AN172" s="171" t="s">
        <v>663</v>
      </c>
      <c r="AO172" s="167" t="s">
        <v>385</v>
      </c>
      <c r="AP172" s="167" t="s">
        <v>650</v>
      </c>
    </row>
    <row r="173" spans="1:42" ht="20.100000000000001" customHeight="1" thickBot="1">
      <c r="A173" s="45" t="s">
        <v>664</v>
      </c>
      <c r="B173" s="45" t="s">
        <v>374</v>
      </c>
      <c r="C173" s="45" t="s">
        <v>655</v>
      </c>
      <c r="E173" s="45">
        <f t="shared" si="48"/>
        <v>6</v>
      </c>
      <c r="F173" s="45">
        <f t="shared" si="49"/>
        <v>3</v>
      </c>
      <c r="G173" s="45" t="str">
        <f t="shared" si="50"/>
        <v>8E</v>
      </c>
      <c r="H173" s="45" t="str">
        <f t="shared" si="51"/>
        <v>LS3</v>
      </c>
      <c r="J173" s="45" t="str">
        <f t="shared" si="52"/>
        <v>LS3</v>
      </c>
      <c r="K173" s="45" t="s">
        <v>130</v>
      </c>
      <c r="L173" s="45" t="str">
        <f t="shared" si="53"/>
        <v>8E-LS3@E</v>
      </c>
      <c r="M173" s="75" t="str">
        <f t="shared" si="46"/>
        <v>334, 332, 331, 318, 317, 316, 311, 303, 305, 302, 302, 305, 307, 306, M5, M6</v>
      </c>
      <c r="N173" s="75" t="str">
        <f t="shared" si="47"/>
        <v>36, 04, 03</v>
      </c>
      <c r="R173" s="70" t="s">
        <v>370</v>
      </c>
      <c r="S173" s="70" t="s">
        <v>53</v>
      </c>
      <c r="T173" s="70" t="s">
        <v>531</v>
      </c>
      <c r="U173" s="70"/>
      <c r="V173" s="70"/>
      <c r="X173" s="70" t="str">
        <f t="shared" si="63"/>
        <v>8E-E DT@E</v>
      </c>
      <c r="Y173" s="70" t="str">
        <f t="shared" si="64"/>
        <v>E DT-LS3@E</v>
      </c>
      <c r="Z173" s="70" t="str">
        <f t="shared" si="65"/>
        <v/>
      </c>
      <c r="AA173" s="70" t="str">
        <f t="shared" si="66"/>
        <v/>
      </c>
      <c r="AC173" s="70" t="str">
        <f t="shared" si="54"/>
        <v>334, 332, 331, 318, 317, 316, 311, 303, 305, 302</v>
      </c>
      <c r="AD173" s="70" t="str">
        <f t="shared" si="55"/>
        <v>302, 305, 307, 306, M5, M6</v>
      </c>
      <c r="AE173" s="70" t="str">
        <f t="shared" si="56"/>
        <v/>
      </c>
      <c r="AF173" s="70" t="str">
        <f t="shared" si="57"/>
        <v/>
      </c>
      <c r="AH173" s="70" t="str">
        <f t="shared" si="58"/>
        <v>36, 04</v>
      </c>
      <c r="AI173" s="70" t="str">
        <f t="shared" si="59"/>
        <v>03</v>
      </c>
      <c r="AJ173" s="70" t="str">
        <f t="shared" si="60"/>
        <v/>
      </c>
      <c r="AK173" s="70" t="str">
        <f t="shared" si="61"/>
        <v/>
      </c>
      <c r="AM173" s="166" t="str">
        <f t="shared" si="62"/>
        <v>E AV-RM3E</v>
      </c>
      <c r="AN173" s="171" t="s">
        <v>665</v>
      </c>
      <c r="AO173" s="167" t="s">
        <v>385</v>
      </c>
      <c r="AP173" s="167" t="s">
        <v>650</v>
      </c>
    </row>
    <row r="174" spans="1:42" ht="20.100000000000001" customHeight="1" thickBot="1">
      <c r="A174" s="45" t="s">
        <v>666</v>
      </c>
      <c r="B174" s="45" t="s">
        <v>147</v>
      </c>
      <c r="C174" s="45" t="s">
        <v>652</v>
      </c>
      <c r="E174" s="45">
        <f t="shared" si="48"/>
        <v>6</v>
      </c>
      <c r="F174" s="45">
        <f t="shared" si="49"/>
        <v>4</v>
      </c>
      <c r="G174" s="45" t="str">
        <f t="shared" si="50"/>
        <v>LS3</v>
      </c>
      <c r="H174" s="45" t="str">
        <f t="shared" si="51"/>
        <v>8W</v>
      </c>
      <c r="J174" s="45" t="str">
        <f t="shared" si="52"/>
        <v>8W</v>
      </c>
      <c r="K174" s="45" t="s">
        <v>130</v>
      </c>
      <c r="L174" s="45" t="str">
        <f t="shared" si="53"/>
        <v>LS3-8W@E</v>
      </c>
      <c r="M174" s="75" t="str">
        <f t="shared" si="46"/>
        <v>302, 305, 307, 306, M5, M6, 334, 332, 331, 318, 317, 316, 311, 303, 305, 302</v>
      </c>
      <c r="N174" s="75" t="str">
        <f t="shared" si="47"/>
        <v>05, 03, 10, 16</v>
      </c>
      <c r="R174" s="70" t="s">
        <v>531</v>
      </c>
      <c r="S174" s="70" t="s">
        <v>53</v>
      </c>
      <c r="T174" s="70" t="s">
        <v>377</v>
      </c>
      <c r="U174" s="70"/>
      <c r="V174" s="70"/>
      <c r="X174" s="70" t="str">
        <f t="shared" si="63"/>
        <v>LS3-E DT@E</v>
      </c>
      <c r="Y174" s="70" t="str">
        <f t="shared" si="64"/>
        <v>E DT-8W@E</v>
      </c>
      <c r="Z174" s="70" t="str">
        <f t="shared" si="65"/>
        <v/>
      </c>
      <c r="AA174" s="70" t="str">
        <f t="shared" si="66"/>
        <v/>
      </c>
      <c r="AC174" s="70" t="str">
        <f t="shared" si="54"/>
        <v>302, 305, 307, 306, M5, M6</v>
      </c>
      <c r="AD174" s="70" t="str">
        <f t="shared" si="55"/>
        <v>334, 332, 331, 318, 317, 316, 311, 303, 305, 302</v>
      </c>
      <c r="AE174" s="70" t="str">
        <f t="shared" si="56"/>
        <v/>
      </c>
      <c r="AF174" s="70" t="str">
        <f t="shared" si="57"/>
        <v/>
      </c>
      <c r="AH174" s="70" t="str">
        <f t="shared" si="58"/>
        <v>05</v>
      </c>
      <c r="AI174" s="70" t="str">
        <f t="shared" si="59"/>
        <v>03, 10, 16</v>
      </c>
      <c r="AJ174" s="70" t="str">
        <f t="shared" si="60"/>
        <v/>
      </c>
      <c r="AK174" s="70" t="str">
        <f t="shared" si="61"/>
        <v/>
      </c>
      <c r="AM174" s="166" t="str">
        <f t="shared" si="62"/>
        <v>E AV-RM3W</v>
      </c>
      <c r="AN174" s="171" t="s">
        <v>667</v>
      </c>
      <c r="AO174" s="167" t="s">
        <v>385</v>
      </c>
      <c r="AP174" s="167" t="s">
        <v>650</v>
      </c>
    </row>
    <row r="175" spans="1:42" ht="20.100000000000001" customHeight="1" thickBot="1">
      <c r="A175" s="45" t="s">
        <v>668</v>
      </c>
      <c r="B175" s="45" t="s">
        <v>374</v>
      </c>
      <c r="C175" s="45" t="s">
        <v>655</v>
      </c>
      <c r="E175" s="45">
        <f t="shared" si="48"/>
        <v>6</v>
      </c>
      <c r="F175" s="45">
        <f t="shared" si="49"/>
        <v>3</v>
      </c>
      <c r="G175" s="45" t="str">
        <f t="shared" si="50"/>
        <v>8W</v>
      </c>
      <c r="H175" s="45" t="str">
        <f t="shared" si="51"/>
        <v>LS3</v>
      </c>
      <c r="J175" s="45" t="str">
        <f t="shared" si="52"/>
        <v>LS3</v>
      </c>
      <c r="K175" s="45" t="s">
        <v>130</v>
      </c>
      <c r="L175" s="45" t="str">
        <f t="shared" si="53"/>
        <v>8W-LS3@E</v>
      </c>
      <c r="M175" s="75" t="str">
        <f t="shared" si="46"/>
        <v>334, 332, 331, 318, 317, 316, 311, 303, 305, 302, 302, 305, 307, 306, M5, M6</v>
      </c>
      <c r="N175" s="75" t="str">
        <f t="shared" si="47"/>
        <v>36, 04, 03</v>
      </c>
      <c r="R175" s="70" t="s">
        <v>377</v>
      </c>
      <c r="S175" s="70" t="s">
        <v>53</v>
      </c>
      <c r="T175" s="70" t="s">
        <v>531</v>
      </c>
      <c r="U175" s="70"/>
      <c r="V175" s="70"/>
      <c r="X175" s="70" t="str">
        <f t="shared" si="63"/>
        <v>8W-E DT@E</v>
      </c>
      <c r="Y175" s="70" t="str">
        <f t="shared" si="64"/>
        <v>E DT-LS3@E</v>
      </c>
      <c r="Z175" s="70" t="str">
        <f t="shared" si="65"/>
        <v/>
      </c>
      <c r="AA175" s="70" t="str">
        <f t="shared" si="66"/>
        <v/>
      </c>
      <c r="AC175" s="70" t="str">
        <f t="shared" si="54"/>
        <v>334, 332, 331, 318, 317, 316, 311, 303, 305, 302</v>
      </c>
      <c r="AD175" s="70" t="str">
        <f t="shared" si="55"/>
        <v>302, 305, 307, 306, M5, M6</v>
      </c>
      <c r="AE175" s="70" t="str">
        <f t="shared" si="56"/>
        <v/>
      </c>
      <c r="AF175" s="70" t="str">
        <f t="shared" si="57"/>
        <v/>
      </c>
      <c r="AH175" s="70" t="str">
        <f t="shared" si="58"/>
        <v>36, 04</v>
      </c>
      <c r="AI175" s="70" t="str">
        <f t="shared" si="59"/>
        <v>03</v>
      </c>
      <c r="AJ175" s="70" t="str">
        <f t="shared" si="60"/>
        <v/>
      </c>
      <c r="AK175" s="70" t="str">
        <f t="shared" si="61"/>
        <v/>
      </c>
      <c r="AM175" s="166" t="str">
        <f t="shared" si="62"/>
        <v>E AV-HCTE</v>
      </c>
      <c r="AN175" s="171" t="s">
        <v>669</v>
      </c>
      <c r="AO175" s="167" t="s">
        <v>394</v>
      </c>
      <c r="AP175" s="167" t="s">
        <v>650</v>
      </c>
    </row>
    <row r="176" spans="1:42" ht="20.100000000000001" customHeight="1" thickBot="1">
      <c r="A176" s="45" t="s">
        <v>670</v>
      </c>
      <c r="B176" s="45" t="s">
        <v>147</v>
      </c>
      <c r="C176" s="45" t="s">
        <v>671</v>
      </c>
      <c r="E176" s="45">
        <f t="shared" si="48"/>
        <v>6</v>
      </c>
      <c r="F176" s="45">
        <f t="shared" si="49"/>
        <v>3</v>
      </c>
      <c r="G176" s="45" t="str">
        <f t="shared" si="50"/>
        <v>LB</v>
      </c>
      <c r="H176" s="45" t="str">
        <f t="shared" si="51"/>
        <v>LF3</v>
      </c>
      <c r="J176" s="45" t="str">
        <f t="shared" si="52"/>
        <v>LF3</v>
      </c>
      <c r="K176" s="45" t="s">
        <v>130</v>
      </c>
      <c r="L176" s="45" t="str">
        <f t="shared" si="53"/>
        <v>LB-LF3@E</v>
      </c>
      <c r="M176" s="75" t="str">
        <f t="shared" si="46"/>
        <v>302, 305, 307, 306, M5, 323, 322, 319, 316, 311, 303, 305, 302</v>
      </c>
      <c r="N176" s="75" t="str">
        <f t="shared" si="47"/>
        <v>05, 03, 10, 16</v>
      </c>
      <c r="R176" s="70" t="s">
        <v>672</v>
      </c>
      <c r="S176" s="70" t="s">
        <v>53</v>
      </c>
      <c r="T176" s="70" t="s">
        <v>82</v>
      </c>
      <c r="U176" s="70"/>
      <c r="V176" s="70"/>
      <c r="X176" s="70" t="str">
        <f t="shared" si="63"/>
        <v>LB-E DT@E</v>
      </c>
      <c r="Y176" s="70" t="str">
        <f t="shared" si="64"/>
        <v>E DT-LF3@E</v>
      </c>
      <c r="Z176" s="70" t="str">
        <f t="shared" si="65"/>
        <v/>
      </c>
      <c r="AA176" s="70" t="str">
        <f t="shared" si="66"/>
        <v/>
      </c>
      <c r="AC176" s="70" t="str">
        <f t="shared" si="54"/>
        <v>302, 305, 307, 306, M5</v>
      </c>
      <c r="AD176" s="70" t="str">
        <f t="shared" si="55"/>
        <v>323, 322, 319, 316, 311, 303, 305, 302</v>
      </c>
      <c r="AE176" s="70" t="str">
        <f t="shared" si="56"/>
        <v/>
      </c>
      <c r="AF176" s="70" t="str">
        <f t="shared" si="57"/>
        <v/>
      </c>
      <c r="AH176" s="70" t="str">
        <f t="shared" si="58"/>
        <v>05</v>
      </c>
      <c r="AI176" s="70" t="str">
        <f t="shared" si="59"/>
        <v>03, 10, 16</v>
      </c>
      <c r="AJ176" s="70" t="str">
        <f t="shared" si="60"/>
        <v/>
      </c>
      <c r="AK176" s="70" t="str">
        <f t="shared" si="61"/>
        <v/>
      </c>
      <c r="AM176" s="166" t="str">
        <f t="shared" si="62"/>
        <v>E AV-HCTW</v>
      </c>
      <c r="AN176" s="171" t="s">
        <v>673</v>
      </c>
      <c r="AO176" s="167" t="s">
        <v>394</v>
      </c>
      <c r="AP176" s="167" t="s">
        <v>650</v>
      </c>
    </row>
    <row r="177" spans="1:42" ht="20.100000000000001" customHeight="1" thickBot="1">
      <c r="A177" s="45" t="s">
        <v>674</v>
      </c>
      <c r="B177" s="45" t="s">
        <v>154</v>
      </c>
      <c r="C177" s="45" t="s">
        <v>675</v>
      </c>
      <c r="E177" s="45">
        <f t="shared" si="48"/>
        <v>6</v>
      </c>
      <c r="F177" s="45">
        <f t="shared" si="49"/>
        <v>4</v>
      </c>
      <c r="G177" s="45" t="str">
        <f t="shared" si="50"/>
        <v>LF3</v>
      </c>
      <c r="H177" s="45" t="str">
        <f t="shared" si="51"/>
        <v>LB</v>
      </c>
      <c r="J177" s="45" t="str">
        <f t="shared" si="52"/>
        <v>LB</v>
      </c>
      <c r="K177" s="45" t="s">
        <v>130</v>
      </c>
      <c r="L177" s="45" t="str">
        <f t="shared" si="53"/>
        <v>LF3-LB@E</v>
      </c>
      <c r="M177" s="75" t="str">
        <f t="shared" si="46"/>
        <v>323, 322, 319, 316, 311, 303, 305, 302, 302, 305, 307, 306, M5</v>
      </c>
      <c r="N177" s="75" t="str">
        <f t="shared" si="47"/>
        <v>20, 04, 03</v>
      </c>
      <c r="R177" s="70" t="s">
        <v>82</v>
      </c>
      <c r="S177" s="70" t="s">
        <v>53</v>
      </c>
      <c r="T177" s="70" t="s">
        <v>672</v>
      </c>
      <c r="U177" s="70"/>
      <c r="V177" s="70"/>
      <c r="X177" s="70" t="str">
        <f t="shared" si="63"/>
        <v>LF3-E DT@E</v>
      </c>
      <c r="Y177" s="70" t="str">
        <f t="shared" si="64"/>
        <v>E DT-LB@E</v>
      </c>
      <c r="Z177" s="70" t="str">
        <f t="shared" si="65"/>
        <v/>
      </c>
      <c r="AA177" s="70" t="str">
        <f t="shared" si="66"/>
        <v/>
      </c>
      <c r="AC177" s="70" t="str">
        <f t="shared" si="54"/>
        <v>323, 322, 319, 316, 311, 303, 305, 302</v>
      </c>
      <c r="AD177" s="70" t="str">
        <f t="shared" si="55"/>
        <v>302, 305, 307, 306, M5</v>
      </c>
      <c r="AE177" s="70" t="str">
        <f t="shared" si="56"/>
        <v/>
      </c>
      <c r="AF177" s="70" t="str">
        <f t="shared" si="57"/>
        <v/>
      </c>
      <c r="AH177" s="70" t="str">
        <f t="shared" si="58"/>
        <v>20, 04</v>
      </c>
      <c r="AI177" s="70" t="str">
        <f t="shared" si="59"/>
        <v>03</v>
      </c>
      <c r="AJ177" s="70" t="str">
        <f t="shared" si="60"/>
        <v/>
      </c>
      <c r="AK177" s="70" t="str">
        <f t="shared" si="61"/>
        <v/>
      </c>
      <c r="AM177" s="166" t="str">
        <f t="shared" si="62"/>
        <v>E AV-1E</v>
      </c>
      <c r="AN177" s="171" t="s">
        <v>676</v>
      </c>
      <c r="AO177" s="167" t="s">
        <v>394</v>
      </c>
      <c r="AP177" s="167" t="s">
        <v>650</v>
      </c>
    </row>
    <row r="178" spans="1:42" ht="20.100000000000001" customHeight="1" thickBot="1">
      <c r="A178" s="45" t="s">
        <v>677</v>
      </c>
      <c r="B178" s="45" t="s">
        <v>147</v>
      </c>
      <c r="C178" s="45" t="s">
        <v>671</v>
      </c>
      <c r="E178" s="45">
        <f t="shared" si="48"/>
        <v>6</v>
      </c>
      <c r="F178" s="45">
        <f t="shared" si="49"/>
        <v>3</v>
      </c>
      <c r="G178" s="45" t="str">
        <f t="shared" si="50"/>
        <v>LB</v>
      </c>
      <c r="H178" s="45" t="str">
        <f t="shared" si="51"/>
        <v>LF4</v>
      </c>
      <c r="J178" s="45" t="str">
        <f t="shared" si="52"/>
        <v>LF4</v>
      </c>
      <c r="K178" s="45" t="s">
        <v>130</v>
      </c>
      <c r="L178" s="45" t="str">
        <f t="shared" si="53"/>
        <v>LB-LF4@E</v>
      </c>
      <c r="M178" s="75" t="str">
        <f t="shared" si="46"/>
        <v>302, 305, 307, 306, M5, 302, 305, 303, 311, 316, 319, 322, 323</v>
      </c>
      <c r="N178" s="75" t="str">
        <f t="shared" si="47"/>
        <v>05, 03, 10, 16</v>
      </c>
      <c r="R178" s="70" t="s">
        <v>672</v>
      </c>
      <c r="S178" s="70" t="s">
        <v>53</v>
      </c>
      <c r="T178" s="70" t="s">
        <v>83</v>
      </c>
      <c r="U178" s="70"/>
      <c r="V178" s="70"/>
      <c r="X178" s="70" t="str">
        <f t="shared" si="63"/>
        <v>LB-E DT@E</v>
      </c>
      <c r="Y178" s="70" t="str">
        <f t="shared" si="64"/>
        <v>E DT-LF4@E</v>
      </c>
      <c r="Z178" s="70" t="str">
        <f t="shared" si="65"/>
        <v/>
      </c>
      <c r="AA178" s="70" t="str">
        <f t="shared" si="66"/>
        <v/>
      </c>
      <c r="AC178" s="70" t="str">
        <f t="shared" si="54"/>
        <v>302, 305, 307, 306, M5</v>
      </c>
      <c r="AD178" s="70" t="str">
        <f t="shared" si="55"/>
        <v>302, 305, 303, 311, 316, 319, 322, 323</v>
      </c>
      <c r="AE178" s="70" t="str">
        <f t="shared" si="56"/>
        <v/>
      </c>
      <c r="AF178" s="70" t="str">
        <f t="shared" si="57"/>
        <v/>
      </c>
      <c r="AH178" s="70" t="str">
        <f t="shared" si="58"/>
        <v>05</v>
      </c>
      <c r="AI178" s="70" t="str">
        <f t="shared" si="59"/>
        <v>03, 10, 16</v>
      </c>
      <c r="AJ178" s="70" t="str">
        <f t="shared" si="60"/>
        <v/>
      </c>
      <c r="AK178" s="70" t="str">
        <f t="shared" si="61"/>
        <v/>
      </c>
      <c r="AM178" s="166" t="str">
        <f t="shared" si="62"/>
        <v>E AV-1W</v>
      </c>
      <c r="AN178" s="171" t="s">
        <v>678</v>
      </c>
      <c r="AO178" s="167" t="s">
        <v>394</v>
      </c>
      <c r="AP178" s="167" t="s">
        <v>650</v>
      </c>
    </row>
    <row r="179" spans="1:42" ht="20.100000000000001" customHeight="1" thickBot="1">
      <c r="A179" s="45" t="s">
        <v>679</v>
      </c>
      <c r="B179" s="45" t="s">
        <v>165</v>
      </c>
      <c r="C179" s="45" t="s">
        <v>675</v>
      </c>
      <c r="E179" s="45">
        <f t="shared" si="48"/>
        <v>6</v>
      </c>
      <c r="F179" s="45">
        <f t="shared" si="49"/>
        <v>4</v>
      </c>
      <c r="G179" s="45" t="str">
        <f t="shared" si="50"/>
        <v>LF4</v>
      </c>
      <c r="H179" s="45" t="str">
        <f t="shared" si="51"/>
        <v>LB</v>
      </c>
      <c r="J179" s="45" t="str">
        <f t="shared" si="52"/>
        <v>LB</v>
      </c>
      <c r="K179" s="45" t="s">
        <v>130</v>
      </c>
      <c r="L179" s="45" t="str">
        <f t="shared" si="53"/>
        <v>LF4-LB@E</v>
      </c>
      <c r="M179" s="75" t="str">
        <f t="shared" si="46"/>
        <v>302, 305, 303, 311, 316, 319, 322, 323, 302, 305, 307, 306, M5</v>
      </c>
      <c r="N179" s="75" t="str">
        <f t="shared" si="47"/>
        <v>21, 04, 03</v>
      </c>
      <c r="R179" s="70" t="s">
        <v>83</v>
      </c>
      <c r="S179" s="70" t="s">
        <v>53</v>
      </c>
      <c r="T179" s="70" t="s">
        <v>672</v>
      </c>
      <c r="U179" s="70"/>
      <c r="V179" s="70"/>
      <c r="X179" s="70" t="str">
        <f t="shared" si="63"/>
        <v>LF4-E DT@E</v>
      </c>
      <c r="Y179" s="70" t="str">
        <f t="shared" si="64"/>
        <v>E DT-LB@E</v>
      </c>
      <c r="Z179" s="70" t="str">
        <f t="shared" si="65"/>
        <v/>
      </c>
      <c r="AA179" s="70" t="str">
        <f t="shared" si="66"/>
        <v/>
      </c>
      <c r="AC179" s="70" t="str">
        <f t="shared" si="54"/>
        <v>302, 305, 303, 311, 316, 319, 322, 323</v>
      </c>
      <c r="AD179" s="70" t="str">
        <f t="shared" si="55"/>
        <v>302, 305, 307, 306, M5</v>
      </c>
      <c r="AE179" s="70" t="str">
        <f t="shared" si="56"/>
        <v/>
      </c>
      <c r="AF179" s="70" t="str">
        <f t="shared" si="57"/>
        <v/>
      </c>
      <c r="AH179" s="70" t="str">
        <f t="shared" si="58"/>
        <v>21, 04</v>
      </c>
      <c r="AI179" s="70" t="str">
        <f t="shared" si="59"/>
        <v>03</v>
      </c>
      <c r="AJ179" s="70" t="str">
        <f t="shared" si="60"/>
        <v/>
      </c>
      <c r="AK179" s="70" t="str">
        <f t="shared" si="61"/>
        <v/>
      </c>
      <c r="AM179" s="166" t="str">
        <f t="shared" si="62"/>
        <v>E AV-2E</v>
      </c>
      <c r="AN179" s="171" t="s">
        <v>680</v>
      </c>
      <c r="AO179" s="167" t="s">
        <v>403</v>
      </c>
      <c r="AP179" s="167" t="s">
        <v>650</v>
      </c>
    </row>
    <row r="180" spans="1:42" ht="20.100000000000001" customHeight="1" thickBot="1">
      <c r="A180" s="45" t="s">
        <v>681</v>
      </c>
      <c r="B180" s="45" t="s">
        <v>147</v>
      </c>
      <c r="C180" s="45" t="s">
        <v>682</v>
      </c>
      <c r="E180" s="45">
        <f t="shared" si="48"/>
        <v>6</v>
      </c>
      <c r="F180" s="45">
        <f t="shared" si="49"/>
        <v>3</v>
      </c>
      <c r="G180" s="45" t="str">
        <f t="shared" si="50"/>
        <v>LB</v>
      </c>
      <c r="H180" s="45" t="str">
        <f t="shared" si="51"/>
        <v>HM1</v>
      </c>
      <c r="J180" s="45" t="str">
        <f t="shared" si="52"/>
        <v>HM1</v>
      </c>
      <c r="K180" s="45" t="s">
        <v>130</v>
      </c>
      <c r="L180" s="45" t="str">
        <f t="shared" si="53"/>
        <v>LB-HM1@E</v>
      </c>
      <c r="M180" s="75" t="str">
        <f t="shared" si="46"/>
        <v>302, 305, 307, 306, M5, 322, 319, 316, 311, 303, 305, 302</v>
      </c>
      <c r="N180" s="75" t="str">
        <f t="shared" si="47"/>
        <v>05, 03, 10, 16</v>
      </c>
      <c r="R180" s="70" t="s">
        <v>672</v>
      </c>
      <c r="S180" s="70" t="s">
        <v>53</v>
      </c>
      <c r="T180" s="70" t="s">
        <v>171</v>
      </c>
      <c r="U180" s="70"/>
      <c r="V180" s="70"/>
      <c r="X180" s="70" t="str">
        <f t="shared" si="63"/>
        <v>LB-E DT@E</v>
      </c>
      <c r="Y180" s="70" t="str">
        <f t="shared" si="64"/>
        <v>E DT-HM1@E</v>
      </c>
      <c r="Z180" s="70" t="str">
        <f t="shared" si="65"/>
        <v/>
      </c>
      <c r="AA180" s="70" t="str">
        <f t="shared" si="66"/>
        <v/>
      </c>
      <c r="AC180" s="70" t="str">
        <f t="shared" si="54"/>
        <v>302, 305, 307, 306, M5</v>
      </c>
      <c r="AD180" s="70" t="str">
        <f t="shared" si="55"/>
        <v>322, 319, 316, 311, 303, 305, 302</v>
      </c>
      <c r="AE180" s="70" t="str">
        <f t="shared" si="56"/>
        <v/>
      </c>
      <c r="AF180" s="70" t="str">
        <f t="shared" si="57"/>
        <v/>
      </c>
      <c r="AH180" s="70" t="str">
        <f t="shared" si="58"/>
        <v>05</v>
      </c>
      <c r="AI180" s="70" t="str">
        <f t="shared" si="59"/>
        <v>03, 10, 16</v>
      </c>
      <c r="AJ180" s="70" t="str">
        <f t="shared" si="60"/>
        <v/>
      </c>
      <c r="AK180" s="70" t="str">
        <f t="shared" si="61"/>
        <v/>
      </c>
      <c r="AM180" s="166" t="str">
        <f t="shared" si="62"/>
        <v>E AV-2W</v>
      </c>
      <c r="AN180" s="171" t="s">
        <v>683</v>
      </c>
      <c r="AO180" s="167" t="s">
        <v>403</v>
      </c>
      <c r="AP180" s="167" t="s">
        <v>650</v>
      </c>
    </row>
    <row r="181" spans="1:42" ht="20.100000000000001" customHeight="1" thickBot="1">
      <c r="A181" s="45" t="s">
        <v>684</v>
      </c>
      <c r="B181" s="45" t="s">
        <v>176</v>
      </c>
      <c r="C181" s="45" t="s">
        <v>685</v>
      </c>
      <c r="E181" s="45">
        <f t="shared" si="48"/>
        <v>6</v>
      </c>
      <c r="F181" s="45">
        <f t="shared" si="49"/>
        <v>4</v>
      </c>
      <c r="G181" s="45" t="str">
        <f t="shared" si="50"/>
        <v>HM1</v>
      </c>
      <c r="H181" s="45" t="str">
        <f t="shared" si="51"/>
        <v>LB</v>
      </c>
      <c r="J181" s="45" t="str">
        <f t="shared" si="52"/>
        <v>LB</v>
      </c>
      <c r="K181" s="45" t="s">
        <v>130</v>
      </c>
      <c r="L181" s="45" t="str">
        <f t="shared" si="53"/>
        <v>HM1-LB@E</v>
      </c>
      <c r="M181" s="75" t="str">
        <f t="shared" si="46"/>
        <v>322, 319, 316, 311, 303, 305, 302, 302, 305, 307, 306, M5</v>
      </c>
      <c r="N181" s="75" t="str">
        <f t="shared" si="47"/>
        <v>22, 04, 03</v>
      </c>
      <c r="R181" s="70" t="s">
        <v>171</v>
      </c>
      <c r="S181" s="70" t="s">
        <v>53</v>
      </c>
      <c r="T181" s="70" t="s">
        <v>672</v>
      </c>
      <c r="U181" s="70"/>
      <c r="V181" s="70"/>
      <c r="X181" s="70" t="str">
        <f t="shared" si="63"/>
        <v>HM1-E DT@E</v>
      </c>
      <c r="Y181" s="70" t="str">
        <f t="shared" si="64"/>
        <v>E DT-LB@E</v>
      </c>
      <c r="Z181" s="70" t="str">
        <f t="shared" si="65"/>
        <v/>
      </c>
      <c r="AA181" s="70" t="str">
        <f t="shared" si="66"/>
        <v/>
      </c>
      <c r="AC181" s="70" t="str">
        <f t="shared" si="54"/>
        <v>322, 319, 316, 311, 303, 305, 302</v>
      </c>
      <c r="AD181" s="70" t="str">
        <f t="shared" si="55"/>
        <v>302, 305, 307, 306, M5</v>
      </c>
      <c r="AE181" s="70" t="str">
        <f t="shared" si="56"/>
        <v/>
      </c>
      <c r="AF181" s="70" t="str">
        <f t="shared" si="57"/>
        <v/>
      </c>
      <c r="AH181" s="70" t="str">
        <f t="shared" si="58"/>
        <v>22, 04</v>
      </c>
      <c r="AI181" s="70" t="str">
        <f t="shared" si="59"/>
        <v>03</v>
      </c>
      <c r="AJ181" s="70" t="str">
        <f t="shared" si="60"/>
        <v/>
      </c>
      <c r="AK181" s="70" t="str">
        <f t="shared" si="61"/>
        <v/>
      </c>
      <c r="AM181" s="166" t="str">
        <f t="shared" si="62"/>
        <v>E AV-3E</v>
      </c>
      <c r="AN181" s="171" t="s">
        <v>686</v>
      </c>
      <c r="AO181" s="167" t="s">
        <v>403</v>
      </c>
      <c r="AP181" s="167" t="s">
        <v>650</v>
      </c>
    </row>
    <row r="182" spans="1:42" ht="20.100000000000001" customHeight="1" thickBot="1">
      <c r="A182" s="45" t="s">
        <v>687</v>
      </c>
      <c r="B182" s="45" t="s">
        <v>147</v>
      </c>
      <c r="C182" s="45" t="s">
        <v>688</v>
      </c>
      <c r="E182" s="45">
        <f t="shared" si="48"/>
        <v>6</v>
      </c>
      <c r="F182" s="45">
        <f t="shared" si="49"/>
        <v>3</v>
      </c>
      <c r="G182" s="45" t="str">
        <f t="shared" si="50"/>
        <v>LB</v>
      </c>
      <c r="H182" s="45" t="str">
        <f t="shared" si="51"/>
        <v>HM2</v>
      </c>
      <c r="J182" s="45" t="str">
        <f t="shared" si="52"/>
        <v>HM2</v>
      </c>
      <c r="K182" s="45" t="s">
        <v>130</v>
      </c>
      <c r="L182" s="45" t="str">
        <f t="shared" si="53"/>
        <v>LB-HM2@E</v>
      </c>
      <c r="M182" s="75" t="str">
        <f t="shared" si="46"/>
        <v>302, 305, 307, 306, M5, 324, 319, 316, 311, 303, 305, 302</v>
      </c>
      <c r="N182" s="75" t="str">
        <f t="shared" si="47"/>
        <v>05, 03, 10, 16</v>
      </c>
      <c r="R182" s="70" t="s">
        <v>672</v>
      </c>
      <c r="S182" s="70" t="s">
        <v>53</v>
      </c>
      <c r="T182" s="70" t="s">
        <v>182</v>
      </c>
      <c r="U182" s="70"/>
      <c r="V182" s="70"/>
      <c r="X182" s="70" t="str">
        <f t="shared" si="63"/>
        <v>LB-E DT@E</v>
      </c>
      <c r="Y182" s="70" t="str">
        <f t="shared" si="64"/>
        <v>E DT-HM2@E</v>
      </c>
      <c r="Z182" s="70" t="str">
        <f t="shared" si="65"/>
        <v/>
      </c>
      <c r="AA182" s="70" t="str">
        <f t="shared" si="66"/>
        <v/>
      </c>
      <c r="AC182" s="70" t="str">
        <f t="shared" si="54"/>
        <v>302, 305, 307, 306, M5</v>
      </c>
      <c r="AD182" s="70" t="str">
        <f t="shared" si="55"/>
        <v>324, 319, 316, 311, 303, 305, 302</v>
      </c>
      <c r="AE182" s="70" t="str">
        <f t="shared" si="56"/>
        <v/>
      </c>
      <c r="AF182" s="70" t="str">
        <f t="shared" si="57"/>
        <v/>
      </c>
      <c r="AH182" s="70" t="str">
        <f t="shared" si="58"/>
        <v>05</v>
      </c>
      <c r="AI182" s="70" t="str">
        <f t="shared" si="59"/>
        <v>03, 10, 16</v>
      </c>
      <c r="AJ182" s="70" t="str">
        <f t="shared" si="60"/>
        <v/>
      </c>
      <c r="AK182" s="70" t="str">
        <f t="shared" si="61"/>
        <v/>
      </c>
      <c r="AM182" s="166" t="str">
        <f t="shared" si="62"/>
        <v>E AV-3W</v>
      </c>
      <c r="AN182" s="171" t="s">
        <v>689</v>
      </c>
      <c r="AO182" s="167" t="s">
        <v>403</v>
      </c>
      <c r="AP182" s="167" t="s">
        <v>650</v>
      </c>
    </row>
    <row r="183" spans="1:42" ht="20.100000000000001" customHeight="1" thickBot="1">
      <c r="A183" s="45" t="s">
        <v>690</v>
      </c>
      <c r="B183" s="45" t="s">
        <v>187</v>
      </c>
      <c r="C183" s="45" t="s">
        <v>691</v>
      </c>
      <c r="E183" s="45">
        <f t="shared" si="48"/>
        <v>6</v>
      </c>
      <c r="F183" s="45">
        <f t="shared" si="49"/>
        <v>4</v>
      </c>
      <c r="G183" s="45" t="str">
        <f t="shared" si="50"/>
        <v>HM2</v>
      </c>
      <c r="H183" s="45" t="str">
        <f t="shared" si="51"/>
        <v>LB</v>
      </c>
      <c r="J183" s="45" t="str">
        <f t="shared" si="52"/>
        <v>LB</v>
      </c>
      <c r="K183" s="45" t="s">
        <v>130</v>
      </c>
      <c r="L183" s="45" t="str">
        <f t="shared" si="53"/>
        <v>HM2-LB@E</v>
      </c>
      <c r="M183" s="75" t="str">
        <f t="shared" si="46"/>
        <v>324, 319, 316, 311, 303, 305, 302, 302, 305, 307, 306, M5</v>
      </c>
      <c r="N183" s="75" t="str">
        <f t="shared" si="47"/>
        <v>23, 04, 03</v>
      </c>
      <c r="R183" s="70" t="s">
        <v>182</v>
      </c>
      <c r="S183" s="70" t="s">
        <v>53</v>
      </c>
      <c r="T183" s="70" t="s">
        <v>672</v>
      </c>
      <c r="U183" s="70"/>
      <c r="V183" s="70"/>
      <c r="X183" s="70" t="str">
        <f t="shared" si="63"/>
        <v>HM2-E DT@E</v>
      </c>
      <c r="Y183" s="70" t="str">
        <f t="shared" si="64"/>
        <v>E DT-LB@E</v>
      </c>
      <c r="Z183" s="70" t="str">
        <f t="shared" si="65"/>
        <v/>
      </c>
      <c r="AA183" s="70" t="str">
        <f t="shared" si="66"/>
        <v/>
      </c>
      <c r="AC183" s="70" t="str">
        <f t="shared" si="54"/>
        <v>324, 319, 316, 311, 303, 305, 302</v>
      </c>
      <c r="AD183" s="70" t="str">
        <f t="shared" si="55"/>
        <v>302, 305, 307, 306, M5</v>
      </c>
      <c r="AE183" s="70" t="str">
        <f t="shared" si="56"/>
        <v/>
      </c>
      <c r="AF183" s="70" t="str">
        <f t="shared" si="57"/>
        <v/>
      </c>
      <c r="AH183" s="70" t="str">
        <f t="shared" si="58"/>
        <v>23, 04</v>
      </c>
      <c r="AI183" s="70" t="str">
        <f t="shared" si="59"/>
        <v>03</v>
      </c>
      <c r="AJ183" s="70" t="str">
        <f t="shared" si="60"/>
        <v/>
      </c>
      <c r="AK183" s="70" t="str">
        <f t="shared" si="61"/>
        <v/>
      </c>
      <c r="AM183" s="166" t="str">
        <f t="shared" si="62"/>
        <v>E AV-4E</v>
      </c>
      <c r="AN183" s="171" t="s">
        <v>692</v>
      </c>
      <c r="AO183" s="167" t="s">
        <v>412</v>
      </c>
      <c r="AP183" s="167" t="s">
        <v>650</v>
      </c>
    </row>
    <row r="184" spans="1:42" ht="20.100000000000001" customHeight="1" thickBot="1">
      <c r="A184" s="45" t="s">
        <v>693</v>
      </c>
      <c r="B184" s="45" t="s">
        <v>147</v>
      </c>
      <c r="C184" s="45" t="s">
        <v>688</v>
      </c>
      <c r="E184" s="45">
        <f t="shared" si="48"/>
        <v>6</v>
      </c>
      <c r="F184" s="45">
        <f t="shared" si="49"/>
        <v>3</v>
      </c>
      <c r="G184" s="45" t="str">
        <f t="shared" si="50"/>
        <v>LB</v>
      </c>
      <c r="H184" s="45" t="str">
        <f t="shared" si="51"/>
        <v>HM3</v>
      </c>
      <c r="J184" s="45" t="str">
        <f t="shared" si="52"/>
        <v>HM3</v>
      </c>
      <c r="K184" s="45" t="s">
        <v>130</v>
      </c>
      <c r="L184" s="45" t="str">
        <f t="shared" si="53"/>
        <v>LB-HM3@E</v>
      </c>
      <c r="M184" s="75" t="str">
        <f t="shared" si="46"/>
        <v>302, 305, 307, 306, M5, 324, 319, 316, 311, 303, 305, 302</v>
      </c>
      <c r="N184" s="75" t="str">
        <f t="shared" si="47"/>
        <v>05, 03, 10, 16</v>
      </c>
      <c r="R184" s="70" t="s">
        <v>672</v>
      </c>
      <c r="S184" s="70" t="s">
        <v>53</v>
      </c>
      <c r="T184" s="70" t="s">
        <v>191</v>
      </c>
      <c r="U184" s="70"/>
      <c r="V184" s="70"/>
      <c r="X184" s="70" t="str">
        <f t="shared" si="63"/>
        <v>LB-E DT@E</v>
      </c>
      <c r="Y184" s="70" t="str">
        <f t="shared" si="64"/>
        <v>E DT-HM3@E</v>
      </c>
      <c r="Z184" s="70" t="str">
        <f t="shared" si="65"/>
        <v/>
      </c>
      <c r="AA184" s="70" t="str">
        <f t="shared" si="66"/>
        <v/>
      </c>
      <c r="AC184" s="70" t="str">
        <f t="shared" si="54"/>
        <v>302, 305, 307, 306, M5</v>
      </c>
      <c r="AD184" s="70" t="str">
        <f t="shared" si="55"/>
        <v>324, 319, 316, 311, 303, 305, 302</v>
      </c>
      <c r="AE184" s="70" t="str">
        <f t="shared" si="56"/>
        <v/>
      </c>
      <c r="AF184" s="70" t="str">
        <f t="shared" si="57"/>
        <v/>
      </c>
      <c r="AH184" s="70" t="str">
        <f t="shared" si="58"/>
        <v>05</v>
      </c>
      <c r="AI184" s="70" t="str">
        <f t="shared" si="59"/>
        <v>03, 10, 16</v>
      </c>
      <c r="AJ184" s="70" t="str">
        <f t="shared" si="60"/>
        <v/>
      </c>
      <c r="AK184" s="70" t="str">
        <f t="shared" si="61"/>
        <v/>
      </c>
      <c r="AM184" s="166" t="str">
        <f t="shared" si="62"/>
        <v>E AV-4W</v>
      </c>
      <c r="AN184" s="171" t="s">
        <v>694</v>
      </c>
      <c r="AO184" s="167" t="s">
        <v>412</v>
      </c>
      <c r="AP184" s="167" t="s">
        <v>650</v>
      </c>
    </row>
    <row r="185" spans="1:42" ht="20.100000000000001" customHeight="1" thickBot="1">
      <c r="A185" s="45" t="s">
        <v>695</v>
      </c>
      <c r="B185" s="45" t="s">
        <v>196</v>
      </c>
      <c r="C185" s="45" t="s">
        <v>691</v>
      </c>
      <c r="E185" s="45">
        <f t="shared" si="48"/>
        <v>6</v>
      </c>
      <c r="F185" s="45">
        <f t="shared" si="49"/>
        <v>4</v>
      </c>
      <c r="G185" s="45" t="str">
        <f t="shared" si="50"/>
        <v>HM3</v>
      </c>
      <c r="H185" s="45" t="str">
        <f t="shared" si="51"/>
        <v>LB</v>
      </c>
      <c r="J185" s="45" t="str">
        <f t="shared" si="52"/>
        <v>LB</v>
      </c>
      <c r="K185" s="45" t="s">
        <v>130</v>
      </c>
      <c r="L185" s="45" t="str">
        <f t="shared" si="53"/>
        <v>HM3-LB@E</v>
      </c>
      <c r="M185" s="75" t="str">
        <f t="shared" si="46"/>
        <v>324, 319, 316, 311, 303, 305, 302, 302, 305, 307, 306, M5</v>
      </c>
      <c r="N185" s="75" t="str">
        <f t="shared" si="47"/>
        <v>24,04, 03</v>
      </c>
      <c r="R185" s="70" t="s">
        <v>191</v>
      </c>
      <c r="S185" s="70" t="s">
        <v>53</v>
      </c>
      <c r="T185" s="70" t="s">
        <v>672</v>
      </c>
      <c r="U185" s="70"/>
      <c r="V185" s="70"/>
      <c r="X185" s="70" t="str">
        <f t="shared" si="63"/>
        <v>HM3-E DT@E</v>
      </c>
      <c r="Y185" s="70" t="str">
        <f t="shared" si="64"/>
        <v>E DT-LB@E</v>
      </c>
      <c r="Z185" s="70" t="str">
        <f t="shared" si="65"/>
        <v/>
      </c>
      <c r="AA185" s="70" t="str">
        <f t="shared" si="66"/>
        <v/>
      </c>
      <c r="AC185" s="70" t="str">
        <f t="shared" si="54"/>
        <v>324, 319, 316, 311, 303, 305, 302</v>
      </c>
      <c r="AD185" s="70" t="str">
        <f t="shared" si="55"/>
        <v>302, 305, 307, 306, M5</v>
      </c>
      <c r="AE185" s="70" t="str">
        <f t="shared" si="56"/>
        <v/>
      </c>
      <c r="AF185" s="70" t="str">
        <f t="shared" si="57"/>
        <v/>
      </c>
      <c r="AH185" s="70" t="str">
        <f t="shared" si="58"/>
        <v>24,04</v>
      </c>
      <c r="AI185" s="70" t="str">
        <f t="shared" si="59"/>
        <v>03</v>
      </c>
      <c r="AJ185" s="70" t="str">
        <f t="shared" si="60"/>
        <v/>
      </c>
      <c r="AK185" s="70" t="str">
        <f t="shared" si="61"/>
        <v/>
      </c>
      <c r="AM185" s="166" t="str">
        <f t="shared" si="62"/>
        <v>E AV-5E</v>
      </c>
      <c r="AN185" s="171" t="s">
        <v>696</v>
      </c>
      <c r="AO185" s="167" t="s">
        <v>412</v>
      </c>
      <c r="AP185" s="167" t="s">
        <v>650</v>
      </c>
    </row>
    <row r="186" spans="1:42" ht="20.100000000000001" customHeight="1" thickBot="1">
      <c r="A186" s="45" t="s">
        <v>697</v>
      </c>
      <c r="B186" s="45" t="s">
        <v>147</v>
      </c>
      <c r="C186" s="45" t="s">
        <v>698</v>
      </c>
      <c r="E186" s="45">
        <f t="shared" si="48"/>
        <v>7</v>
      </c>
      <c r="F186" s="45">
        <f t="shared" si="49"/>
        <v>3</v>
      </c>
      <c r="G186" s="45" t="str">
        <f t="shared" si="50"/>
        <v>LB</v>
      </c>
      <c r="H186" s="45" t="str">
        <f t="shared" si="51"/>
        <v>RM1E</v>
      </c>
      <c r="J186" s="45" t="str">
        <f t="shared" si="52"/>
        <v>RM1E</v>
      </c>
      <c r="K186" s="45" t="s">
        <v>130</v>
      </c>
      <c r="L186" s="45" t="str">
        <f t="shared" si="53"/>
        <v>LB-RM1E@E</v>
      </c>
      <c r="M186" s="75" t="str">
        <f t="shared" si="46"/>
        <v>302, 305, 307, 306, M5, 302, 305, 303, 311, 316, 319, 324</v>
      </c>
      <c r="N186" s="75" t="str">
        <f t="shared" si="47"/>
        <v>05, 03, 10, 16</v>
      </c>
      <c r="R186" s="70" t="s">
        <v>672</v>
      </c>
      <c r="S186" s="70" t="s">
        <v>53</v>
      </c>
      <c r="T186" s="70" t="s">
        <v>200</v>
      </c>
      <c r="U186" s="70"/>
      <c r="V186" s="70"/>
      <c r="X186" s="70" t="str">
        <f t="shared" si="63"/>
        <v>LB-E DT@E</v>
      </c>
      <c r="Y186" s="70" t="str">
        <f t="shared" si="64"/>
        <v>E DT-RM1E@E</v>
      </c>
      <c r="Z186" s="70" t="str">
        <f t="shared" si="65"/>
        <v/>
      </c>
      <c r="AA186" s="70" t="str">
        <f t="shared" si="66"/>
        <v/>
      </c>
      <c r="AC186" s="70" t="str">
        <f t="shared" si="54"/>
        <v>302, 305, 307, 306, M5</v>
      </c>
      <c r="AD186" s="70" t="str">
        <f t="shared" si="55"/>
        <v>302, 305, 303, 311, 316, 319, 324</v>
      </c>
      <c r="AE186" s="70" t="str">
        <f t="shared" si="56"/>
        <v/>
      </c>
      <c r="AF186" s="70" t="str">
        <f t="shared" si="57"/>
        <v/>
      </c>
      <c r="AH186" s="70" t="str">
        <f t="shared" si="58"/>
        <v>05</v>
      </c>
      <c r="AI186" s="70" t="str">
        <f t="shared" si="59"/>
        <v>03, 10, 16</v>
      </c>
      <c r="AJ186" s="70" t="str">
        <f t="shared" si="60"/>
        <v/>
      </c>
      <c r="AK186" s="70" t="str">
        <f t="shared" si="61"/>
        <v/>
      </c>
      <c r="AM186" s="166" t="str">
        <f t="shared" si="62"/>
        <v>E AV-5W</v>
      </c>
      <c r="AN186" s="171" t="s">
        <v>699</v>
      </c>
      <c r="AO186" s="167" t="s">
        <v>412</v>
      </c>
      <c r="AP186" s="167" t="s">
        <v>650</v>
      </c>
    </row>
    <row r="187" spans="1:42" ht="20.100000000000001" customHeight="1" thickBot="1">
      <c r="A187" s="45" t="s">
        <v>700</v>
      </c>
      <c r="B187" s="45" t="s">
        <v>204</v>
      </c>
      <c r="C187" s="45" t="s">
        <v>701</v>
      </c>
      <c r="E187" s="45">
        <f t="shared" si="48"/>
        <v>7</v>
      </c>
      <c r="F187" s="45">
        <f t="shared" si="49"/>
        <v>5</v>
      </c>
      <c r="G187" s="45" t="str">
        <f t="shared" si="50"/>
        <v>RM1E</v>
      </c>
      <c r="H187" s="45" t="str">
        <f t="shared" si="51"/>
        <v>LB</v>
      </c>
      <c r="J187" s="45" t="str">
        <f t="shared" si="52"/>
        <v>LB</v>
      </c>
      <c r="K187" s="45" t="s">
        <v>130</v>
      </c>
      <c r="L187" s="45" t="str">
        <f t="shared" si="53"/>
        <v>RM1E-LB@E</v>
      </c>
      <c r="M187" s="75" t="str">
        <f t="shared" si="46"/>
        <v>302, 305, 303, 311, 316, 319, 324, 302, 305, 307, 306, M5</v>
      </c>
      <c r="N187" s="75" t="str">
        <f t="shared" si="47"/>
        <v>25, 04, 03</v>
      </c>
      <c r="R187" s="70" t="s">
        <v>200</v>
      </c>
      <c r="S187" s="70" t="s">
        <v>53</v>
      </c>
      <c r="T187" s="70" t="s">
        <v>672</v>
      </c>
      <c r="U187" s="70"/>
      <c r="V187" s="70"/>
      <c r="X187" s="70" t="str">
        <f t="shared" si="63"/>
        <v>RM1E-E DT@E</v>
      </c>
      <c r="Y187" s="70" t="str">
        <f t="shared" si="64"/>
        <v>E DT-LB@E</v>
      </c>
      <c r="Z187" s="70" t="str">
        <f t="shared" si="65"/>
        <v/>
      </c>
      <c r="AA187" s="70" t="str">
        <f t="shared" si="66"/>
        <v/>
      </c>
      <c r="AC187" s="70" t="str">
        <f t="shared" si="54"/>
        <v>302, 305, 303, 311, 316, 319, 324</v>
      </c>
      <c r="AD187" s="70" t="str">
        <f t="shared" si="55"/>
        <v>302, 305, 307, 306, M5</v>
      </c>
      <c r="AE187" s="70" t="str">
        <f t="shared" si="56"/>
        <v/>
      </c>
      <c r="AF187" s="70" t="str">
        <f t="shared" si="57"/>
        <v/>
      </c>
      <c r="AH187" s="70" t="str">
        <f t="shared" si="58"/>
        <v>25, 04</v>
      </c>
      <c r="AI187" s="70" t="str">
        <f t="shared" si="59"/>
        <v>03</v>
      </c>
      <c r="AJ187" s="70" t="str">
        <f t="shared" si="60"/>
        <v/>
      </c>
      <c r="AK187" s="70" t="str">
        <f t="shared" si="61"/>
        <v/>
      </c>
      <c r="AM187" s="166" t="str">
        <f t="shared" si="62"/>
        <v>E AV-6E</v>
      </c>
      <c r="AN187" s="171" t="s">
        <v>702</v>
      </c>
      <c r="AO187" s="167" t="s">
        <v>421</v>
      </c>
      <c r="AP187" s="167" t="s">
        <v>650</v>
      </c>
    </row>
    <row r="188" spans="1:42" ht="20.100000000000001" customHeight="1" thickBot="1">
      <c r="A188" s="45" t="s">
        <v>703</v>
      </c>
      <c r="B188" s="45" t="s">
        <v>147</v>
      </c>
      <c r="C188" s="45" t="s">
        <v>698</v>
      </c>
      <c r="E188" s="45">
        <f t="shared" si="48"/>
        <v>7</v>
      </c>
      <c r="F188" s="45">
        <f t="shared" si="49"/>
        <v>3</v>
      </c>
      <c r="G188" s="45" t="str">
        <f t="shared" si="50"/>
        <v>LB</v>
      </c>
      <c r="H188" s="45" t="str">
        <f t="shared" si="51"/>
        <v>RM1W</v>
      </c>
      <c r="J188" s="45" t="str">
        <f t="shared" si="52"/>
        <v>RM1W</v>
      </c>
      <c r="K188" s="45" t="s">
        <v>130</v>
      </c>
      <c r="L188" s="45" t="str">
        <f t="shared" si="53"/>
        <v>LB-RM1W@E</v>
      </c>
      <c r="M188" s="75" t="str">
        <f t="shared" si="46"/>
        <v>302, 305, 307, 306, M5, 302, 305, 303, 311, 316, 319, 324</v>
      </c>
      <c r="N188" s="75" t="str">
        <f t="shared" si="47"/>
        <v>05, 03, 10, 16</v>
      </c>
      <c r="R188" s="70" t="s">
        <v>672</v>
      </c>
      <c r="S188" s="70" t="s">
        <v>53</v>
      </c>
      <c r="T188" s="70" t="s">
        <v>208</v>
      </c>
      <c r="U188" s="70"/>
      <c r="V188" s="70"/>
      <c r="X188" s="70" t="str">
        <f t="shared" si="63"/>
        <v>LB-E DT@E</v>
      </c>
      <c r="Y188" s="70" t="str">
        <f t="shared" si="64"/>
        <v>E DT-RM1W@E</v>
      </c>
      <c r="Z188" s="70" t="str">
        <f t="shared" si="65"/>
        <v/>
      </c>
      <c r="AA188" s="70" t="str">
        <f t="shared" si="66"/>
        <v/>
      </c>
      <c r="AC188" s="70" t="str">
        <f t="shared" si="54"/>
        <v>302, 305, 307, 306, M5</v>
      </c>
      <c r="AD188" s="70" t="str">
        <f t="shared" si="55"/>
        <v>302, 305, 303, 311, 316, 319, 324</v>
      </c>
      <c r="AE188" s="70" t="str">
        <f t="shared" si="56"/>
        <v/>
      </c>
      <c r="AF188" s="70" t="str">
        <f t="shared" si="57"/>
        <v/>
      </c>
      <c r="AH188" s="70" t="str">
        <f t="shared" si="58"/>
        <v>05</v>
      </c>
      <c r="AI188" s="70" t="str">
        <f t="shared" si="59"/>
        <v>03, 10, 16</v>
      </c>
      <c r="AJ188" s="70" t="str">
        <f t="shared" si="60"/>
        <v/>
      </c>
      <c r="AK188" s="70" t="str">
        <f t="shared" si="61"/>
        <v/>
      </c>
      <c r="AM188" s="166" t="str">
        <f t="shared" si="62"/>
        <v>E AV-6W</v>
      </c>
      <c r="AN188" s="171" t="s">
        <v>704</v>
      </c>
      <c r="AO188" s="167" t="s">
        <v>421</v>
      </c>
      <c r="AP188" s="167" t="s">
        <v>650</v>
      </c>
    </row>
    <row r="189" spans="1:42" ht="20.100000000000001" customHeight="1" thickBot="1">
      <c r="A189" s="45" t="s">
        <v>705</v>
      </c>
      <c r="B189" s="45" t="s">
        <v>204</v>
      </c>
      <c r="C189" s="45" t="s">
        <v>701</v>
      </c>
      <c r="E189" s="45">
        <f t="shared" si="48"/>
        <v>7</v>
      </c>
      <c r="F189" s="45">
        <f t="shared" si="49"/>
        <v>5</v>
      </c>
      <c r="G189" s="45" t="str">
        <f t="shared" si="50"/>
        <v>RM1W</v>
      </c>
      <c r="H189" s="45" t="str">
        <f t="shared" si="51"/>
        <v>LB</v>
      </c>
      <c r="J189" s="45" t="str">
        <f t="shared" si="52"/>
        <v>LB</v>
      </c>
      <c r="K189" s="45" t="s">
        <v>130</v>
      </c>
      <c r="L189" s="45" t="str">
        <f t="shared" si="53"/>
        <v>RM1W-LB@E</v>
      </c>
      <c r="M189" s="75" t="str">
        <f t="shared" si="46"/>
        <v>302, 305, 303, 311, 316, 319, 324, 302, 305, 307, 306, M5</v>
      </c>
      <c r="N189" s="75" t="str">
        <f t="shared" si="47"/>
        <v>25, 04, 03</v>
      </c>
      <c r="R189" s="70" t="s">
        <v>208</v>
      </c>
      <c r="S189" s="70" t="s">
        <v>53</v>
      </c>
      <c r="T189" s="70" t="s">
        <v>672</v>
      </c>
      <c r="U189" s="70"/>
      <c r="V189" s="70"/>
      <c r="X189" s="70" t="str">
        <f t="shared" si="63"/>
        <v>RM1W-E DT@E</v>
      </c>
      <c r="Y189" s="70" t="str">
        <f t="shared" si="64"/>
        <v>E DT-LB@E</v>
      </c>
      <c r="Z189" s="70" t="str">
        <f t="shared" si="65"/>
        <v/>
      </c>
      <c r="AA189" s="70" t="str">
        <f t="shared" si="66"/>
        <v/>
      </c>
      <c r="AC189" s="70" t="str">
        <f t="shared" si="54"/>
        <v>302, 305, 303, 311, 316, 319, 324</v>
      </c>
      <c r="AD189" s="70" t="str">
        <f t="shared" si="55"/>
        <v>302, 305, 307, 306, M5</v>
      </c>
      <c r="AE189" s="70" t="str">
        <f t="shared" si="56"/>
        <v/>
      </c>
      <c r="AF189" s="70" t="str">
        <f t="shared" si="57"/>
        <v/>
      </c>
      <c r="AH189" s="70" t="str">
        <f t="shared" si="58"/>
        <v>25, 04</v>
      </c>
      <c r="AI189" s="70" t="str">
        <f t="shared" si="59"/>
        <v>03</v>
      </c>
      <c r="AJ189" s="70" t="str">
        <f t="shared" si="60"/>
        <v/>
      </c>
      <c r="AK189" s="70" t="str">
        <f t="shared" si="61"/>
        <v/>
      </c>
      <c r="AM189" s="166" t="str">
        <f t="shared" si="62"/>
        <v>E AV-7E</v>
      </c>
      <c r="AN189" s="171" t="s">
        <v>706</v>
      </c>
      <c r="AO189" s="167" t="s">
        <v>426</v>
      </c>
      <c r="AP189" s="167" t="s">
        <v>650</v>
      </c>
    </row>
    <row r="190" spans="1:42" ht="20.100000000000001" customHeight="1" thickBot="1">
      <c r="A190" s="45" t="s">
        <v>707</v>
      </c>
      <c r="B190" s="45" t="s">
        <v>147</v>
      </c>
      <c r="C190" s="45" t="s">
        <v>708</v>
      </c>
      <c r="E190" s="45">
        <f t="shared" si="48"/>
        <v>7</v>
      </c>
      <c r="F190" s="45">
        <f t="shared" si="49"/>
        <v>3</v>
      </c>
      <c r="G190" s="45" t="str">
        <f t="shared" si="50"/>
        <v>LB</v>
      </c>
      <c r="H190" s="45" t="str">
        <f t="shared" si="51"/>
        <v>RM2E</v>
      </c>
      <c r="J190" s="45" t="str">
        <f t="shared" si="52"/>
        <v>RM2E</v>
      </c>
      <c r="K190" s="45" t="s">
        <v>130</v>
      </c>
      <c r="L190" s="45" t="str">
        <f t="shared" si="53"/>
        <v>LB-RM2E@E</v>
      </c>
      <c r="M190" s="75" t="str">
        <f t="shared" si="46"/>
        <v>302, 305, 307, 306, M5, 327, 326, 325, 318, 317, 316, 311, 303, 305, 302</v>
      </c>
      <c r="N190" s="75" t="str">
        <f t="shared" si="47"/>
        <v>05, 03, 10, 16</v>
      </c>
      <c r="R190" s="70" t="s">
        <v>672</v>
      </c>
      <c r="S190" s="70" t="s">
        <v>53</v>
      </c>
      <c r="T190" s="70" t="s">
        <v>216</v>
      </c>
      <c r="U190" s="70"/>
      <c r="V190" s="70"/>
      <c r="X190" s="70" t="str">
        <f t="shared" si="63"/>
        <v>LB-E DT@E</v>
      </c>
      <c r="Y190" s="70" t="str">
        <f t="shared" si="64"/>
        <v>E DT-RM2E@E</v>
      </c>
      <c r="Z190" s="70" t="str">
        <f t="shared" si="65"/>
        <v/>
      </c>
      <c r="AA190" s="70" t="str">
        <f t="shared" si="66"/>
        <v/>
      </c>
      <c r="AC190" s="70" t="str">
        <f t="shared" si="54"/>
        <v>302, 305, 307, 306, M5</v>
      </c>
      <c r="AD190" s="70" t="str">
        <f t="shared" si="55"/>
        <v>327, 326, 325, 318, 317, 316, 311, 303, 305, 302</v>
      </c>
      <c r="AE190" s="70" t="str">
        <f t="shared" si="56"/>
        <v/>
      </c>
      <c r="AF190" s="70" t="str">
        <f t="shared" si="57"/>
        <v/>
      </c>
      <c r="AH190" s="70" t="str">
        <f t="shared" si="58"/>
        <v>05</v>
      </c>
      <c r="AI190" s="70" t="str">
        <f t="shared" si="59"/>
        <v>03, 10, 16</v>
      </c>
      <c r="AJ190" s="70" t="str">
        <f t="shared" si="60"/>
        <v/>
      </c>
      <c r="AK190" s="70" t="str">
        <f t="shared" si="61"/>
        <v/>
      </c>
      <c r="AM190" s="166" t="str">
        <f t="shared" si="62"/>
        <v>E AV-7W</v>
      </c>
      <c r="AN190" s="171" t="s">
        <v>709</v>
      </c>
      <c r="AO190" s="167" t="s">
        <v>426</v>
      </c>
      <c r="AP190" s="167" t="s">
        <v>650</v>
      </c>
    </row>
    <row r="191" spans="1:42" ht="20.100000000000001" customHeight="1" thickBot="1">
      <c r="A191" s="45" t="s">
        <v>710</v>
      </c>
      <c r="B191" s="45" t="s">
        <v>220</v>
      </c>
      <c r="C191" s="45" t="s">
        <v>711</v>
      </c>
      <c r="E191" s="45">
        <f t="shared" si="48"/>
        <v>7</v>
      </c>
      <c r="F191" s="45">
        <f t="shared" si="49"/>
        <v>5</v>
      </c>
      <c r="G191" s="45" t="str">
        <f t="shared" si="50"/>
        <v>RM2E</v>
      </c>
      <c r="H191" s="45" t="str">
        <f t="shared" si="51"/>
        <v>LB</v>
      </c>
      <c r="J191" s="45" t="str">
        <f t="shared" si="52"/>
        <v>LB</v>
      </c>
      <c r="K191" s="45" t="s">
        <v>130</v>
      </c>
      <c r="L191" s="45" t="str">
        <f t="shared" si="53"/>
        <v>RM2E-LB@E</v>
      </c>
      <c r="M191" s="75" t="str">
        <f t="shared" si="46"/>
        <v>327, 326, 325, 318, 317, 316, 311, 303, 305, 302, 302, 305, 307, 306, M5</v>
      </c>
      <c r="N191" s="75" t="str">
        <f t="shared" si="47"/>
        <v>26, 04, 03</v>
      </c>
      <c r="R191" s="70" t="s">
        <v>216</v>
      </c>
      <c r="S191" s="70" t="s">
        <v>53</v>
      </c>
      <c r="T191" s="70" t="s">
        <v>672</v>
      </c>
      <c r="U191" s="70"/>
      <c r="V191" s="70"/>
      <c r="X191" s="70" t="str">
        <f t="shared" si="63"/>
        <v>RM2E-E DT@E</v>
      </c>
      <c r="Y191" s="70" t="str">
        <f t="shared" si="64"/>
        <v>E DT-LB@E</v>
      </c>
      <c r="Z191" s="70" t="str">
        <f t="shared" si="65"/>
        <v/>
      </c>
      <c r="AA191" s="70" t="str">
        <f t="shared" si="66"/>
        <v/>
      </c>
      <c r="AC191" s="70" t="str">
        <f t="shared" si="54"/>
        <v>327, 326, 325, 318, 317, 316, 311, 303, 305, 302</v>
      </c>
      <c r="AD191" s="70" t="str">
        <f t="shared" si="55"/>
        <v>302, 305, 307, 306, M5</v>
      </c>
      <c r="AE191" s="70" t="str">
        <f t="shared" si="56"/>
        <v/>
      </c>
      <c r="AF191" s="70" t="str">
        <f t="shared" si="57"/>
        <v/>
      </c>
      <c r="AH191" s="70" t="str">
        <f t="shared" si="58"/>
        <v>26, 04</v>
      </c>
      <c r="AI191" s="70" t="str">
        <f t="shared" si="59"/>
        <v>03</v>
      </c>
      <c r="AJ191" s="70" t="str">
        <f t="shared" si="60"/>
        <v/>
      </c>
      <c r="AK191" s="70" t="str">
        <f t="shared" si="61"/>
        <v/>
      </c>
      <c r="AM191" s="166" t="str">
        <f t="shared" si="62"/>
        <v>E AV-8E</v>
      </c>
      <c r="AN191" s="171" t="s">
        <v>712</v>
      </c>
      <c r="AO191" s="167" t="s">
        <v>426</v>
      </c>
      <c r="AP191" s="167" t="s">
        <v>650</v>
      </c>
    </row>
    <row r="192" spans="1:42" ht="20.100000000000001" customHeight="1" thickBot="1">
      <c r="A192" s="45" t="s">
        <v>713</v>
      </c>
      <c r="B192" s="45" t="s">
        <v>147</v>
      </c>
      <c r="C192" s="45" t="s">
        <v>708</v>
      </c>
      <c r="E192" s="45">
        <f t="shared" si="48"/>
        <v>7</v>
      </c>
      <c r="F192" s="45">
        <f t="shared" si="49"/>
        <v>3</v>
      </c>
      <c r="G192" s="45" t="str">
        <f t="shared" si="50"/>
        <v>LB</v>
      </c>
      <c r="H192" s="45" t="str">
        <f t="shared" si="51"/>
        <v>RM2W</v>
      </c>
      <c r="J192" s="45" t="str">
        <f t="shared" si="52"/>
        <v>RM2W</v>
      </c>
      <c r="K192" s="45" t="s">
        <v>130</v>
      </c>
      <c r="L192" s="45" t="str">
        <f t="shared" si="53"/>
        <v>LB-RM2W@E</v>
      </c>
      <c r="M192" s="75" t="str">
        <f t="shared" si="46"/>
        <v>302, 305, 307, 306, M5, 327, 326, 325, 318, 317, 316, 311, 303, 305, 302</v>
      </c>
      <c r="N192" s="75" t="str">
        <f t="shared" si="47"/>
        <v>05, 03, 10, 16</v>
      </c>
      <c r="R192" s="70" t="s">
        <v>672</v>
      </c>
      <c r="S192" s="70" t="s">
        <v>53</v>
      </c>
      <c r="T192" s="70" t="s">
        <v>224</v>
      </c>
      <c r="U192" s="70"/>
      <c r="V192" s="70"/>
      <c r="X192" s="70" t="str">
        <f t="shared" si="63"/>
        <v>LB-E DT@E</v>
      </c>
      <c r="Y192" s="70" t="str">
        <f t="shared" si="64"/>
        <v>E DT-RM2W@E</v>
      </c>
      <c r="Z192" s="70" t="str">
        <f t="shared" si="65"/>
        <v/>
      </c>
      <c r="AA192" s="70" t="str">
        <f t="shared" si="66"/>
        <v/>
      </c>
      <c r="AC192" s="70" t="str">
        <f t="shared" si="54"/>
        <v>302, 305, 307, 306, M5</v>
      </c>
      <c r="AD192" s="70" t="str">
        <f t="shared" si="55"/>
        <v>327, 326, 325, 318, 317, 316, 311, 303, 305, 302</v>
      </c>
      <c r="AE192" s="70" t="str">
        <f t="shared" si="56"/>
        <v/>
      </c>
      <c r="AF192" s="70" t="str">
        <f t="shared" si="57"/>
        <v/>
      </c>
      <c r="AH192" s="70" t="str">
        <f t="shared" si="58"/>
        <v>05</v>
      </c>
      <c r="AI192" s="70" t="str">
        <f t="shared" si="59"/>
        <v>03, 10, 16</v>
      </c>
      <c r="AJ192" s="70" t="str">
        <f t="shared" si="60"/>
        <v/>
      </c>
      <c r="AK192" s="70" t="str">
        <f t="shared" si="61"/>
        <v/>
      </c>
      <c r="AM192" s="166" t="str">
        <f t="shared" si="62"/>
        <v>E AV-8W</v>
      </c>
      <c r="AN192" s="171" t="s">
        <v>714</v>
      </c>
      <c r="AO192" s="167" t="s">
        <v>426</v>
      </c>
      <c r="AP192" s="167" t="s">
        <v>650</v>
      </c>
    </row>
    <row r="193" spans="1:48" ht="20.100000000000001" customHeight="1" thickBot="1">
      <c r="A193" s="45" t="s">
        <v>715</v>
      </c>
      <c r="B193" s="45" t="s">
        <v>220</v>
      </c>
      <c r="C193" s="45" t="s">
        <v>711</v>
      </c>
      <c r="E193" s="45">
        <f t="shared" si="48"/>
        <v>7</v>
      </c>
      <c r="F193" s="45">
        <f t="shared" si="49"/>
        <v>5</v>
      </c>
      <c r="G193" s="45" t="str">
        <f t="shared" si="50"/>
        <v>RM2W</v>
      </c>
      <c r="H193" s="45" t="str">
        <f t="shared" si="51"/>
        <v>LB</v>
      </c>
      <c r="J193" s="45" t="str">
        <f t="shared" si="52"/>
        <v>LB</v>
      </c>
      <c r="K193" s="45" t="s">
        <v>130</v>
      </c>
      <c r="L193" s="45" t="str">
        <f t="shared" si="53"/>
        <v>RM2W-LB@E</v>
      </c>
      <c r="M193" s="75" t="str">
        <f t="shared" si="46"/>
        <v>327, 326, 325, 318, 317, 316, 311, 303, 305, 302, 302, 305, 307, 306, M5</v>
      </c>
      <c r="N193" s="75" t="str">
        <f t="shared" si="47"/>
        <v>26, 04, 03</v>
      </c>
      <c r="R193" s="70" t="s">
        <v>224</v>
      </c>
      <c r="S193" s="70" t="s">
        <v>53</v>
      </c>
      <c r="T193" s="70" t="s">
        <v>672</v>
      </c>
      <c r="U193" s="70"/>
      <c r="V193" s="70"/>
      <c r="X193" s="70" t="str">
        <f t="shared" si="63"/>
        <v>RM2W-E DT@E</v>
      </c>
      <c r="Y193" s="70" t="str">
        <f t="shared" si="64"/>
        <v>E DT-LB@E</v>
      </c>
      <c r="Z193" s="70" t="str">
        <f t="shared" si="65"/>
        <v/>
      </c>
      <c r="AA193" s="70" t="str">
        <f t="shared" si="66"/>
        <v/>
      </c>
      <c r="AC193" s="70" t="str">
        <f t="shared" si="54"/>
        <v>327, 326, 325, 318, 317, 316, 311, 303, 305, 302</v>
      </c>
      <c r="AD193" s="70" t="str">
        <f t="shared" si="55"/>
        <v>302, 305, 307, 306, M5</v>
      </c>
      <c r="AE193" s="70" t="str">
        <f t="shared" si="56"/>
        <v/>
      </c>
      <c r="AF193" s="70" t="str">
        <f t="shared" si="57"/>
        <v/>
      </c>
      <c r="AH193" s="70" t="str">
        <f t="shared" si="58"/>
        <v>26, 04</v>
      </c>
      <c r="AI193" s="70" t="str">
        <f t="shared" si="59"/>
        <v>03</v>
      </c>
      <c r="AJ193" s="70" t="str">
        <f t="shared" si="60"/>
        <v/>
      </c>
      <c r="AK193" s="70" t="str">
        <f t="shared" si="61"/>
        <v/>
      </c>
      <c r="AM193" s="166" t="str">
        <f t="shared" si="62"/>
        <v>E AV-LS2</v>
      </c>
      <c r="AN193" s="171" t="s">
        <v>716</v>
      </c>
      <c r="AO193" s="167" t="s">
        <v>717</v>
      </c>
      <c r="AP193" s="168" t="s">
        <v>718</v>
      </c>
    </row>
    <row r="194" spans="1:48" ht="20.100000000000001" customHeight="1" thickBot="1">
      <c r="A194" s="45" t="s">
        <v>719</v>
      </c>
      <c r="B194" s="45" t="s">
        <v>147</v>
      </c>
      <c r="C194" s="45" t="s">
        <v>708</v>
      </c>
      <c r="E194" s="45">
        <f t="shared" si="48"/>
        <v>7</v>
      </c>
      <c r="F194" s="45">
        <f t="shared" si="49"/>
        <v>3</v>
      </c>
      <c r="G194" s="45" t="str">
        <f t="shared" si="50"/>
        <v>LB</v>
      </c>
      <c r="H194" s="45" t="str">
        <f t="shared" si="51"/>
        <v>RM3E</v>
      </c>
      <c r="J194" s="45" t="str">
        <f t="shared" si="52"/>
        <v>RM3E</v>
      </c>
      <c r="K194" s="45" t="s">
        <v>130</v>
      </c>
      <c r="L194" s="45" t="str">
        <f t="shared" si="53"/>
        <v>LB-RM3E@E</v>
      </c>
      <c r="M194" s="75" t="str">
        <f t="shared" ref="M194:M257" si="67">IF(AF194="",IF(AE194="",IF(AD194="",AC194,CONCATENATE(AC194,", ",AD194)),CONCATENATE(AC194,", ",AD194,", ",AE194)),CONCATENATE(AC194,", ",AD194,", ",AE194,", ",AF194))</f>
        <v>302, 305, 307, 306, M5, 327, 326, 325, 318, 317, 316, 311, 303, 305, 302</v>
      </c>
      <c r="N194" s="75" t="str">
        <f t="shared" ref="N194:N257" si="68">IF(AK194="",IF(AJ194="",IF(AI194="",AH194,CONCATENATE(AH194,", ",AI194)),CONCATENATE(AH194,", ",AI194,", ",AJ194)),CONCATENATE(AH194,", ",AI194,", ",AJ194,", ",AK194))</f>
        <v>05, 03, 10, 16</v>
      </c>
      <c r="R194" s="70" t="s">
        <v>672</v>
      </c>
      <c r="S194" s="70" t="s">
        <v>53</v>
      </c>
      <c r="T194" s="70" t="s">
        <v>231</v>
      </c>
      <c r="U194" s="70"/>
      <c r="V194" s="70"/>
      <c r="X194" s="70" t="str">
        <f t="shared" si="63"/>
        <v>LB-E DT@E</v>
      </c>
      <c r="Y194" s="70" t="str">
        <f t="shared" si="64"/>
        <v>E DT-RM3E@E</v>
      </c>
      <c r="Z194" s="70" t="str">
        <f t="shared" si="65"/>
        <v/>
      </c>
      <c r="AA194" s="70" t="str">
        <f t="shared" si="66"/>
        <v/>
      </c>
      <c r="AC194" s="70" t="str">
        <f t="shared" si="54"/>
        <v>302, 305, 307, 306, M5</v>
      </c>
      <c r="AD194" s="70" t="str">
        <f t="shared" si="55"/>
        <v>327, 326, 325, 318, 317, 316, 311, 303, 305, 302</v>
      </c>
      <c r="AE194" s="70" t="str">
        <f t="shared" si="56"/>
        <v/>
      </c>
      <c r="AF194" s="70" t="str">
        <f t="shared" si="57"/>
        <v/>
      </c>
      <c r="AH194" s="70" t="str">
        <f t="shared" si="58"/>
        <v>05</v>
      </c>
      <c r="AI194" s="70" t="str">
        <f t="shared" si="59"/>
        <v>03, 10, 16</v>
      </c>
      <c r="AJ194" s="70" t="str">
        <f t="shared" si="60"/>
        <v/>
      </c>
      <c r="AK194" s="70" t="str">
        <f t="shared" si="61"/>
        <v/>
      </c>
      <c r="AM194" s="166" t="str">
        <f t="shared" si="62"/>
        <v>E AV-LS3</v>
      </c>
      <c r="AN194" s="171" t="s">
        <v>720</v>
      </c>
      <c r="AO194" s="167" t="s">
        <v>721</v>
      </c>
      <c r="AP194" s="167" t="s">
        <v>718</v>
      </c>
    </row>
    <row r="195" spans="1:48" ht="20.100000000000001" customHeight="1" thickBot="1">
      <c r="A195" s="45" t="s">
        <v>722</v>
      </c>
      <c r="B195" s="45" t="s">
        <v>235</v>
      </c>
      <c r="C195" s="45" t="s">
        <v>711</v>
      </c>
      <c r="E195" s="45">
        <f t="shared" ref="E195:E258" si="69">LEN(A195)</f>
        <v>7</v>
      </c>
      <c r="F195" s="45">
        <f t="shared" ref="F195:F258" si="70">SEARCH("-",A195)</f>
        <v>5</v>
      </c>
      <c r="G195" s="45" t="str">
        <f t="shared" ref="G195:G258" si="71">LEFT(A195,F195-1)</f>
        <v>RM3E</v>
      </c>
      <c r="H195" s="45" t="str">
        <f t="shared" ref="H195:H258" si="72">RIGHT(A195,E195-F195)</f>
        <v>LB</v>
      </c>
      <c r="J195" s="45" t="str">
        <f t="shared" ref="J195:J258" si="73">IF(V195="",IF(U195="",IF(T195="",S195,T195),U195),V195)</f>
        <v>LB</v>
      </c>
      <c r="K195" s="45" t="s">
        <v>130</v>
      </c>
      <c r="L195" s="45" t="str">
        <f t="shared" ref="L195:L258" si="74">CONCATENATE(R195,"-",J195,"@",K195)</f>
        <v>RM3E-LB@E</v>
      </c>
      <c r="M195" s="75" t="str">
        <f t="shared" si="67"/>
        <v>327, 326, 325, 318, 317, 316, 311, 303, 305, 302, 302, 305, 307, 306, M5</v>
      </c>
      <c r="N195" s="75" t="str">
        <f t="shared" si="68"/>
        <v>27, 04, 03</v>
      </c>
      <c r="R195" s="70" t="s">
        <v>231</v>
      </c>
      <c r="S195" s="70" t="s">
        <v>53</v>
      </c>
      <c r="T195" s="70" t="s">
        <v>672</v>
      </c>
      <c r="U195" s="70"/>
      <c r="V195" s="70"/>
      <c r="X195" s="70" t="str">
        <f t="shared" si="63"/>
        <v>RM3E-E DT@E</v>
      </c>
      <c r="Y195" s="70" t="str">
        <f t="shared" si="64"/>
        <v>E DT-LB@E</v>
      </c>
      <c r="Z195" s="70" t="str">
        <f t="shared" si="65"/>
        <v/>
      </c>
      <c r="AA195" s="70" t="str">
        <f t="shared" si="66"/>
        <v/>
      </c>
      <c r="AC195" s="70" t="str">
        <f t="shared" ref="AC195:AC258" si="75">IF(X195="","",VLOOKUP(X195,$AN$2:$AP$736,2,0))</f>
        <v>327, 326, 325, 318, 317, 316, 311, 303, 305, 302</v>
      </c>
      <c r="AD195" s="70" t="str">
        <f t="shared" ref="AD195:AD258" si="76">IF(Y195="","",VLOOKUP(Y195,$AN$2:$AP$736,2,0))</f>
        <v>302, 305, 307, 306, M5</v>
      </c>
      <c r="AE195" s="70" t="str">
        <f t="shared" ref="AE195:AE258" si="77">IF(Z195="","",VLOOKUP(Z195,$AN$2:$AP$736,2,0))</f>
        <v/>
      </c>
      <c r="AF195" s="70" t="str">
        <f t="shared" ref="AF195:AF258" si="78">IF(AA195="","",VLOOKUP(AA195,$AN$2:$AP$736,2,0))</f>
        <v/>
      </c>
      <c r="AH195" s="70" t="str">
        <f t="shared" ref="AH195:AH258" si="79">IF(X195="","",VLOOKUP(X195,$AN$2:$AP$162,3,0))</f>
        <v>27, 04</v>
      </c>
      <c r="AI195" s="70" t="str">
        <f t="shared" ref="AI195:AI258" si="80">IF(Y195="","",VLOOKUP(Y195,$AN$2:$AP$162,3,0))</f>
        <v>03</v>
      </c>
      <c r="AJ195" s="70" t="str">
        <f t="shared" ref="AJ195:AJ258" si="81">IF(Z195="","",VLOOKUP(Z195,$AN$2:$AP$162,3,0))</f>
        <v/>
      </c>
      <c r="AK195" s="70" t="str">
        <f t="shared" ref="AK195:AK258" si="82">IF(AA195="","",VLOOKUP(AA195,$AN$2:$AP$162,3,0))</f>
        <v/>
      </c>
      <c r="AM195" s="166" t="str">
        <f t="shared" ref="AM195:AM258" si="83">LEFT(AN195,LEN(AN195)-2)</f>
        <v>E AV-LB</v>
      </c>
      <c r="AN195" s="171" t="s">
        <v>723</v>
      </c>
      <c r="AO195" s="167" t="s">
        <v>724</v>
      </c>
      <c r="AP195" s="167" t="s">
        <v>718</v>
      </c>
    </row>
    <row r="196" spans="1:48" ht="20.100000000000001" customHeight="1" thickBot="1">
      <c r="A196" s="45" t="s">
        <v>725</v>
      </c>
      <c r="B196" s="45" t="s">
        <v>147</v>
      </c>
      <c r="C196" s="45" t="s">
        <v>708</v>
      </c>
      <c r="E196" s="45">
        <f t="shared" si="69"/>
        <v>7</v>
      </c>
      <c r="F196" s="45">
        <f t="shared" si="70"/>
        <v>3</v>
      </c>
      <c r="G196" s="45" t="str">
        <f t="shared" si="71"/>
        <v>LB</v>
      </c>
      <c r="H196" s="45" t="str">
        <f t="shared" si="72"/>
        <v>RM3W</v>
      </c>
      <c r="J196" s="45" t="str">
        <f t="shared" si="73"/>
        <v>RM3W</v>
      </c>
      <c r="K196" s="45" t="s">
        <v>130</v>
      </c>
      <c r="L196" s="45" t="str">
        <f t="shared" si="74"/>
        <v>LB-RM3W@E</v>
      </c>
      <c r="M196" s="75" t="str">
        <f t="shared" si="67"/>
        <v>302, 305, 307, 306, M5, 327, 326, 325, 318, 317, 316, 311, 303, 305, 302</v>
      </c>
      <c r="N196" s="75" t="str">
        <f t="shared" si="68"/>
        <v>05, 03, 10, 16</v>
      </c>
      <c r="R196" s="70" t="s">
        <v>672</v>
      </c>
      <c r="S196" s="70" t="s">
        <v>53</v>
      </c>
      <c r="T196" s="70" t="s">
        <v>238</v>
      </c>
      <c r="U196" s="70"/>
      <c r="V196" s="70"/>
      <c r="X196" s="70" t="str">
        <f t="shared" si="63"/>
        <v>LB-E DT@E</v>
      </c>
      <c r="Y196" s="70" t="str">
        <f t="shared" si="64"/>
        <v>E DT-RM3W@E</v>
      </c>
      <c r="Z196" s="70" t="str">
        <f t="shared" si="65"/>
        <v/>
      </c>
      <c r="AA196" s="70" t="str">
        <f t="shared" si="66"/>
        <v/>
      </c>
      <c r="AC196" s="70" t="str">
        <f t="shared" si="75"/>
        <v>302, 305, 307, 306, M5</v>
      </c>
      <c r="AD196" s="70" t="str">
        <f t="shared" si="76"/>
        <v>327, 326, 325, 318, 317, 316, 311, 303, 305, 302</v>
      </c>
      <c r="AE196" s="70" t="str">
        <f t="shared" si="77"/>
        <v/>
      </c>
      <c r="AF196" s="70" t="str">
        <f t="shared" si="78"/>
        <v/>
      </c>
      <c r="AH196" s="70" t="str">
        <f t="shared" si="79"/>
        <v>05</v>
      </c>
      <c r="AI196" s="70" t="str">
        <f t="shared" si="80"/>
        <v>03, 10, 16</v>
      </c>
      <c r="AJ196" s="70" t="str">
        <f t="shared" si="81"/>
        <v/>
      </c>
      <c r="AK196" s="70" t="str">
        <f t="shared" si="82"/>
        <v/>
      </c>
      <c r="AM196" s="166" t="str">
        <f t="shared" si="83"/>
        <v>E AV-M1</v>
      </c>
      <c r="AN196" s="171" t="s">
        <v>726</v>
      </c>
      <c r="AO196" s="167" t="s">
        <v>727</v>
      </c>
      <c r="AP196" s="167" t="s">
        <v>718</v>
      </c>
    </row>
    <row r="197" spans="1:48" ht="20.100000000000001" customHeight="1" thickBot="1">
      <c r="A197" s="45" t="s">
        <v>728</v>
      </c>
      <c r="B197" s="45" t="s">
        <v>235</v>
      </c>
      <c r="C197" s="45" t="s">
        <v>711</v>
      </c>
      <c r="E197" s="45">
        <f t="shared" si="69"/>
        <v>7</v>
      </c>
      <c r="F197" s="45">
        <f t="shared" si="70"/>
        <v>5</v>
      </c>
      <c r="G197" s="45" t="str">
        <f t="shared" si="71"/>
        <v>RM3W</v>
      </c>
      <c r="H197" s="45" t="str">
        <f t="shared" si="72"/>
        <v>LB</v>
      </c>
      <c r="J197" s="45" t="str">
        <f t="shared" si="73"/>
        <v>LB</v>
      </c>
      <c r="K197" s="45" t="s">
        <v>130</v>
      </c>
      <c r="L197" s="45" t="str">
        <f t="shared" si="74"/>
        <v>RM3W-LB@E</v>
      </c>
      <c r="M197" s="75" t="str">
        <f t="shared" si="67"/>
        <v>327, 326, 325, 318, 317, 316, 311, 303, 305, 302, 302, 305, 307, 306, M5</v>
      </c>
      <c r="N197" s="75" t="str">
        <f t="shared" si="68"/>
        <v>27, 04, 03</v>
      </c>
      <c r="R197" s="70" t="s">
        <v>238</v>
      </c>
      <c r="S197" s="70" t="s">
        <v>53</v>
      </c>
      <c r="T197" s="70" t="s">
        <v>672</v>
      </c>
      <c r="U197" s="70"/>
      <c r="V197" s="70"/>
      <c r="X197" s="70" t="str">
        <f t="shared" si="63"/>
        <v>RM3W-E DT@E</v>
      </c>
      <c r="Y197" s="70" t="str">
        <f t="shared" si="64"/>
        <v>E DT-LB@E</v>
      </c>
      <c r="Z197" s="70" t="str">
        <f t="shared" si="65"/>
        <v/>
      </c>
      <c r="AA197" s="70" t="str">
        <f t="shared" si="66"/>
        <v/>
      </c>
      <c r="AC197" s="70" t="str">
        <f t="shared" si="75"/>
        <v>327, 326, 325, 318, 317, 316, 311, 303, 305, 302</v>
      </c>
      <c r="AD197" s="70" t="str">
        <f t="shared" si="76"/>
        <v>302, 305, 307, 306, M5</v>
      </c>
      <c r="AE197" s="70" t="str">
        <f t="shared" si="77"/>
        <v/>
      </c>
      <c r="AF197" s="70" t="str">
        <f t="shared" si="78"/>
        <v/>
      </c>
      <c r="AH197" s="70" t="str">
        <f t="shared" si="79"/>
        <v>27, 04</v>
      </c>
      <c r="AI197" s="70" t="str">
        <f t="shared" si="80"/>
        <v>03</v>
      </c>
      <c r="AJ197" s="70" t="str">
        <f t="shared" si="81"/>
        <v/>
      </c>
      <c r="AK197" s="70" t="str">
        <f t="shared" si="82"/>
        <v/>
      </c>
      <c r="AM197" s="166" t="str">
        <f t="shared" si="83"/>
        <v>E AV-M2</v>
      </c>
      <c r="AN197" s="171" t="s">
        <v>729</v>
      </c>
      <c r="AO197" s="167" t="s">
        <v>730</v>
      </c>
      <c r="AP197" s="167" t="s">
        <v>718</v>
      </c>
    </row>
    <row r="198" spans="1:48" ht="20.100000000000001" customHeight="1" thickBot="1">
      <c r="A198" s="45" t="s">
        <v>731</v>
      </c>
      <c r="B198" s="45" t="s">
        <v>147</v>
      </c>
      <c r="C198" s="45" t="s">
        <v>732</v>
      </c>
      <c r="E198" s="45">
        <f t="shared" si="69"/>
        <v>7</v>
      </c>
      <c r="F198" s="45">
        <f t="shared" si="70"/>
        <v>3</v>
      </c>
      <c r="G198" s="45" t="str">
        <f t="shared" si="71"/>
        <v>LB</v>
      </c>
      <c r="H198" s="45" t="str">
        <f t="shared" si="72"/>
        <v>HCTE</v>
      </c>
      <c r="J198" s="45" t="str">
        <f t="shared" si="73"/>
        <v>HCTE</v>
      </c>
      <c r="K198" s="45" t="s">
        <v>130</v>
      </c>
      <c r="L198" s="45" t="str">
        <f t="shared" si="74"/>
        <v>LB-HCTE@E</v>
      </c>
      <c r="M198" s="75" t="str">
        <f t="shared" si="67"/>
        <v>302, 305, 307, 306, M5, 329, 328, 325, 318, 317, 316, 311, 303, 305, 302</v>
      </c>
      <c r="N198" s="75" t="str">
        <f t="shared" si="68"/>
        <v>05, 03, 10, 16</v>
      </c>
      <c r="R198" s="70" t="s">
        <v>672</v>
      </c>
      <c r="S198" s="70" t="s">
        <v>53</v>
      </c>
      <c r="T198" s="70" t="s">
        <v>246</v>
      </c>
      <c r="U198" s="70"/>
      <c r="V198" s="70"/>
      <c r="X198" s="70" t="str">
        <f t="shared" si="63"/>
        <v>LB-E DT@E</v>
      </c>
      <c r="Y198" s="70" t="str">
        <f t="shared" si="64"/>
        <v>E DT-HCTE@E</v>
      </c>
      <c r="Z198" s="70" t="str">
        <f t="shared" si="65"/>
        <v/>
      </c>
      <c r="AA198" s="70" t="str">
        <f t="shared" si="66"/>
        <v/>
      </c>
      <c r="AC198" s="70" t="str">
        <f t="shared" si="75"/>
        <v>302, 305, 307, 306, M5</v>
      </c>
      <c r="AD198" s="70" t="str">
        <f t="shared" si="76"/>
        <v>329, 328, 325, 318, 317, 316, 311, 303, 305, 302</v>
      </c>
      <c r="AE198" s="70" t="str">
        <f t="shared" si="77"/>
        <v/>
      </c>
      <c r="AF198" s="70" t="str">
        <f t="shared" si="78"/>
        <v/>
      </c>
      <c r="AH198" s="70" t="str">
        <f t="shared" si="79"/>
        <v>05</v>
      </c>
      <c r="AI198" s="70" t="str">
        <f t="shared" si="80"/>
        <v>03, 10, 16</v>
      </c>
      <c r="AJ198" s="70" t="str">
        <f t="shared" si="81"/>
        <v/>
      </c>
      <c r="AK198" s="70" t="str">
        <f t="shared" si="82"/>
        <v/>
      </c>
      <c r="AM198" s="166" t="str">
        <f t="shared" si="83"/>
        <v>E AV-M3</v>
      </c>
      <c r="AN198" s="171" t="s">
        <v>733</v>
      </c>
      <c r="AO198" s="167" t="s">
        <v>734</v>
      </c>
      <c r="AP198" s="167" t="s">
        <v>718</v>
      </c>
    </row>
    <row r="199" spans="1:48" ht="20.100000000000001" customHeight="1" thickBot="1">
      <c r="A199" s="45" t="s">
        <v>735</v>
      </c>
      <c r="B199" s="45" t="s">
        <v>250</v>
      </c>
      <c r="C199" s="45" t="s">
        <v>736</v>
      </c>
      <c r="E199" s="45">
        <f t="shared" si="69"/>
        <v>7</v>
      </c>
      <c r="F199" s="45">
        <f t="shared" si="70"/>
        <v>5</v>
      </c>
      <c r="G199" s="45" t="str">
        <f t="shared" si="71"/>
        <v>HCTE</v>
      </c>
      <c r="H199" s="45" t="str">
        <f t="shared" si="72"/>
        <v>LB</v>
      </c>
      <c r="J199" s="45" t="str">
        <f t="shared" si="73"/>
        <v>LB</v>
      </c>
      <c r="K199" s="45" t="s">
        <v>130</v>
      </c>
      <c r="L199" s="45" t="str">
        <f t="shared" si="74"/>
        <v>HCTE-LB@E</v>
      </c>
      <c r="M199" s="75" t="str">
        <f t="shared" si="67"/>
        <v>329, 328, 325, 318, 317, 316, 311, 303, 305, 302, 302, 305, 307, 306, M5</v>
      </c>
      <c r="N199" s="75" t="str">
        <f t="shared" si="68"/>
        <v>28, 04, 03</v>
      </c>
      <c r="R199" s="70" t="s">
        <v>246</v>
      </c>
      <c r="S199" s="70" t="s">
        <v>53</v>
      </c>
      <c r="T199" s="70" t="s">
        <v>672</v>
      </c>
      <c r="U199" s="70"/>
      <c r="V199" s="70"/>
      <c r="X199" s="70" t="str">
        <f t="shared" si="63"/>
        <v>HCTE-E DT@E</v>
      </c>
      <c r="Y199" s="70" t="str">
        <f t="shared" si="64"/>
        <v>E DT-LB@E</v>
      </c>
      <c r="Z199" s="70" t="str">
        <f t="shared" si="65"/>
        <v/>
      </c>
      <c r="AA199" s="70" t="str">
        <f t="shared" si="66"/>
        <v/>
      </c>
      <c r="AC199" s="70" t="str">
        <f t="shared" si="75"/>
        <v>329, 328, 325, 318, 317, 316, 311, 303, 305, 302</v>
      </c>
      <c r="AD199" s="70" t="str">
        <f t="shared" si="76"/>
        <v>302, 305, 307, 306, M5</v>
      </c>
      <c r="AE199" s="70" t="str">
        <f t="shared" si="77"/>
        <v/>
      </c>
      <c r="AF199" s="70" t="str">
        <f t="shared" si="78"/>
        <v/>
      </c>
      <c r="AH199" s="70" t="str">
        <f t="shared" si="79"/>
        <v>28, 04</v>
      </c>
      <c r="AI199" s="70" t="str">
        <f t="shared" si="80"/>
        <v>03</v>
      </c>
      <c r="AJ199" s="70" t="str">
        <f t="shared" si="81"/>
        <v/>
      </c>
      <c r="AK199" s="70" t="str">
        <f t="shared" si="82"/>
        <v/>
      </c>
      <c r="AM199" s="166" t="str">
        <f t="shared" si="83"/>
        <v>E AV-M4</v>
      </c>
      <c r="AN199" s="171" t="s">
        <v>737</v>
      </c>
      <c r="AO199" s="167" t="s">
        <v>738</v>
      </c>
      <c r="AP199" s="167" t="s">
        <v>718</v>
      </c>
    </row>
    <row r="200" spans="1:48" ht="20.100000000000001" customHeight="1" thickBot="1">
      <c r="A200" s="45" t="s">
        <v>739</v>
      </c>
      <c r="B200" s="45" t="s">
        <v>147</v>
      </c>
      <c r="C200" s="45" t="s">
        <v>732</v>
      </c>
      <c r="E200" s="45">
        <f t="shared" si="69"/>
        <v>7</v>
      </c>
      <c r="F200" s="45">
        <f t="shared" si="70"/>
        <v>3</v>
      </c>
      <c r="G200" s="45" t="str">
        <f t="shared" si="71"/>
        <v>LB</v>
      </c>
      <c r="H200" s="45" t="str">
        <f t="shared" si="72"/>
        <v>HCTW</v>
      </c>
      <c r="J200" s="45" t="str">
        <f t="shared" si="73"/>
        <v>HCTW</v>
      </c>
      <c r="K200" s="45" t="s">
        <v>130</v>
      </c>
      <c r="L200" s="45" t="str">
        <f t="shared" si="74"/>
        <v>LB-HCTW@E</v>
      </c>
      <c r="M200" s="75" t="str">
        <f t="shared" si="67"/>
        <v>302, 305, 307, 306, M5, 329, 328, 325, 318, 317, 316, 311, 303, 305, 302</v>
      </c>
      <c r="N200" s="75" t="str">
        <f t="shared" si="68"/>
        <v>05, 03, 10, 16</v>
      </c>
      <c r="R200" s="70" t="s">
        <v>672</v>
      </c>
      <c r="S200" s="70" t="s">
        <v>53</v>
      </c>
      <c r="T200" s="70" t="s">
        <v>254</v>
      </c>
      <c r="U200" s="70"/>
      <c r="V200" s="70"/>
      <c r="X200" s="70" t="str">
        <f t="shared" si="63"/>
        <v>LB-E DT@E</v>
      </c>
      <c r="Y200" s="70" t="str">
        <f t="shared" si="64"/>
        <v>E DT-HCTW@E</v>
      </c>
      <c r="Z200" s="70" t="str">
        <f t="shared" si="65"/>
        <v/>
      </c>
      <c r="AA200" s="70" t="str">
        <f t="shared" si="66"/>
        <v/>
      </c>
      <c r="AC200" s="70" t="str">
        <f t="shared" si="75"/>
        <v>302, 305, 307, 306, M5</v>
      </c>
      <c r="AD200" s="70" t="str">
        <f t="shared" si="76"/>
        <v>329, 328, 325, 318, 317, 316, 311, 303, 305, 302</v>
      </c>
      <c r="AE200" s="70" t="str">
        <f t="shared" si="77"/>
        <v/>
      </c>
      <c r="AF200" s="70" t="str">
        <f t="shared" si="78"/>
        <v/>
      </c>
      <c r="AH200" s="70" t="str">
        <f t="shared" si="79"/>
        <v>05</v>
      </c>
      <c r="AI200" s="70" t="str">
        <f t="shared" si="80"/>
        <v>03, 10, 16</v>
      </c>
      <c r="AJ200" s="70" t="str">
        <f t="shared" si="81"/>
        <v/>
      </c>
      <c r="AK200" s="70" t="str">
        <f t="shared" si="82"/>
        <v/>
      </c>
      <c r="AM200" s="166" t="str">
        <f t="shared" si="83"/>
        <v>E AV-HM1</v>
      </c>
      <c r="AN200" s="171" t="s">
        <v>740</v>
      </c>
      <c r="AO200" s="167" t="s">
        <v>368</v>
      </c>
      <c r="AP200" s="167" t="s">
        <v>650</v>
      </c>
    </row>
    <row r="201" spans="1:48" ht="20.100000000000001" customHeight="1" thickBot="1">
      <c r="A201" s="45" t="s">
        <v>741</v>
      </c>
      <c r="B201" s="45" t="s">
        <v>250</v>
      </c>
      <c r="C201" s="45" t="s">
        <v>736</v>
      </c>
      <c r="E201" s="45">
        <f t="shared" si="69"/>
        <v>7</v>
      </c>
      <c r="F201" s="45">
        <f t="shared" si="70"/>
        <v>5</v>
      </c>
      <c r="G201" s="45" t="str">
        <f t="shared" si="71"/>
        <v>HCTW</v>
      </c>
      <c r="H201" s="45" t="str">
        <f t="shared" si="72"/>
        <v>LB</v>
      </c>
      <c r="J201" s="45" t="str">
        <f t="shared" si="73"/>
        <v>LB</v>
      </c>
      <c r="K201" s="45" t="s">
        <v>130</v>
      </c>
      <c r="L201" s="45" t="str">
        <f t="shared" si="74"/>
        <v>HCTW-LB@E</v>
      </c>
      <c r="M201" s="75" t="str">
        <f t="shared" si="67"/>
        <v>329, 328, 325, 318, 317, 316, 311, 303, 305, 302, 302, 305, 307, 306, M5</v>
      </c>
      <c r="N201" s="75" t="str">
        <f t="shared" si="68"/>
        <v>28, 04, 03</v>
      </c>
      <c r="R201" s="70" t="s">
        <v>254</v>
      </c>
      <c r="S201" s="70" t="s">
        <v>53</v>
      </c>
      <c r="T201" s="70" t="s">
        <v>672</v>
      </c>
      <c r="U201" s="70"/>
      <c r="V201" s="70"/>
      <c r="X201" s="70" t="str">
        <f t="shared" si="63"/>
        <v>HCTW-E DT@E</v>
      </c>
      <c r="Y201" s="70" t="str">
        <f t="shared" si="64"/>
        <v>E DT-LB@E</v>
      </c>
      <c r="Z201" s="70" t="str">
        <f t="shared" si="65"/>
        <v/>
      </c>
      <c r="AA201" s="70" t="str">
        <f t="shared" si="66"/>
        <v/>
      </c>
      <c r="AC201" s="70" t="str">
        <f t="shared" si="75"/>
        <v>329, 328, 325, 318, 317, 316, 311, 303, 305, 302</v>
      </c>
      <c r="AD201" s="70" t="str">
        <f t="shared" si="76"/>
        <v>302, 305, 307, 306, M5</v>
      </c>
      <c r="AE201" s="70" t="str">
        <f t="shared" si="77"/>
        <v/>
      </c>
      <c r="AF201" s="70" t="str">
        <f t="shared" si="78"/>
        <v/>
      </c>
      <c r="AH201" s="70" t="str">
        <f t="shared" si="79"/>
        <v>28, 04</v>
      </c>
      <c r="AI201" s="70" t="str">
        <f t="shared" si="80"/>
        <v>03</v>
      </c>
      <c r="AJ201" s="70" t="str">
        <f t="shared" si="81"/>
        <v/>
      </c>
      <c r="AK201" s="70" t="str">
        <f t="shared" si="82"/>
        <v/>
      </c>
      <c r="AM201" s="166" t="str">
        <f t="shared" si="83"/>
        <v>E AV-TEST</v>
      </c>
      <c r="AN201" s="171" t="s">
        <v>742</v>
      </c>
      <c r="AO201" s="167" t="s">
        <v>743</v>
      </c>
      <c r="AP201" s="167" t="s">
        <v>744</v>
      </c>
    </row>
    <row r="202" spans="1:48" ht="20.100000000000001" customHeight="1" thickBot="1">
      <c r="A202" s="45" t="s">
        <v>745</v>
      </c>
      <c r="B202" s="45" t="s">
        <v>147</v>
      </c>
      <c r="C202" s="45" t="s">
        <v>732</v>
      </c>
      <c r="E202" s="45">
        <f t="shared" si="69"/>
        <v>5</v>
      </c>
      <c r="F202" s="45">
        <f t="shared" si="70"/>
        <v>3</v>
      </c>
      <c r="G202" s="45" t="str">
        <f t="shared" si="71"/>
        <v>LB</v>
      </c>
      <c r="H202" s="45" t="str">
        <f t="shared" si="72"/>
        <v>1E</v>
      </c>
      <c r="J202" s="45" t="str">
        <f t="shared" si="73"/>
        <v>1E</v>
      </c>
      <c r="K202" s="45" t="s">
        <v>130</v>
      </c>
      <c r="L202" s="45" t="str">
        <f t="shared" si="74"/>
        <v>LB-1E@E</v>
      </c>
      <c r="M202" s="75" t="str">
        <f t="shared" si="67"/>
        <v>302, 305, 307, 306, M5, 329, 328, 325, 318, 317, 316, 311, 303, 305, 302</v>
      </c>
      <c r="N202" s="75" t="str">
        <f t="shared" si="68"/>
        <v>05, 03, 10, 16</v>
      </c>
      <c r="R202" s="70" t="s">
        <v>672</v>
      </c>
      <c r="S202" s="70" t="s">
        <v>53</v>
      </c>
      <c r="T202" s="70" t="s">
        <v>261</v>
      </c>
      <c r="U202" s="70"/>
      <c r="V202" s="70"/>
      <c r="X202" s="70" t="str">
        <f t="shared" si="63"/>
        <v>LB-E DT@E</v>
      </c>
      <c r="Y202" s="70" t="str">
        <f t="shared" si="64"/>
        <v>E DT-1E@E</v>
      </c>
      <c r="Z202" s="70" t="str">
        <f t="shared" si="65"/>
        <v/>
      </c>
      <c r="AA202" s="70" t="str">
        <f t="shared" si="66"/>
        <v/>
      </c>
      <c r="AC202" s="70" t="str">
        <f t="shared" si="75"/>
        <v>302, 305, 307, 306, M5</v>
      </c>
      <c r="AD202" s="70" t="str">
        <f t="shared" si="76"/>
        <v>329, 328, 325, 318, 317, 316, 311, 303, 305, 302</v>
      </c>
      <c r="AE202" s="70" t="str">
        <f t="shared" si="77"/>
        <v/>
      </c>
      <c r="AF202" s="70" t="str">
        <f t="shared" si="78"/>
        <v/>
      </c>
      <c r="AH202" s="70" t="str">
        <f t="shared" si="79"/>
        <v>05</v>
      </c>
      <c r="AI202" s="70" t="str">
        <f t="shared" si="80"/>
        <v>03, 10, 16</v>
      </c>
      <c r="AJ202" s="70" t="str">
        <f t="shared" si="81"/>
        <v/>
      </c>
      <c r="AK202" s="70" t="str">
        <f t="shared" si="82"/>
        <v/>
      </c>
      <c r="AM202" s="166" t="str">
        <f t="shared" si="83"/>
        <v>W DT-RM1E</v>
      </c>
      <c r="AN202" s="171" t="s">
        <v>746</v>
      </c>
      <c r="AO202" s="167" t="s">
        <v>458</v>
      </c>
      <c r="AP202" s="167">
        <v>55</v>
      </c>
      <c r="AQ202" s="45" t="s">
        <v>747</v>
      </c>
      <c r="AR202" s="45">
        <f>SEARCH("-",AQ202,1)</f>
        <v>5</v>
      </c>
      <c r="AS202" s="45" t="s">
        <v>748</v>
      </c>
      <c r="AT202" s="45" t="str">
        <f>LEFT(AS202,4)</f>
        <v>RM1E</v>
      </c>
      <c r="AU202" s="45" t="s">
        <v>200</v>
      </c>
      <c r="AV202" s="45" t="str">
        <f>CONCATENATE(AU202,"-W AV","@W")</f>
        <v>RM1E-W AV@W</v>
      </c>
    </row>
    <row r="203" spans="1:48" ht="20.100000000000001" customHeight="1" thickBot="1">
      <c r="A203" s="45" t="s">
        <v>749</v>
      </c>
      <c r="B203" s="45" t="s">
        <v>266</v>
      </c>
      <c r="C203" s="45" t="s">
        <v>736</v>
      </c>
      <c r="E203" s="45">
        <f t="shared" si="69"/>
        <v>5</v>
      </c>
      <c r="F203" s="45">
        <f t="shared" si="70"/>
        <v>3</v>
      </c>
      <c r="G203" s="45" t="str">
        <f t="shared" si="71"/>
        <v>1E</v>
      </c>
      <c r="H203" s="45" t="str">
        <f t="shared" si="72"/>
        <v>LB</v>
      </c>
      <c r="J203" s="45" t="str">
        <f t="shared" si="73"/>
        <v>LB</v>
      </c>
      <c r="K203" s="45" t="s">
        <v>130</v>
      </c>
      <c r="L203" s="45" t="str">
        <f t="shared" si="74"/>
        <v>1E-LB@E</v>
      </c>
      <c r="M203" s="75" t="str">
        <f t="shared" si="67"/>
        <v>329, 328, 325, 318, 317, 316, 311, 303, 305, 302, 302, 305, 307, 306, M5</v>
      </c>
      <c r="N203" s="75" t="str">
        <f t="shared" si="68"/>
        <v>29, 04, 03</v>
      </c>
      <c r="R203" s="70" t="s">
        <v>261</v>
      </c>
      <c r="S203" s="70" t="s">
        <v>53</v>
      </c>
      <c r="T203" s="70" t="s">
        <v>672</v>
      </c>
      <c r="U203" s="70"/>
      <c r="V203" s="70"/>
      <c r="X203" s="70" t="str">
        <f t="shared" si="63"/>
        <v>1E-E DT@E</v>
      </c>
      <c r="Y203" s="70" t="str">
        <f t="shared" si="64"/>
        <v>E DT-LB@E</v>
      </c>
      <c r="Z203" s="70" t="str">
        <f t="shared" si="65"/>
        <v/>
      </c>
      <c r="AA203" s="70" t="str">
        <f t="shared" si="66"/>
        <v/>
      </c>
      <c r="AC203" s="70" t="str">
        <f t="shared" si="75"/>
        <v>329, 328, 325, 318, 317, 316, 311, 303, 305, 302</v>
      </c>
      <c r="AD203" s="70" t="str">
        <f t="shared" si="76"/>
        <v>302, 305, 307, 306, M5</v>
      </c>
      <c r="AE203" s="70" t="str">
        <f t="shared" si="77"/>
        <v/>
      </c>
      <c r="AF203" s="70" t="str">
        <f t="shared" si="78"/>
        <v/>
      </c>
      <c r="AH203" s="70" t="str">
        <f t="shared" si="79"/>
        <v>29, 04</v>
      </c>
      <c r="AI203" s="70" t="str">
        <f t="shared" si="80"/>
        <v>03</v>
      </c>
      <c r="AJ203" s="70" t="str">
        <f t="shared" si="81"/>
        <v/>
      </c>
      <c r="AK203" s="70" t="str">
        <f t="shared" si="82"/>
        <v/>
      </c>
      <c r="AM203" s="166" t="str">
        <f t="shared" si="83"/>
        <v>W DT-RM1W</v>
      </c>
      <c r="AN203" s="171" t="s">
        <v>750</v>
      </c>
      <c r="AO203" s="167" t="s">
        <v>458</v>
      </c>
      <c r="AP203" s="167">
        <v>55</v>
      </c>
      <c r="AQ203" s="45" t="s">
        <v>751</v>
      </c>
      <c r="AR203" s="45">
        <f t="shared" ref="AR203:AR225" si="84">SEARCH("-",AQ203,1)</f>
        <v>5</v>
      </c>
      <c r="AS203" s="45" t="s">
        <v>752</v>
      </c>
      <c r="AT203" s="45" t="str">
        <f t="shared" ref="AT203:AT209" si="85">LEFT(AS203,4)</f>
        <v>RM1W</v>
      </c>
      <c r="AU203" s="45" t="s">
        <v>208</v>
      </c>
      <c r="AV203" s="45" t="str">
        <f t="shared" ref="AV203:AV225" si="86">CONCATENATE(AU203,"-W AV","@W")</f>
        <v>RM1W-W AV@W</v>
      </c>
    </row>
    <row r="204" spans="1:48" ht="20.100000000000001" customHeight="1" thickBot="1">
      <c r="A204" s="45" t="s">
        <v>753</v>
      </c>
      <c r="B204" s="45" t="s">
        <v>147</v>
      </c>
      <c r="C204" s="45" t="s">
        <v>732</v>
      </c>
      <c r="E204" s="45">
        <f t="shared" si="69"/>
        <v>5</v>
      </c>
      <c r="F204" s="45">
        <f t="shared" si="70"/>
        <v>3</v>
      </c>
      <c r="G204" s="45" t="str">
        <f t="shared" si="71"/>
        <v>LB</v>
      </c>
      <c r="H204" s="45" t="str">
        <f t="shared" si="72"/>
        <v>1W</v>
      </c>
      <c r="J204" s="45" t="str">
        <f t="shared" si="73"/>
        <v>1W</v>
      </c>
      <c r="K204" s="45" t="s">
        <v>130</v>
      </c>
      <c r="L204" s="45" t="str">
        <f t="shared" si="74"/>
        <v>LB-1W@E</v>
      </c>
      <c r="M204" s="75" t="str">
        <f t="shared" si="67"/>
        <v>302, 305, 307, 306, M5, 329, 328, 325, 318, 317, 316, 311, 303, 305, 302</v>
      </c>
      <c r="N204" s="75" t="str">
        <f t="shared" si="68"/>
        <v>05, 03, 10, 16</v>
      </c>
      <c r="R204" s="70" t="s">
        <v>672</v>
      </c>
      <c r="S204" s="70" t="s">
        <v>53</v>
      </c>
      <c r="T204" s="70" t="s">
        <v>269</v>
      </c>
      <c r="U204" s="70"/>
      <c r="V204" s="70"/>
      <c r="X204" s="70" t="str">
        <f t="shared" si="63"/>
        <v>LB-E DT@E</v>
      </c>
      <c r="Y204" s="70" t="str">
        <f t="shared" si="64"/>
        <v>E DT-1W@E</v>
      </c>
      <c r="Z204" s="70" t="str">
        <f t="shared" si="65"/>
        <v/>
      </c>
      <c r="AA204" s="70" t="str">
        <f t="shared" si="66"/>
        <v/>
      </c>
      <c r="AC204" s="70" t="str">
        <f t="shared" si="75"/>
        <v>302, 305, 307, 306, M5</v>
      </c>
      <c r="AD204" s="70" t="str">
        <f t="shared" si="76"/>
        <v>329, 328, 325, 318, 317, 316, 311, 303, 305, 302</v>
      </c>
      <c r="AE204" s="70" t="str">
        <f t="shared" si="77"/>
        <v/>
      </c>
      <c r="AF204" s="70" t="str">
        <f t="shared" si="78"/>
        <v/>
      </c>
      <c r="AH204" s="70" t="str">
        <f t="shared" si="79"/>
        <v>05</v>
      </c>
      <c r="AI204" s="70" t="str">
        <f t="shared" si="80"/>
        <v>03, 10, 16</v>
      </c>
      <c r="AJ204" s="70" t="str">
        <f t="shared" si="81"/>
        <v/>
      </c>
      <c r="AK204" s="70" t="str">
        <f t="shared" si="82"/>
        <v/>
      </c>
      <c r="AM204" s="166" t="str">
        <f t="shared" si="83"/>
        <v>W DT-RM2E</v>
      </c>
      <c r="AN204" s="171" t="s">
        <v>754</v>
      </c>
      <c r="AO204" s="167" t="s">
        <v>463</v>
      </c>
      <c r="AP204" s="167">
        <v>55</v>
      </c>
      <c r="AQ204" s="45" t="s">
        <v>755</v>
      </c>
      <c r="AR204" s="45">
        <f t="shared" si="84"/>
        <v>5</v>
      </c>
      <c r="AS204" s="45" t="s">
        <v>756</v>
      </c>
      <c r="AT204" s="45" t="str">
        <f t="shared" si="85"/>
        <v>RM2E</v>
      </c>
      <c r="AU204" s="45" t="s">
        <v>216</v>
      </c>
      <c r="AV204" s="45" t="str">
        <f t="shared" si="86"/>
        <v>RM2E-W AV@W</v>
      </c>
    </row>
    <row r="205" spans="1:48" ht="20.100000000000001" customHeight="1" thickBot="1">
      <c r="A205" s="45" t="s">
        <v>757</v>
      </c>
      <c r="B205" s="45" t="s">
        <v>266</v>
      </c>
      <c r="C205" s="45" t="s">
        <v>736</v>
      </c>
      <c r="E205" s="45">
        <f t="shared" si="69"/>
        <v>5</v>
      </c>
      <c r="F205" s="45">
        <f t="shared" si="70"/>
        <v>3</v>
      </c>
      <c r="G205" s="45" t="str">
        <f t="shared" si="71"/>
        <v>1W</v>
      </c>
      <c r="H205" s="45" t="str">
        <f t="shared" si="72"/>
        <v>LB</v>
      </c>
      <c r="J205" s="45" t="str">
        <f t="shared" si="73"/>
        <v>LB</v>
      </c>
      <c r="K205" s="45" t="s">
        <v>130</v>
      </c>
      <c r="L205" s="45" t="str">
        <f t="shared" si="74"/>
        <v>1W-LB@E</v>
      </c>
      <c r="M205" s="75" t="str">
        <f t="shared" si="67"/>
        <v>329, 328, 325, 318, 317, 316, 311, 303, 305, 302, 302, 305, 307, 306, M5</v>
      </c>
      <c r="N205" s="75" t="str">
        <f t="shared" si="68"/>
        <v>29, 04, 03</v>
      </c>
      <c r="R205" s="70" t="s">
        <v>269</v>
      </c>
      <c r="S205" s="70" t="s">
        <v>53</v>
      </c>
      <c r="T205" s="70" t="s">
        <v>672</v>
      </c>
      <c r="U205" s="70"/>
      <c r="V205" s="70"/>
      <c r="X205" s="70" t="str">
        <f t="shared" si="63"/>
        <v>1W-E DT@E</v>
      </c>
      <c r="Y205" s="70" t="str">
        <f t="shared" si="64"/>
        <v>E DT-LB@E</v>
      </c>
      <c r="Z205" s="70" t="str">
        <f t="shared" si="65"/>
        <v/>
      </c>
      <c r="AA205" s="70" t="str">
        <f t="shared" si="66"/>
        <v/>
      </c>
      <c r="AC205" s="70" t="str">
        <f t="shared" si="75"/>
        <v>329, 328, 325, 318, 317, 316, 311, 303, 305, 302</v>
      </c>
      <c r="AD205" s="70" t="str">
        <f t="shared" si="76"/>
        <v>302, 305, 307, 306, M5</v>
      </c>
      <c r="AE205" s="70" t="str">
        <f t="shared" si="77"/>
        <v/>
      </c>
      <c r="AF205" s="70" t="str">
        <f t="shared" si="78"/>
        <v/>
      </c>
      <c r="AH205" s="70" t="str">
        <f t="shared" si="79"/>
        <v>29, 04</v>
      </c>
      <c r="AI205" s="70" t="str">
        <f t="shared" si="80"/>
        <v>03</v>
      </c>
      <c r="AJ205" s="70" t="str">
        <f t="shared" si="81"/>
        <v/>
      </c>
      <c r="AK205" s="70" t="str">
        <f t="shared" si="82"/>
        <v/>
      </c>
      <c r="AM205" s="166" t="str">
        <f t="shared" si="83"/>
        <v>W DT-RM2W</v>
      </c>
      <c r="AN205" s="171" t="s">
        <v>758</v>
      </c>
      <c r="AO205" s="167" t="s">
        <v>463</v>
      </c>
      <c r="AP205" s="167">
        <v>55</v>
      </c>
      <c r="AQ205" s="45" t="s">
        <v>759</v>
      </c>
      <c r="AR205" s="45">
        <f t="shared" si="84"/>
        <v>5</v>
      </c>
      <c r="AS205" s="45" t="s">
        <v>760</v>
      </c>
      <c r="AT205" s="45" t="str">
        <f t="shared" si="85"/>
        <v>RM2W</v>
      </c>
      <c r="AU205" s="45" t="s">
        <v>224</v>
      </c>
      <c r="AV205" s="45" t="str">
        <f t="shared" si="86"/>
        <v>RM2W-W AV@W</v>
      </c>
    </row>
    <row r="206" spans="1:48" ht="20.100000000000001" customHeight="1" thickBot="1">
      <c r="A206" s="45" t="s">
        <v>761</v>
      </c>
      <c r="B206" s="45" t="s">
        <v>147</v>
      </c>
      <c r="C206" s="45" t="s">
        <v>762</v>
      </c>
      <c r="E206" s="45">
        <f t="shared" si="69"/>
        <v>5</v>
      </c>
      <c r="F206" s="45">
        <f t="shared" si="70"/>
        <v>3</v>
      </c>
      <c r="G206" s="45" t="str">
        <f t="shared" si="71"/>
        <v>LB</v>
      </c>
      <c r="H206" s="45" t="str">
        <f t="shared" si="72"/>
        <v>2E</v>
      </c>
      <c r="J206" s="45" t="str">
        <f t="shared" si="73"/>
        <v>2E</v>
      </c>
      <c r="K206" s="45" t="s">
        <v>130</v>
      </c>
      <c r="L206" s="45" t="str">
        <f t="shared" si="74"/>
        <v>LB-2E@E</v>
      </c>
      <c r="M206" s="75" t="str">
        <f t="shared" si="67"/>
        <v>302, 305, 307, 306, M5, 330, 328, 325, 318, 317, 316, 311, 303, 305, 302</v>
      </c>
      <c r="N206" s="75" t="str">
        <f t="shared" si="68"/>
        <v>05, 03, 10, 16</v>
      </c>
      <c r="R206" s="70" t="s">
        <v>672</v>
      </c>
      <c r="S206" s="70" t="s">
        <v>53</v>
      </c>
      <c r="T206" s="70" t="s">
        <v>276</v>
      </c>
      <c r="U206" s="70"/>
      <c r="V206" s="70"/>
      <c r="X206" s="70" t="str">
        <f t="shared" si="63"/>
        <v>LB-E DT@E</v>
      </c>
      <c r="Y206" s="70" t="str">
        <f t="shared" si="64"/>
        <v>E DT-2E@E</v>
      </c>
      <c r="Z206" s="70" t="str">
        <f t="shared" si="65"/>
        <v/>
      </c>
      <c r="AA206" s="70" t="str">
        <f t="shared" si="66"/>
        <v/>
      </c>
      <c r="AC206" s="70" t="str">
        <f t="shared" si="75"/>
        <v>302, 305, 307, 306, M5</v>
      </c>
      <c r="AD206" s="70" t="str">
        <f t="shared" si="76"/>
        <v>330, 328, 325, 318, 317, 316, 311, 303, 305, 302</v>
      </c>
      <c r="AE206" s="70" t="str">
        <f t="shared" si="77"/>
        <v/>
      </c>
      <c r="AF206" s="70" t="str">
        <f t="shared" si="78"/>
        <v/>
      </c>
      <c r="AH206" s="70" t="str">
        <f t="shared" si="79"/>
        <v>05</v>
      </c>
      <c r="AI206" s="70" t="str">
        <f t="shared" si="80"/>
        <v>03, 10, 16</v>
      </c>
      <c r="AJ206" s="70" t="str">
        <f t="shared" si="81"/>
        <v/>
      </c>
      <c r="AK206" s="70" t="str">
        <f t="shared" si="82"/>
        <v/>
      </c>
      <c r="AM206" s="166" t="str">
        <f t="shared" si="83"/>
        <v>W DT-RM3E</v>
      </c>
      <c r="AN206" s="171" t="s">
        <v>763</v>
      </c>
      <c r="AO206" s="167" t="s">
        <v>463</v>
      </c>
      <c r="AP206" s="167">
        <v>55</v>
      </c>
      <c r="AQ206" s="45" t="s">
        <v>764</v>
      </c>
      <c r="AR206" s="45">
        <f t="shared" si="84"/>
        <v>5</v>
      </c>
      <c r="AS206" s="45" t="s">
        <v>765</v>
      </c>
      <c r="AT206" s="45" t="str">
        <f t="shared" si="85"/>
        <v>RM3E</v>
      </c>
      <c r="AU206" s="45" t="s">
        <v>231</v>
      </c>
      <c r="AV206" s="45" t="str">
        <f t="shared" si="86"/>
        <v>RM3E-W AV@W</v>
      </c>
    </row>
    <row r="207" spans="1:48" ht="20.100000000000001" customHeight="1" thickBot="1">
      <c r="A207" s="45" t="s">
        <v>766</v>
      </c>
      <c r="B207" s="45" t="s">
        <v>280</v>
      </c>
      <c r="C207" s="45" t="s">
        <v>767</v>
      </c>
      <c r="E207" s="45">
        <f t="shared" si="69"/>
        <v>5</v>
      </c>
      <c r="F207" s="45">
        <f t="shared" si="70"/>
        <v>3</v>
      </c>
      <c r="G207" s="45" t="str">
        <f t="shared" si="71"/>
        <v>2E</v>
      </c>
      <c r="H207" s="45" t="str">
        <f t="shared" si="72"/>
        <v>LB</v>
      </c>
      <c r="J207" s="45" t="str">
        <f t="shared" si="73"/>
        <v>LB</v>
      </c>
      <c r="K207" s="45" t="s">
        <v>130</v>
      </c>
      <c r="L207" s="45" t="str">
        <f t="shared" si="74"/>
        <v>2E-LB@E</v>
      </c>
      <c r="M207" s="75" t="str">
        <f t="shared" si="67"/>
        <v>330, 328, 325, 318, 317, 316, 311, 303, 305, 302, 302, 305, 307, 306, M5</v>
      </c>
      <c r="N207" s="75" t="str">
        <f t="shared" si="68"/>
        <v>30, 04, 03</v>
      </c>
      <c r="R207" s="70" t="s">
        <v>276</v>
      </c>
      <c r="S207" s="70" t="s">
        <v>53</v>
      </c>
      <c r="T207" s="70" t="s">
        <v>672</v>
      </c>
      <c r="U207" s="70"/>
      <c r="V207" s="70"/>
      <c r="X207" s="70" t="str">
        <f t="shared" si="63"/>
        <v>2E-E DT@E</v>
      </c>
      <c r="Y207" s="70" t="str">
        <f t="shared" si="64"/>
        <v>E DT-LB@E</v>
      </c>
      <c r="Z207" s="70" t="str">
        <f t="shared" si="65"/>
        <v/>
      </c>
      <c r="AA207" s="70" t="str">
        <f t="shared" si="66"/>
        <v/>
      </c>
      <c r="AC207" s="70" t="str">
        <f t="shared" si="75"/>
        <v>330, 328, 325, 318, 317, 316, 311, 303, 305, 302</v>
      </c>
      <c r="AD207" s="70" t="str">
        <f t="shared" si="76"/>
        <v>302, 305, 307, 306, M5</v>
      </c>
      <c r="AE207" s="70" t="str">
        <f t="shared" si="77"/>
        <v/>
      </c>
      <c r="AF207" s="70" t="str">
        <f t="shared" si="78"/>
        <v/>
      </c>
      <c r="AH207" s="70" t="str">
        <f t="shared" si="79"/>
        <v>30, 04</v>
      </c>
      <c r="AI207" s="70" t="str">
        <f t="shared" si="80"/>
        <v>03</v>
      </c>
      <c r="AJ207" s="70" t="str">
        <f t="shared" si="81"/>
        <v/>
      </c>
      <c r="AK207" s="70" t="str">
        <f t="shared" si="82"/>
        <v/>
      </c>
      <c r="AM207" s="166" t="str">
        <f t="shared" si="83"/>
        <v>W DT-RM3W</v>
      </c>
      <c r="AN207" s="171" t="s">
        <v>768</v>
      </c>
      <c r="AO207" s="167" t="s">
        <v>463</v>
      </c>
      <c r="AP207" s="167">
        <v>55</v>
      </c>
      <c r="AQ207" s="45" t="s">
        <v>769</v>
      </c>
      <c r="AR207" s="45">
        <f t="shared" si="84"/>
        <v>5</v>
      </c>
      <c r="AS207" s="45" t="s">
        <v>770</v>
      </c>
      <c r="AT207" s="45" t="str">
        <f t="shared" si="85"/>
        <v>RM3W</v>
      </c>
      <c r="AU207" s="45" t="s">
        <v>238</v>
      </c>
      <c r="AV207" s="45" t="str">
        <f t="shared" si="86"/>
        <v>RM3W-W AV@W</v>
      </c>
    </row>
    <row r="208" spans="1:48" ht="20.100000000000001" customHeight="1" thickBot="1">
      <c r="A208" s="45" t="s">
        <v>771</v>
      </c>
      <c r="B208" s="45" t="s">
        <v>147</v>
      </c>
      <c r="C208" s="45" t="s">
        <v>762</v>
      </c>
      <c r="E208" s="45">
        <f t="shared" si="69"/>
        <v>5</v>
      </c>
      <c r="F208" s="45">
        <f t="shared" si="70"/>
        <v>3</v>
      </c>
      <c r="G208" s="45" t="str">
        <f t="shared" si="71"/>
        <v>LB</v>
      </c>
      <c r="H208" s="45" t="str">
        <f t="shared" si="72"/>
        <v>2W</v>
      </c>
      <c r="J208" s="45" t="str">
        <f t="shared" si="73"/>
        <v>2W</v>
      </c>
      <c r="K208" s="45" t="s">
        <v>130</v>
      </c>
      <c r="L208" s="45" t="str">
        <f t="shared" si="74"/>
        <v>LB-2W@E</v>
      </c>
      <c r="M208" s="75" t="str">
        <f t="shared" si="67"/>
        <v>302, 305, 307, 306, M5, 330, 328, 325, 318, 317, 316, 311, 303, 305, 302</v>
      </c>
      <c r="N208" s="75" t="str">
        <f t="shared" si="68"/>
        <v>05, 03, 10, 16</v>
      </c>
      <c r="R208" s="70" t="s">
        <v>672</v>
      </c>
      <c r="S208" s="70" t="s">
        <v>53</v>
      </c>
      <c r="T208" s="70" t="s">
        <v>285</v>
      </c>
      <c r="U208" s="70"/>
      <c r="V208" s="70"/>
      <c r="X208" s="70" t="str">
        <f t="shared" si="63"/>
        <v>LB-E DT@E</v>
      </c>
      <c r="Y208" s="70" t="str">
        <f t="shared" si="64"/>
        <v>E DT-2W@E</v>
      </c>
      <c r="Z208" s="70" t="str">
        <f t="shared" si="65"/>
        <v/>
      </c>
      <c r="AA208" s="70" t="str">
        <f t="shared" si="66"/>
        <v/>
      </c>
      <c r="AC208" s="70" t="str">
        <f t="shared" si="75"/>
        <v>302, 305, 307, 306, M5</v>
      </c>
      <c r="AD208" s="70" t="str">
        <f t="shared" si="76"/>
        <v>330, 328, 325, 318, 317, 316, 311, 303, 305, 302</v>
      </c>
      <c r="AE208" s="70" t="str">
        <f t="shared" si="77"/>
        <v/>
      </c>
      <c r="AF208" s="70" t="str">
        <f t="shared" si="78"/>
        <v/>
      </c>
      <c r="AH208" s="70" t="str">
        <f t="shared" si="79"/>
        <v>05</v>
      </c>
      <c r="AI208" s="70" t="str">
        <f t="shared" si="80"/>
        <v>03, 10, 16</v>
      </c>
      <c r="AJ208" s="70" t="str">
        <f t="shared" si="81"/>
        <v/>
      </c>
      <c r="AK208" s="70" t="str">
        <f t="shared" si="82"/>
        <v/>
      </c>
      <c r="AM208" s="166" t="str">
        <f t="shared" si="83"/>
        <v>W DT-HCTE</v>
      </c>
      <c r="AN208" s="171" t="s">
        <v>772</v>
      </c>
      <c r="AO208" s="167" t="s">
        <v>472</v>
      </c>
      <c r="AP208" s="167">
        <v>55</v>
      </c>
      <c r="AQ208" s="45" t="s">
        <v>773</v>
      </c>
      <c r="AR208" s="45">
        <f t="shared" si="84"/>
        <v>5</v>
      </c>
      <c r="AS208" s="45" t="s">
        <v>774</v>
      </c>
      <c r="AT208" s="45" t="str">
        <f t="shared" si="85"/>
        <v>HCTE</v>
      </c>
      <c r="AU208" s="45" t="s">
        <v>246</v>
      </c>
      <c r="AV208" s="45" t="str">
        <f t="shared" si="86"/>
        <v>HCTE-W AV@W</v>
      </c>
    </row>
    <row r="209" spans="1:48" ht="20.100000000000001" customHeight="1" thickBot="1">
      <c r="A209" s="45" t="s">
        <v>775</v>
      </c>
      <c r="B209" s="45" t="s">
        <v>280</v>
      </c>
      <c r="C209" s="45" t="s">
        <v>767</v>
      </c>
      <c r="E209" s="45">
        <f t="shared" si="69"/>
        <v>5</v>
      </c>
      <c r="F209" s="45">
        <f t="shared" si="70"/>
        <v>3</v>
      </c>
      <c r="G209" s="45" t="str">
        <f t="shared" si="71"/>
        <v>2W</v>
      </c>
      <c r="H209" s="45" t="str">
        <f t="shared" si="72"/>
        <v>LB</v>
      </c>
      <c r="J209" s="45" t="str">
        <f t="shared" si="73"/>
        <v>LB</v>
      </c>
      <c r="K209" s="45" t="s">
        <v>130</v>
      </c>
      <c r="L209" s="45" t="str">
        <f t="shared" si="74"/>
        <v>2W-LB@E</v>
      </c>
      <c r="M209" s="75" t="str">
        <f t="shared" si="67"/>
        <v>330, 328, 325, 318, 317, 316, 311, 303, 305, 302, 302, 305, 307, 306, M5</v>
      </c>
      <c r="N209" s="75" t="str">
        <f t="shared" si="68"/>
        <v>30, 04, 03</v>
      </c>
      <c r="R209" s="70" t="s">
        <v>285</v>
      </c>
      <c r="S209" s="70" t="s">
        <v>53</v>
      </c>
      <c r="T209" s="70" t="s">
        <v>672</v>
      </c>
      <c r="U209" s="70"/>
      <c r="V209" s="70"/>
      <c r="X209" s="70" t="str">
        <f t="shared" si="63"/>
        <v>2W-E DT@E</v>
      </c>
      <c r="Y209" s="70" t="str">
        <f t="shared" si="64"/>
        <v>E DT-LB@E</v>
      </c>
      <c r="Z209" s="70" t="str">
        <f t="shared" si="65"/>
        <v/>
      </c>
      <c r="AA209" s="70" t="str">
        <f t="shared" si="66"/>
        <v/>
      </c>
      <c r="AC209" s="70" t="str">
        <f t="shared" si="75"/>
        <v>330, 328, 325, 318, 317, 316, 311, 303, 305, 302</v>
      </c>
      <c r="AD209" s="70" t="str">
        <f t="shared" si="76"/>
        <v>302, 305, 307, 306, M5</v>
      </c>
      <c r="AE209" s="70" t="str">
        <f t="shared" si="77"/>
        <v/>
      </c>
      <c r="AF209" s="70" t="str">
        <f t="shared" si="78"/>
        <v/>
      </c>
      <c r="AH209" s="70" t="str">
        <f t="shared" si="79"/>
        <v>30, 04</v>
      </c>
      <c r="AI209" s="70" t="str">
        <f t="shared" si="80"/>
        <v>03</v>
      </c>
      <c r="AJ209" s="70" t="str">
        <f t="shared" si="81"/>
        <v/>
      </c>
      <c r="AK209" s="70" t="str">
        <f t="shared" si="82"/>
        <v/>
      </c>
      <c r="AM209" s="166" t="str">
        <f t="shared" si="83"/>
        <v>W DT-HCTW</v>
      </c>
      <c r="AN209" s="171" t="s">
        <v>776</v>
      </c>
      <c r="AO209" s="167" t="s">
        <v>472</v>
      </c>
      <c r="AP209" s="167">
        <v>55</v>
      </c>
      <c r="AQ209" s="45" t="s">
        <v>777</v>
      </c>
      <c r="AR209" s="45">
        <f t="shared" si="84"/>
        <v>5</v>
      </c>
      <c r="AS209" s="45" t="s">
        <v>778</v>
      </c>
      <c r="AT209" s="45" t="str">
        <f t="shared" si="85"/>
        <v>HCTW</v>
      </c>
      <c r="AU209" s="45" t="s">
        <v>254</v>
      </c>
      <c r="AV209" s="45" t="str">
        <f t="shared" si="86"/>
        <v>HCTW-W AV@W</v>
      </c>
    </row>
    <row r="210" spans="1:48" ht="20.100000000000001" customHeight="1" thickBot="1">
      <c r="A210" s="45" t="s">
        <v>779</v>
      </c>
      <c r="B210" s="45" t="s">
        <v>147</v>
      </c>
      <c r="C210" s="45" t="s">
        <v>762</v>
      </c>
      <c r="E210" s="45">
        <f t="shared" si="69"/>
        <v>5</v>
      </c>
      <c r="F210" s="45">
        <f t="shared" si="70"/>
        <v>3</v>
      </c>
      <c r="G210" s="45" t="str">
        <f t="shared" si="71"/>
        <v>LB</v>
      </c>
      <c r="H210" s="45" t="str">
        <f t="shared" si="72"/>
        <v>3E</v>
      </c>
      <c r="J210" s="45" t="str">
        <f t="shared" si="73"/>
        <v>3E</v>
      </c>
      <c r="K210" s="45" t="s">
        <v>130</v>
      </c>
      <c r="L210" s="45" t="str">
        <f t="shared" si="74"/>
        <v>LB-3E@E</v>
      </c>
      <c r="M210" s="75" t="str">
        <f t="shared" si="67"/>
        <v>302, 305, 307, 306, M5, 330, 328, 325, 318, 317, 316, 311, 303, 305, 302</v>
      </c>
      <c r="N210" s="75" t="str">
        <f t="shared" si="68"/>
        <v>05, 03, 10, 16</v>
      </c>
      <c r="R210" s="70" t="s">
        <v>672</v>
      </c>
      <c r="S210" s="70" t="s">
        <v>53</v>
      </c>
      <c r="T210" s="70" t="s">
        <v>293</v>
      </c>
      <c r="U210" s="70"/>
      <c r="V210" s="70"/>
      <c r="X210" s="70" t="str">
        <f t="shared" si="63"/>
        <v>LB-E DT@E</v>
      </c>
      <c r="Y210" s="70" t="str">
        <f t="shared" si="64"/>
        <v>E DT-3E@E</v>
      </c>
      <c r="Z210" s="70" t="str">
        <f t="shared" si="65"/>
        <v/>
      </c>
      <c r="AA210" s="70" t="str">
        <f t="shared" si="66"/>
        <v/>
      </c>
      <c r="AC210" s="70" t="str">
        <f t="shared" si="75"/>
        <v>302, 305, 307, 306, M5</v>
      </c>
      <c r="AD210" s="70" t="str">
        <f t="shared" si="76"/>
        <v>330, 328, 325, 318, 317, 316, 311, 303, 305, 302</v>
      </c>
      <c r="AE210" s="70" t="str">
        <f t="shared" si="77"/>
        <v/>
      </c>
      <c r="AF210" s="70" t="str">
        <f t="shared" si="78"/>
        <v/>
      </c>
      <c r="AH210" s="70" t="str">
        <f t="shared" si="79"/>
        <v>05</v>
      </c>
      <c r="AI210" s="70" t="str">
        <f t="shared" si="80"/>
        <v>03, 10, 16</v>
      </c>
      <c r="AJ210" s="70" t="str">
        <f t="shared" si="81"/>
        <v/>
      </c>
      <c r="AK210" s="70" t="str">
        <f t="shared" si="82"/>
        <v/>
      </c>
      <c r="AM210" s="166" t="str">
        <f t="shared" si="83"/>
        <v>W DT-1E</v>
      </c>
      <c r="AN210" s="171" t="s">
        <v>780</v>
      </c>
      <c r="AO210" s="167" t="s">
        <v>472</v>
      </c>
      <c r="AP210" s="167">
        <v>55</v>
      </c>
      <c r="AQ210" s="45" t="s">
        <v>781</v>
      </c>
      <c r="AR210" s="45">
        <f t="shared" si="84"/>
        <v>5</v>
      </c>
      <c r="AS210" s="45" t="s">
        <v>782</v>
      </c>
      <c r="AT210" s="45" t="str">
        <f>LEFT(AS210,2)</f>
        <v>1E</v>
      </c>
      <c r="AU210" s="45" t="s">
        <v>261</v>
      </c>
      <c r="AV210" s="45" t="str">
        <f t="shared" si="86"/>
        <v>1E-W AV@W</v>
      </c>
    </row>
    <row r="211" spans="1:48" ht="20.100000000000001" customHeight="1" thickBot="1">
      <c r="A211" s="45" t="s">
        <v>783</v>
      </c>
      <c r="B211" s="45" t="s">
        <v>297</v>
      </c>
      <c r="C211" s="45" t="s">
        <v>767</v>
      </c>
      <c r="E211" s="45">
        <f t="shared" si="69"/>
        <v>5</v>
      </c>
      <c r="F211" s="45">
        <f t="shared" si="70"/>
        <v>3</v>
      </c>
      <c r="G211" s="45" t="str">
        <f t="shared" si="71"/>
        <v>3E</v>
      </c>
      <c r="H211" s="45" t="str">
        <f t="shared" si="72"/>
        <v>LB</v>
      </c>
      <c r="J211" s="45" t="str">
        <f t="shared" si="73"/>
        <v>LB</v>
      </c>
      <c r="K211" s="45" t="s">
        <v>130</v>
      </c>
      <c r="L211" s="45" t="str">
        <f t="shared" si="74"/>
        <v>3E-LB@E</v>
      </c>
      <c r="M211" s="75" t="str">
        <f t="shared" si="67"/>
        <v>330, 328, 325, 318, 317, 316, 311, 303, 305, 302, 302, 305, 307, 306, M5</v>
      </c>
      <c r="N211" s="75" t="str">
        <f t="shared" si="68"/>
        <v>31, 04, 03</v>
      </c>
      <c r="R211" s="70" t="s">
        <v>293</v>
      </c>
      <c r="S211" s="70" t="s">
        <v>53</v>
      </c>
      <c r="T211" s="70" t="s">
        <v>672</v>
      </c>
      <c r="U211" s="70"/>
      <c r="V211" s="70"/>
      <c r="X211" s="70" t="str">
        <f t="shared" ref="X211:X274" si="87">IF(S211="","",CONCATENATE(R211,"-",S211,"@",$K211))</f>
        <v>3E-E DT@E</v>
      </c>
      <c r="Y211" s="70" t="str">
        <f t="shared" ref="Y211:Y274" si="88">IF(T211="","",CONCATENATE(S211,"-",T211,"@",$K211))</f>
        <v>E DT-LB@E</v>
      </c>
      <c r="Z211" s="70" t="str">
        <f t="shared" ref="Z211:Z274" si="89">IF(U211="","",CONCATENATE(T211,"-",U211,"@",$K211))</f>
        <v/>
      </c>
      <c r="AA211" s="70" t="str">
        <f t="shared" ref="AA211:AA274" si="90">IF(V211="","",CONCATENATE(U211,"-",V211,"@",$K211))</f>
        <v/>
      </c>
      <c r="AC211" s="70" t="str">
        <f t="shared" si="75"/>
        <v>330, 328, 325, 318, 317, 316, 311, 303, 305, 302</v>
      </c>
      <c r="AD211" s="70" t="str">
        <f t="shared" si="76"/>
        <v>302, 305, 307, 306, M5</v>
      </c>
      <c r="AE211" s="70" t="str">
        <f t="shared" si="77"/>
        <v/>
      </c>
      <c r="AF211" s="70" t="str">
        <f t="shared" si="78"/>
        <v/>
      </c>
      <c r="AH211" s="70" t="str">
        <f t="shared" si="79"/>
        <v>31, 04</v>
      </c>
      <c r="AI211" s="70" t="str">
        <f t="shared" si="80"/>
        <v>03</v>
      </c>
      <c r="AJ211" s="70" t="str">
        <f t="shared" si="81"/>
        <v/>
      </c>
      <c r="AK211" s="70" t="str">
        <f t="shared" si="82"/>
        <v/>
      </c>
      <c r="AM211" s="166" t="str">
        <f t="shared" si="83"/>
        <v>W DT-1W</v>
      </c>
      <c r="AN211" s="171" t="s">
        <v>784</v>
      </c>
      <c r="AO211" s="167" t="s">
        <v>472</v>
      </c>
      <c r="AP211" s="167">
        <v>55</v>
      </c>
      <c r="AQ211" s="45" t="s">
        <v>785</v>
      </c>
      <c r="AR211" s="45">
        <f t="shared" si="84"/>
        <v>5</v>
      </c>
      <c r="AS211" s="45" t="s">
        <v>786</v>
      </c>
      <c r="AT211" s="45" t="str">
        <f t="shared" ref="AT211:AT249" si="91">LEFT(AS211,2)</f>
        <v>1W</v>
      </c>
      <c r="AU211" s="45" t="s">
        <v>269</v>
      </c>
      <c r="AV211" s="45" t="str">
        <f t="shared" si="86"/>
        <v>1W-W AV@W</v>
      </c>
    </row>
    <row r="212" spans="1:48" ht="20.100000000000001" customHeight="1" thickBot="1">
      <c r="A212" s="45" t="s">
        <v>787</v>
      </c>
      <c r="B212" s="45" t="s">
        <v>147</v>
      </c>
      <c r="C212" s="45" t="s">
        <v>762</v>
      </c>
      <c r="E212" s="45">
        <f t="shared" si="69"/>
        <v>5</v>
      </c>
      <c r="F212" s="45">
        <f t="shared" si="70"/>
        <v>3</v>
      </c>
      <c r="G212" s="45" t="str">
        <f t="shared" si="71"/>
        <v>LB</v>
      </c>
      <c r="H212" s="45" t="str">
        <f t="shared" si="72"/>
        <v>3W</v>
      </c>
      <c r="J212" s="45" t="str">
        <f t="shared" si="73"/>
        <v>3W</v>
      </c>
      <c r="K212" s="45" t="s">
        <v>130</v>
      </c>
      <c r="L212" s="45" t="str">
        <f t="shared" si="74"/>
        <v>LB-3W@E</v>
      </c>
      <c r="M212" s="75" t="str">
        <f t="shared" si="67"/>
        <v>302, 305, 307, 306, M5, 330, 328, 325, 318, 317, 316, 311, 303, 305, 302</v>
      </c>
      <c r="N212" s="75" t="str">
        <f t="shared" si="68"/>
        <v>05, 03, 10, 16</v>
      </c>
      <c r="R212" s="70" t="s">
        <v>672</v>
      </c>
      <c r="S212" s="70" t="s">
        <v>53</v>
      </c>
      <c r="T212" s="70" t="s">
        <v>301</v>
      </c>
      <c r="U212" s="70"/>
      <c r="V212" s="70"/>
      <c r="X212" s="70" t="str">
        <f t="shared" si="87"/>
        <v>LB-E DT@E</v>
      </c>
      <c r="Y212" s="70" t="str">
        <f t="shared" si="88"/>
        <v>E DT-3W@E</v>
      </c>
      <c r="Z212" s="70" t="str">
        <f t="shared" si="89"/>
        <v/>
      </c>
      <c r="AA212" s="70" t="str">
        <f t="shared" si="90"/>
        <v/>
      </c>
      <c r="AC212" s="70" t="str">
        <f t="shared" si="75"/>
        <v>302, 305, 307, 306, M5</v>
      </c>
      <c r="AD212" s="70" t="str">
        <f t="shared" si="76"/>
        <v>330, 328, 325, 318, 317, 316, 311, 303, 305, 302</v>
      </c>
      <c r="AE212" s="70" t="str">
        <f t="shared" si="77"/>
        <v/>
      </c>
      <c r="AF212" s="70" t="str">
        <f t="shared" si="78"/>
        <v/>
      </c>
      <c r="AH212" s="70" t="str">
        <f t="shared" si="79"/>
        <v>05</v>
      </c>
      <c r="AI212" s="70" t="str">
        <f t="shared" si="80"/>
        <v>03, 10, 16</v>
      </c>
      <c r="AJ212" s="70" t="str">
        <f t="shared" si="81"/>
        <v/>
      </c>
      <c r="AK212" s="70" t="str">
        <f t="shared" si="82"/>
        <v/>
      </c>
      <c r="AM212" s="166" t="str">
        <f t="shared" si="83"/>
        <v>W DT-2E</v>
      </c>
      <c r="AN212" s="171" t="s">
        <v>788</v>
      </c>
      <c r="AO212" s="167" t="s">
        <v>482</v>
      </c>
      <c r="AP212" s="167">
        <v>55</v>
      </c>
      <c r="AQ212" s="45" t="s">
        <v>789</v>
      </c>
      <c r="AR212" s="45">
        <f t="shared" si="84"/>
        <v>5</v>
      </c>
      <c r="AS212" s="45" t="s">
        <v>790</v>
      </c>
      <c r="AT212" s="45" t="str">
        <f t="shared" si="91"/>
        <v>2E</v>
      </c>
      <c r="AU212" s="45" t="s">
        <v>276</v>
      </c>
      <c r="AV212" s="45" t="str">
        <f t="shared" si="86"/>
        <v>2E-W AV@W</v>
      </c>
    </row>
    <row r="213" spans="1:48" ht="20.100000000000001" customHeight="1" thickBot="1">
      <c r="A213" s="45" t="s">
        <v>791</v>
      </c>
      <c r="B213" s="45" t="s">
        <v>297</v>
      </c>
      <c r="C213" s="45" t="s">
        <v>767</v>
      </c>
      <c r="E213" s="45">
        <f t="shared" si="69"/>
        <v>5</v>
      </c>
      <c r="F213" s="45">
        <f t="shared" si="70"/>
        <v>3</v>
      </c>
      <c r="G213" s="45" t="str">
        <f t="shared" si="71"/>
        <v>3W</v>
      </c>
      <c r="H213" s="45" t="str">
        <f t="shared" si="72"/>
        <v>LB</v>
      </c>
      <c r="J213" s="45" t="str">
        <f t="shared" si="73"/>
        <v>LB</v>
      </c>
      <c r="K213" s="45" t="s">
        <v>130</v>
      </c>
      <c r="L213" s="45" t="str">
        <f t="shared" si="74"/>
        <v>3W-LB@E</v>
      </c>
      <c r="M213" s="75" t="str">
        <f t="shared" si="67"/>
        <v>330, 328, 325, 318, 317, 316, 311, 303, 305, 302, 302, 305, 307, 306, M5</v>
      </c>
      <c r="N213" s="75" t="str">
        <f t="shared" si="68"/>
        <v>31, 04, 03</v>
      </c>
      <c r="R213" s="70" t="s">
        <v>301</v>
      </c>
      <c r="S213" s="70" t="s">
        <v>53</v>
      </c>
      <c r="T213" s="70" t="s">
        <v>672</v>
      </c>
      <c r="U213" s="70"/>
      <c r="V213" s="70"/>
      <c r="X213" s="70" t="str">
        <f t="shared" si="87"/>
        <v>3W-E DT@E</v>
      </c>
      <c r="Y213" s="70" t="str">
        <f t="shared" si="88"/>
        <v>E DT-LB@E</v>
      </c>
      <c r="Z213" s="70" t="str">
        <f t="shared" si="89"/>
        <v/>
      </c>
      <c r="AA213" s="70" t="str">
        <f t="shared" si="90"/>
        <v/>
      </c>
      <c r="AC213" s="70" t="str">
        <f t="shared" si="75"/>
        <v>330, 328, 325, 318, 317, 316, 311, 303, 305, 302</v>
      </c>
      <c r="AD213" s="70" t="str">
        <f t="shared" si="76"/>
        <v>302, 305, 307, 306, M5</v>
      </c>
      <c r="AE213" s="70" t="str">
        <f t="shared" si="77"/>
        <v/>
      </c>
      <c r="AF213" s="70" t="str">
        <f t="shared" si="78"/>
        <v/>
      </c>
      <c r="AH213" s="70" t="str">
        <f t="shared" si="79"/>
        <v>31, 04</v>
      </c>
      <c r="AI213" s="70" t="str">
        <f t="shared" si="80"/>
        <v>03</v>
      </c>
      <c r="AJ213" s="70" t="str">
        <f t="shared" si="81"/>
        <v/>
      </c>
      <c r="AK213" s="70" t="str">
        <f t="shared" si="82"/>
        <v/>
      </c>
      <c r="AM213" s="166" t="str">
        <f t="shared" si="83"/>
        <v>W DT-2W</v>
      </c>
      <c r="AN213" s="171" t="s">
        <v>792</v>
      </c>
      <c r="AO213" s="167" t="s">
        <v>482</v>
      </c>
      <c r="AP213" s="167">
        <v>55</v>
      </c>
      <c r="AQ213" s="45" t="s">
        <v>793</v>
      </c>
      <c r="AR213" s="45">
        <f t="shared" si="84"/>
        <v>5</v>
      </c>
      <c r="AS213" s="45" t="s">
        <v>794</v>
      </c>
      <c r="AT213" s="45" t="str">
        <f t="shared" si="91"/>
        <v>2W</v>
      </c>
      <c r="AU213" s="45" t="s">
        <v>285</v>
      </c>
      <c r="AV213" s="45" t="str">
        <f t="shared" si="86"/>
        <v>2W-W AV@W</v>
      </c>
    </row>
    <row r="214" spans="1:48" ht="20.100000000000001" customHeight="1" thickBot="1">
      <c r="A214" s="45" t="s">
        <v>795</v>
      </c>
      <c r="B214" s="45" t="s">
        <v>147</v>
      </c>
      <c r="C214" s="45" t="s">
        <v>796</v>
      </c>
      <c r="E214" s="45">
        <f t="shared" si="69"/>
        <v>5</v>
      </c>
      <c r="F214" s="45">
        <f t="shared" si="70"/>
        <v>3</v>
      </c>
      <c r="G214" s="45" t="str">
        <f t="shared" si="71"/>
        <v>LB</v>
      </c>
      <c r="H214" s="45" t="str">
        <f t="shared" si="72"/>
        <v>4E</v>
      </c>
      <c r="J214" s="45" t="str">
        <f t="shared" si="73"/>
        <v>4E</v>
      </c>
      <c r="K214" s="45" t="s">
        <v>130</v>
      </c>
      <c r="L214" s="45" t="str">
        <f t="shared" si="74"/>
        <v>LB-4E@E</v>
      </c>
      <c r="M214" s="75" t="str">
        <f t="shared" si="67"/>
        <v>302, 305, 307, 306, M5, 333, 331, 318, 317, 316, 311, 303, 305, 302</v>
      </c>
      <c r="N214" s="75" t="str">
        <f t="shared" si="68"/>
        <v>05, 03, 10, 16</v>
      </c>
      <c r="R214" s="70" t="s">
        <v>672</v>
      </c>
      <c r="S214" s="70" t="s">
        <v>53</v>
      </c>
      <c r="T214" s="70" t="s">
        <v>309</v>
      </c>
      <c r="U214" s="70"/>
      <c r="V214" s="70"/>
      <c r="X214" s="70" t="str">
        <f t="shared" si="87"/>
        <v>LB-E DT@E</v>
      </c>
      <c r="Y214" s="70" t="str">
        <f t="shared" si="88"/>
        <v>E DT-4E@E</v>
      </c>
      <c r="Z214" s="70" t="str">
        <f t="shared" si="89"/>
        <v/>
      </c>
      <c r="AA214" s="70" t="str">
        <f t="shared" si="90"/>
        <v/>
      </c>
      <c r="AC214" s="70" t="str">
        <f t="shared" si="75"/>
        <v>302, 305, 307, 306, M5</v>
      </c>
      <c r="AD214" s="70" t="str">
        <f t="shared" si="76"/>
        <v>333, 331, 318, 317, 316, 311, 303, 305, 302</v>
      </c>
      <c r="AE214" s="70" t="str">
        <f t="shared" si="77"/>
        <v/>
      </c>
      <c r="AF214" s="70" t="str">
        <f t="shared" si="78"/>
        <v/>
      </c>
      <c r="AH214" s="70" t="str">
        <f t="shared" si="79"/>
        <v>05</v>
      </c>
      <c r="AI214" s="70" t="str">
        <f t="shared" si="80"/>
        <v>03, 10, 16</v>
      </c>
      <c r="AJ214" s="70" t="str">
        <f t="shared" si="81"/>
        <v/>
      </c>
      <c r="AK214" s="70" t="str">
        <f t="shared" si="82"/>
        <v/>
      </c>
      <c r="AM214" s="166" t="str">
        <f t="shared" si="83"/>
        <v>W DT-3E</v>
      </c>
      <c r="AN214" s="171" t="s">
        <v>797</v>
      </c>
      <c r="AO214" s="167" t="s">
        <v>482</v>
      </c>
      <c r="AP214" s="167">
        <v>55</v>
      </c>
      <c r="AQ214" s="45" t="s">
        <v>798</v>
      </c>
      <c r="AR214" s="45">
        <f t="shared" si="84"/>
        <v>5</v>
      </c>
      <c r="AS214" s="45" t="s">
        <v>799</v>
      </c>
      <c r="AT214" s="45" t="str">
        <f t="shared" si="91"/>
        <v>3E</v>
      </c>
      <c r="AU214" s="45" t="s">
        <v>293</v>
      </c>
      <c r="AV214" s="45" t="str">
        <f t="shared" si="86"/>
        <v>3E-W AV@W</v>
      </c>
    </row>
    <row r="215" spans="1:48" ht="20.100000000000001" customHeight="1" thickBot="1">
      <c r="A215" s="45" t="s">
        <v>800</v>
      </c>
      <c r="B215" s="45" t="s">
        <v>313</v>
      </c>
      <c r="C215" s="45" t="s">
        <v>801</v>
      </c>
      <c r="E215" s="45">
        <f t="shared" si="69"/>
        <v>5</v>
      </c>
      <c r="F215" s="45">
        <f t="shared" si="70"/>
        <v>3</v>
      </c>
      <c r="G215" s="45" t="str">
        <f t="shared" si="71"/>
        <v>4E</v>
      </c>
      <c r="H215" s="45" t="str">
        <f t="shared" si="72"/>
        <v>LB</v>
      </c>
      <c r="J215" s="45" t="str">
        <f t="shared" si="73"/>
        <v>LB</v>
      </c>
      <c r="K215" s="45" t="s">
        <v>130</v>
      </c>
      <c r="L215" s="45" t="str">
        <f t="shared" si="74"/>
        <v>4E-LB@E</v>
      </c>
      <c r="M215" s="75" t="str">
        <f t="shared" si="67"/>
        <v>333, 331, 318, 317, 316, 311, 303, 305, 302, 302, 305, 307, 306, M5</v>
      </c>
      <c r="N215" s="75" t="str">
        <f t="shared" si="68"/>
        <v>32, 04, 03</v>
      </c>
      <c r="R215" s="70" t="s">
        <v>309</v>
      </c>
      <c r="S215" s="70" t="s">
        <v>53</v>
      </c>
      <c r="T215" s="70" t="s">
        <v>672</v>
      </c>
      <c r="U215" s="70"/>
      <c r="V215" s="70"/>
      <c r="X215" s="70" t="str">
        <f t="shared" si="87"/>
        <v>4E-E DT@E</v>
      </c>
      <c r="Y215" s="70" t="str">
        <f t="shared" si="88"/>
        <v>E DT-LB@E</v>
      </c>
      <c r="Z215" s="70" t="str">
        <f t="shared" si="89"/>
        <v/>
      </c>
      <c r="AA215" s="70" t="str">
        <f t="shared" si="90"/>
        <v/>
      </c>
      <c r="AC215" s="70" t="str">
        <f t="shared" si="75"/>
        <v>333, 331, 318, 317, 316, 311, 303, 305, 302</v>
      </c>
      <c r="AD215" s="70" t="str">
        <f t="shared" si="76"/>
        <v>302, 305, 307, 306, M5</v>
      </c>
      <c r="AE215" s="70" t="str">
        <f t="shared" si="77"/>
        <v/>
      </c>
      <c r="AF215" s="70" t="str">
        <f t="shared" si="78"/>
        <v/>
      </c>
      <c r="AH215" s="70" t="str">
        <f t="shared" si="79"/>
        <v>32, 04</v>
      </c>
      <c r="AI215" s="70" t="str">
        <f t="shared" si="80"/>
        <v>03</v>
      </c>
      <c r="AJ215" s="70" t="str">
        <f t="shared" si="81"/>
        <v/>
      </c>
      <c r="AK215" s="70" t="str">
        <f t="shared" si="82"/>
        <v/>
      </c>
      <c r="AM215" s="166" t="str">
        <f t="shared" si="83"/>
        <v>W DT-3W</v>
      </c>
      <c r="AN215" s="171" t="s">
        <v>802</v>
      </c>
      <c r="AO215" s="167" t="s">
        <v>482</v>
      </c>
      <c r="AP215" s="167">
        <v>55</v>
      </c>
      <c r="AQ215" s="45" t="s">
        <v>803</v>
      </c>
      <c r="AR215" s="45">
        <f t="shared" si="84"/>
        <v>5</v>
      </c>
      <c r="AS215" s="45" t="s">
        <v>804</v>
      </c>
      <c r="AT215" s="45" t="str">
        <f t="shared" si="91"/>
        <v>3W</v>
      </c>
      <c r="AU215" s="45" t="s">
        <v>301</v>
      </c>
      <c r="AV215" s="45" t="str">
        <f t="shared" si="86"/>
        <v>3W-W AV@W</v>
      </c>
    </row>
    <row r="216" spans="1:48" ht="20.100000000000001" customHeight="1" thickBot="1">
      <c r="A216" s="45" t="s">
        <v>805</v>
      </c>
      <c r="B216" s="45" t="s">
        <v>147</v>
      </c>
      <c r="C216" s="45" t="s">
        <v>796</v>
      </c>
      <c r="E216" s="45">
        <f t="shared" si="69"/>
        <v>5</v>
      </c>
      <c r="F216" s="45">
        <f t="shared" si="70"/>
        <v>3</v>
      </c>
      <c r="G216" s="45" t="str">
        <f t="shared" si="71"/>
        <v>LB</v>
      </c>
      <c r="H216" s="45" t="str">
        <f t="shared" si="72"/>
        <v>4W</v>
      </c>
      <c r="J216" s="45" t="str">
        <f t="shared" si="73"/>
        <v>4W</v>
      </c>
      <c r="K216" s="45" t="s">
        <v>130</v>
      </c>
      <c r="L216" s="45" t="str">
        <f t="shared" si="74"/>
        <v>LB-4W@E</v>
      </c>
      <c r="M216" s="75" t="str">
        <f t="shared" si="67"/>
        <v>302, 305, 307, 306, M5, 333, 331, 318, 317, 316, 311, 303, 305, 302</v>
      </c>
      <c r="N216" s="75" t="str">
        <f t="shared" si="68"/>
        <v>05, 03, 10, 16</v>
      </c>
      <c r="R216" s="70" t="s">
        <v>672</v>
      </c>
      <c r="S216" s="70" t="s">
        <v>53</v>
      </c>
      <c r="T216" s="70" t="s">
        <v>318</v>
      </c>
      <c r="U216" s="70"/>
      <c r="V216" s="70"/>
      <c r="X216" s="70" t="str">
        <f t="shared" si="87"/>
        <v>LB-E DT@E</v>
      </c>
      <c r="Y216" s="70" t="str">
        <f t="shared" si="88"/>
        <v>E DT-4W@E</v>
      </c>
      <c r="Z216" s="70" t="str">
        <f t="shared" si="89"/>
        <v/>
      </c>
      <c r="AA216" s="70" t="str">
        <f t="shared" si="90"/>
        <v/>
      </c>
      <c r="AC216" s="70" t="str">
        <f t="shared" si="75"/>
        <v>302, 305, 307, 306, M5</v>
      </c>
      <c r="AD216" s="70" t="str">
        <f t="shared" si="76"/>
        <v>333, 331, 318, 317, 316, 311, 303, 305, 302</v>
      </c>
      <c r="AE216" s="70" t="str">
        <f t="shared" si="77"/>
        <v/>
      </c>
      <c r="AF216" s="70" t="str">
        <f t="shared" si="78"/>
        <v/>
      </c>
      <c r="AH216" s="70" t="str">
        <f t="shared" si="79"/>
        <v>05</v>
      </c>
      <c r="AI216" s="70" t="str">
        <f t="shared" si="80"/>
        <v>03, 10, 16</v>
      </c>
      <c r="AJ216" s="70" t="str">
        <f t="shared" si="81"/>
        <v/>
      </c>
      <c r="AK216" s="70" t="str">
        <f t="shared" si="82"/>
        <v/>
      </c>
      <c r="AM216" s="166" t="str">
        <f t="shared" si="83"/>
        <v>W DT-4E</v>
      </c>
      <c r="AN216" s="171" t="s">
        <v>806</v>
      </c>
      <c r="AO216" s="167" t="s">
        <v>493</v>
      </c>
      <c r="AP216" s="167">
        <v>55</v>
      </c>
      <c r="AQ216" s="45" t="s">
        <v>807</v>
      </c>
      <c r="AR216" s="45">
        <f t="shared" si="84"/>
        <v>5</v>
      </c>
      <c r="AS216" s="45" t="s">
        <v>808</v>
      </c>
      <c r="AT216" s="45" t="str">
        <f t="shared" si="91"/>
        <v>4E</v>
      </c>
      <c r="AU216" s="45" t="s">
        <v>309</v>
      </c>
      <c r="AV216" s="45" t="str">
        <f t="shared" si="86"/>
        <v>4E-W AV@W</v>
      </c>
    </row>
    <row r="217" spans="1:48" ht="20.100000000000001" customHeight="1" thickBot="1">
      <c r="A217" s="45" t="s">
        <v>809</v>
      </c>
      <c r="B217" s="45" t="s">
        <v>313</v>
      </c>
      <c r="C217" s="45" t="s">
        <v>801</v>
      </c>
      <c r="E217" s="45">
        <f t="shared" si="69"/>
        <v>5</v>
      </c>
      <c r="F217" s="45">
        <f t="shared" si="70"/>
        <v>3</v>
      </c>
      <c r="G217" s="45" t="str">
        <f t="shared" si="71"/>
        <v>4W</v>
      </c>
      <c r="H217" s="45" t="str">
        <f t="shared" si="72"/>
        <v>LB</v>
      </c>
      <c r="J217" s="45" t="str">
        <f t="shared" si="73"/>
        <v>LB</v>
      </c>
      <c r="K217" s="45" t="s">
        <v>130</v>
      </c>
      <c r="L217" s="45" t="str">
        <f t="shared" si="74"/>
        <v>4W-LB@E</v>
      </c>
      <c r="M217" s="75" t="str">
        <f t="shared" si="67"/>
        <v>333, 331, 318, 317, 316, 311, 303, 305, 302, 302, 305, 307, 306, M5</v>
      </c>
      <c r="N217" s="75" t="str">
        <f t="shared" si="68"/>
        <v>32, 04, 03</v>
      </c>
      <c r="R217" s="70" t="s">
        <v>318</v>
      </c>
      <c r="S217" s="70" t="s">
        <v>53</v>
      </c>
      <c r="T217" s="70" t="s">
        <v>672</v>
      </c>
      <c r="U217" s="70"/>
      <c r="V217" s="70"/>
      <c r="X217" s="70" t="str">
        <f t="shared" si="87"/>
        <v>4W-E DT@E</v>
      </c>
      <c r="Y217" s="70" t="str">
        <f t="shared" si="88"/>
        <v>E DT-LB@E</v>
      </c>
      <c r="Z217" s="70" t="str">
        <f t="shared" si="89"/>
        <v/>
      </c>
      <c r="AA217" s="70" t="str">
        <f t="shared" si="90"/>
        <v/>
      </c>
      <c r="AC217" s="70" t="str">
        <f t="shared" si="75"/>
        <v>333, 331, 318, 317, 316, 311, 303, 305, 302</v>
      </c>
      <c r="AD217" s="70" t="str">
        <f t="shared" si="76"/>
        <v>302, 305, 307, 306, M5</v>
      </c>
      <c r="AE217" s="70" t="str">
        <f t="shared" si="77"/>
        <v/>
      </c>
      <c r="AF217" s="70" t="str">
        <f t="shared" si="78"/>
        <v/>
      </c>
      <c r="AH217" s="70" t="str">
        <f t="shared" si="79"/>
        <v>32, 04</v>
      </c>
      <c r="AI217" s="70" t="str">
        <f t="shared" si="80"/>
        <v>03</v>
      </c>
      <c r="AJ217" s="70" t="str">
        <f t="shared" si="81"/>
        <v/>
      </c>
      <c r="AK217" s="70" t="str">
        <f t="shared" si="82"/>
        <v/>
      </c>
      <c r="AM217" s="166" t="str">
        <f t="shared" si="83"/>
        <v>W DT-4W</v>
      </c>
      <c r="AN217" s="171" t="s">
        <v>810</v>
      </c>
      <c r="AO217" s="167" t="s">
        <v>493</v>
      </c>
      <c r="AP217" s="167">
        <v>55</v>
      </c>
      <c r="AQ217" s="45" t="s">
        <v>811</v>
      </c>
      <c r="AR217" s="45">
        <f t="shared" si="84"/>
        <v>5</v>
      </c>
      <c r="AS217" s="45" t="s">
        <v>812</v>
      </c>
      <c r="AT217" s="45" t="str">
        <f t="shared" si="91"/>
        <v>4W</v>
      </c>
      <c r="AU217" s="45" t="s">
        <v>318</v>
      </c>
      <c r="AV217" s="45" t="str">
        <f t="shared" si="86"/>
        <v>4W-W AV@W</v>
      </c>
    </row>
    <row r="218" spans="1:48" ht="20.100000000000001" customHeight="1" thickBot="1">
      <c r="A218" s="45" t="s">
        <v>813</v>
      </c>
      <c r="B218" s="45" t="s">
        <v>147</v>
      </c>
      <c r="C218" s="45" t="s">
        <v>796</v>
      </c>
      <c r="E218" s="45">
        <f t="shared" si="69"/>
        <v>5</v>
      </c>
      <c r="F218" s="45">
        <f t="shared" si="70"/>
        <v>3</v>
      </c>
      <c r="G218" s="45" t="str">
        <f t="shared" si="71"/>
        <v>LB</v>
      </c>
      <c r="H218" s="45" t="str">
        <f t="shared" si="72"/>
        <v>5E</v>
      </c>
      <c r="J218" s="45" t="str">
        <f t="shared" si="73"/>
        <v>5E</v>
      </c>
      <c r="K218" s="45" t="s">
        <v>130</v>
      </c>
      <c r="L218" s="45" t="str">
        <f t="shared" si="74"/>
        <v>LB-5E@E</v>
      </c>
      <c r="M218" s="75" t="str">
        <f t="shared" si="67"/>
        <v>302, 305, 307, 306, M5, 333, 331, 318, 317, 316, 311, 303, 305, 302</v>
      </c>
      <c r="N218" s="75" t="str">
        <f t="shared" si="68"/>
        <v>05, 03, 10, 16</v>
      </c>
      <c r="R218" s="70" t="s">
        <v>672</v>
      </c>
      <c r="S218" s="70" t="s">
        <v>53</v>
      </c>
      <c r="T218" s="70" t="s">
        <v>325</v>
      </c>
      <c r="U218" s="70"/>
      <c r="V218" s="70"/>
      <c r="X218" s="70" t="str">
        <f t="shared" si="87"/>
        <v>LB-E DT@E</v>
      </c>
      <c r="Y218" s="70" t="str">
        <f t="shared" si="88"/>
        <v>E DT-5E@E</v>
      </c>
      <c r="Z218" s="70" t="str">
        <f t="shared" si="89"/>
        <v/>
      </c>
      <c r="AA218" s="70" t="str">
        <f t="shared" si="90"/>
        <v/>
      </c>
      <c r="AC218" s="70" t="str">
        <f t="shared" si="75"/>
        <v>302, 305, 307, 306, M5</v>
      </c>
      <c r="AD218" s="70" t="str">
        <f t="shared" si="76"/>
        <v>333, 331, 318, 317, 316, 311, 303, 305, 302</v>
      </c>
      <c r="AE218" s="70" t="str">
        <f t="shared" si="77"/>
        <v/>
      </c>
      <c r="AF218" s="70" t="str">
        <f t="shared" si="78"/>
        <v/>
      </c>
      <c r="AH218" s="70" t="str">
        <f t="shared" si="79"/>
        <v>05</v>
      </c>
      <c r="AI218" s="70" t="str">
        <f t="shared" si="80"/>
        <v>03, 10, 16</v>
      </c>
      <c r="AJ218" s="70" t="str">
        <f t="shared" si="81"/>
        <v/>
      </c>
      <c r="AK218" s="70" t="str">
        <f t="shared" si="82"/>
        <v/>
      </c>
      <c r="AM218" s="166" t="str">
        <f t="shared" si="83"/>
        <v>W DT-5E</v>
      </c>
      <c r="AN218" s="171" t="s">
        <v>814</v>
      </c>
      <c r="AO218" s="167" t="s">
        <v>499</v>
      </c>
      <c r="AP218" s="167">
        <v>55</v>
      </c>
      <c r="AQ218" s="45" t="s">
        <v>815</v>
      </c>
      <c r="AR218" s="45">
        <f t="shared" si="84"/>
        <v>5</v>
      </c>
      <c r="AS218" s="45" t="s">
        <v>816</v>
      </c>
      <c r="AT218" s="45" t="str">
        <f t="shared" si="91"/>
        <v>5E</v>
      </c>
      <c r="AU218" s="45" t="s">
        <v>325</v>
      </c>
      <c r="AV218" s="45" t="str">
        <f t="shared" si="86"/>
        <v>5E-W AV@W</v>
      </c>
    </row>
    <row r="219" spans="1:48" ht="20.100000000000001" customHeight="1" thickBot="1">
      <c r="A219" s="45" t="s">
        <v>817</v>
      </c>
      <c r="B219" s="45" t="s">
        <v>329</v>
      </c>
      <c r="C219" s="45" t="s">
        <v>801</v>
      </c>
      <c r="E219" s="45">
        <f t="shared" si="69"/>
        <v>5</v>
      </c>
      <c r="F219" s="45">
        <f t="shared" si="70"/>
        <v>3</v>
      </c>
      <c r="G219" s="45" t="str">
        <f t="shared" si="71"/>
        <v>5E</v>
      </c>
      <c r="H219" s="45" t="str">
        <f t="shared" si="72"/>
        <v>LB</v>
      </c>
      <c r="J219" s="45" t="str">
        <f t="shared" si="73"/>
        <v>LB</v>
      </c>
      <c r="K219" s="45" t="s">
        <v>130</v>
      </c>
      <c r="L219" s="45" t="str">
        <f t="shared" si="74"/>
        <v>5E-LB@E</v>
      </c>
      <c r="M219" s="75" t="str">
        <f t="shared" si="67"/>
        <v>333, 331, 318, 317, 316, 311, 303, 305, 302, 302, 305, 307, 306, M5</v>
      </c>
      <c r="N219" s="75" t="str">
        <f t="shared" si="68"/>
        <v>33, 04, 03</v>
      </c>
      <c r="R219" s="70" t="s">
        <v>325</v>
      </c>
      <c r="S219" s="70" t="s">
        <v>53</v>
      </c>
      <c r="T219" s="70" t="s">
        <v>672</v>
      </c>
      <c r="U219" s="70"/>
      <c r="V219" s="70"/>
      <c r="X219" s="70" t="str">
        <f t="shared" si="87"/>
        <v>5E-E DT@E</v>
      </c>
      <c r="Y219" s="70" t="str">
        <f t="shared" si="88"/>
        <v>E DT-LB@E</v>
      </c>
      <c r="Z219" s="70" t="str">
        <f t="shared" si="89"/>
        <v/>
      </c>
      <c r="AA219" s="70" t="str">
        <f t="shared" si="90"/>
        <v/>
      </c>
      <c r="AC219" s="70" t="str">
        <f t="shared" si="75"/>
        <v>333, 331, 318, 317, 316, 311, 303, 305, 302</v>
      </c>
      <c r="AD219" s="70" t="str">
        <f t="shared" si="76"/>
        <v>302, 305, 307, 306, M5</v>
      </c>
      <c r="AE219" s="70" t="str">
        <f t="shared" si="77"/>
        <v/>
      </c>
      <c r="AF219" s="70" t="str">
        <f t="shared" si="78"/>
        <v/>
      </c>
      <c r="AH219" s="70" t="str">
        <f t="shared" si="79"/>
        <v>33, 04</v>
      </c>
      <c r="AI219" s="70" t="str">
        <f t="shared" si="80"/>
        <v>03</v>
      </c>
      <c r="AJ219" s="70" t="str">
        <f t="shared" si="81"/>
        <v/>
      </c>
      <c r="AK219" s="70" t="str">
        <f t="shared" si="82"/>
        <v/>
      </c>
      <c r="AM219" s="166" t="str">
        <f t="shared" si="83"/>
        <v>W DT-5W</v>
      </c>
      <c r="AN219" s="171" t="s">
        <v>818</v>
      </c>
      <c r="AO219" s="167" t="s">
        <v>499</v>
      </c>
      <c r="AP219" s="167">
        <v>55</v>
      </c>
      <c r="AQ219" s="45" t="s">
        <v>819</v>
      </c>
      <c r="AR219" s="45">
        <f t="shared" si="84"/>
        <v>5</v>
      </c>
      <c r="AS219" s="45" t="s">
        <v>820</v>
      </c>
      <c r="AT219" s="45" t="str">
        <f t="shared" si="91"/>
        <v>5W</v>
      </c>
      <c r="AU219" s="45" t="s">
        <v>333</v>
      </c>
      <c r="AV219" s="45" t="str">
        <f t="shared" si="86"/>
        <v>5W-W AV@W</v>
      </c>
    </row>
    <row r="220" spans="1:48" ht="20.100000000000001" customHeight="1" thickBot="1">
      <c r="A220" s="45" t="s">
        <v>821</v>
      </c>
      <c r="B220" s="45" t="s">
        <v>147</v>
      </c>
      <c r="C220" s="45" t="s">
        <v>796</v>
      </c>
      <c r="E220" s="45">
        <f t="shared" si="69"/>
        <v>5</v>
      </c>
      <c r="F220" s="45">
        <f t="shared" si="70"/>
        <v>3</v>
      </c>
      <c r="G220" s="45" t="str">
        <f t="shared" si="71"/>
        <v>LB</v>
      </c>
      <c r="H220" s="45" t="str">
        <f t="shared" si="72"/>
        <v>5W</v>
      </c>
      <c r="J220" s="45" t="str">
        <f t="shared" si="73"/>
        <v>5W</v>
      </c>
      <c r="K220" s="45" t="s">
        <v>130</v>
      </c>
      <c r="L220" s="45" t="str">
        <f t="shared" si="74"/>
        <v>LB-5W@E</v>
      </c>
      <c r="M220" s="75" t="str">
        <f t="shared" si="67"/>
        <v>302, 305, 307, 306, M5, 333, 331, 318, 317, 316, 311, 303, 305, 302</v>
      </c>
      <c r="N220" s="75" t="str">
        <f t="shared" si="68"/>
        <v>05, 03, 10, 16</v>
      </c>
      <c r="R220" s="70" t="s">
        <v>672</v>
      </c>
      <c r="S220" s="70" t="s">
        <v>53</v>
      </c>
      <c r="T220" s="70" t="s">
        <v>333</v>
      </c>
      <c r="U220" s="70"/>
      <c r="V220" s="70"/>
      <c r="X220" s="70" t="str">
        <f t="shared" si="87"/>
        <v>LB-E DT@E</v>
      </c>
      <c r="Y220" s="70" t="str">
        <f t="shared" si="88"/>
        <v>E DT-5W@E</v>
      </c>
      <c r="Z220" s="70" t="str">
        <f t="shared" si="89"/>
        <v/>
      </c>
      <c r="AA220" s="70" t="str">
        <f t="shared" si="90"/>
        <v/>
      </c>
      <c r="AC220" s="70" t="str">
        <f t="shared" si="75"/>
        <v>302, 305, 307, 306, M5</v>
      </c>
      <c r="AD220" s="70" t="str">
        <f t="shared" si="76"/>
        <v>333, 331, 318, 317, 316, 311, 303, 305, 302</v>
      </c>
      <c r="AE220" s="70" t="str">
        <f t="shared" si="77"/>
        <v/>
      </c>
      <c r="AF220" s="70" t="str">
        <f t="shared" si="78"/>
        <v/>
      </c>
      <c r="AH220" s="70" t="str">
        <f t="shared" si="79"/>
        <v>05</v>
      </c>
      <c r="AI220" s="70" t="str">
        <f t="shared" si="80"/>
        <v>03, 10, 16</v>
      </c>
      <c r="AJ220" s="70" t="str">
        <f t="shared" si="81"/>
        <v/>
      </c>
      <c r="AK220" s="70" t="str">
        <f t="shared" si="82"/>
        <v/>
      </c>
      <c r="AM220" s="166" t="str">
        <f t="shared" si="83"/>
        <v>W DT-6E</v>
      </c>
      <c r="AN220" s="171" t="s">
        <v>822</v>
      </c>
      <c r="AO220" s="167" t="s">
        <v>499</v>
      </c>
      <c r="AP220" s="167">
        <v>55</v>
      </c>
      <c r="AQ220" s="45" t="s">
        <v>823</v>
      </c>
      <c r="AR220" s="45">
        <f t="shared" si="84"/>
        <v>5</v>
      </c>
      <c r="AS220" s="45" t="s">
        <v>824</v>
      </c>
      <c r="AT220" s="45" t="str">
        <f t="shared" si="91"/>
        <v>6E</v>
      </c>
      <c r="AU220" s="45" t="s">
        <v>339</v>
      </c>
      <c r="AV220" s="45" t="str">
        <f t="shared" si="86"/>
        <v>6E-W AV@W</v>
      </c>
    </row>
    <row r="221" spans="1:48" ht="20.100000000000001" customHeight="1" thickBot="1">
      <c r="A221" s="45" t="s">
        <v>825</v>
      </c>
      <c r="B221" s="45" t="s">
        <v>329</v>
      </c>
      <c r="C221" s="45" t="s">
        <v>801</v>
      </c>
      <c r="E221" s="45">
        <f t="shared" si="69"/>
        <v>5</v>
      </c>
      <c r="F221" s="45">
        <f t="shared" si="70"/>
        <v>3</v>
      </c>
      <c r="G221" s="45" t="str">
        <f t="shared" si="71"/>
        <v>5W</v>
      </c>
      <c r="H221" s="45" t="str">
        <f t="shared" si="72"/>
        <v>LB</v>
      </c>
      <c r="J221" s="45" t="str">
        <f t="shared" si="73"/>
        <v>LB</v>
      </c>
      <c r="K221" s="45" t="s">
        <v>130</v>
      </c>
      <c r="L221" s="45" t="str">
        <f t="shared" si="74"/>
        <v>5W-LB@E</v>
      </c>
      <c r="M221" s="75" t="str">
        <f t="shared" si="67"/>
        <v>333, 331, 318, 317, 316, 311, 303, 305, 302, 302, 305, 307, 306, M5</v>
      </c>
      <c r="N221" s="75" t="str">
        <f t="shared" si="68"/>
        <v>33, 04, 03</v>
      </c>
      <c r="R221" s="70" t="s">
        <v>333</v>
      </c>
      <c r="S221" s="70" t="s">
        <v>53</v>
      </c>
      <c r="T221" s="70" t="s">
        <v>672</v>
      </c>
      <c r="U221" s="70"/>
      <c r="V221" s="70"/>
      <c r="X221" s="70" t="str">
        <f t="shared" si="87"/>
        <v>5W-E DT@E</v>
      </c>
      <c r="Y221" s="70" t="str">
        <f t="shared" si="88"/>
        <v>E DT-LB@E</v>
      </c>
      <c r="Z221" s="70" t="str">
        <f t="shared" si="89"/>
        <v/>
      </c>
      <c r="AA221" s="70" t="str">
        <f t="shared" si="90"/>
        <v/>
      </c>
      <c r="AC221" s="70" t="str">
        <f t="shared" si="75"/>
        <v>333, 331, 318, 317, 316, 311, 303, 305, 302</v>
      </c>
      <c r="AD221" s="70" t="str">
        <f t="shared" si="76"/>
        <v>302, 305, 307, 306, M5</v>
      </c>
      <c r="AE221" s="70" t="str">
        <f t="shared" si="77"/>
        <v/>
      </c>
      <c r="AF221" s="70" t="str">
        <f t="shared" si="78"/>
        <v/>
      </c>
      <c r="AH221" s="70" t="str">
        <f t="shared" si="79"/>
        <v>33, 04</v>
      </c>
      <c r="AI221" s="70" t="str">
        <f t="shared" si="80"/>
        <v>03</v>
      </c>
      <c r="AJ221" s="70" t="str">
        <f t="shared" si="81"/>
        <v/>
      </c>
      <c r="AK221" s="70" t="str">
        <f t="shared" si="82"/>
        <v/>
      </c>
      <c r="AM221" s="166" t="str">
        <f t="shared" si="83"/>
        <v>W DT-6W</v>
      </c>
      <c r="AN221" s="171" t="s">
        <v>826</v>
      </c>
      <c r="AO221" s="167" t="s">
        <v>499</v>
      </c>
      <c r="AP221" s="167">
        <v>55</v>
      </c>
      <c r="AQ221" s="45" t="s">
        <v>827</v>
      </c>
      <c r="AR221" s="45">
        <f t="shared" si="84"/>
        <v>5</v>
      </c>
      <c r="AS221" s="45" t="s">
        <v>828</v>
      </c>
      <c r="AT221" s="45" t="str">
        <f t="shared" si="91"/>
        <v>6W</v>
      </c>
      <c r="AU221" s="45" t="s">
        <v>346</v>
      </c>
      <c r="AV221" s="45" t="str">
        <f t="shared" si="86"/>
        <v>6W-W AV@W</v>
      </c>
    </row>
    <row r="222" spans="1:48" ht="20.100000000000001" customHeight="1" thickBot="1">
      <c r="A222" s="45" t="s">
        <v>829</v>
      </c>
      <c r="B222" s="45" t="s">
        <v>147</v>
      </c>
      <c r="C222" s="45" t="s">
        <v>830</v>
      </c>
      <c r="E222" s="45">
        <f t="shared" si="69"/>
        <v>5</v>
      </c>
      <c r="F222" s="45">
        <f t="shared" si="70"/>
        <v>3</v>
      </c>
      <c r="G222" s="45" t="str">
        <f t="shared" si="71"/>
        <v>LB</v>
      </c>
      <c r="H222" s="45" t="str">
        <f t="shared" si="72"/>
        <v>6E</v>
      </c>
      <c r="J222" s="45" t="str">
        <f t="shared" si="73"/>
        <v>6E</v>
      </c>
      <c r="K222" s="45" t="s">
        <v>130</v>
      </c>
      <c r="L222" s="45" t="str">
        <f t="shared" si="74"/>
        <v>LB-6E@E</v>
      </c>
      <c r="M222" s="75" t="str">
        <f t="shared" si="67"/>
        <v>302, 305, 307, 306, M5, 332, 331, 318, 317, 316, 311, 303, 305, 302</v>
      </c>
      <c r="N222" s="75" t="str">
        <f t="shared" si="68"/>
        <v>05, 03, 10, 16</v>
      </c>
      <c r="R222" s="70" t="s">
        <v>672</v>
      </c>
      <c r="S222" s="70" t="s">
        <v>53</v>
      </c>
      <c r="T222" s="70" t="s">
        <v>339</v>
      </c>
      <c r="U222" s="70"/>
      <c r="V222" s="70"/>
      <c r="X222" s="70" t="str">
        <f t="shared" si="87"/>
        <v>LB-E DT@E</v>
      </c>
      <c r="Y222" s="70" t="str">
        <f t="shared" si="88"/>
        <v>E DT-6E@E</v>
      </c>
      <c r="Z222" s="70" t="str">
        <f t="shared" si="89"/>
        <v/>
      </c>
      <c r="AA222" s="70" t="str">
        <f t="shared" si="90"/>
        <v/>
      </c>
      <c r="AC222" s="70" t="str">
        <f t="shared" si="75"/>
        <v>302, 305, 307, 306, M5</v>
      </c>
      <c r="AD222" s="70" t="str">
        <f t="shared" si="76"/>
        <v>332, 331, 318, 317, 316, 311, 303, 305, 302</v>
      </c>
      <c r="AE222" s="70" t="str">
        <f t="shared" si="77"/>
        <v/>
      </c>
      <c r="AF222" s="70" t="str">
        <f t="shared" si="78"/>
        <v/>
      </c>
      <c r="AH222" s="70" t="str">
        <f t="shared" si="79"/>
        <v>05</v>
      </c>
      <c r="AI222" s="70" t="str">
        <f t="shared" si="80"/>
        <v>03, 10, 16</v>
      </c>
      <c r="AJ222" s="70" t="str">
        <f t="shared" si="81"/>
        <v/>
      </c>
      <c r="AK222" s="70" t="str">
        <f t="shared" si="82"/>
        <v/>
      </c>
      <c r="AM222" s="166" t="str">
        <f t="shared" si="83"/>
        <v>W DT-7E</v>
      </c>
      <c r="AN222" s="171" t="s">
        <v>831</v>
      </c>
      <c r="AO222" s="167" t="s">
        <v>510</v>
      </c>
      <c r="AP222" s="167">
        <v>55</v>
      </c>
      <c r="AQ222" s="45" t="s">
        <v>832</v>
      </c>
      <c r="AR222" s="45">
        <f t="shared" si="84"/>
        <v>5</v>
      </c>
      <c r="AS222" s="45" t="s">
        <v>833</v>
      </c>
      <c r="AT222" s="45" t="str">
        <f t="shared" si="91"/>
        <v>7E</v>
      </c>
      <c r="AU222" s="45" t="s">
        <v>354</v>
      </c>
      <c r="AV222" s="45" t="str">
        <f t="shared" si="86"/>
        <v>7E-W AV@W</v>
      </c>
    </row>
    <row r="223" spans="1:48" ht="20.100000000000001" customHeight="1" thickBot="1">
      <c r="A223" s="45" t="s">
        <v>834</v>
      </c>
      <c r="B223" s="45" t="s">
        <v>342</v>
      </c>
      <c r="C223" s="45" t="s">
        <v>835</v>
      </c>
      <c r="E223" s="45">
        <f t="shared" si="69"/>
        <v>5</v>
      </c>
      <c r="F223" s="45">
        <f t="shared" si="70"/>
        <v>3</v>
      </c>
      <c r="G223" s="45" t="str">
        <f t="shared" si="71"/>
        <v>6E</v>
      </c>
      <c r="H223" s="45" t="str">
        <f t="shared" si="72"/>
        <v>LB</v>
      </c>
      <c r="J223" s="45" t="str">
        <f t="shared" si="73"/>
        <v>LB</v>
      </c>
      <c r="K223" s="45" t="s">
        <v>130</v>
      </c>
      <c r="L223" s="45" t="str">
        <f t="shared" si="74"/>
        <v>6E-LB@E</v>
      </c>
      <c r="M223" s="75" t="str">
        <f t="shared" si="67"/>
        <v>332, 331, 318, 317, 316, 311, 303, 305, 302, 302, 305, 307, 306, M5</v>
      </c>
      <c r="N223" s="75" t="str">
        <f t="shared" si="68"/>
        <v>34, 04, 03</v>
      </c>
      <c r="R223" s="70" t="s">
        <v>339</v>
      </c>
      <c r="S223" s="70" t="s">
        <v>53</v>
      </c>
      <c r="T223" s="70" t="s">
        <v>672</v>
      </c>
      <c r="U223" s="70"/>
      <c r="V223" s="70"/>
      <c r="X223" s="70" t="str">
        <f t="shared" si="87"/>
        <v>6E-E DT@E</v>
      </c>
      <c r="Y223" s="70" t="str">
        <f t="shared" si="88"/>
        <v>E DT-LB@E</v>
      </c>
      <c r="Z223" s="70" t="str">
        <f t="shared" si="89"/>
        <v/>
      </c>
      <c r="AA223" s="70" t="str">
        <f t="shared" si="90"/>
        <v/>
      </c>
      <c r="AC223" s="70" t="str">
        <f t="shared" si="75"/>
        <v>332, 331, 318, 317, 316, 311, 303, 305, 302</v>
      </c>
      <c r="AD223" s="70" t="str">
        <f t="shared" si="76"/>
        <v>302, 305, 307, 306, M5</v>
      </c>
      <c r="AE223" s="70" t="str">
        <f t="shared" si="77"/>
        <v/>
      </c>
      <c r="AF223" s="70" t="str">
        <f t="shared" si="78"/>
        <v/>
      </c>
      <c r="AH223" s="70" t="str">
        <f t="shared" si="79"/>
        <v>34, 04</v>
      </c>
      <c r="AI223" s="70" t="str">
        <f t="shared" si="80"/>
        <v>03</v>
      </c>
      <c r="AJ223" s="70" t="str">
        <f t="shared" si="81"/>
        <v/>
      </c>
      <c r="AK223" s="70" t="str">
        <f t="shared" si="82"/>
        <v/>
      </c>
      <c r="AM223" s="166" t="str">
        <f t="shared" si="83"/>
        <v>W DT-7W</v>
      </c>
      <c r="AN223" s="171" t="s">
        <v>836</v>
      </c>
      <c r="AO223" s="167" t="s">
        <v>510</v>
      </c>
      <c r="AP223" s="167">
        <v>55</v>
      </c>
      <c r="AQ223" s="45" t="s">
        <v>837</v>
      </c>
      <c r="AR223" s="45">
        <f t="shared" si="84"/>
        <v>5</v>
      </c>
      <c r="AS223" s="45" t="s">
        <v>838</v>
      </c>
      <c r="AT223" s="45" t="str">
        <f t="shared" si="91"/>
        <v>7W</v>
      </c>
      <c r="AU223" s="45" t="s">
        <v>363</v>
      </c>
      <c r="AV223" s="45" t="str">
        <f t="shared" si="86"/>
        <v>7W-W AV@W</v>
      </c>
    </row>
    <row r="224" spans="1:48" ht="20.100000000000001" customHeight="1" thickBot="1">
      <c r="A224" s="45" t="s">
        <v>839</v>
      </c>
      <c r="B224" s="45" t="s">
        <v>147</v>
      </c>
      <c r="C224" s="45" t="s">
        <v>830</v>
      </c>
      <c r="E224" s="45">
        <f t="shared" si="69"/>
        <v>5</v>
      </c>
      <c r="F224" s="45">
        <f t="shared" si="70"/>
        <v>3</v>
      </c>
      <c r="G224" s="45" t="str">
        <f t="shared" si="71"/>
        <v>LB</v>
      </c>
      <c r="H224" s="45" t="str">
        <f t="shared" si="72"/>
        <v>6W</v>
      </c>
      <c r="J224" s="45" t="str">
        <f t="shared" si="73"/>
        <v>6W</v>
      </c>
      <c r="K224" s="45" t="s">
        <v>130</v>
      </c>
      <c r="L224" s="45" t="str">
        <f t="shared" si="74"/>
        <v>LB-6W@E</v>
      </c>
      <c r="M224" s="75" t="str">
        <f t="shared" si="67"/>
        <v>302, 305, 307, 306, M5, 332, 331, 318, 317, 316, 311, 303, 305, 302</v>
      </c>
      <c r="N224" s="75" t="str">
        <f t="shared" si="68"/>
        <v>05, 03, 10, 16</v>
      </c>
      <c r="R224" s="70" t="s">
        <v>672</v>
      </c>
      <c r="S224" s="70" t="s">
        <v>53</v>
      </c>
      <c r="T224" s="70" t="s">
        <v>346</v>
      </c>
      <c r="U224" s="70"/>
      <c r="V224" s="70"/>
      <c r="X224" s="70" t="str">
        <f t="shared" si="87"/>
        <v>LB-E DT@E</v>
      </c>
      <c r="Y224" s="70" t="str">
        <f t="shared" si="88"/>
        <v>E DT-6W@E</v>
      </c>
      <c r="Z224" s="70" t="str">
        <f t="shared" si="89"/>
        <v/>
      </c>
      <c r="AA224" s="70" t="str">
        <f t="shared" si="90"/>
        <v/>
      </c>
      <c r="AC224" s="70" t="str">
        <f t="shared" si="75"/>
        <v>302, 305, 307, 306, M5</v>
      </c>
      <c r="AD224" s="70" t="str">
        <f t="shared" si="76"/>
        <v>332, 331, 318, 317, 316, 311, 303, 305, 302</v>
      </c>
      <c r="AE224" s="70" t="str">
        <f t="shared" si="77"/>
        <v/>
      </c>
      <c r="AF224" s="70" t="str">
        <f t="shared" si="78"/>
        <v/>
      </c>
      <c r="AH224" s="70" t="str">
        <f t="shared" si="79"/>
        <v>05</v>
      </c>
      <c r="AI224" s="70" t="str">
        <f t="shared" si="80"/>
        <v>03, 10, 16</v>
      </c>
      <c r="AJ224" s="70" t="str">
        <f t="shared" si="81"/>
        <v/>
      </c>
      <c r="AK224" s="70" t="str">
        <f t="shared" si="82"/>
        <v/>
      </c>
      <c r="AM224" s="166" t="str">
        <f t="shared" si="83"/>
        <v>W DT-8E</v>
      </c>
      <c r="AN224" s="171" t="s">
        <v>840</v>
      </c>
      <c r="AO224" s="167" t="s">
        <v>510</v>
      </c>
      <c r="AP224" s="167">
        <v>55</v>
      </c>
      <c r="AQ224" s="45" t="s">
        <v>841</v>
      </c>
      <c r="AR224" s="45">
        <f t="shared" si="84"/>
        <v>5</v>
      </c>
      <c r="AS224" s="45" t="s">
        <v>842</v>
      </c>
      <c r="AT224" s="45" t="str">
        <f t="shared" si="91"/>
        <v>8E</v>
      </c>
      <c r="AU224" s="45" t="s">
        <v>370</v>
      </c>
      <c r="AV224" s="45" t="str">
        <f t="shared" si="86"/>
        <v>8E-W AV@W</v>
      </c>
    </row>
    <row r="225" spans="1:48" ht="20.100000000000001" customHeight="1" thickBot="1">
      <c r="A225" s="45" t="s">
        <v>843</v>
      </c>
      <c r="B225" s="45" t="s">
        <v>342</v>
      </c>
      <c r="C225" s="45" t="s">
        <v>835</v>
      </c>
      <c r="E225" s="45">
        <f t="shared" si="69"/>
        <v>5</v>
      </c>
      <c r="F225" s="45">
        <f t="shared" si="70"/>
        <v>3</v>
      </c>
      <c r="G225" s="45" t="str">
        <f t="shared" si="71"/>
        <v>6W</v>
      </c>
      <c r="H225" s="45" t="str">
        <f t="shared" si="72"/>
        <v>LB</v>
      </c>
      <c r="J225" s="45" t="str">
        <f t="shared" si="73"/>
        <v>LB</v>
      </c>
      <c r="K225" s="45" t="s">
        <v>130</v>
      </c>
      <c r="L225" s="45" t="str">
        <f t="shared" si="74"/>
        <v>6W-LB@E</v>
      </c>
      <c r="M225" s="75" t="str">
        <f t="shared" si="67"/>
        <v>332, 331, 318, 317, 316, 311, 303, 305, 302, 302, 305, 307, 306, M5</v>
      </c>
      <c r="N225" s="75" t="str">
        <f t="shared" si="68"/>
        <v>34, 04, 03</v>
      </c>
      <c r="R225" s="70" t="s">
        <v>346</v>
      </c>
      <c r="S225" s="70" t="s">
        <v>53</v>
      </c>
      <c r="T225" s="70" t="s">
        <v>672</v>
      </c>
      <c r="U225" s="70"/>
      <c r="V225" s="70"/>
      <c r="X225" s="70" t="str">
        <f t="shared" si="87"/>
        <v>6W-E DT@E</v>
      </c>
      <c r="Y225" s="70" t="str">
        <f t="shared" si="88"/>
        <v>E DT-LB@E</v>
      </c>
      <c r="Z225" s="70" t="str">
        <f t="shared" si="89"/>
        <v/>
      </c>
      <c r="AA225" s="70" t="str">
        <f t="shared" si="90"/>
        <v/>
      </c>
      <c r="AC225" s="70" t="str">
        <f t="shared" si="75"/>
        <v>332, 331, 318, 317, 316, 311, 303, 305, 302</v>
      </c>
      <c r="AD225" s="70" t="str">
        <f t="shared" si="76"/>
        <v>302, 305, 307, 306, M5</v>
      </c>
      <c r="AE225" s="70" t="str">
        <f t="shared" si="77"/>
        <v/>
      </c>
      <c r="AF225" s="70" t="str">
        <f t="shared" si="78"/>
        <v/>
      </c>
      <c r="AH225" s="70" t="str">
        <f t="shared" si="79"/>
        <v>34, 04</v>
      </c>
      <c r="AI225" s="70" t="str">
        <f t="shared" si="80"/>
        <v>03</v>
      </c>
      <c r="AJ225" s="70" t="str">
        <f t="shared" si="81"/>
        <v/>
      </c>
      <c r="AK225" s="70" t="str">
        <f t="shared" si="82"/>
        <v/>
      </c>
      <c r="AM225" s="166" t="str">
        <f t="shared" si="83"/>
        <v>W DT-8W</v>
      </c>
      <c r="AN225" s="171" t="s">
        <v>844</v>
      </c>
      <c r="AO225" s="167" t="s">
        <v>510</v>
      </c>
      <c r="AP225" s="167">
        <v>55</v>
      </c>
      <c r="AQ225" s="45" t="s">
        <v>845</v>
      </c>
      <c r="AR225" s="45">
        <f t="shared" si="84"/>
        <v>5</v>
      </c>
      <c r="AS225" s="45" t="s">
        <v>846</v>
      </c>
      <c r="AT225" s="45" t="str">
        <f t="shared" si="91"/>
        <v>8W</v>
      </c>
      <c r="AU225" s="45" t="s">
        <v>377</v>
      </c>
      <c r="AV225" s="45" t="str">
        <f t="shared" si="86"/>
        <v>8W-W AV@W</v>
      </c>
    </row>
    <row r="226" spans="1:48" ht="20.100000000000001" customHeight="1" thickBot="1">
      <c r="A226" s="45" t="s">
        <v>847</v>
      </c>
      <c r="B226" s="45" t="s">
        <v>147</v>
      </c>
      <c r="C226" s="45" t="s">
        <v>848</v>
      </c>
      <c r="E226" s="45">
        <f t="shared" si="69"/>
        <v>5</v>
      </c>
      <c r="F226" s="45">
        <f t="shared" si="70"/>
        <v>3</v>
      </c>
      <c r="G226" s="45" t="str">
        <f t="shared" si="71"/>
        <v>LB</v>
      </c>
      <c r="H226" s="45" t="str">
        <f t="shared" si="72"/>
        <v>7E</v>
      </c>
      <c r="J226" s="45" t="str">
        <f t="shared" si="73"/>
        <v>7E</v>
      </c>
      <c r="K226" s="45" t="s">
        <v>130</v>
      </c>
      <c r="L226" s="45" t="str">
        <f t="shared" si="74"/>
        <v>LB-7E@E</v>
      </c>
      <c r="M226" s="75" t="str">
        <f t="shared" si="67"/>
        <v>302, 305, 307, 306, M5, 334, 332, 331, 318, 317, 316, 311, 303, 305, 302</v>
      </c>
      <c r="N226" s="75" t="str">
        <f t="shared" si="68"/>
        <v>05, 03, 10, 16</v>
      </c>
      <c r="R226" s="70" t="s">
        <v>672</v>
      </c>
      <c r="S226" s="70" t="s">
        <v>53</v>
      </c>
      <c r="T226" s="70" t="s">
        <v>354</v>
      </c>
      <c r="U226" s="70"/>
      <c r="V226" s="70"/>
      <c r="X226" s="70" t="str">
        <f t="shared" si="87"/>
        <v>LB-E DT@E</v>
      </c>
      <c r="Y226" s="70" t="str">
        <f t="shared" si="88"/>
        <v>E DT-7E@E</v>
      </c>
      <c r="Z226" s="70" t="str">
        <f t="shared" si="89"/>
        <v/>
      </c>
      <c r="AA226" s="70" t="str">
        <f t="shared" si="90"/>
        <v/>
      </c>
      <c r="AC226" s="70" t="str">
        <f t="shared" si="75"/>
        <v>302, 305, 307, 306, M5</v>
      </c>
      <c r="AD226" s="70" t="str">
        <f t="shared" si="76"/>
        <v>334, 332, 331, 318, 317, 316, 311, 303, 305, 302</v>
      </c>
      <c r="AE226" s="70" t="str">
        <f t="shared" si="77"/>
        <v/>
      </c>
      <c r="AF226" s="70" t="str">
        <f t="shared" si="78"/>
        <v/>
      </c>
      <c r="AH226" s="70" t="str">
        <f t="shared" si="79"/>
        <v>05</v>
      </c>
      <c r="AI226" s="70" t="str">
        <f t="shared" si="80"/>
        <v>03, 10, 16</v>
      </c>
      <c r="AJ226" s="70" t="str">
        <f t="shared" si="81"/>
        <v/>
      </c>
      <c r="AK226" s="70" t="str">
        <f t="shared" si="82"/>
        <v/>
      </c>
      <c r="AM226" s="166" t="str">
        <f t="shared" si="83"/>
        <v>W AV-RM1E</v>
      </c>
      <c r="AN226" s="171" t="s">
        <v>747</v>
      </c>
      <c r="AO226" s="167" t="s">
        <v>849</v>
      </c>
      <c r="AP226" s="167">
        <v>55</v>
      </c>
      <c r="AT226" s="45" t="str">
        <f t="shared" si="91"/>
        <v/>
      </c>
    </row>
    <row r="227" spans="1:48" ht="20.100000000000001" customHeight="1" thickBot="1">
      <c r="A227" s="45" t="s">
        <v>850</v>
      </c>
      <c r="B227" s="45" t="s">
        <v>358</v>
      </c>
      <c r="C227" s="45" t="s">
        <v>851</v>
      </c>
      <c r="E227" s="45">
        <f t="shared" si="69"/>
        <v>5</v>
      </c>
      <c r="F227" s="45">
        <f t="shared" si="70"/>
        <v>3</v>
      </c>
      <c r="G227" s="45" t="str">
        <f t="shared" si="71"/>
        <v>7E</v>
      </c>
      <c r="H227" s="45" t="str">
        <f t="shared" si="72"/>
        <v>LB</v>
      </c>
      <c r="J227" s="45" t="str">
        <f t="shared" si="73"/>
        <v>LB</v>
      </c>
      <c r="K227" s="45" t="s">
        <v>130</v>
      </c>
      <c r="L227" s="45" t="str">
        <f t="shared" si="74"/>
        <v>7E-LB@E</v>
      </c>
      <c r="M227" s="75" t="str">
        <f t="shared" si="67"/>
        <v>334, 332, 331, 318, 317, 316, 311, 303, 305, 302, 302, 305, 307, 306, M5</v>
      </c>
      <c r="N227" s="75" t="str">
        <f t="shared" si="68"/>
        <v>35, 04, 03</v>
      </c>
      <c r="R227" s="70" t="s">
        <v>354</v>
      </c>
      <c r="S227" s="70" t="s">
        <v>53</v>
      </c>
      <c r="T227" s="70" t="s">
        <v>672</v>
      </c>
      <c r="U227" s="70"/>
      <c r="V227" s="70"/>
      <c r="X227" s="70" t="str">
        <f t="shared" si="87"/>
        <v>7E-E DT@E</v>
      </c>
      <c r="Y227" s="70" t="str">
        <f t="shared" si="88"/>
        <v>E DT-LB@E</v>
      </c>
      <c r="Z227" s="70" t="str">
        <f t="shared" si="89"/>
        <v/>
      </c>
      <c r="AA227" s="70" t="str">
        <f t="shared" si="90"/>
        <v/>
      </c>
      <c r="AC227" s="70" t="str">
        <f t="shared" si="75"/>
        <v>334, 332, 331, 318, 317, 316, 311, 303, 305, 302</v>
      </c>
      <c r="AD227" s="70" t="str">
        <f t="shared" si="76"/>
        <v>302, 305, 307, 306, M5</v>
      </c>
      <c r="AE227" s="70" t="str">
        <f t="shared" si="77"/>
        <v/>
      </c>
      <c r="AF227" s="70" t="str">
        <f t="shared" si="78"/>
        <v/>
      </c>
      <c r="AH227" s="70" t="str">
        <f t="shared" si="79"/>
        <v>35, 04</v>
      </c>
      <c r="AI227" s="70" t="str">
        <f t="shared" si="80"/>
        <v>03</v>
      </c>
      <c r="AJ227" s="70" t="str">
        <f t="shared" si="81"/>
        <v/>
      </c>
      <c r="AK227" s="70" t="str">
        <f t="shared" si="82"/>
        <v/>
      </c>
      <c r="AM227" s="166" t="str">
        <f t="shared" si="83"/>
        <v>W AV-RM1W</v>
      </c>
      <c r="AN227" s="171" t="s">
        <v>751</v>
      </c>
      <c r="AO227" s="167" t="s">
        <v>849</v>
      </c>
      <c r="AP227" s="167">
        <v>55</v>
      </c>
      <c r="AT227" s="45" t="str">
        <f t="shared" si="91"/>
        <v/>
      </c>
    </row>
    <row r="228" spans="1:48" ht="20.100000000000001" customHeight="1" thickBot="1">
      <c r="A228" s="45" t="s">
        <v>852</v>
      </c>
      <c r="B228" s="45" t="s">
        <v>147</v>
      </c>
      <c r="C228" s="45" t="s">
        <v>848</v>
      </c>
      <c r="E228" s="45">
        <f t="shared" si="69"/>
        <v>5</v>
      </c>
      <c r="F228" s="45">
        <f t="shared" si="70"/>
        <v>3</v>
      </c>
      <c r="G228" s="45" t="str">
        <f t="shared" si="71"/>
        <v>LB</v>
      </c>
      <c r="H228" s="45" t="str">
        <f t="shared" si="72"/>
        <v>7W</v>
      </c>
      <c r="J228" s="45" t="str">
        <f t="shared" si="73"/>
        <v>7W</v>
      </c>
      <c r="K228" s="45" t="s">
        <v>130</v>
      </c>
      <c r="L228" s="45" t="str">
        <f t="shared" si="74"/>
        <v>LB-7W@E</v>
      </c>
      <c r="M228" s="75" t="str">
        <f t="shared" si="67"/>
        <v>302, 305, 307, 306, M5, 334, 332, 331, 318, 317, 316, 311, 303, 305, 302</v>
      </c>
      <c r="N228" s="75" t="str">
        <f t="shared" si="68"/>
        <v>05, 03, 10, 16</v>
      </c>
      <c r="R228" s="70" t="s">
        <v>672</v>
      </c>
      <c r="S228" s="70" t="s">
        <v>53</v>
      </c>
      <c r="T228" s="70" t="s">
        <v>363</v>
      </c>
      <c r="U228" s="70"/>
      <c r="V228" s="70"/>
      <c r="X228" s="70" t="str">
        <f t="shared" si="87"/>
        <v>LB-E DT@E</v>
      </c>
      <c r="Y228" s="70" t="str">
        <f t="shared" si="88"/>
        <v>E DT-7W@E</v>
      </c>
      <c r="Z228" s="70" t="str">
        <f t="shared" si="89"/>
        <v/>
      </c>
      <c r="AA228" s="70" t="str">
        <f t="shared" si="90"/>
        <v/>
      </c>
      <c r="AC228" s="70" t="str">
        <f t="shared" si="75"/>
        <v>302, 305, 307, 306, M5</v>
      </c>
      <c r="AD228" s="70" t="str">
        <f t="shared" si="76"/>
        <v>334, 332, 331, 318, 317, 316, 311, 303, 305, 302</v>
      </c>
      <c r="AE228" s="70" t="str">
        <f t="shared" si="77"/>
        <v/>
      </c>
      <c r="AF228" s="70" t="str">
        <f t="shared" si="78"/>
        <v/>
      </c>
      <c r="AH228" s="70" t="str">
        <f t="shared" si="79"/>
        <v>05</v>
      </c>
      <c r="AI228" s="70" t="str">
        <f t="shared" si="80"/>
        <v>03, 10, 16</v>
      </c>
      <c r="AJ228" s="70" t="str">
        <f t="shared" si="81"/>
        <v/>
      </c>
      <c r="AK228" s="70" t="str">
        <f t="shared" si="82"/>
        <v/>
      </c>
      <c r="AM228" s="166" t="str">
        <f t="shared" si="83"/>
        <v>W AV-RM2E</v>
      </c>
      <c r="AN228" s="171" t="s">
        <v>755</v>
      </c>
      <c r="AO228" s="167" t="s">
        <v>853</v>
      </c>
      <c r="AP228" s="167">
        <v>55</v>
      </c>
      <c r="AT228" s="45" t="str">
        <f t="shared" si="91"/>
        <v/>
      </c>
    </row>
    <row r="229" spans="1:48" ht="20.100000000000001" customHeight="1" thickBot="1">
      <c r="A229" s="45" t="s">
        <v>854</v>
      </c>
      <c r="B229" s="45" t="s">
        <v>358</v>
      </c>
      <c r="C229" s="45" t="s">
        <v>851</v>
      </c>
      <c r="E229" s="45">
        <f t="shared" si="69"/>
        <v>5</v>
      </c>
      <c r="F229" s="45">
        <f t="shared" si="70"/>
        <v>3</v>
      </c>
      <c r="G229" s="45" t="str">
        <f t="shared" si="71"/>
        <v>7W</v>
      </c>
      <c r="H229" s="45" t="str">
        <f t="shared" si="72"/>
        <v>LB</v>
      </c>
      <c r="J229" s="45" t="str">
        <f t="shared" si="73"/>
        <v>LB</v>
      </c>
      <c r="K229" s="45" t="s">
        <v>130</v>
      </c>
      <c r="L229" s="45" t="str">
        <f t="shared" si="74"/>
        <v>7W-LB@E</v>
      </c>
      <c r="M229" s="75" t="str">
        <f t="shared" si="67"/>
        <v>334, 332, 331, 318, 317, 316, 311, 303, 305, 302, 302, 305, 307, 306, M5</v>
      </c>
      <c r="N229" s="75" t="str">
        <f t="shared" si="68"/>
        <v>35, 04, 03</v>
      </c>
      <c r="R229" s="70" t="s">
        <v>363</v>
      </c>
      <c r="S229" s="70" t="s">
        <v>53</v>
      </c>
      <c r="T229" s="70" t="s">
        <v>672</v>
      </c>
      <c r="U229" s="70"/>
      <c r="V229" s="70"/>
      <c r="X229" s="70" t="str">
        <f t="shared" si="87"/>
        <v>7W-E DT@E</v>
      </c>
      <c r="Y229" s="70" t="str">
        <f t="shared" si="88"/>
        <v>E DT-LB@E</v>
      </c>
      <c r="Z229" s="70" t="str">
        <f t="shared" si="89"/>
        <v/>
      </c>
      <c r="AA229" s="70" t="str">
        <f t="shared" si="90"/>
        <v/>
      </c>
      <c r="AC229" s="70" t="str">
        <f t="shared" si="75"/>
        <v>334, 332, 331, 318, 317, 316, 311, 303, 305, 302</v>
      </c>
      <c r="AD229" s="70" t="str">
        <f t="shared" si="76"/>
        <v>302, 305, 307, 306, M5</v>
      </c>
      <c r="AE229" s="70" t="str">
        <f t="shared" si="77"/>
        <v/>
      </c>
      <c r="AF229" s="70" t="str">
        <f t="shared" si="78"/>
        <v/>
      </c>
      <c r="AH229" s="70" t="str">
        <f t="shared" si="79"/>
        <v>35, 04</v>
      </c>
      <c r="AI229" s="70" t="str">
        <f t="shared" si="80"/>
        <v>03</v>
      </c>
      <c r="AJ229" s="70" t="str">
        <f t="shared" si="81"/>
        <v/>
      </c>
      <c r="AK229" s="70" t="str">
        <f t="shared" si="82"/>
        <v/>
      </c>
      <c r="AM229" s="166" t="str">
        <f t="shared" si="83"/>
        <v>W AV-RM2W</v>
      </c>
      <c r="AN229" s="171" t="s">
        <v>759</v>
      </c>
      <c r="AO229" s="167" t="s">
        <v>853</v>
      </c>
      <c r="AP229" s="167">
        <v>55</v>
      </c>
      <c r="AT229" s="45" t="str">
        <f t="shared" si="91"/>
        <v/>
      </c>
    </row>
    <row r="230" spans="1:48" ht="20.100000000000001" customHeight="1" thickBot="1">
      <c r="A230" s="45" t="s">
        <v>855</v>
      </c>
      <c r="B230" s="45" t="s">
        <v>147</v>
      </c>
      <c r="C230" s="45" t="s">
        <v>848</v>
      </c>
      <c r="E230" s="45">
        <f t="shared" si="69"/>
        <v>5</v>
      </c>
      <c r="F230" s="45">
        <f t="shared" si="70"/>
        <v>3</v>
      </c>
      <c r="G230" s="45" t="str">
        <f t="shared" si="71"/>
        <v>LB</v>
      </c>
      <c r="H230" s="45" t="str">
        <f t="shared" si="72"/>
        <v>8E</v>
      </c>
      <c r="J230" s="45" t="str">
        <f t="shared" si="73"/>
        <v>8E</v>
      </c>
      <c r="K230" s="45" t="s">
        <v>130</v>
      </c>
      <c r="L230" s="45" t="str">
        <f t="shared" si="74"/>
        <v>LB-8E@E</v>
      </c>
      <c r="M230" s="75" t="str">
        <f t="shared" si="67"/>
        <v>302, 305, 307, 306, M5, 334, 332, 331, 318, 317, 316, 311, 303, 305, 302</v>
      </c>
      <c r="N230" s="75" t="str">
        <f t="shared" si="68"/>
        <v>05, 03, 10, 16</v>
      </c>
      <c r="R230" s="70" t="s">
        <v>672</v>
      </c>
      <c r="S230" s="70" t="s">
        <v>53</v>
      </c>
      <c r="T230" s="70" t="s">
        <v>370</v>
      </c>
      <c r="U230" s="70"/>
      <c r="V230" s="70"/>
      <c r="X230" s="70" t="str">
        <f t="shared" si="87"/>
        <v>LB-E DT@E</v>
      </c>
      <c r="Y230" s="70" t="str">
        <f t="shared" si="88"/>
        <v>E DT-8E@E</v>
      </c>
      <c r="Z230" s="70" t="str">
        <f t="shared" si="89"/>
        <v/>
      </c>
      <c r="AA230" s="70" t="str">
        <f t="shared" si="90"/>
        <v/>
      </c>
      <c r="AC230" s="70" t="str">
        <f t="shared" si="75"/>
        <v>302, 305, 307, 306, M5</v>
      </c>
      <c r="AD230" s="70" t="str">
        <f t="shared" si="76"/>
        <v>334, 332, 331, 318, 317, 316, 311, 303, 305, 302</v>
      </c>
      <c r="AE230" s="70" t="str">
        <f t="shared" si="77"/>
        <v/>
      </c>
      <c r="AF230" s="70" t="str">
        <f t="shared" si="78"/>
        <v/>
      </c>
      <c r="AH230" s="70" t="str">
        <f t="shared" si="79"/>
        <v>05</v>
      </c>
      <c r="AI230" s="70" t="str">
        <f t="shared" si="80"/>
        <v>03, 10, 16</v>
      </c>
      <c r="AJ230" s="70" t="str">
        <f t="shared" si="81"/>
        <v/>
      </c>
      <c r="AK230" s="70" t="str">
        <f t="shared" si="82"/>
        <v/>
      </c>
      <c r="AM230" s="166" t="str">
        <f t="shared" si="83"/>
        <v>W AV-RM3E</v>
      </c>
      <c r="AN230" s="171" t="s">
        <v>764</v>
      </c>
      <c r="AO230" s="167" t="s">
        <v>853</v>
      </c>
      <c r="AP230" s="167">
        <v>55</v>
      </c>
      <c r="AT230" s="45" t="str">
        <f t="shared" si="91"/>
        <v/>
      </c>
    </row>
    <row r="231" spans="1:48" ht="20.100000000000001" customHeight="1" thickBot="1">
      <c r="A231" s="45" t="s">
        <v>856</v>
      </c>
      <c r="B231" s="45" t="s">
        <v>374</v>
      </c>
      <c r="C231" s="45" t="s">
        <v>851</v>
      </c>
      <c r="E231" s="45">
        <f t="shared" si="69"/>
        <v>5</v>
      </c>
      <c r="F231" s="45">
        <f t="shared" si="70"/>
        <v>3</v>
      </c>
      <c r="G231" s="45" t="str">
        <f t="shared" si="71"/>
        <v>8E</v>
      </c>
      <c r="H231" s="45" t="str">
        <f t="shared" si="72"/>
        <v>LB</v>
      </c>
      <c r="J231" s="45" t="str">
        <f t="shared" si="73"/>
        <v>LB</v>
      </c>
      <c r="K231" s="45" t="s">
        <v>130</v>
      </c>
      <c r="L231" s="45" t="str">
        <f t="shared" si="74"/>
        <v>8E-LB@E</v>
      </c>
      <c r="M231" s="75" t="str">
        <f t="shared" si="67"/>
        <v>334, 332, 331, 318, 317, 316, 311, 303, 305, 302, 302, 305, 307, 306, M5</v>
      </c>
      <c r="N231" s="75" t="str">
        <f t="shared" si="68"/>
        <v>36, 04, 03</v>
      </c>
      <c r="R231" s="70" t="s">
        <v>370</v>
      </c>
      <c r="S231" s="70" t="s">
        <v>53</v>
      </c>
      <c r="T231" s="70" t="s">
        <v>672</v>
      </c>
      <c r="U231" s="70"/>
      <c r="V231" s="70"/>
      <c r="X231" s="70" t="str">
        <f t="shared" si="87"/>
        <v>8E-E DT@E</v>
      </c>
      <c r="Y231" s="70" t="str">
        <f t="shared" si="88"/>
        <v>E DT-LB@E</v>
      </c>
      <c r="Z231" s="70" t="str">
        <f t="shared" si="89"/>
        <v/>
      </c>
      <c r="AA231" s="70" t="str">
        <f t="shared" si="90"/>
        <v/>
      </c>
      <c r="AC231" s="70" t="str">
        <f t="shared" si="75"/>
        <v>334, 332, 331, 318, 317, 316, 311, 303, 305, 302</v>
      </c>
      <c r="AD231" s="70" t="str">
        <f t="shared" si="76"/>
        <v>302, 305, 307, 306, M5</v>
      </c>
      <c r="AE231" s="70" t="str">
        <f t="shared" si="77"/>
        <v/>
      </c>
      <c r="AF231" s="70" t="str">
        <f t="shared" si="78"/>
        <v/>
      </c>
      <c r="AH231" s="70" t="str">
        <f t="shared" si="79"/>
        <v>36, 04</v>
      </c>
      <c r="AI231" s="70" t="str">
        <f t="shared" si="80"/>
        <v>03</v>
      </c>
      <c r="AJ231" s="70" t="str">
        <f t="shared" si="81"/>
        <v/>
      </c>
      <c r="AK231" s="70" t="str">
        <f t="shared" si="82"/>
        <v/>
      </c>
      <c r="AM231" s="166" t="str">
        <f t="shared" si="83"/>
        <v>W AV-RM3W</v>
      </c>
      <c r="AN231" s="171" t="s">
        <v>769</v>
      </c>
      <c r="AO231" s="167" t="s">
        <v>853</v>
      </c>
      <c r="AP231" s="167">
        <v>55</v>
      </c>
      <c r="AT231" s="45" t="str">
        <f t="shared" si="91"/>
        <v/>
      </c>
    </row>
    <row r="232" spans="1:48" ht="20.100000000000001" customHeight="1" thickBot="1">
      <c r="A232" s="45" t="s">
        <v>857</v>
      </c>
      <c r="B232" s="45" t="s">
        <v>147</v>
      </c>
      <c r="C232" s="45" t="s">
        <v>848</v>
      </c>
      <c r="E232" s="45">
        <f t="shared" si="69"/>
        <v>5</v>
      </c>
      <c r="F232" s="45">
        <f t="shared" si="70"/>
        <v>3</v>
      </c>
      <c r="G232" s="45" t="str">
        <f t="shared" si="71"/>
        <v>LB</v>
      </c>
      <c r="H232" s="45" t="str">
        <f t="shared" si="72"/>
        <v>8W</v>
      </c>
      <c r="J232" s="45" t="str">
        <f t="shared" si="73"/>
        <v>8W</v>
      </c>
      <c r="K232" s="45" t="s">
        <v>130</v>
      </c>
      <c r="L232" s="45" t="str">
        <f t="shared" si="74"/>
        <v>LB-8W@E</v>
      </c>
      <c r="M232" s="75" t="str">
        <f t="shared" si="67"/>
        <v>302, 305, 307, 306, M5, 334, 332, 331, 318, 317, 316, 311, 303, 305, 302</v>
      </c>
      <c r="N232" s="75" t="str">
        <f t="shared" si="68"/>
        <v>05, 03, 10, 16</v>
      </c>
      <c r="R232" s="70" t="s">
        <v>672</v>
      </c>
      <c r="S232" s="70" t="s">
        <v>53</v>
      </c>
      <c r="T232" s="70" t="s">
        <v>377</v>
      </c>
      <c r="U232" s="70"/>
      <c r="V232" s="70"/>
      <c r="X232" s="70" t="str">
        <f t="shared" si="87"/>
        <v>LB-E DT@E</v>
      </c>
      <c r="Y232" s="70" t="str">
        <f t="shared" si="88"/>
        <v>E DT-8W@E</v>
      </c>
      <c r="Z232" s="70" t="str">
        <f t="shared" si="89"/>
        <v/>
      </c>
      <c r="AA232" s="70" t="str">
        <f t="shared" si="90"/>
        <v/>
      </c>
      <c r="AC232" s="70" t="str">
        <f t="shared" si="75"/>
        <v>302, 305, 307, 306, M5</v>
      </c>
      <c r="AD232" s="70" t="str">
        <f t="shared" si="76"/>
        <v>334, 332, 331, 318, 317, 316, 311, 303, 305, 302</v>
      </c>
      <c r="AE232" s="70" t="str">
        <f t="shared" si="77"/>
        <v/>
      </c>
      <c r="AF232" s="70" t="str">
        <f t="shared" si="78"/>
        <v/>
      </c>
      <c r="AH232" s="70" t="str">
        <f t="shared" si="79"/>
        <v>05</v>
      </c>
      <c r="AI232" s="70" t="str">
        <f t="shared" si="80"/>
        <v>03, 10, 16</v>
      </c>
      <c r="AJ232" s="70" t="str">
        <f t="shared" si="81"/>
        <v/>
      </c>
      <c r="AK232" s="70" t="str">
        <f t="shared" si="82"/>
        <v/>
      </c>
      <c r="AM232" s="166" t="str">
        <f t="shared" si="83"/>
        <v>W AV-HCTE</v>
      </c>
      <c r="AN232" s="171" t="s">
        <v>773</v>
      </c>
      <c r="AO232" s="167" t="s">
        <v>858</v>
      </c>
      <c r="AP232" s="167">
        <v>55</v>
      </c>
      <c r="AT232" s="45" t="str">
        <f t="shared" si="91"/>
        <v/>
      </c>
    </row>
    <row r="233" spans="1:48" ht="20.100000000000001" customHeight="1" thickBot="1">
      <c r="A233" s="45" t="s">
        <v>859</v>
      </c>
      <c r="B233" s="45" t="s">
        <v>374</v>
      </c>
      <c r="C233" s="45" t="s">
        <v>851</v>
      </c>
      <c r="E233" s="45">
        <f t="shared" si="69"/>
        <v>5</v>
      </c>
      <c r="F233" s="45">
        <f t="shared" si="70"/>
        <v>3</v>
      </c>
      <c r="G233" s="45" t="str">
        <f t="shared" si="71"/>
        <v>8W</v>
      </c>
      <c r="H233" s="45" t="str">
        <f t="shared" si="72"/>
        <v>LB</v>
      </c>
      <c r="J233" s="45" t="str">
        <f t="shared" si="73"/>
        <v>LB</v>
      </c>
      <c r="K233" s="45" t="s">
        <v>130</v>
      </c>
      <c r="L233" s="45" t="str">
        <f t="shared" si="74"/>
        <v>8W-LB@E</v>
      </c>
      <c r="M233" s="75" t="str">
        <f t="shared" si="67"/>
        <v>334, 332, 331, 318, 317, 316, 311, 303, 305, 302, 302, 305, 307, 306, M5</v>
      </c>
      <c r="N233" s="75" t="str">
        <f t="shared" si="68"/>
        <v>36, 04, 03</v>
      </c>
      <c r="R233" s="70" t="s">
        <v>377</v>
      </c>
      <c r="S233" s="70" t="s">
        <v>53</v>
      </c>
      <c r="T233" s="70" t="s">
        <v>672</v>
      </c>
      <c r="U233" s="70"/>
      <c r="V233" s="70"/>
      <c r="X233" s="70" t="str">
        <f t="shared" si="87"/>
        <v>8W-E DT@E</v>
      </c>
      <c r="Y233" s="70" t="str">
        <f t="shared" si="88"/>
        <v>E DT-LB@E</v>
      </c>
      <c r="Z233" s="70" t="str">
        <f t="shared" si="89"/>
        <v/>
      </c>
      <c r="AA233" s="70" t="str">
        <f t="shared" si="90"/>
        <v/>
      </c>
      <c r="AC233" s="70" t="str">
        <f t="shared" si="75"/>
        <v>334, 332, 331, 318, 317, 316, 311, 303, 305, 302</v>
      </c>
      <c r="AD233" s="70" t="str">
        <f t="shared" si="76"/>
        <v>302, 305, 307, 306, M5</v>
      </c>
      <c r="AE233" s="70" t="str">
        <f t="shared" si="77"/>
        <v/>
      </c>
      <c r="AF233" s="70" t="str">
        <f t="shared" si="78"/>
        <v/>
      </c>
      <c r="AH233" s="70" t="str">
        <f t="shared" si="79"/>
        <v>36, 04</v>
      </c>
      <c r="AI233" s="70" t="str">
        <f t="shared" si="80"/>
        <v>03</v>
      </c>
      <c r="AJ233" s="70" t="str">
        <f t="shared" si="81"/>
        <v/>
      </c>
      <c r="AK233" s="70" t="str">
        <f t="shared" si="82"/>
        <v/>
      </c>
      <c r="AM233" s="166" t="str">
        <f t="shared" si="83"/>
        <v>W AV-HCTW</v>
      </c>
      <c r="AN233" s="171" t="s">
        <v>777</v>
      </c>
      <c r="AO233" s="167" t="s">
        <v>858</v>
      </c>
      <c r="AP233" s="167">
        <v>55</v>
      </c>
      <c r="AT233" s="45" t="str">
        <f t="shared" si="91"/>
        <v/>
      </c>
    </row>
    <row r="234" spans="1:48" ht="20.100000000000001" customHeight="1" thickBot="1">
      <c r="A234" s="45" t="s">
        <v>860</v>
      </c>
      <c r="B234" s="45" t="s">
        <v>861</v>
      </c>
      <c r="C234" s="45" t="s">
        <v>862</v>
      </c>
      <c r="E234" s="45">
        <f t="shared" si="69"/>
        <v>6</v>
      </c>
      <c r="F234" s="45">
        <f t="shared" si="70"/>
        <v>3</v>
      </c>
      <c r="G234" s="45" t="str">
        <f t="shared" si="71"/>
        <v>M1</v>
      </c>
      <c r="H234" s="45" t="str">
        <f t="shared" si="72"/>
        <v>LF3</v>
      </c>
      <c r="J234" s="45" t="str">
        <f t="shared" si="73"/>
        <v>LF3</v>
      </c>
      <c r="K234" s="45" t="s">
        <v>130</v>
      </c>
      <c r="L234" s="45" t="str">
        <f t="shared" si="74"/>
        <v>M1-LF3@E</v>
      </c>
      <c r="M234" s="75" t="str">
        <f t="shared" si="67"/>
        <v>302, 305, 307, 306, M1, 323, 322, 319, 316, 311, 303, 305, 302</v>
      </c>
      <c r="N234" s="75" t="str">
        <f t="shared" si="68"/>
        <v>06, 03, 10, 16</v>
      </c>
      <c r="R234" s="70" t="s">
        <v>863</v>
      </c>
      <c r="S234" s="70" t="s">
        <v>53</v>
      </c>
      <c r="T234" s="70" t="s">
        <v>82</v>
      </c>
      <c r="U234" s="70"/>
      <c r="V234" s="70"/>
      <c r="X234" s="70" t="str">
        <f t="shared" si="87"/>
        <v>M1-E DT@E</v>
      </c>
      <c r="Y234" s="70" t="str">
        <f t="shared" si="88"/>
        <v>E DT-LF3@E</v>
      </c>
      <c r="Z234" s="70" t="str">
        <f t="shared" si="89"/>
        <v/>
      </c>
      <c r="AA234" s="70" t="str">
        <f t="shared" si="90"/>
        <v/>
      </c>
      <c r="AC234" s="70" t="str">
        <f t="shared" si="75"/>
        <v>302, 305, 307, 306, M1</v>
      </c>
      <c r="AD234" s="70" t="str">
        <f t="shared" si="76"/>
        <v>323, 322, 319, 316, 311, 303, 305, 302</v>
      </c>
      <c r="AE234" s="70" t="str">
        <f t="shared" si="77"/>
        <v/>
      </c>
      <c r="AF234" s="70" t="str">
        <f t="shared" si="78"/>
        <v/>
      </c>
      <c r="AH234" s="70" t="str">
        <f t="shared" si="79"/>
        <v>06</v>
      </c>
      <c r="AI234" s="70" t="str">
        <f t="shared" si="80"/>
        <v>03, 10, 16</v>
      </c>
      <c r="AJ234" s="70" t="str">
        <f t="shared" si="81"/>
        <v/>
      </c>
      <c r="AK234" s="70" t="str">
        <f t="shared" si="82"/>
        <v/>
      </c>
      <c r="AM234" s="166" t="str">
        <f t="shared" si="83"/>
        <v>W AV-1E</v>
      </c>
      <c r="AN234" s="171" t="s">
        <v>781</v>
      </c>
      <c r="AO234" s="167" t="s">
        <v>858</v>
      </c>
      <c r="AP234" s="167">
        <v>55</v>
      </c>
      <c r="AT234" s="45" t="str">
        <f t="shared" si="91"/>
        <v/>
      </c>
    </row>
    <row r="235" spans="1:48" ht="20.100000000000001" customHeight="1" thickBot="1">
      <c r="A235" s="45" t="s">
        <v>864</v>
      </c>
      <c r="B235" s="45" t="s">
        <v>154</v>
      </c>
      <c r="C235" s="45" t="s">
        <v>865</v>
      </c>
      <c r="E235" s="45">
        <f t="shared" si="69"/>
        <v>6</v>
      </c>
      <c r="F235" s="45">
        <f t="shared" si="70"/>
        <v>4</v>
      </c>
      <c r="G235" s="45" t="str">
        <f t="shared" si="71"/>
        <v>LF3</v>
      </c>
      <c r="H235" s="45" t="str">
        <f t="shared" si="72"/>
        <v>M1</v>
      </c>
      <c r="J235" s="45" t="str">
        <f t="shared" si="73"/>
        <v>M1</v>
      </c>
      <c r="K235" s="45" t="s">
        <v>130</v>
      </c>
      <c r="L235" s="45" t="str">
        <f t="shared" si="74"/>
        <v>LF3-M1@E</v>
      </c>
      <c r="M235" s="75" t="str">
        <f t="shared" si="67"/>
        <v>323, 322, 319, 316, 311, 303, 305, 302, 302, 305, 307, 306, M1</v>
      </c>
      <c r="N235" s="75" t="str">
        <f t="shared" si="68"/>
        <v>20, 04, 03</v>
      </c>
      <c r="R235" s="70" t="s">
        <v>82</v>
      </c>
      <c r="S235" s="70" t="s">
        <v>53</v>
      </c>
      <c r="T235" s="70" t="s">
        <v>863</v>
      </c>
      <c r="U235" s="70"/>
      <c r="V235" s="70"/>
      <c r="X235" s="70" t="str">
        <f t="shared" si="87"/>
        <v>LF3-E DT@E</v>
      </c>
      <c r="Y235" s="70" t="str">
        <f t="shared" si="88"/>
        <v>E DT-M1@E</v>
      </c>
      <c r="Z235" s="70" t="str">
        <f t="shared" si="89"/>
        <v/>
      </c>
      <c r="AA235" s="70" t="str">
        <f t="shared" si="90"/>
        <v/>
      </c>
      <c r="AC235" s="70" t="str">
        <f t="shared" si="75"/>
        <v>323, 322, 319, 316, 311, 303, 305, 302</v>
      </c>
      <c r="AD235" s="70" t="str">
        <f t="shared" si="76"/>
        <v>302, 305, 307, 306, M1</v>
      </c>
      <c r="AE235" s="70" t="str">
        <f t="shared" si="77"/>
        <v/>
      </c>
      <c r="AF235" s="70" t="str">
        <f t="shared" si="78"/>
        <v/>
      </c>
      <c r="AH235" s="70" t="str">
        <f t="shared" si="79"/>
        <v>20, 04</v>
      </c>
      <c r="AI235" s="70" t="str">
        <f t="shared" si="80"/>
        <v>03</v>
      </c>
      <c r="AJ235" s="70" t="str">
        <f t="shared" si="81"/>
        <v/>
      </c>
      <c r="AK235" s="70" t="str">
        <f t="shared" si="82"/>
        <v/>
      </c>
      <c r="AM235" s="166" t="str">
        <f t="shared" si="83"/>
        <v>W AV-1W</v>
      </c>
      <c r="AN235" s="171" t="s">
        <v>785</v>
      </c>
      <c r="AO235" s="167" t="s">
        <v>858</v>
      </c>
      <c r="AP235" s="167">
        <v>55</v>
      </c>
      <c r="AT235" s="45" t="str">
        <f t="shared" si="91"/>
        <v/>
      </c>
    </row>
    <row r="236" spans="1:48" ht="20.100000000000001" customHeight="1" thickBot="1">
      <c r="A236" s="45" t="s">
        <v>866</v>
      </c>
      <c r="B236" s="45" t="s">
        <v>861</v>
      </c>
      <c r="C236" s="45" t="s">
        <v>862</v>
      </c>
      <c r="E236" s="45">
        <f t="shared" si="69"/>
        <v>6</v>
      </c>
      <c r="F236" s="45">
        <f t="shared" si="70"/>
        <v>3</v>
      </c>
      <c r="G236" s="45" t="str">
        <f t="shared" si="71"/>
        <v>M1</v>
      </c>
      <c r="H236" s="45" t="str">
        <f t="shared" si="72"/>
        <v>LF4</v>
      </c>
      <c r="J236" s="45" t="str">
        <f t="shared" si="73"/>
        <v>LF4</v>
      </c>
      <c r="K236" s="45" t="s">
        <v>130</v>
      </c>
      <c r="L236" s="45" t="str">
        <f t="shared" si="74"/>
        <v>M1-LF4@E</v>
      </c>
      <c r="M236" s="75" t="str">
        <f t="shared" si="67"/>
        <v>302, 305, 307, 306, M1, 302, 305, 303, 311, 316, 319, 322, 323</v>
      </c>
      <c r="N236" s="75" t="str">
        <f t="shared" si="68"/>
        <v>06, 03, 10, 16</v>
      </c>
      <c r="R236" s="70" t="s">
        <v>863</v>
      </c>
      <c r="S236" s="70" t="s">
        <v>53</v>
      </c>
      <c r="T236" s="70" t="s">
        <v>83</v>
      </c>
      <c r="U236" s="70"/>
      <c r="V236" s="70"/>
      <c r="X236" s="70" t="str">
        <f t="shared" si="87"/>
        <v>M1-E DT@E</v>
      </c>
      <c r="Y236" s="70" t="str">
        <f t="shared" si="88"/>
        <v>E DT-LF4@E</v>
      </c>
      <c r="Z236" s="70" t="str">
        <f t="shared" si="89"/>
        <v/>
      </c>
      <c r="AA236" s="70" t="str">
        <f t="shared" si="90"/>
        <v/>
      </c>
      <c r="AC236" s="70" t="str">
        <f t="shared" si="75"/>
        <v>302, 305, 307, 306, M1</v>
      </c>
      <c r="AD236" s="70" t="str">
        <f t="shared" si="76"/>
        <v>302, 305, 303, 311, 316, 319, 322, 323</v>
      </c>
      <c r="AE236" s="70" t="str">
        <f t="shared" si="77"/>
        <v/>
      </c>
      <c r="AF236" s="70" t="str">
        <f t="shared" si="78"/>
        <v/>
      </c>
      <c r="AH236" s="70" t="str">
        <f t="shared" si="79"/>
        <v>06</v>
      </c>
      <c r="AI236" s="70" t="str">
        <f t="shared" si="80"/>
        <v>03, 10, 16</v>
      </c>
      <c r="AJ236" s="70" t="str">
        <f t="shared" si="81"/>
        <v/>
      </c>
      <c r="AK236" s="70" t="str">
        <f t="shared" si="82"/>
        <v/>
      </c>
      <c r="AM236" s="166" t="str">
        <f t="shared" si="83"/>
        <v>W AV-2E</v>
      </c>
      <c r="AN236" s="171" t="s">
        <v>789</v>
      </c>
      <c r="AO236" s="167" t="s">
        <v>867</v>
      </c>
      <c r="AP236" s="167">
        <v>55</v>
      </c>
      <c r="AT236" s="45" t="str">
        <f t="shared" si="91"/>
        <v/>
      </c>
    </row>
    <row r="237" spans="1:48" ht="20.100000000000001" customHeight="1" thickBot="1">
      <c r="A237" s="45" t="s">
        <v>868</v>
      </c>
      <c r="B237" s="45" t="s">
        <v>165</v>
      </c>
      <c r="C237" s="45" t="s">
        <v>865</v>
      </c>
      <c r="E237" s="45">
        <f t="shared" si="69"/>
        <v>6</v>
      </c>
      <c r="F237" s="45">
        <f t="shared" si="70"/>
        <v>4</v>
      </c>
      <c r="G237" s="45" t="str">
        <f t="shared" si="71"/>
        <v>LF4</v>
      </c>
      <c r="H237" s="45" t="str">
        <f t="shared" si="72"/>
        <v>M1</v>
      </c>
      <c r="J237" s="45" t="str">
        <f t="shared" si="73"/>
        <v>M1</v>
      </c>
      <c r="K237" s="45" t="s">
        <v>130</v>
      </c>
      <c r="L237" s="45" t="str">
        <f t="shared" si="74"/>
        <v>LF4-M1@E</v>
      </c>
      <c r="M237" s="75" t="str">
        <f t="shared" si="67"/>
        <v>302, 305, 303, 311, 316, 319, 322, 323, 302, 305, 307, 306, M1</v>
      </c>
      <c r="N237" s="75" t="str">
        <f t="shared" si="68"/>
        <v>21, 04, 03</v>
      </c>
      <c r="R237" s="70" t="s">
        <v>83</v>
      </c>
      <c r="S237" s="70" t="s">
        <v>53</v>
      </c>
      <c r="T237" s="70" t="s">
        <v>863</v>
      </c>
      <c r="U237" s="70"/>
      <c r="V237" s="70"/>
      <c r="X237" s="70" t="str">
        <f t="shared" si="87"/>
        <v>LF4-E DT@E</v>
      </c>
      <c r="Y237" s="70" t="str">
        <f t="shared" si="88"/>
        <v>E DT-M1@E</v>
      </c>
      <c r="Z237" s="70" t="str">
        <f t="shared" si="89"/>
        <v/>
      </c>
      <c r="AA237" s="70" t="str">
        <f t="shared" si="90"/>
        <v/>
      </c>
      <c r="AC237" s="70" t="str">
        <f t="shared" si="75"/>
        <v>302, 305, 303, 311, 316, 319, 322, 323</v>
      </c>
      <c r="AD237" s="70" t="str">
        <f t="shared" si="76"/>
        <v>302, 305, 307, 306, M1</v>
      </c>
      <c r="AE237" s="70" t="str">
        <f t="shared" si="77"/>
        <v/>
      </c>
      <c r="AF237" s="70" t="str">
        <f t="shared" si="78"/>
        <v/>
      </c>
      <c r="AH237" s="70" t="str">
        <f t="shared" si="79"/>
        <v>21, 04</v>
      </c>
      <c r="AI237" s="70" t="str">
        <f t="shared" si="80"/>
        <v>03</v>
      </c>
      <c r="AJ237" s="70" t="str">
        <f t="shared" si="81"/>
        <v/>
      </c>
      <c r="AK237" s="70" t="str">
        <f t="shared" si="82"/>
        <v/>
      </c>
      <c r="AM237" s="166" t="str">
        <f t="shared" si="83"/>
        <v>W AV-2W</v>
      </c>
      <c r="AN237" s="171" t="s">
        <v>793</v>
      </c>
      <c r="AO237" s="167" t="s">
        <v>867</v>
      </c>
      <c r="AP237" s="167">
        <v>55</v>
      </c>
      <c r="AT237" s="45" t="str">
        <f t="shared" si="91"/>
        <v/>
      </c>
    </row>
    <row r="238" spans="1:48" ht="20.100000000000001" customHeight="1" thickBot="1">
      <c r="A238" s="45" t="s">
        <v>869</v>
      </c>
      <c r="B238" s="45" t="s">
        <v>861</v>
      </c>
      <c r="C238" s="45" t="s">
        <v>870</v>
      </c>
      <c r="E238" s="45">
        <f t="shared" si="69"/>
        <v>6</v>
      </c>
      <c r="F238" s="45">
        <f t="shared" si="70"/>
        <v>3</v>
      </c>
      <c r="G238" s="45" t="str">
        <f t="shared" si="71"/>
        <v>M1</v>
      </c>
      <c r="H238" s="45" t="str">
        <f t="shared" si="72"/>
        <v>HM1</v>
      </c>
      <c r="J238" s="45" t="str">
        <f t="shared" si="73"/>
        <v>HM1</v>
      </c>
      <c r="K238" s="45" t="s">
        <v>130</v>
      </c>
      <c r="L238" s="45" t="str">
        <f t="shared" si="74"/>
        <v>M1-HM1@E</v>
      </c>
      <c r="M238" s="75" t="str">
        <f t="shared" si="67"/>
        <v>302, 305, 307, 306, M1, 322, 319, 316, 311, 303, 305, 302</v>
      </c>
      <c r="N238" s="75" t="str">
        <f t="shared" si="68"/>
        <v>06, 03, 10, 16</v>
      </c>
      <c r="R238" s="70" t="s">
        <v>863</v>
      </c>
      <c r="S238" s="70" t="s">
        <v>53</v>
      </c>
      <c r="T238" s="70" t="s">
        <v>171</v>
      </c>
      <c r="U238" s="70"/>
      <c r="V238" s="70"/>
      <c r="X238" s="70" t="str">
        <f t="shared" si="87"/>
        <v>M1-E DT@E</v>
      </c>
      <c r="Y238" s="70" t="str">
        <f t="shared" si="88"/>
        <v>E DT-HM1@E</v>
      </c>
      <c r="Z238" s="70" t="str">
        <f t="shared" si="89"/>
        <v/>
      </c>
      <c r="AA238" s="70" t="str">
        <f t="shared" si="90"/>
        <v/>
      </c>
      <c r="AC238" s="70" t="str">
        <f t="shared" si="75"/>
        <v>302, 305, 307, 306, M1</v>
      </c>
      <c r="AD238" s="70" t="str">
        <f t="shared" si="76"/>
        <v>322, 319, 316, 311, 303, 305, 302</v>
      </c>
      <c r="AE238" s="70" t="str">
        <f t="shared" si="77"/>
        <v/>
      </c>
      <c r="AF238" s="70" t="str">
        <f t="shared" si="78"/>
        <v/>
      </c>
      <c r="AH238" s="70" t="str">
        <f t="shared" si="79"/>
        <v>06</v>
      </c>
      <c r="AI238" s="70" t="str">
        <f t="shared" si="80"/>
        <v>03, 10, 16</v>
      </c>
      <c r="AJ238" s="70" t="str">
        <f t="shared" si="81"/>
        <v/>
      </c>
      <c r="AK238" s="70" t="str">
        <f t="shared" si="82"/>
        <v/>
      </c>
      <c r="AM238" s="166" t="str">
        <f t="shared" si="83"/>
        <v>W AV-3E</v>
      </c>
      <c r="AN238" s="171" t="s">
        <v>798</v>
      </c>
      <c r="AO238" s="167" t="s">
        <v>867</v>
      </c>
      <c r="AP238" s="167">
        <v>55</v>
      </c>
      <c r="AT238" s="45" t="str">
        <f t="shared" si="91"/>
        <v/>
      </c>
    </row>
    <row r="239" spans="1:48" ht="20.100000000000001" customHeight="1" thickBot="1">
      <c r="A239" s="45" t="s">
        <v>871</v>
      </c>
      <c r="B239" s="45" t="s">
        <v>176</v>
      </c>
      <c r="C239" s="45" t="s">
        <v>872</v>
      </c>
      <c r="E239" s="45">
        <f t="shared" si="69"/>
        <v>6</v>
      </c>
      <c r="F239" s="45">
        <f t="shared" si="70"/>
        <v>4</v>
      </c>
      <c r="G239" s="45" t="str">
        <f t="shared" si="71"/>
        <v>HM1</v>
      </c>
      <c r="H239" s="45" t="str">
        <f t="shared" si="72"/>
        <v>M1</v>
      </c>
      <c r="J239" s="45" t="str">
        <f t="shared" si="73"/>
        <v>M1</v>
      </c>
      <c r="K239" s="45" t="s">
        <v>130</v>
      </c>
      <c r="L239" s="45" t="str">
        <f t="shared" si="74"/>
        <v>HM1-M1@E</v>
      </c>
      <c r="M239" s="75" t="str">
        <f t="shared" si="67"/>
        <v>322, 319, 316, 311, 303, 305, 302, 302, 305, 307, 306, M1</v>
      </c>
      <c r="N239" s="75" t="str">
        <f t="shared" si="68"/>
        <v>22, 04, 03</v>
      </c>
      <c r="R239" s="70" t="s">
        <v>171</v>
      </c>
      <c r="S239" s="70" t="s">
        <v>53</v>
      </c>
      <c r="T239" s="70" t="s">
        <v>863</v>
      </c>
      <c r="U239" s="70"/>
      <c r="V239" s="70"/>
      <c r="X239" s="70" t="str">
        <f t="shared" si="87"/>
        <v>HM1-E DT@E</v>
      </c>
      <c r="Y239" s="70" t="str">
        <f t="shared" si="88"/>
        <v>E DT-M1@E</v>
      </c>
      <c r="Z239" s="70" t="str">
        <f t="shared" si="89"/>
        <v/>
      </c>
      <c r="AA239" s="70" t="str">
        <f t="shared" si="90"/>
        <v/>
      </c>
      <c r="AC239" s="70" t="str">
        <f t="shared" si="75"/>
        <v>322, 319, 316, 311, 303, 305, 302</v>
      </c>
      <c r="AD239" s="70" t="str">
        <f t="shared" si="76"/>
        <v>302, 305, 307, 306, M1</v>
      </c>
      <c r="AE239" s="70" t="str">
        <f t="shared" si="77"/>
        <v/>
      </c>
      <c r="AF239" s="70" t="str">
        <f t="shared" si="78"/>
        <v/>
      </c>
      <c r="AH239" s="70" t="str">
        <f t="shared" si="79"/>
        <v>22, 04</v>
      </c>
      <c r="AI239" s="70" t="str">
        <f t="shared" si="80"/>
        <v>03</v>
      </c>
      <c r="AJ239" s="70" t="str">
        <f t="shared" si="81"/>
        <v/>
      </c>
      <c r="AK239" s="70" t="str">
        <f t="shared" si="82"/>
        <v/>
      </c>
      <c r="AM239" s="166" t="str">
        <f t="shared" si="83"/>
        <v>W AV-3W</v>
      </c>
      <c r="AN239" s="171" t="s">
        <v>803</v>
      </c>
      <c r="AO239" s="167" t="s">
        <v>867</v>
      </c>
      <c r="AP239" s="167">
        <v>55</v>
      </c>
      <c r="AT239" s="45" t="str">
        <f t="shared" si="91"/>
        <v/>
      </c>
    </row>
    <row r="240" spans="1:48" ht="20.100000000000001" customHeight="1" thickBot="1">
      <c r="A240" s="45" t="s">
        <v>873</v>
      </c>
      <c r="B240" s="45" t="s">
        <v>861</v>
      </c>
      <c r="C240" s="45" t="s">
        <v>874</v>
      </c>
      <c r="E240" s="45">
        <f t="shared" si="69"/>
        <v>6</v>
      </c>
      <c r="F240" s="45">
        <f t="shared" si="70"/>
        <v>3</v>
      </c>
      <c r="G240" s="45" t="str">
        <f t="shared" si="71"/>
        <v>M1</v>
      </c>
      <c r="H240" s="45" t="str">
        <f t="shared" si="72"/>
        <v>HM2</v>
      </c>
      <c r="J240" s="45" t="str">
        <f t="shared" si="73"/>
        <v>HM2</v>
      </c>
      <c r="K240" s="45" t="s">
        <v>130</v>
      </c>
      <c r="L240" s="45" t="str">
        <f t="shared" si="74"/>
        <v>M1-HM2@E</v>
      </c>
      <c r="M240" s="75" t="str">
        <f t="shared" si="67"/>
        <v>302, 305, 307, 306, M1, 324, 319, 316, 311, 303, 305, 302</v>
      </c>
      <c r="N240" s="75" t="str">
        <f t="shared" si="68"/>
        <v>06, 03, 10, 16</v>
      </c>
      <c r="R240" s="70" t="s">
        <v>863</v>
      </c>
      <c r="S240" s="70" t="s">
        <v>53</v>
      </c>
      <c r="T240" s="70" t="s">
        <v>182</v>
      </c>
      <c r="U240" s="70"/>
      <c r="V240" s="70"/>
      <c r="X240" s="70" t="str">
        <f t="shared" si="87"/>
        <v>M1-E DT@E</v>
      </c>
      <c r="Y240" s="70" t="str">
        <f t="shared" si="88"/>
        <v>E DT-HM2@E</v>
      </c>
      <c r="Z240" s="70" t="str">
        <f t="shared" si="89"/>
        <v/>
      </c>
      <c r="AA240" s="70" t="str">
        <f t="shared" si="90"/>
        <v/>
      </c>
      <c r="AC240" s="70" t="str">
        <f t="shared" si="75"/>
        <v>302, 305, 307, 306, M1</v>
      </c>
      <c r="AD240" s="70" t="str">
        <f t="shared" si="76"/>
        <v>324, 319, 316, 311, 303, 305, 302</v>
      </c>
      <c r="AE240" s="70" t="str">
        <f t="shared" si="77"/>
        <v/>
      </c>
      <c r="AF240" s="70" t="str">
        <f t="shared" si="78"/>
        <v/>
      </c>
      <c r="AH240" s="70" t="str">
        <f t="shared" si="79"/>
        <v>06</v>
      </c>
      <c r="AI240" s="70" t="str">
        <f t="shared" si="80"/>
        <v>03, 10, 16</v>
      </c>
      <c r="AJ240" s="70" t="str">
        <f t="shared" si="81"/>
        <v/>
      </c>
      <c r="AK240" s="70" t="str">
        <f t="shared" si="82"/>
        <v/>
      </c>
      <c r="AM240" s="166" t="str">
        <f t="shared" si="83"/>
        <v>W AV-4E</v>
      </c>
      <c r="AN240" s="171" t="s">
        <v>807</v>
      </c>
      <c r="AO240" s="167" t="s">
        <v>875</v>
      </c>
      <c r="AP240" s="167">
        <v>55</v>
      </c>
      <c r="AT240" s="45" t="str">
        <f t="shared" si="91"/>
        <v/>
      </c>
    </row>
    <row r="241" spans="1:46" ht="20.100000000000001" customHeight="1" thickBot="1">
      <c r="A241" s="45" t="s">
        <v>876</v>
      </c>
      <c r="B241" s="45" t="s">
        <v>187</v>
      </c>
      <c r="C241" s="45" t="s">
        <v>877</v>
      </c>
      <c r="E241" s="45">
        <f t="shared" si="69"/>
        <v>6</v>
      </c>
      <c r="F241" s="45">
        <f t="shared" si="70"/>
        <v>4</v>
      </c>
      <c r="G241" s="45" t="str">
        <f t="shared" si="71"/>
        <v>HM2</v>
      </c>
      <c r="H241" s="45" t="str">
        <f t="shared" si="72"/>
        <v>M1</v>
      </c>
      <c r="J241" s="45" t="str">
        <f t="shared" si="73"/>
        <v>M1</v>
      </c>
      <c r="K241" s="45" t="s">
        <v>130</v>
      </c>
      <c r="L241" s="45" t="str">
        <f t="shared" si="74"/>
        <v>HM2-M1@E</v>
      </c>
      <c r="M241" s="75" t="str">
        <f t="shared" si="67"/>
        <v>324, 319, 316, 311, 303, 305, 302, 302, 305, 307, 306, M1</v>
      </c>
      <c r="N241" s="75" t="str">
        <f t="shared" si="68"/>
        <v>23, 04, 03</v>
      </c>
      <c r="R241" s="70" t="s">
        <v>182</v>
      </c>
      <c r="S241" s="70" t="s">
        <v>53</v>
      </c>
      <c r="T241" s="70" t="s">
        <v>863</v>
      </c>
      <c r="U241" s="70"/>
      <c r="V241" s="70"/>
      <c r="X241" s="70" t="str">
        <f t="shared" si="87"/>
        <v>HM2-E DT@E</v>
      </c>
      <c r="Y241" s="70" t="str">
        <f t="shared" si="88"/>
        <v>E DT-M1@E</v>
      </c>
      <c r="Z241" s="70" t="str">
        <f t="shared" si="89"/>
        <v/>
      </c>
      <c r="AA241" s="70" t="str">
        <f t="shared" si="90"/>
        <v/>
      </c>
      <c r="AC241" s="70" t="str">
        <f t="shared" si="75"/>
        <v>324, 319, 316, 311, 303, 305, 302</v>
      </c>
      <c r="AD241" s="70" t="str">
        <f t="shared" si="76"/>
        <v>302, 305, 307, 306, M1</v>
      </c>
      <c r="AE241" s="70" t="str">
        <f t="shared" si="77"/>
        <v/>
      </c>
      <c r="AF241" s="70" t="str">
        <f t="shared" si="78"/>
        <v/>
      </c>
      <c r="AH241" s="70" t="str">
        <f t="shared" si="79"/>
        <v>23, 04</v>
      </c>
      <c r="AI241" s="70" t="str">
        <f t="shared" si="80"/>
        <v>03</v>
      </c>
      <c r="AJ241" s="70" t="str">
        <f t="shared" si="81"/>
        <v/>
      </c>
      <c r="AK241" s="70" t="str">
        <f t="shared" si="82"/>
        <v/>
      </c>
      <c r="AM241" s="166" t="str">
        <f t="shared" si="83"/>
        <v>W AV-4W</v>
      </c>
      <c r="AN241" s="171" t="s">
        <v>811</v>
      </c>
      <c r="AO241" s="167" t="s">
        <v>875</v>
      </c>
      <c r="AP241" s="167">
        <v>55</v>
      </c>
      <c r="AT241" s="45" t="str">
        <f t="shared" si="91"/>
        <v/>
      </c>
    </row>
    <row r="242" spans="1:46" ht="20.100000000000001" customHeight="1" thickBot="1">
      <c r="A242" s="45" t="s">
        <v>878</v>
      </c>
      <c r="B242" s="45" t="s">
        <v>861</v>
      </c>
      <c r="C242" s="45" t="s">
        <v>874</v>
      </c>
      <c r="E242" s="45">
        <f t="shared" si="69"/>
        <v>6</v>
      </c>
      <c r="F242" s="45">
        <f t="shared" si="70"/>
        <v>3</v>
      </c>
      <c r="G242" s="45" t="str">
        <f t="shared" si="71"/>
        <v>M1</v>
      </c>
      <c r="H242" s="45" t="str">
        <f t="shared" si="72"/>
        <v>HM3</v>
      </c>
      <c r="J242" s="45" t="str">
        <f t="shared" si="73"/>
        <v>HM3</v>
      </c>
      <c r="K242" s="45" t="s">
        <v>130</v>
      </c>
      <c r="L242" s="45" t="str">
        <f t="shared" si="74"/>
        <v>M1-HM3@E</v>
      </c>
      <c r="M242" s="75" t="str">
        <f t="shared" si="67"/>
        <v>302, 305, 307, 306, M1, 324, 319, 316, 311, 303, 305, 302</v>
      </c>
      <c r="N242" s="75" t="str">
        <f t="shared" si="68"/>
        <v>06, 03, 10, 16</v>
      </c>
      <c r="R242" s="70" t="s">
        <v>863</v>
      </c>
      <c r="S242" s="70" t="s">
        <v>53</v>
      </c>
      <c r="T242" s="70" t="s">
        <v>191</v>
      </c>
      <c r="U242" s="70"/>
      <c r="V242" s="70"/>
      <c r="X242" s="70" t="str">
        <f t="shared" si="87"/>
        <v>M1-E DT@E</v>
      </c>
      <c r="Y242" s="70" t="str">
        <f t="shared" si="88"/>
        <v>E DT-HM3@E</v>
      </c>
      <c r="Z242" s="70" t="str">
        <f t="shared" si="89"/>
        <v/>
      </c>
      <c r="AA242" s="70" t="str">
        <f t="shared" si="90"/>
        <v/>
      </c>
      <c r="AC242" s="70" t="str">
        <f t="shared" si="75"/>
        <v>302, 305, 307, 306, M1</v>
      </c>
      <c r="AD242" s="70" t="str">
        <f t="shared" si="76"/>
        <v>324, 319, 316, 311, 303, 305, 302</v>
      </c>
      <c r="AE242" s="70" t="str">
        <f t="shared" si="77"/>
        <v/>
      </c>
      <c r="AF242" s="70" t="str">
        <f t="shared" si="78"/>
        <v/>
      </c>
      <c r="AH242" s="70" t="str">
        <f t="shared" si="79"/>
        <v>06</v>
      </c>
      <c r="AI242" s="70" t="str">
        <f t="shared" si="80"/>
        <v>03, 10, 16</v>
      </c>
      <c r="AJ242" s="70" t="str">
        <f t="shared" si="81"/>
        <v/>
      </c>
      <c r="AK242" s="70" t="str">
        <f t="shared" si="82"/>
        <v/>
      </c>
      <c r="AM242" s="166" t="str">
        <f t="shared" si="83"/>
        <v>W AV-5E</v>
      </c>
      <c r="AN242" s="171" t="s">
        <v>815</v>
      </c>
      <c r="AO242" s="167" t="s">
        <v>879</v>
      </c>
      <c r="AP242" s="167">
        <v>55</v>
      </c>
      <c r="AT242" s="45" t="str">
        <f t="shared" si="91"/>
        <v/>
      </c>
    </row>
    <row r="243" spans="1:46" ht="20.100000000000001" customHeight="1" thickBot="1">
      <c r="A243" s="45" t="s">
        <v>880</v>
      </c>
      <c r="B243" s="45" t="s">
        <v>196</v>
      </c>
      <c r="C243" s="45" t="s">
        <v>877</v>
      </c>
      <c r="E243" s="45">
        <f t="shared" si="69"/>
        <v>6</v>
      </c>
      <c r="F243" s="45">
        <f t="shared" si="70"/>
        <v>4</v>
      </c>
      <c r="G243" s="45" t="str">
        <f t="shared" si="71"/>
        <v>HM3</v>
      </c>
      <c r="H243" s="45" t="str">
        <f t="shared" si="72"/>
        <v>M1</v>
      </c>
      <c r="J243" s="45" t="str">
        <f t="shared" si="73"/>
        <v>M1</v>
      </c>
      <c r="K243" s="45" t="s">
        <v>130</v>
      </c>
      <c r="L243" s="45" t="str">
        <f t="shared" si="74"/>
        <v>HM3-M1@E</v>
      </c>
      <c r="M243" s="75" t="str">
        <f t="shared" si="67"/>
        <v>324, 319, 316, 311, 303, 305, 302, 302, 305, 307, 306, M1</v>
      </c>
      <c r="N243" s="75" t="str">
        <f t="shared" si="68"/>
        <v>24,04, 03</v>
      </c>
      <c r="R243" s="70" t="s">
        <v>191</v>
      </c>
      <c r="S243" s="70" t="s">
        <v>53</v>
      </c>
      <c r="T243" s="70" t="s">
        <v>863</v>
      </c>
      <c r="U243" s="70"/>
      <c r="V243" s="70"/>
      <c r="X243" s="70" t="str">
        <f t="shared" si="87"/>
        <v>HM3-E DT@E</v>
      </c>
      <c r="Y243" s="70" t="str">
        <f t="shared" si="88"/>
        <v>E DT-M1@E</v>
      </c>
      <c r="Z243" s="70" t="str">
        <f t="shared" si="89"/>
        <v/>
      </c>
      <c r="AA243" s="70" t="str">
        <f t="shared" si="90"/>
        <v/>
      </c>
      <c r="AC243" s="70" t="str">
        <f t="shared" si="75"/>
        <v>324, 319, 316, 311, 303, 305, 302</v>
      </c>
      <c r="AD243" s="70" t="str">
        <f t="shared" si="76"/>
        <v>302, 305, 307, 306, M1</v>
      </c>
      <c r="AE243" s="70" t="str">
        <f t="shared" si="77"/>
        <v/>
      </c>
      <c r="AF243" s="70" t="str">
        <f t="shared" si="78"/>
        <v/>
      </c>
      <c r="AH243" s="70" t="str">
        <f t="shared" si="79"/>
        <v>24,04</v>
      </c>
      <c r="AI243" s="70" t="str">
        <f t="shared" si="80"/>
        <v>03</v>
      </c>
      <c r="AJ243" s="70" t="str">
        <f t="shared" si="81"/>
        <v/>
      </c>
      <c r="AK243" s="70" t="str">
        <f t="shared" si="82"/>
        <v/>
      </c>
      <c r="AM243" s="166" t="str">
        <f t="shared" si="83"/>
        <v>W AV-5W</v>
      </c>
      <c r="AN243" s="171" t="s">
        <v>819</v>
      </c>
      <c r="AO243" s="167" t="s">
        <v>879</v>
      </c>
      <c r="AP243" s="167">
        <v>55</v>
      </c>
      <c r="AT243" s="45" t="str">
        <f t="shared" si="91"/>
        <v/>
      </c>
    </row>
    <row r="244" spans="1:46" ht="20.100000000000001" customHeight="1" thickBot="1">
      <c r="A244" s="45" t="s">
        <v>881</v>
      </c>
      <c r="B244" s="45" t="s">
        <v>861</v>
      </c>
      <c r="C244" s="45" t="s">
        <v>882</v>
      </c>
      <c r="E244" s="45">
        <f t="shared" si="69"/>
        <v>7</v>
      </c>
      <c r="F244" s="45">
        <f t="shared" si="70"/>
        <v>3</v>
      </c>
      <c r="G244" s="45" t="str">
        <f t="shared" si="71"/>
        <v>M1</v>
      </c>
      <c r="H244" s="45" t="str">
        <f t="shared" si="72"/>
        <v>RM1E</v>
      </c>
      <c r="J244" s="45" t="str">
        <f t="shared" si="73"/>
        <v>RM1E</v>
      </c>
      <c r="K244" s="45" t="s">
        <v>130</v>
      </c>
      <c r="L244" s="45" t="str">
        <f t="shared" si="74"/>
        <v>M1-RM1E@E</v>
      </c>
      <c r="M244" s="75" t="str">
        <f t="shared" si="67"/>
        <v>302, 305, 307, 306, M1, 302, 305, 303, 311, 316, 319, 324</v>
      </c>
      <c r="N244" s="75" t="str">
        <f t="shared" si="68"/>
        <v>06, 03, 10, 16</v>
      </c>
      <c r="R244" s="70" t="s">
        <v>863</v>
      </c>
      <c r="S244" s="70" t="s">
        <v>53</v>
      </c>
      <c r="T244" s="70" t="s">
        <v>200</v>
      </c>
      <c r="U244" s="70"/>
      <c r="V244" s="70"/>
      <c r="X244" s="70" t="str">
        <f t="shared" si="87"/>
        <v>M1-E DT@E</v>
      </c>
      <c r="Y244" s="70" t="str">
        <f t="shared" si="88"/>
        <v>E DT-RM1E@E</v>
      </c>
      <c r="Z244" s="70" t="str">
        <f t="shared" si="89"/>
        <v/>
      </c>
      <c r="AA244" s="70" t="str">
        <f t="shared" si="90"/>
        <v/>
      </c>
      <c r="AC244" s="70" t="str">
        <f t="shared" si="75"/>
        <v>302, 305, 307, 306, M1</v>
      </c>
      <c r="AD244" s="70" t="str">
        <f t="shared" si="76"/>
        <v>302, 305, 303, 311, 316, 319, 324</v>
      </c>
      <c r="AE244" s="70" t="str">
        <f t="shared" si="77"/>
        <v/>
      </c>
      <c r="AF244" s="70" t="str">
        <f t="shared" si="78"/>
        <v/>
      </c>
      <c r="AH244" s="70" t="str">
        <f t="shared" si="79"/>
        <v>06</v>
      </c>
      <c r="AI244" s="70" t="str">
        <f t="shared" si="80"/>
        <v>03, 10, 16</v>
      </c>
      <c r="AJ244" s="70" t="str">
        <f t="shared" si="81"/>
        <v/>
      </c>
      <c r="AK244" s="70" t="str">
        <f t="shared" si="82"/>
        <v/>
      </c>
      <c r="AM244" s="166" t="str">
        <f t="shared" si="83"/>
        <v>W AV-6E</v>
      </c>
      <c r="AN244" s="171" t="s">
        <v>823</v>
      </c>
      <c r="AO244" s="167" t="s">
        <v>879</v>
      </c>
      <c r="AP244" s="167">
        <v>55</v>
      </c>
      <c r="AT244" s="45" t="str">
        <f t="shared" si="91"/>
        <v/>
      </c>
    </row>
    <row r="245" spans="1:46" ht="20.100000000000001" customHeight="1" thickBot="1">
      <c r="A245" s="45" t="s">
        <v>883</v>
      </c>
      <c r="B245" s="45" t="s">
        <v>204</v>
      </c>
      <c r="C245" s="45" t="s">
        <v>884</v>
      </c>
      <c r="E245" s="45">
        <f t="shared" si="69"/>
        <v>7</v>
      </c>
      <c r="F245" s="45">
        <f t="shared" si="70"/>
        <v>5</v>
      </c>
      <c r="G245" s="45" t="str">
        <f t="shared" si="71"/>
        <v>RM1E</v>
      </c>
      <c r="H245" s="45" t="str">
        <f t="shared" si="72"/>
        <v>M1</v>
      </c>
      <c r="J245" s="45" t="str">
        <f t="shared" si="73"/>
        <v>M1</v>
      </c>
      <c r="K245" s="45" t="s">
        <v>130</v>
      </c>
      <c r="L245" s="45" t="str">
        <f t="shared" si="74"/>
        <v>RM1E-M1@E</v>
      </c>
      <c r="M245" s="75" t="str">
        <f t="shared" si="67"/>
        <v>302, 305, 303, 311, 316, 319, 324, 302, 305, 307, 306, M1</v>
      </c>
      <c r="N245" s="75" t="str">
        <f t="shared" si="68"/>
        <v>25, 04, 03</v>
      </c>
      <c r="R245" s="70" t="s">
        <v>200</v>
      </c>
      <c r="S245" s="70" t="s">
        <v>53</v>
      </c>
      <c r="T245" s="70" t="s">
        <v>863</v>
      </c>
      <c r="U245" s="70"/>
      <c r="V245" s="70"/>
      <c r="X245" s="70" t="str">
        <f t="shared" si="87"/>
        <v>RM1E-E DT@E</v>
      </c>
      <c r="Y245" s="70" t="str">
        <f t="shared" si="88"/>
        <v>E DT-M1@E</v>
      </c>
      <c r="Z245" s="70" t="str">
        <f t="shared" si="89"/>
        <v/>
      </c>
      <c r="AA245" s="70" t="str">
        <f t="shared" si="90"/>
        <v/>
      </c>
      <c r="AC245" s="70" t="str">
        <f t="shared" si="75"/>
        <v>302, 305, 303, 311, 316, 319, 324</v>
      </c>
      <c r="AD245" s="70" t="str">
        <f t="shared" si="76"/>
        <v>302, 305, 307, 306, M1</v>
      </c>
      <c r="AE245" s="70" t="str">
        <f t="shared" si="77"/>
        <v/>
      </c>
      <c r="AF245" s="70" t="str">
        <f t="shared" si="78"/>
        <v/>
      </c>
      <c r="AH245" s="70" t="str">
        <f t="shared" si="79"/>
        <v>25, 04</v>
      </c>
      <c r="AI245" s="70" t="str">
        <f t="shared" si="80"/>
        <v>03</v>
      </c>
      <c r="AJ245" s="70" t="str">
        <f t="shared" si="81"/>
        <v/>
      </c>
      <c r="AK245" s="70" t="str">
        <f t="shared" si="82"/>
        <v/>
      </c>
      <c r="AM245" s="166" t="str">
        <f t="shared" si="83"/>
        <v>W AV-6W</v>
      </c>
      <c r="AN245" s="171" t="s">
        <v>827</v>
      </c>
      <c r="AO245" s="167" t="s">
        <v>879</v>
      </c>
      <c r="AP245" s="167">
        <v>55</v>
      </c>
      <c r="AT245" s="45" t="str">
        <f t="shared" si="91"/>
        <v/>
      </c>
    </row>
    <row r="246" spans="1:46" ht="20.100000000000001" customHeight="1" thickBot="1">
      <c r="A246" s="45" t="s">
        <v>885</v>
      </c>
      <c r="B246" s="45" t="s">
        <v>861</v>
      </c>
      <c r="C246" s="45" t="s">
        <v>882</v>
      </c>
      <c r="E246" s="45">
        <f t="shared" si="69"/>
        <v>7</v>
      </c>
      <c r="F246" s="45">
        <f t="shared" si="70"/>
        <v>3</v>
      </c>
      <c r="G246" s="45" t="str">
        <f t="shared" si="71"/>
        <v>M1</v>
      </c>
      <c r="H246" s="45" t="str">
        <f t="shared" si="72"/>
        <v>RM1W</v>
      </c>
      <c r="J246" s="45" t="str">
        <f t="shared" si="73"/>
        <v>RM1W</v>
      </c>
      <c r="K246" s="45" t="s">
        <v>130</v>
      </c>
      <c r="L246" s="45" t="str">
        <f t="shared" si="74"/>
        <v>M1-RM1W@E</v>
      </c>
      <c r="M246" s="75" t="str">
        <f t="shared" si="67"/>
        <v>302, 305, 307, 306, M1, 302, 305, 303, 311, 316, 319, 324</v>
      </c>
      <c r="N246" s="75" t="str">
        <f t="shared" si="68"/>
        <v>06, 03, 10, 16</v>
      </c>
      <c r="R246" s="70" t="s">
        <v>863</v>
      </c>
      <c r="S246" s="70" t="s">
        <v>53</v>
      </c>
      <c r="T246" s="70" t="s">
        <v>208</v>
      </c>
      <c r="U246" s="70"/>
      <c r="V246" s="70"/>
      <c r="X246" s="70" t="str">
        <f t="shared" si="87"/>
        <v>M1-E DT@E</v>
      </c>
      <c r="Y246" s="70" t="str">
        <f t="shared" si="88"/>
        <v>E DT-RM1W@E</v>
      </c>
      <c r="Z246" s="70" t="str">
        <f t="shared" si="89"/>
        <v/>
      </c>
      <c r="AA246" s="70" t="str">
        <f t="shared" si="90"/>
        <v/>
      </c>
      <c r="AC246" s="70" t="str">
        <f t="shared" si="75"/>
        <v>302, 305, 307, 306, M1</v>
      </c>
      <c r="AD246" s="70" t="str">
        <f t="shared" si="76"/>
        <v>302, 305, 303, 311, 316, 319, 324</v>
      </c>
      <c r="AE246" s="70" t="str">
        <f t="shared" si="77"/>
        <v/>
      </c>
      <c r="AF246" s="70" t="str">
        <f t="shared" si="78"/>
        <v/>
      </c>
      <c r="AH246" s="70" t="str">
        <f t="shared" si="79"/>
        <v>06</v>
      </c>
      <c r="AI246" s="70" t="str">
        <f t="shared" si="80"/>
        <v>03, 10, 16</v>
      </c>
      <c r="AJ246" s="70" t="str">
        <f t="shared" si="81"/>
        <v/>
      </c>
      <c r="AK246" s="70" t="str">
        <f t="shared" si="82"/>
        <v/>
      </c>
      <c r="AM246" s="166" t="str">
        <f t="shared" si="83"/>
        <v>W AV-7E</v>
      </c>
      <c r="AN246" s="171" t="s">
        <v>832</v>
      </c>
      <c r="AO246" s="167" t="s">
        <v>886</v>
      </c>
      <c r="AP246" s="167">
        <v>55</v>
      </c>
      <c r="AT246" s="45" t="str">
        <f t="shared" si="91"/>
        <v/>
      </c>
    </row>
    <row r="247" spans="1:46" ht="20.100000000000001" customHeight="1" thickBot="1">
      <c r="A247" s="45" t="s">
        <v>887</v>
      </c>
      <c r="B247" s="45" t="s">
        <v>204</v>
      </c>
      <c r="C247" s="45" t="s">
        <v>884</v>
      </c>
      <c r="E247" s="45">
        <f t="shared" si="69"/>
        <v>7</v>
      </c>
      <c r="F247" s="45">
        <f t="shared" si="70"/>
        <v>5</v>
      </c>
      <c r="G247" s="45" t="str">
        <f t="shared" si="71"/>
        <v>RM1W</v>
      </c>
      <c r="H247" s="45" t="str">
        <f t="shared" si="72"/>
        <v>M1</v>
      </c>
      <c r="J247" s="45" t="str">
        <f t="shared" si="73"/>
        <v>M1</v>
      </c>
      <c r="K247" s="45" t="s">
        <v>130</v>
      </c>
      <c r="L247" s="45" t="str">
        <f t="shared" si="74"/>
        <v>RM1W-M1@E</v>
      </c>
      <c r="M247" s="75" t="str">
        <f t="shared" si="67"/>
        <v>302, 305, 303, 311, 316, 319, 324, 302, 305, 307, 306, M1</v>
      </c>
      <c r="N247" s="75" t="str">
        <f t="shared" si="68"/>
        <v>25, 04, 03</v>
      </c>
      <c r="R247" s="70" t="s">
        <v>208</v>
      </c>
      <c r="S247" s="70" t="s">
        <v>53</v>
      </c>
      <c r="T247" s="70" t="s">
        <v>863</v>
      </c>
      <c r="U247" s="70"/>
      <c r="V247" s="70"/>
      <c r="X247" s="70" t="str">
        <f t="shared" si="87"/>
        <v>RM1W-E DT@E</v>
      </c>
      <c r="Y247" s="70" t="str">
        <f t="shared" si="88"/>
        <v>E DT-M1@E</v>
      </c>
      <c r="Z247" s="70" t="str">
        <f t="shared" si="89"/>
        <v/>
      </c>
      <c r="AA247" s="70" t="str">
        <f t="shared" si="90"/>
        <v/>
      </c>
      <c r="AC247" s="70" t="str">
        <f t="shared" si="75"/>
        <v>302, 305, 303, 311, 316, 319, 324</v>
      </c>
      <c r="AD247" s="70" t="str">
        <f t="shared" si="76"/>
        <v>302, 305, 307, 306, M1</v>
      </c>
      <c r="AE247" s="70" t="str">
        <f t="shared" si="77"/>
        <v/>
      </c>
      <c r="AF247" s="70" t="str">
        <f t="shared" si="78"/>
        <v/>
      </c>
      <c r="AH247" s="70" t="str">
        <f t="shared" si="79"/>
        <v>25, 04</v>
      </c>
      <c r="AI247" s="70" t="str">
        <f t="shared" si="80"/>
        <v>03</v>
      </c>
      <c r="AJ247" s="70" t="str">
        <f t="shared" si="81"/>
        <v/>
      </c>
      <c r="AK247" s="70" t="str">
        <f t="shared" si="82"/>
        <v/>
      </c>
      <c r="AM247" s="166" t="str">
        <f t="shared" si="83"/>
        <v>W AV-7W</v>
      </c>
      <c r="AN247" s="171" t="s">
        <v>837</v>
      </c>
      <c r="AO247" s="167" t="s">
        <v>886</v>
      </c>
      <c r="AP247" s="167">
        <v>55</v>
      </c>
      <c r="AT247" s="45" t="str">
        <f t="shared" si="91"/>
        <v/>
      </c>
    </row>
    <row r="248" spans="1:46" ht="20.100000000000001" customHeight="1" thickBot="1">
      <c r="A248" s="45" t="s">
        <v>888</v>
      </c>
      <c r="B248" s="45" t="s">
        <v>861</v>
      </c>
      <c r="C248" s="45" t="s">
        <v>889</v>
      </c>
      <c r="E248" s="45">
        <f t="shared" si="69"/>
        <v>7</v>
      </c>
      <c r="F248" s="45">
        <f t="shared" si="70"/>
        <v>3</v>
      </c>
      <c r="G248" s="45" t="str">
        <f t="shared" si="71"/>
        <v>M1</v>
      </c>
      <c r="H248" s="45" t="str">
        <f t="shared" si="72"/>
        <v>RM2E</v>
      </c>
      <c r="J248" s="45" t="str">
        <f t="shared" si="73"/>
        <v>RM2E</v>
      </c>
      <c r="K248" s="45" t="s">
        <v>130</v>
      </c>
      <c r="L248" s="45" t="str">
        <f t="shared" si="74"/>
        <v>M1-RM2E@E</v>
      </c>
      <c r="M248" s="75" t="str">
        <f t="shared" si="67"/>
        <v>302, 305, 307, 306, M1, 327, 326, 325, 318, 317, 316, 311, 303, 305, 302</v>
      </c>
      <c r="N248" s="75" t="str">
        <f t="shared" si="68"/>
        <v>06, 03, 10, 16</v>
      </c>
      <c r="R248" s="70" t="s">
        <v>863</v>
      </c>
      <c r="S248" s="70" t="s">
        <v>53</v>
      </c>
      <c r="T248" s="70" t="s">
        <v>216</v>
      </c>
      <c r="U248" s="70"/>
      <c r="V248" s="70"/>
      <c r="X248" s="70" t="str">
        <f t="shared" si="87"/>
        <v>M1-E DT@E</v>
      </c>
      <c r="Y248" s="70" t="str">
        <f t="shared" si="88"/>
        <v>E DT-RM2E@E</v>
      </c>
      <c r="Z248" s="70" t="str">
        <f t="shared" si="89"/>
        <v/>
      </c>
      <c r="AA248" s="70" t="str">
        <f t="shared" si="90"/>
        <v/>
      </c>
      <c r="AC248" s="70" t="str">
        <f t="shared" si="75"/>
        <v>302, 305, 307, 306, M1</v>
      </c>
      <c r="AD248" s="70" t="str">
        <f t="shared" si="76"/>
        <v>327, 326, 325, 318, 317, 316, 311, 303, 305, 302</v>
      </c>
      <c r="AE248" s="70" t="str">
        <f t="shared" si="77"/>
        <v/>
      </c>
      <c r="AF248" s="70" t="str">
        <f t="shared" si="78"/>
        <v/>
      </c>
      <c r="AH248" s="70" t="str">
        <f t="shared" si="79"/>
        <v>06</v>
      </c>
      <c r="AI248" s="70" t="str">
        <f t="shared" si="80"/>
        <v>03, 10, 16</v>
      </c>
      <c r="AJ248" s="70" t="str">
        <f t="shared" si="81"/>
        <v/>
      </c>
      <c r="AK248" s="70" t="str">
        <f t="shared" si="82"/>
        <v/>
      </c>
      <c r="AM248" s="166" t="str">
        <f t="shared" si="83"/>
        <v>W AV-8E</v>
      </c>
      <c r="AN248" s="171" t="s">
        <v>841</v>
      </c>
      <c r="AO248" s="167" t="s">
        <v>886</v>
      </c>
      <c r="AP248" s="167">
        <v>55</v>
      </c>
      <c r="AT248" s="45" t="str">
        <f t="shared" si="91"/>
        <v/>
      </c>
    </row>
    <row r="249" spans="1:46" ht="20.100000000000001" customHeight="1" thickBot="1">
      <c r="A249" s="45" t="s">
        <v>890</v>
      </c>
      <c r="B249" s="45" t="s">
        <v>220</v>
      </c>
      <c r="C249" s="45" t="s">
        <v>891</v>
      </c>
      <c r="E249" s="45">
        <f t="shared" si="69"/>
        <v>7</v>
      </c>
      <c r="F249" s="45">
        <f t="shared" si="70"/>
        <v>5</v>
      </c>
      <c r="G249" s="45" t="str">
        <f t="shared" si="71"/>
        <v>RM2E</v>
      </c>
      <c r="H249" s="45" t="str">
        <f t="shared" si="72"/>
        <v>M1</v>
      </c>
      <c r="J249" s="45" t="str">
        <f t="shared" si="73"/>
        <v>M1</v>
      </c>
      <c r="K249" s="45" t="s">
        <v>130</v>
      </c>
      <c r="L249" s="45" t="str">
        <f t="shared" si="74"/>
        <v>RM2E-M1@E</v>
      </c>
      <c r="M249" s="75" t="str">
        <f t="shared" si="67"/>
        <v>327, 326, 325, 318, 317, 316, 311, 303, 305, 302, 302, 305, 307, 306, M1</v>
      </c>
      <c r="N249" s="75" t="str">
        <f t="shared" si="68"/>
        <v>26, 04, 03</v>
      </c>
      <c r="R249" s="70" t="s">
        <v>216</v>
      </c>
      <c r="S249" s="70" t="s">
        <v>53</v>
      </c>
      <c r="T249" s="70" t="s">
        <v>863</v>
      </c>
      <c r="U249" s="70"/>
      <c r="V249" s="70"/>
      <c r="X249" s="70" t="str">
        <f t="shared" si="87"/>
        <v>RM2E-E DT@E</v>
      </c>
      <c r="Y249" s="70" t="str">
        <f t="shared" si="88"/>
        <v>E DT-M1@E</v>
      </c>
      <c r="Z249" s="70" t="str">
        <f t="shared" si="89"/>
        <v/>
      </c>
      <c r="AA249" s="70" t="str">
        <f t="shared" si="90"/>
        <v/>
      </c>
      <c r="AC249" s="70" t="str">
        <f t="shared" si="75"/>
        <v>327, 326, 325, 318, 317, 316, 311, 303, 305, 302</v>
      </c>
      <c r="AD249" s="70" t="str">
        <f t="shared" si="76"/>
        <v>302, 305, 307, 306, M1</v>
      </c>
      <c r="AE249" s="70" t="str">
        <f t="shared" si="77"/>
        <v/>
      </c>
      <c r="AF249" s="70" t="str">
        <f t="shared" si="78"/>
        <v/>
      </c>
      <c r="AH249" s="70" t="str">
        <f t="shared" si="79"/>
        <v>26, 04</v>
      </c>
      <c r="AI249" s="70" t="str">
        <f t="shared" si="80"/>
        <v>03</v>
      </c>
      <c r="AJ249" s="70" t="str">
        <f t="shared" si="81"/>
        <v/>
      </c>
      <c r="AK249" s="70" t="str">
        <f t="shared" si="82"/>
        <v/>
      </c>
      <c r="AM249" s="166" t="str">
        <f t="shared" si="83"/>
        <v>W AV-8W</v>
      </c>
      <c r="AN249" s="171" t="s">
        <v>845</v>
      </c>
      <c r="AO249" s="167" t="s">
        <v>886</v>
      </c>
      <c r="AP249" s="167">
        <v>55</v>
      </c>
      <c r="AT249" s="45" t="str">
        <f t="shared" si="91"/>
        <v/>
      </c>
    </row>
    <row r="250" spans="1:46" ht="20.100000000000001" customHeight="1" thickBot="1">
      <c r="A250" s="45" t="s">
        <v>892</v>
      </c>
      <c r="B250" s="45" t="s">
        <v>861</v>
      </c>
      <c r="C250" s="45" t="s">
        <v>889</v>
      </c>
      <c r="E250" s="45">
        <f t="shared" si="69"/>
        <v>7</v>
      </c>
      <c r="F250" s="45">
        <f t="shared" si="70"/>
        <v>3</v>
      </c>
      <c r="G250" s="45" t="str">
        <f t="shared" si="71"/>
        <v>M1</v>
      </c>
      <c r="H250" s="45" t="str">
        <f t="shared" si="72"/>
        <v>RM2W</v>
      </c>
      <c r="J250" s="45" t="str">
        <f t="shared" si="73"/>
        <v>RM2W</v>
      </c>
      <c r="K250" s="45" t="s">
        <v>130</v>
      </c>
      <c r="L250" s="45" t="str">
        <f t="shared" si="74"/>
        <v>M1-RM2W@E</v>
      </c>
      <c r="M250" s="75" t="str">
        <f t="shared" si="67"/>
        <v>302, 305, 307, 306, M1, 327, 326, 325, 318, 317, 316, 311, 303, 305, 302</v>
      </c>
      <c r="N250" s="75" t="str">
        <f t="shared" si="68"/>
        <v>06, 03, 10, 16</v>
      </c>
      <c r="R250" s="70" t="s">
        <v>863</v>
      </c>
      <c r="S250" s="70" t="s">
        <v>53</v>
      </c>
      <c r="T250" s="70" t="s">
        <v>224</v>
      </c>
      <c r="U250" s="70"/>
      <c r="V250" s="70"/>
      <c r="X250" s="70" t="str">
        <f t="shared" si="87"/>
        <v>M1-E DT@E</v>
      </c>
      <c r="Y250" s="70" t="str">
        <f t="shared" si="88"/>
        <v>E DT-RM2W@E</v>
      </c>
      <c r="Z250" s="70" t="str">
        <f t="shared" si="89"/>
        <v/>
      </c>
      <c r="AA250" s="70" t="str">
        <f t="shared" si="90"/>
        <v/>
      </c>
      <c r="AC250" s="70" t="str">
        <f t="shared" si="75"/>
        <v>302, 305, 307, 306, M1</v>
      </c>
      <c r="AD250" s="70" t="str">
        <f t="shared" si="76"/>
        <v>327, 326, 325, 318, 317, 316, 311, 303, 305, 302</v>
      </c>
      <c r="AE250" s="70" t="str">
        <f t="shared" si="77"/>
        <v/>
      </c>
      <c r="AF250" s="70" t="str">
        <f t="shared" si="78"/>
        <v/>
      </c>
      <c r="AH250" s="70" t="str">
        <f t="shared" si="79"/>
        <v>06</v>
      </c>
      <c r="AI250" s="70" t="str">
        <f t="shared" si="80"/>
        <v>03, 10, 16</v>
      </c>
      <c r="AJ250" s="70" t="str">
        <f t="shared" si="81"/>
        <v/>
      </c>
      <c r="AK250" s="70" t="str">
        <f t="shared" si="82"/>
        <v/>
      </c>
      <c r="AM250" s="166" t="str">
        <f t="shared" si="83"/>
        <v>RM1E-W AV</v>
      </c>
      <c r="AN250" s="171" t="s">
        <v>893</v>
      </c>
      <c r="AO250" s="167" t="s">
        <v>849</v>
      </c>
      <c r="AP250" s="167" t="s">
        <v>185</v>
      </c>
    </row>
    <row r="251" spans="1:46" ht="20.100000000000001" customHeight="1" thickBot="1">
      <c r="A251" s="45" t="s">
        <v>894</v>
      </c>
      <c r="B251" s="45" t="s">
        <v>220</v>
      </c>
      <c r="C251" s="45" t="s">
        <v>891</v>
      </c>
      <c r="E251" s="45">
        <f t="shared" si="69"/>
        <v>7</v>
      </c>
      <c r="F251" s="45">
        <f t="shared" si="70"/>
        <v>5</v>
      </c>
      <c r="G251" s="45" t="str">
        <f t="shared" si="71"/>
        <v>RM2W</v>
      </c>
      <c r="H251" s="45" t="str">
        <f t="shared" si="72"/>
        <v>M1</v>
      </c>
      <c r="J251" s="45" t="str">
        <f t="shared" si="73"/>
        <v>M1</v>
      </c>
      <c r="K251" s="45" t="s">
        <v>130</v>
      </c>
      <c r="L251" s="45" t="str">
        <f t="shared" si="74"/>
        <v>RM2W-M1@E</v>
      </c>
      <c r="M251" s="75" t="str">
        <f t="shared" si="67"/>
        <v>327, 326, 325, 318, 317, 316, 311, 303, 305, 302, 302, 305, 307, 306, M1</v>
      </c>
      <c r="N251" s="75" t="str">
        <f t="shared" si="68"/>
        <v>26, 04, 03</v>
      </c>
      <c r="R251" s="70" t="s">
        <v>224</v>
      </c>
      <c r="S251" s="70" t="s">
        <v>53</v>
      </c>
      <c r="T251" s="70" t="s">
        <v>863</v>
      </c>
      <c r="U251" s="70"/>
      <c r="V251" s="70"/>
      <c r="X251" s="70" t="str">
        <f t="shared" si="87"/>
        <v>RM2W-E DT@E</v>
      </c>
      <c r="Y251" s="70" t="str">
        <f t="shared" si="88"/>
        <v>E DT-M1@E</v>
      </c>
      <c r="Z251" s="70" t="str">
        <f t="shared" si="89"/>
        <v/>
      </c>
      <c r="AA251" s="70" t="str">
        <f t="shared" si="90"/>
        <v/>
      </c>
      <c r="AC251" s="70" t="str">
        <f t="shared" si="75"/>
        <v>327, 326, 325, 318, 317, 316, 311, 303, 305, 302</v>
      </c>
      <c r="AD251" s="70" t="str">
        <f t="shared" si="76"/>
        <v>302, 305, 307, 306, M1</v>
      </c>
      <c r="AE251" s="70" t="str">
        <f t="shared" si="77"/>
        <v/>
      </c>
      <c r="AF251" s="70" t="str">
        <f t="shared" si="78"/>
        <v/>
      </c>
      <c r="AH251" s="70" t="str">
        <f t="shared" si="79"/>
        <v>26, 04</v>
      </c>
      <c r="AI251" s="70" t="str">
        <f t="shared" si="80"/>
        <v>03</v>
      </c>
      <c r="AJ251" s="70" t="str">
        <f t="shared" si="81"/>
        <v/>
      </c>
      <c r="AK251" s="70" t="str">
        <f t="shared" si="82"/>
        <v/>
      </c>
      <c r="AM251" s="166" t="str">
        <f t="shared" si="83"/>
        <v>RM1W-W AV</v>
      </c>
      <c r="AN251" s="171" t="s">
        <v>895</v>
      </c>
      <c r="AO251" s="167" t="s">
        <v>849</v>
      </c>
      <c r="AP251" s="167" t="s">
        <v>185</v>
      </c>
    </row>
    <row r="252" spans="1:46" ht="20.100000000000001" customHeight="1" thickBot="1">
      <c r="A252" s="45" t="s">
        <v>896</v>
      </c>
      <c r="B252" s="45" t="s">
        <v>861</v>
      </c>
      <c r="C252" s="45" t="s">
        <v>889</v>
      </c>
      <c r="E252" s="45">
        <f t="shared" si="69"/>
        <v>7</v>
      </c>
      <c r="F252" s="45">
        <f t="shared" si="70"/>
        <v>3</v>
      </c>
      <c r="G252" s="45" t="str">
        <f t="shared" si="71"/>
        <v>M1</v>
      </c>
      <c r="H252" s="45" t="str">
        <f t="shared" si="72"/>
        <v>RM3E</v>
      </c>
      <c r="J252" s="45" t="str">
        <f t="shared" si="73"/>
        <v>RM3E</v>
      </c>
      <c r="K252" s="45" t="s">
        <v>130</v>
      </c>
      <c r="L252" s="45" t="str">
        <f t="shared" si="74"/>
        <v>M1-RM3E@E</v>
      </c>
      <c r="M252" s="75" t="str">
        <f t="shared" si="67"/>
        <v>302, 305, 307, 306, M1, 327, 326, 325, 318, 317, 316, 311, 303, 305, 302</v>
      </c>
      <c r="N252" s="75" t="str">
        <f t="shared" si="68"/>
        <v>06, 03, 10, 16</v>
      </c>
      <c r="R252" s="70" t="s">
        <v>863</v>
      </c>
      <c r="S252" s="70" t="s">
        <v>53</v>
      </c>
      <c r="T252" s="70" t="s">
        <v>231</v>
      </c>
      <c r="U252" s="70"/>
      <c r="V252" s="70"/>
      <c r="X252" s="70" t="str">
        <f t="shared" si="87"/>
        <v>M1-E DT@E</v>
      </c>
      <c r="Y252" s="70" t="str">
        <f t="shared" si="88"/>
        <v>E DT-RM3E@E</v>
      </c>
      <c r="Z252" s="70" t="str">
        <f t="shared" si="89"/>
        <v/>
      </c>
      <c r="AA252" s="70" t="str">
        <f t="shared" si="90"/>
        <v/>
      </c>
      <c r="AC252" s="70" t="str">
        <f t="shared" si="75"/>
        <v>302, 305, 307, 306, M1</v>
      </c>
      <c r="AD252" s="70" t="str">
        <f t="shared" si="76"/>
        <v>327, 326, 325, 318, 317, 316, 311, 303, 305, 302</v>
      </c>
      <c r="AE252" s="70" t="str">
        <f t="shared" si="77"/>
        <v/>
      </c>
      <c r="AF252" s="70" t="str">
        <f t="shared" si="78"/>
        <v/>
      </c>
      <c r="AH252" s="70" t="str">
        <f t="shared" si="79"/>
        <v>06</v>
      </c>
      <c r="AI252" s="70" t="str">
        <f t="shared" si="80"/>
        <v>03, 10, 16</v>
      </c>
      <c r="AJ252" s="70" t="str">
        <f t="shared" si="81"/>
        <v/>
      </c>
      <c r="AK252" s="70" t="str">
        <f t="shared" si="82"/>
        <v/>
      </c>
      <c r="AM252" s="166" t="str">
        <f t="shared" si="83"/>
        <v>RM2E-W AV</v>
      </c>
      <c r="AN252" s="171" t="s">
        <v>897</v>
      </c>
      <c r="AO252" s="167" t="s">
        <v>853</v>
      </c>
      <c r="AP252" s="167" t="s">
        <v>194</v>
      </c>
    </row>
    <row r="253" spans="1:46" ht="20.100000000000001" customHeight="1" thickBot="1">
      <c r="A253" s="45" t="s">
        <v>898</v>
      </c>
      <c r="B253" s="45" t="s">
        <v>235</v>
      </c>
      <c r="C253" s="45" t="s">
        <v>891</v>
      </c>
      <c r="E253" s="45">
        <f t="shared" si="69"/>
        <v>7</v>
      </c>
      <c r="F253" s="45">
        <f t="shared" si="70"/>
        <v>5</v>
      </c>
      <c r="G253" s="45" t="str">
        <f t="shared" si="71"/>
        <v>RM3E</v>
      </c>
      <c r="H253" s="45" t="str">
        <f t="shared" si="72"/>
        <v>M1</v>
      </c>
      <c r="J253" s="45" t="str">
        <f t="shared" si="73"/>
        <v>M1</v>
      </c>
      <c r="K253" s="45" t="s">
        <v>130</v>
      </c>
      <c r="L253" s="45" t="str">
        <f t="shared" si="74"/>
        <v>RM3E-M1@E</v>
      </c>
      <c r="M253" s="75" t="str">
        <f t="shared" si="67"/>
        <v>327, 326, 325, 318, 317, 316, 311, 303, 305, 302, 302, 305, 307, 306, M1</v>
      </c>
      <c r="N253" s="75" t="str">
        <f t="shared" si="68"/>
        <v>27, 04, 03</v>
      </c>
      <c r="R253" s="70" t="s">
        <v>231</v>
      </c>
      <c r="S253" s="70" t="s">
        <v>53</v>
      </c>
      <c r="T253" s="70" t="s">
        <v>863</v>
      </c>
      <c r="U253" s="70"/>
      <c r="V253" s="70"/>
      <c r="X253" s="70" t="str">
        <f t="shared" si="87"/>
        <v>RM3E-E DT@E</v>
      </c>
      <c r="Y253" s="70" t="str">
        <f t="shared" si="88"/>
        <v>E DT-M1@E</v>
      </c>
      <c r="Z253" s="70" t="str">
        <f t="shared" si="89"/>
        <v/>
      </c>
      <c r="AA253" s="70" t="str">
        <f t="shared" si="90"/>
        <v/>
      </c>
      <c r="AC253" s="70" t="str">
        <f t="shared" si="75"/>
        <v>327, 326, 325, 318, 317, 316, 311, 303, 305, 302</v>
      </c>
      <c r="AD253" s="70" t="str">
        <f t="shared" si="76"/>
        <v>302, 305, 307, 306, M1</v>
      </c>
      <c r="AE253" s="70" t="str">
        <f t="shared" si="77"/>
        <v/>
      </c>
      <c r="AF253" s="70" t="str">
        <f t="shared" si="78"/>
        <v/>
      </c>
      <c r="AH253" s="70" t="str">
        <f t="shared" si="79"/>
        <v>27, 04</v>
      </c>
      <c r="AI253" s="70" t="str">
        <f t="shared" si="80"/>
        <v>03</v>
      </c>
      <c r="AJ253" s="70" t="str">
        <f t="shared" si="81"/>
        <v/>
      </c>
      <c r="AK253" s="70" t="str">
        <f t="shared" si="82"/>
        <v/>
      </c>
      <c r="AM253" s="166" t="str">
        <f t="shared" si="83"/>
        <v>RM2W-W AV</v>
      </c>
      <c r="AN253" s="171" t="s">
        <v>899</v>
      </c>
      <c r="AO253" s="167" t="s">
        <v>853</v>
      </c>
      <c r="AP253" s="167" t="s">
        <v>194</v>
      </c>
    </row>
    <row r="254" spans="1:46" ht="20.100000000000001" customHeight="1" thickBot="1">
      <c r="A254" s="45" t="s">
        <v>900</v>
      </c>
      <c r="B254" s="45" t="s">
        <v>861</v>
      </c>
      <c r="C254" s="45" t="s">
        <v>889</v>
      </c>
      <c r="E254" s="45">
        <f t="shared" si="69"/>
        <v>7</v>
      </c>
      <c r="F254" s="45">
        <f t="shared" si="70"/>
        <v>3</v>
      </c>
      <c r="G254" s="45" t="str">
        <f t="shared" si="71"/>
        <v>M1</v>
      </c>
      <c r="H254" s="45" t="str">
        <f t="shared" si="72"/>
        <v>RM3W</v>
      </c>
      <c r="J254" s="45" t="str">
        <f t="shared" si="73"/>
        <v>RM3W</v>
      </c>
      <c r="K254" s="45" t="s">
        <v>130</v>
      </c>
      <c r="L254" s="45" t="str">
        <f t="shared" si="74"/>
        <v>M1-RM3W@E</v>
      </c>
      <c r="M254" s="75" t="str">
        <f t="shared" si="67"/>
        <v>302, 305, 307, 306, M1, 327, 326, 325, 318, 317, 316, 311, 303, 305, 302</v>
      </c>
      <c r="N254" s="75" t="str">
        <f t="shared" si="68"/>
        <v>06, 03, 10, 16</v>
      </c>
      <c r="R254" s="70" t="s">
        <v>863</v>
      </c>
      <c r="S254" s="70" t="s">
        <v>53</v>
      </c>
      <c r="T254" s="70" t="s">
        <v>238</v>
      </c>
      <c r="U254" s="70"/>
      <c r="V254" s="70"/>
      <c r="X254" s="70" t="str">
        <f t="shared" si="87"/>
        <v>M1-E DT@E</v>
      </c>
      <c r="Y254" s="70" t="str">
        <f t="shared" si="88"/>
        <v>E DT-RM3W@E</v>
      </c>
      <c r="Z254" s="70" t="str">
        <f t="shared" si="89"/>
        <v/>
      </c>
      <c r="AA254" s="70" t="str">
        <f t="shared" si="90"/>
        <v/>
      </c>
      <c r="AC254" s="70" t="str">
        <f t="shared" si="75"/>
        <v>302, 305, 307, 306, M1</v>
      </c>
      <c r="AD254" s="70" t="str">
        <f t="shared" si="76"/>
        <v>327, 326, 325, 318, 317, 316, 311, 303, 305, 302</v>
      </c>
      <c r="AE254" s="70" t="str">
        <f t="shared" si="77"/>
        <v/>
      </c>
      <c r="AF254" s="70" t="str">
        <f t="shared" si="78"/>
        <v/>
      </c>
      <c r="AH254" s="70" t="str">
        <f t="shared" si="79"/>
        <v>06</v>
      </c>
      <c r="AI254" s="70" t="str">
        <f t="shared" si="80"/>
        <v>03, 10, 16</v>
      </c>
      <c r="AJ254" s="70" t="str">
        <f t="shared" si="81"/>
        <v/>
      </c>
      <c r="AK254" s="70" t="str">
        <f t="shared" si="82"/>
        <v/>
      </c>
      <c r="AM254" s="166" t="str">
        <f t="shared" si="83"/>
        <v>RM3E-W AV</v>
      </c>
      <c r="AN254" s="171" t="s">
        <v>901</v>
      </c>
      <c r="AO254" s="167" t="s">
        <v>853</v>
      </c>
      <c r="AP254" s="167" t="s">
        <v>202</v>
      </c>
    </row>
    <row r="255" spans="1:46" ht="20.100000000000001" customHeight="1" thickBot="1">
      <c r="A255" s="45" t="s">
        <v>902</v>
      </c>
      <c r="B255" s="45" t="s">
        <v>235</v>
      </c>
      <c r="C255" s="45" t="s">
        <v>891</v>
      </c>
      <c r="E255" s="45">
        <f t="shared" si="69"/>
        <v>7</v>
      </c>
      <c r="F255" s="45">
        <f t="shared" si="70"/>
        <v>5</v>
      </c>
      <c r="G255" s="45" t="str">
        <f t="shared" si="71"/>
        <v>RM3W</v>
      </c>
      <c r="H255" s="45" t="str">
        <f t="shared" si="72"/>
        <v>M1</v>
      </c>
      <c r="J255" s="45" t="str">
        <f t="shared" si="73"/>
        <v>M1</v>
      </c>
      <c r="K255" s="45" t="s">
        <v>130</v>
      </c>
      <c r="L255" s="45" t="str">
        <f t="shared" si="74"/>
        <v>RM3W-M1@E</v>
      </c>
      <c r="M255" s="75" t="str">
        <f t="shared" si="67"/>
        <v>327, 326, 325, 318, 317, 316, 311, 303, 305, 302, 302, 305, 307, 306, M1</v>
      </c>
      <c r="N255" s="75" t="str">
        <f t="shared" si="68"/>
        <v>27, 04, 03</v>
      </c>
      <c r="R255" s="70" t="s">
        <v>238</v>
      </c>
      <c r="S255" s="70" t="s">
        <v>53</v>
      </c>
      <c r="T255" s="70" t="s">
        <v>863</v>
      </c>
      <c r="U255" s="70"/>
      <c r="V255" s="70"/>
      <c r="X255" s="70" t="str">
        <f t="shared" si="87"/>
        <v>RM3W-E DT@E</v>
      </c>
      <c r="Y255" s="70" t="str">
        <f t="shared" si="88"/>
        <v>E DT-M1@E</v>
      </c>
      <c r="Z255" s="70" t="str">
        <f t="shared" si="89"/>
        <v/>
      </c>
      <c r="AA255" s="70" t="str">
        <f t="shared" si="90"/>
        <v/>
      </c>
      <c r="AC255" s="70" t="str">
        <f t="shared" si="75"/>
        <v>327, 326, 325, 318, 317, 316, 311, 303, 305, 302</v>
      </c>
      <c r="AD255" s="70" t="str">
        <f t="shared" si="76"/>
        <v>302, 305, 307, 306, M1</v>
      </c>
      <c r="AE255" s="70" t="str">
        <f t="shared" si="77"/>
        <v/>
      </c>
      <c r="AF255" s="70" t="str">
        <f t="shared" si="78"/>
        <v/>
      </c>
      <c r="AH255" s="70" t="str">
        <f t="shared" si="79"/>
        <v>27, 04</v>
      </c>
      <c r="AI255" s="70" t="str">
        <f t="shared" si="80"/>
        <v>03</v>
      </c>
      <c r="AJ255" s="70" t="str">
        <f t="shared" si="81"/>
        <v/>
      </c>
      <c r="AK255" s="70" t="str">
        <f t="shared" si="82"/>
        <v/>
      </c>
      <c r="AM255" s="166" t="str">
        <f t="shared" si="83"/>
        <v>RM3W-W AV</v>
      </c>
      <c r="AN255" s="171" t="s">
        <v>903</v>
      </c>
      <c r="AO255" s="167" t="s">
        <v>853</v>
      </c>
      <c r="AP255" s="167" t="s">
        <v>202</v>
      </c>
    </row>
    <row r="256" spans="1:46" ht="20.100000000000001" customHeight="1" thickBot="1">
      <c r="A256" s="45" t="s">
        <v>904</v>
      </c>
      <c r="B256" s="45" t="s">
        <v>861</v>
      </c>
      <c r="C256" s="45" t="s">
        <v>905</v>
      </c>
      <c r="E256" s="45">
        <f t="shared" si="69"/>
        <v>7</v>
      </c>
      <c r="F256" s="45">
        <f t="shared" si="70"/>
        <v>3</v>
      </c>
      <c r="G256" s="45" t="str">
        <f t="shared" si="71"/>
        <v>M1</v>
      </c>
      <c r="H256" s="45" t="str">
        <f t="shared" si="72"/>
        <v>HCTE</v>
      </c>
      <c r="J256" s="45" t="str">
        <f t="shared" si="73"/>
        <v>HCTE</v>
      </c>
      <c r="K256" s="45" t="s">
        <v>130</v>
      </c>
      <c r="L256" s="45" t="str">
        <f t="shared" si="74"/>
        <v>M1-HCTE@E</v>
      </c>
      <c r="M256" s="75" t="str">
        <f t="shared" si="67"/>
        <v>302, 305, 307, 306, M1, 329, 328, 325, 318, 317, 316, 311, 303, 305, 302</v>
      </c>
      <c r="N256" s="75" t="str">
        <f t="shared" si="68"/>
        <v>06, 03, 10, 16</v>
      </c>
      <c r="R256" s="70" t="s">
        <v>863</v>
      </c>
      <c r="S256" s="70" t="s">
        <v>53</v>
      </c>
      <c r="T256" s="70" t="s">
        <v>246</v>
      </c>
      <c r="U256" s="70"/>
      <c r="V256" s="70"/>
      <c r="X256" s="70" t="str">
        <f t="shared" si="87"/>
        <v>M1-E DT@E</v>
      </c>
      <c r="Y256" s="70" t="str">
        <f t="shared" si="88"/>
        <v>E DT-HCTE@E</v>
      </c>
      <c r="Z256" s="70" t="str">
        <f t="shared" si="89"/>
        <v/>
      </c>
      <c r="AA256" s="70" t="str">
        <f t="shared" si="90"/>
        <v/>
      </c>
      <c r="AC256" s="70" t="str">
        <f t="shared" si="75"/>
        <v>302, 305, 307, 306, M1</v>
      </c>
      <c r="AD256" s="70" t="str">
        <f t="shared" si="76"/>
        <v>329, 328, 325, 318, 317, 316, 311, 303, 305, 302</v>
      </c>
      <c r="AE256" s="70" t="str">
        <f t="shared" si="77"/>
        <v/>
      </c>
      <c r="AF256" s="70" t="str">
        <f t="shared" si="78"/>
        <v/>
      </c>
      <c r="AH256" s="70" t="str">
        <f t="shared" si="79"/>
        <v>06</v>
      </c>
      <c r="AI256" s="70" t="str">
        <f t="shared" si="80"/>
        <v>03, 10, 16</v>
      </c>
      <c r="AJ256" s="70" t="str">
        <f t="shared" si="81"/>
        <v/>
      </c>
      <c r="AK256" s="70" t="str">
        <f t="shared" si="82"/>
        <v/>
      </c>
      <c r="AM256" s="166" t="str">
        <f t="shared" si="83"/>
        <v>HCTE-W AV</v>
      </c>
      <c r="AN256" s="171" t="s">
        <v>906</v>
      </c>
      <c r="AO256" s="167" t="s">
        <v>858</v>
      </c>
      <c r="AP256" s="167" t="s">
        <v>211</v>
      </c>
    </row>
    <row r="257" spans="1:42" ht="20.100000000000001" customHeight="1" thickBot="1">
      <c r="A257" s="45" t="s">
        <v>907</v>
      </c>
      <c r="B257" s="45" t="s">
        <v>250</v>
      </c>
      <c r="C257" s="45" t="s">
        <v>908</v>
      </c>
      <c r="E257" s="45">
        <f t="shared" si="69"/>
        <v>7</v>
      </c>
      <c r="F257" s="45">
        <f t="shared" si="70"/>
        <v>5</v>
      </c>
      <c r="G257" s="45" t="str">
        <f t="shared" si="71"/>
        <v>HCTE</v>
      </c>
      <c r="H257" s="45" t="str">
        <f t="shared" si="72"/>
        <v>M1</v>
      </c>
      <c r="J257" s="45" t="str">
        <f t="shared" si="73"/>
        <v>M1</v>
      </c>
      <c r="K257" s="45" t="s">
        <v>130</v>
      </c>
      <c r="L257" s="45" t="str">
        <f t="shared" si="74"/>
        <v>HCTE-M1@E</v>
      </c>
      <c r="M257" s="75" t="str">
        <f t="shared" si="67"/>
        <v>329, 328, 325, 318, 317, 316, 311, 303, 305, 302, 302, 305, 307, 306, M1</v>
      </c>
      <c r="N257" s="75" t="str">
        <f t="shared" si="68"/>
        <v>28, 04, 03</v>
      </c>
      <c r="R257" s="70" t="s">
        <v>246</v>
      </c>
      <c r="S257" s="70" t="s">
        <v>53</v>
      </c>
      <c r="T257" s="70" t="s">
        <v>863</v>
      </c>
      <c r="U257" s="70"/>
      <c r="V257" s="70"/>
      <c r="X257" s="70" t="str">
        <f t="shared" si="87"/>
        <v>HCTE-E DT@E</v>
      </c>
      <c r="Y257" s="70" t="str">
        <f t="shared" si="88"/>
        <v>E DT-M1@E</v>
      </c>
      <c r="Z257" s="70" t="str">
        <f t="shared" si="89"/>
        <v/>
      </c>
      <c r="AA257" s="70" t="str">
        <f t="shared" si="90"/>
        <v/>
      </c>
      <c r="AC257" s="70" t="str">
        <f t="shared" si="75"/>
        <v>329, 328, 325, 318, 317, 316, 311, 303, 305, 302</v>
      </c>
      <c r="AD257" s="70" t="str">
        <f t="shared" si="76"/>
        <v>302, 305, 307, 306, M1</v>
      </c>
      <c r="AE257" s="70" t="str">
        <f t="shared" si="77"/>
        <v/>
      </c>
      <c r="AF257" s="70" t="str">
        <f t="shared" si="78"/>
        <v/>
      </c>
      <c r="AH257" s="70" t="str">
        <f t="shared" si="79"/>
        <v>28, 04</v>
      </c>
      <c r="AI257" s="70" t="str">
        <f t="shared" si="80"/>
        <v>03</v>
      </c>
      <c r="AJ257" s="70" t="str">
        <f t="shared" si="81"/>
        <v/>
      </c>
      <c r="AK257" s="70" t="str">
        <f t="shared" si="82"/>
        <v/>
      </c>
      <c r="AM257" s="166" t="str">
        <f t="shared" si="83"/>
        <v>HCTW-W AV</v>
      </c>
      <c r="AN257" s="171" t="s">
        <v>909</v>
      </c>
      <c r="AO257" s="167" t="s">
        <v>858</v>
      </c>
      <c r="AP257" s="167" t="s">
        <v>211</v>
      </c>
    </row>
    <row r="258" spans="1:42" ht="20.100000000000001" customHeight="1" thickBot="1">
      <c r="A258" s="45" t="s">
        <v>910</v>
      </c>
      <c r="B258" s="45" t="s">
        <v>861</v>
      </c>
      <c r="C258" s="45" t="s">
        <v>905</v>
      </c>
      <c r="E258" s="45">
        <f t="shared" si="69"/>
        <v>7</v>
      </c>
      <c r="F258" s="45">
        <f t="shared" si="70"/>
        <v>3</v>
      </c>
      <c r="G258" s="45" t="str">
        <f t="shared" si="71"/>
        <v>M1</v>
      </c>
      <c r="H258" s="45" t="str">
        <f t="shared" si="72"/>
        <v>HCTW</v>
      </c>
      <c r="J258" s="45" t="str">
        <f t="shared" si="73"/>
        <v>HCTW</v>
      </c>
      <c r="K258" s="45" t="s">
        <v>130</v>
      </c>
      <c r="L258" s="45" t="str">
        <f t="shared" si="74"/>
        <v>M1-HCTW@E</v>
      </c>
      <c r="M258" s="75" t="str">
        <f t="shared" ref="M258:M321" si="92">IF(AF258="",IF(AE258="",IF(AD258="",AC258,CONCATENATE(AC258,", ",AD258)),CONCATENATE(AC258,", ",AD258,", ",AE258)),CONCATENATE(AC258,", ",AD258,", ",AE258,", ",AF258))</f>
        <v>302, 305, 307, 306, M1, 329, 328, 325, 318, 317, 316, 311, 303, 305, 302</v>
      </c>
      <c r="N258" s="75" t="str">
        <f t="shared" ref="N258:N321" si="93">IF(AK258="",IF(AJ258="",IF(AI258="",AH258,CONCATENATE(AH258,", ",AI258)),CONCATENATE(AH258,", ",AI258,", ",AJ258)),CONCATENATE(AH258,", ",AI258,", ",AJ258,", ",AK258))</f>
        <v>06, 03, 10, 16</v>
      </c>
      <c r="R258" s="70" t="s">
        <v>863</v>
      </c>
      <c r="S258" s="70" t="s">
        <v>53</v>
      </c>
      <c r="T258" s="70" t="s">
        <v>254</v>
      </c>
      <c r="U258" s="70"/>
      <c r="V258" s="70"/>
      <c r="X258" s="70" t="str">
        <f t="shared" si="87"/>
        <v>M1-E DT@E</v>
      </c>
      <c r="Y258" s="70" t="str">
        <f t="shared" si="88"/>
        <v>E DT-HCTW@E</v>
      </c>
      <c r="Z258" s="70" t="str">
        <f t="shared" si="89"/>
        <v/>
      </c>
      <c r="AA258" s="70" t="str">
        <f t="shared" si="90"/>
        <v/>
      </c>
      <c r="AC258" s="70" t="str">
        <f t="shared" si="75"/>
        <v>302, 305, 307, 306, M1</v>
      </c>
      <c r="AD258" s="70" t="str">
        <f t="shared" si="76"/>
        <v>329, 328, 325, 318, 317, 316, 311, 303, 305, 302</v>
      </c>
      <c r="AE258" s="70" t="str">
        <f t="shared" si="77"/>
        <v/>
      </c>
      <c r="AF258" s="70" t="str">
        <f t="shared" si="78"/>
        <v/>
      </c>
      <c r="AH258" s="70" t="str">
        <f t="shared" si="79"/>
        <v>06</v>
      </c>
      <c r="AI258" s="70" t="str">
        <f t="shared" si="80"/>
        <v>03, 10, 16</v>
      </c>
      <c r="AJ258" s="70" t="str">
        <f t="shared" si="81"/>
        <v/>
      </c>
      <c r="AK258" s="70" t="str">
        <f t="shared" si="82"/>
        <v/>
      </c>
      <c r="AM258" s="166" t="str">
        <f t="shared" si="83"/>
        <v>1E-W AV</v>
      </c>
      <c r="AN258" s="171" t="s">
        <v>911</v>
      </c>
      <c r="AO258" s="167" t="s">
        <v>858</v>
      </c>
      <c r="AP258" s="167" t="s">
        <v>477</v>
      </c>
    </row>
    <row r="259" spans="1:42" ht="20.100000000000001" customHeight="1" thickBot="1">
      <c r="A259" s="45" t="s">
        <v>912</v>
      </c>
      <c r="B259" s="45" t="s">
        <v>250</v>
      </c>
      <c r="C259" s="45" t="s">
        <v>908</v>
      </c>
      <c r="E259" s="45">
        <f t="shared" ref="E259:E322" si="94">LEN(A259)</f>
        <v>7</v>
      </c>
      <c r="F259" s="45">
        <f t="shared" ref="F259:F322" si="95">SEARCH("-",A259)</f>
        <v>5</v>
      </c>
      <c r="G259" s="45" t="str">
        <f t="shared" ref="G259:G322" si="96">LEFT(A259,F259-1)</f>
        <v>HCTW</v>
      </c>
      <c r="H259" s="45" t="str">
        <f t="shared" ref="H259:H322" si="97">RIGHT(A259,E259-F259)</f>
        <v>M1</v>
      </c>
      <c r="J259" s="45" t="str">
        <f t="shared" ref="J259:J322" si="98">IF(V259="",IF(U259="",IF(T259="",S259,T259),U259),V259)</f>
        <v>M1</v>
      </c>
      <c r="K259" s="45" t="s">
        <v>130</v>
      </c>
      <c r="L259" s="45" t="str">
        <f t="shared" ref="L259:L322" si="99">CONCATENATE(R259,"-",J259,"@",K259)</f>
        <v>HCTW-M1@E</v>
      </c>
      <c r="M259" s="75" t="str">
        <f t="shared" si="92"/>
        <v>329, 328, 325, 318, 317, 316, 311, 303, 305, 302, 302, 305, 307, 306, M1</v>
      </c>
      <c r="N259" s="75" t="str">
        <f t="shared" si="93"/>
        <v>28, 04, 03</v>
      </c>
      <c r="R259" s="70" t="s">
        <v>254</v>
      </c>
      <c r="S259" s="70" t="s">
        <v>53</v>
      </c>
      <c r="T259" s="70" t="s">
        <v>863</v>
      </c>
      <c r="U259" s="70"/>
      <c r="V259" s="70"/>
      <c r="X259" s="70" t="str">
        <f t="shared" si="87"/>
        <v>HCTW-E DT@E</v>
      </c>
      <c r="Y259" s="70" t="str">
        <f t="shared" si="88"/>
        <v>E DT-M1@E</v>
      </c>
      <c r="Z259" s="70" t="str">
        <f t="shared" si="89"/>
        <v/>
      </c>
      <c r="AA259" s="70" t="str">
        <f t="shared" si="90"/>
        <v/>
      </c>
      <c r="AC259" s="70" t="str">
        <f t="shared" ref="AC259:AC322" si="100">IF(X259="","",VLOOKUP(X259,$AN$2:$AP$736,2,0))</f>
        <v>329, 328, 325, 318, 317, 316, 311, 303, 305, 302</v>
      </c>
      <c r="AD259" s="70" t="str">
        <f t="shared" ref="AD259:AD322" si="101">IF(Y259="","",VLOOKUP(Y259,$AN$2:$AP$736,2,0))</f>
        <v>302, 305, 307, 306, M1</v>
      </c>
      <c r="AE259" s="70" t="str">
        <f t="shared" ref="AE259:AE322" si="102">IF(Z259="","",VLOOKUP(Z259,$AN$2:$AP$736,2,0))</f>
        <v/>
      </c>
      <c r="AF259" s="70" t="str">
        <f t="shared" ref="AF259:AF322" si="103">IF(AA259="","",VLOOKUP(AA259,$AN$2:$AP$736,2,0))</f>
        <v/>
      </c>
      <c r="AH259" s="70" t="str">
        <f t="shared" ref="AH259:AH322" si="104">IF(X259="","",VLOOKUP(X259,$AN$2:$AP$162,3,0))</f>
        <v>28, 04</v>
      </c>
      <c r="AI259" s="70" t="str">
        <f t="shared" ref="AI259:AI322" si="105">IF(Y259="","",VLOOKUP(Y259,$AN$2:$AP$162,3,0))</f>
        <v>03</v>
      </c>
      <c r="AJ259" s="70" t="str">
        <f t="shared" ref="AJ259:AJ322" si="106">IF(Z259="","",VLOOKUP(Z259,$AN$2:$AP$162,3,0))</f>
        <v/>
      </c>
      <c r="AK259" s="70" t="str">
        <f t="shared" ref="AK259:AK322" si="107">IF(AA259="","",VLOOKUP(AA259,$AN$2:$AP$162,3,0))</f>
        <v/>
      </c>
      <c r="AM259" s="166" t="str">
        <f t="shared" ref="AM259:AM322" si="108">LEFT(AN259,LEN(AN259)-2)</f>
        <v>1W-W AV</v>
      </c>
      <c r="AN259" s="171" t="s">
        <v>913</v>
      </c>
      <c r="AO259" s="167" t="s">
        <v>858</v>
      </c>
      <c r="AP259" s="167" t="s">
        <v>477</v>
      </c>
    </row>
    <row r="260" spans="1:42" ht="20.100000000000001" customHeight="1" thickBot="1">
      <c r="A260" s="45" t="s">
        <v>914</v>
      </c>
      <c r="B260" s="45" t="s">
        <v>861</v>
      </c>
      <c r="C260" s="45" t="s">
        <v>905</v>
      </c>
      <c r="E260" s="45">
        <f t="shared" si="94"/>
        <v>5</v>
      </c>
      <c r="F260" s="45">
        <f t="shared" si="95"/>
        <v>3</v>
      </c>
      <c r="G260" s="45" t="str">
        <f t="shared" si="96"/>
        <v>M1</v>
      </c>
      <c r="H260" s="45" t="str">
        <f t="shared" si="97"/>
        <v>1E</v>
      </c>
      <c r="J260" s="45" t="str">
        <f t="shared" si="98"/>
        <v>1E</v>
      </c>
      <c r="K260" s="45" t="s">
        <v>130</v>
      </c>
      <c r="L260" s="45" t="str">
        <f t="shared" si="99"/>
        <v>M1-1E@E</v>
      </c>
      <c r="M260" s="75" t="str">
        <f t="shared" si="92"/>
        <v>302, 305, 307, 306, M1, 329, 328, 325, 318, 317, 316, 311, 303, 305, 302</v>
      </c>
      <c r="N260" s="75" t="str">
        <f t="shared" si="93"/>
        <v>06, 03, 10, 16</v>
      </c>
      <c r="R260" s="70" t="s">
        <v>863</v>
      </c>
      <c r="S260" s="70" t="s">
        <v>53</v>
      </c>
      <c r="T260" s="70" t="s">
        <v>261</v>
      </c>
      <c r="U260" s="70"/>
      <c r="V260" s="70"/>
      <c r="X260" s="70" t="str">
        <f t="shared" si="87"/>
        <v>M1-E DT@E</v>
      </c>
      <c r="Y260" s="70" t="str">
        <f t="shared" si="88"/>
        <v>E DT-1E@E</v>
      </c>
      <c r="Z260" s="70" t="str">
        <f t="shared" si="89"/>
        <v/>
      </c>
      <c r="AA260" s="70" t="str">
        <f t="shared" si="90"/>
        <v/>
      </c>
      <c r="AC260" s="70" t="str">
        <f t="shared" si="100"/>
        <v>302, 305, 307, 306, M1</v>
      </c>
      <c r="AD260" s="70" t="str">
        <f t="shared" si="101"/>
        <v>329, 328, 325, 318, 317, 316, 311, 303, 305, 302</v>
      </c>
      <c r="AE260" s="70" t="str">
        <f t="shared" si="102"/>
        <v/>
      </c>
      <c r="AF260" s="70" t="str">
        <f t="shared" si="103"/>
        <v/>
      </c>
      <c r="AH260" s="70" t="str">
        <f t="shared" si="104"/>
        <v>06</v>
      </c>
      <c r="AI260" s="70" t="str">
        <f t="shared" si="105"/>
        <v>03, 10, 16</v>
      </c>
      <c r="AJ260" s="70" t="str">
        <f t="shared" si="106"/>
        <v/>
      </c>
      <c r="AK260" s="70" t="str">
        <f t="shared" si="107"/>
        <v/>
      </c>
      <c r="AM260" s="166" t="str">
        <f t="shared" si="108"/>
        <v>2E-W AV</v>
      </c>
      <c r="AN260" s="171" t="s">
        <v>915</v>
      </c>
      <c r="AO260" s="167" t="s">
        <v>867</v>
      </c>
      <c r="AP260" s="167" t="s">
        <v>483</v>
      </c>
    </row>
    <row r="261" spans="1:42" ht="20.100000000000001" customHeight="1" thickBot="1">
      <c r="A261" s="45" t="s">
        <v>916</v>
      </c>
      <c r="B261" s="45" t="s">
        <v>266</v>
      </c>
      <c r="C261" s="45" t="s">
        <v>908</v>
      </c>
      <c r="E261" s="45">
        <f t="shared" si="94"/>
        <v>5</v>
      </c>
      <c r="F261" s="45">
        <f t="shared" si="95"/>
        <v>3</v>
      </c>
      <c r="G261" s="45" t="str">
        <f t="shared" si="96"/>
        <v>1E</v>
      </c>
      <c r="H261" s="45" t="str">
        <f t="shared" si="97"/>
        <v>M1</v>
      </c>
      <c r="J261" s="45" t="str">
        <f t="shared" si="98"/>
        <v>M1</v>
      </c>
      <c r="K261" s="45" t="s">
        <v>130</v>
      </c>
      <c r="L261" s="45" t="str">
        <f t="shared" si="99"/>
        <v>1E-M1@E</v>
      </c>
      <c r="M261" s="75" t="str">
        <f t="shared" si="92"/>
        <v>329, 328, 325, 318, 317, 316, 311, 303, 305, 302, 302, 305, 307, 306, M1</v>
      </c>
      <c r="N261" s="75" t="str">
        <f t="shared" si="93"/>
        <v>29, 04, 03</v>
      </c>
      <c r="R261" s="70" t="s">
        <v>261</v>
      </c>
      <c r="S261" s="70" t="s">
        <v>53</v>
      </c>
      <c r="T261" s="70" t="s">
        <v>863</v>
      </c>
      <c r="U261" s="70"/>
      <c r="V261" s="70"/>
      <c r="X261" s="70" t="str">
        <f t="shared" si="87"/>
        <v>1E-E DT@E</v>
      </c>
      <c r="Y261" s="70" t="str">
        <f t="shared" si="88"/>
        <v>E DT-M1@E</v>
      </c>
      <c r="Z261" s="70" t="str">
        <f t="shared" si="89"/>
        <v/>
      </c>
      <c r="AA261" s="70" t="str">
        <f t="shared" si="90"/>
        <v/>
      </c>
      <c r="AC261" s="70" t="str">
        <f t="shared" si="100"/>
        <v>329, 328, 325, 318, 317, 316, 311, 303, 305, 302</v>
      </c>
      <c r="AD261" s="70" t="str">
        <f t="shared" si="101"/>
        <v>302, 305, 307, 306, M1</v>
      </c>
      <c r="AE261" s="70" t="str">
        <f t="shared" si="102"/>
        <v/>
      </c>
      <c r="AF261" s="70" t="str">
        <f t="shared" si="103"/>
        <v/>
      </c>
      <c r="AH261" s="70" t="str">
        <f t="shared" si="104"/>
        <v>29, 04</v>
      </c>
      <c r="AI261" s="70" t="str">
        <f t="shared" si="105"/>
        <v>03</v>
      </c>
      <c r="AJ261" s="70" t="str">
        <f t="shared" si="106"/>
        <v/>
      </c>
      <c r="AK261" s="70" t="str">
        <f t="shared" si="107"/>
        <v/>
      </c>
      <c r="AM261" s="166" t="str">
        <f t="shared" si="108"/>
        <v>2W-W AV</v>
      </c>
      <c r="AN261" s="171" t="s">
        <v>917</v>
      </c>
      <c r="AO261" s="167" t="s">
        <v>867</v>
      </c>
      <c r="AP261" s="167" t="s">
        <v>483</v>
      </c>
    </row>
    <row r="262" spans="1:42" ht="20.100000000000001" customHeight="1" thickBot="1">
      <c r="A262" s="45" t="s">
        <v>918</v>
      </c>
      <c r="B262" s="45" t="s">
        <v>861</v>
      </c>
      <c r="C262" s="45" t="s">
        <v>905</v>
      </c>
      <c r="E262" s="45">
        <f t="shared" si="94"/>
        <v>5</v>
      </c>
      <c r="F262" s="45">
        <f t="shared" si="95"/>
        <v>3</v>
      </c>
      <c r="G262" s="45" t="str">
        <f t="shared" si="96"/>
        <v>M1</v>
      </c>
      <c r="H262" s="45" t="str">
        <f t="shared" si="97"/>
        <v>1W</v>
      </c>
      <c r="J262" s="45" t="str">
        <f t="shared" si="98"/>
        <v>1W</v>
      </c>
      <c r="K262" s="45" t="s">
        <v>130</v>
      </c>
      <c r="L262" s="45" t="str">
        <f t="shared" si="99"/>
        <v>M1-1W@E</v>
      </c>
      <c r="M262" s="75" t="str">
        <f t="shared" si="92"/>
        <v>302, 305, 307, 306, M1, 329, 328, 325, 318, 317, 316, 311, 303, 305, 302</v>
      </c>
      <c r="N262" s="75" t="str">
        <f t="shared" si="93"/>
        <v>06, 03, 10, 16</v>
      </c>
      <c r="R262" s="70" t="s">
        <v>863</v>
      </c>
      <c r="S262" s="70" t="s">
        <v>53</v>
      </c>
      <c r="T262" s="70" t="s">
        <v>269</v>
      </c>
      <c r="U262" s="70"/>
      <c r="V262" s="70"/>
      <c r="X262" s="70" t="str">
        <f t="shared" si="87"/>
        <v>M1-E DT@E</v>
      </c>
      <c r="Y262" s="70" t="str">
        <f t="shared" si="88"/>
        <v>E DT-1W@E</v>
      </c>
      <c r="Z262" s="70" t="str">
        <f t="shared" si="89"/>
        <v/>
      </c>
      <c r="AA262" s="70" t="str">
        <f t="shared" si="90"/>
        <v/>
      </c>
      <c r="AC262" s="70" t="str">
        <f t="shared" si="100"/>
        <v>302, 305, 307, 306, M1</v>
      </c>
      <c r="AD262" s="70" t="str">
        <f t="shared" si="101"/>
        <v>329, 328, 325, 318, 317, 316, 311, 303, 305, 302</v>
      </c>
      <c r="AE262" s="70" t="str">
        <f t="shared" si="102"/>
        <v/>
      </c>
      <c r="AF262" s="70" t="str">
        <f t="shared" si="103"/>
        <v/>
      </c>
      <c r="AH262" s="70" t="str">
        <f t="shared" si="104"/>
        <v>06</v>
      </c>
      <c r="AI262" s="70" t="str">
        <f t="shared" si="105"/>
        <v>03, 10, 16</v>
      </c>
      <c r="AJ262" s="70" t="str">
        <f t="shared" si="106"/>
        <v/>
      </c>
      <c r="AK262" s="70" t="str">
        <f t="shared" si="107"/>
        <v/>
      </c>
      <c r="AM262" s="166" t="str">
        <f t="shared" si="108"/>
        <v>3E-W AV</v>
      </c>
      <c r="AN262" s="171" t="s">
        <v>919</v>
      </c>
      <c r="AO262" s="167" t="s">
        <v>867</v>
      </c>
      <c r="AP262" s="167" t="s">
        <v>488</v>
      </c>
    </row>
    <row r="263" spans="1:42" ht="20.100000000000001" customHeight="1" thickBot="1">
      <c r="A263" s="45" t="s">
        <v>920</v>
      </c>
      <c r="B263" s="45" t="s">
        <v>266</v>
      </c>
      <c r="C263" s="45" t="s">
        <v>908</v>
      </c>
      <c r="E263" s="45">
        <f t="shared" si="94"/>
        <v>5</v>
      </c>
      <c r="F263" s="45">
        <f t="shared" si="95"/>
        <v>3</v>
      </c>
      <c r="G263" s="45" t="str">
        <f t="shared" si="96"/>
        <v>1W</v>
      </c>
      <c r="H263" s="45" t="str">
        <f t="shared" si="97"/>
        <v>M1</v>
      </c>
      <c r="J263" s="45" t="str">
        <f t="shared" si="98"/>
        <v>M1</v>
      </c>
      <c r="K263" s="45" t="s">
        <v>130</v>
      </c>
      <c r="L263" s="45" t="str">
        <f t="shared" si="99"/>
        <v>1W-M1@E</v>
      </c>
      <c r="M263" s="75" t="str">
        <f t="shared" si="92"/>
        <v>329, 328, 325, 318, 317, 316, 311, 303, 305, 302, 302, 305, 307, 306, M1</v>
      </c>
      <c r="N263" s="75" t="str">
        <f t="shared" si="93"/>
        <v>29, 04, 03</v>
      </c>
      <c r="R263" s="70" t="s">
        <v>269</v>
      </c>
      <c r="S263" s="70" t="s">
        <v>53</v>
      </c>
      <c r="T263" s="70" t="s">
        <v>863</v>
      </c>
      <c r="U263" s="70"/>
      <c r="V263" s="70"/>
      <c r="X263" s="70" t="str">
        <f t="shared" si="87"/>
        <v>1W-E DT@E</v>
      </c>
      <c r="Y263" s="70" t="str">
        <f t="shared" si="88"/>
        <v>E DT-M1@E</v>
      </c>
      <c r="Z263" s="70" t="str">
        <f t="shared" si="89"/>
        <v/>
      </c>
      <c r="AA263" s="70" t="str">
        <f t="shared" si="90"/>
        <v/>
      </c>
      <c r="AC263" s="70" t="str">
        <f t="shared" si="100"/>
        <v>329, 328, 325, 318, 317, 316, 311, 303, 305, 302</v>
      </c>
      <c r="AD263" s="70" t="str">
        <f t="shared" si="101"/>
        <v>302, 305, 307, 306, M1</v>
      </c>
      <c r="AE263" s="70" t="str">
        <f t="shared" si="102"/>
        <v/>
      </c>
      <c r="AF263" s="70" t="str">
        <f t="shared" si="103"/>
        <v/>
      </c>
      <c r="AH263" s="70" t="str">
        <f t="shared" si="104"/>
        <v>29, 04</v>
      </c>
      <c r="AI263" s="70" t="str">
        <f t="shared" si="105"/>
        <v>03</v>
      </c>
      <c r="AJ263" s="70" t="str">
        <f t="shared" si="106"/>
        <v/>
      </c>
      <c r="AK263" s="70" t="str">
        <f t="shared" si="107"/>
        <v/>
      </c>
      <c r="AM263" s="166" t="str">
        <f t="shared" si="108"/>
        <v>3W-W AV</v>
      </c>
      <c r="AN263" s="171" t="s">
        <v>921</v>
      </c>
      <c r="AO263" s="167" t="s">
        <v>867</v>
      </c>
      <c r="AP263" s="167" t="s">
        <v>488</v>
      </c>
    </row>
    <row r="264" spans="1:42" ht="20.100000000000001" customHeight="1" thickBot="1">
      <c r="A264" s="45" t="s">
        <v>922</v>
      </c>
      <c r="B264" s="45" t="s">
        <v>861</v>
      </c>
      <c r="C264" s="45" t="s">
        <v>923</v>
      </c>
      <c r="E264" s="45">
        <f t="shared" si="94"/>
        <v>5</v>
      </c>
      <c r="F264" s="45">
        <f t="shared" si="95"/>
        <v>3</v>
      </c>
      <c r="G264" s="45" t="str">
        <f t="shared" si="96"/>
        <v>M1</v>
      </c>
      <c r="H264" s="45" t="str">
        <f t="shared" si="97"/>
        <v>2E</v>
      </c>
      <c r="J264" s="45" t="str">
        <f t="shared" si="98"/>
        <v>2E</v>
      </c>
      <c r="K264" s="45" t="s">
        <v>130</v>
      </c>
      <c r="L264" s="45" t="str">
        <f t="shared" si="99"/>
        <v>M1-2E@E</v>
      </c>
      <c r="M264" s="75" t="str">
        <f t="shared" si="92"/>
        <v>302, 305, 307, 306, M1, 330, 328, 325, 318, 317, 316, 311, 303, 305, 302</v>
      </c>
      <c r="N264" s="75" t="str">
        <f t="shared" si="93"/>
        <v>06, 03, 10, 16</v>
      </c>
      <c r="R264" s="70" t="s">
        <v>863</v>
      </c>
      <c r="S264" s="70" t="s">
        <v>53</v>
      </c>
      <c r="T264" s="70" t="s">
        <v>276</v>
      </c>
      <c r="U264" s="70"/>
      <c r="V264" s="70"/>
      <c r="X264" s="70" t="str">
        <f t="shared" si="87"/>
        <v>M1-E DT@E</v>
      </c>
      <c r="Y264" s="70" t="str">
        <f t="shared" si="88"/>
        <v>E DT-2E@E</v>
      </c>
      <c r="Z264" s="70" t="str">
        <f t="shared" si="89"/>
        <v/>
      </c>
      <c r="AA264" s="70" t="str">
        <f t="shared" si="90"/>
        <v/>
      </c>
      <c r="AC264" s="70" t="str">
        <f t="shared" si="100"/>
        <v>302, 305, 307, 306, M1</v>
      </c>
      <c r="AD264" s="70" t="str">
        <f t="shared" si="101"/>
        <v>330, 328, 325, 318, 317, 316, 311, 303, 305, 302</v>
      </c>
      <c r="AE264" s="70" t="str">
        <f t="shared" si="102"/>
        <v/>
      </c>
      <c r="AF264" s="70" t="str">
        <f t="shared" si="103"/>
        <v/>
      </c>
      <c r="AH264" s="70" t="str">
        <f t="shared" si="104"/>
        <v>06</v>
      </c>
      <c r="AI264" s="70" t="str">
        <f t="shared" si="105"/>
        <v>03, 10, 16</v>
      </c>
      <c r="AJ264" s="70" t="str">
        <f t="shared" si="106"/>
        <v/>
      </c>
      <c r="AK264" s="70" t="str">
        <f t="shared" si="107"/>
        <v/>
      </c>
      <c r="AM264" s="166" t="str">
        <f t="shared" si="108"/>
        <v>4E-W AV</v>
      </c>
      <c r="AN264" s="171" t="s">
        <v>924</v>
      </c>
      <c r="AO264" s="167" t="s">
        <v>875</v>
      </c>
      <c r="AP264" s="167" t="s">
        <v>494</v>
      </c>
    </row>
    <row r="265" spans="1:42" ht="20.100000000000001" customHeight="1" thickBot="1">
      <c r="A265" s="45" t="s">
        <v>925</v>
      </c>
      <c r="B265" s="45" t="s">
        <v>280</v>
      </c>
      <c r="C265" s="45" t="s">
        <v>926</v>
      </c>
      <c r="E265" s="45">
        <f t="shared" si="94"/>
        <v>5</v>
      </c>
      <c r="F265" s="45">
        <f t="shared" si="95"/>
        <v>3</v>
      </c>
      <c r="G265" s="45" t="str">
        <f t="shared" si="96"/>
        <v>2E</v>
      </c>
      <c r="H265" s="45" t="str">
        <f t="shared" si="97"/>
        <v>M1</v>
      </c>
      <c r="J265" s="45" t="str">
        <f t="shared" si="98"/>
        <v>M1</v>
      </c>
      <c r="K265" s="45" t="s">
        <v>130</v>
      </c>
      <c r="L265" s="45" t="str">
        <f t="shared" si="99"/>
        <v>2E-M1@E</v>
      </c>
      <c r="M265" s="75" t="str">
        <f t="shared" si="92"/>
        <v>330, 328, 325, 318, 317, 316, 311, 303, 305, 302, 302, 305, 307, 306, M1</v>
      </c>
      <c r="N265" s="75" t="str">
        <f t="shared" si="93"/>
        <v>30, 04, 03</v>
      </c>
      <c r="R265" s="70" t="s">
        <v>276</v>
      </c>
      <c r="S265" s="70" t="s">
        <v>53</v>
      </c>
      <c r="T265" s="70" t="s">
        <v>863</v>
      </c>
      <c r="U265" s="70"/>
      <c r="V265" s="70"/>
      <c r="X265" s="70" t="str">
        <f t="shared" si="87"/>
        <v>2E-E DT@E</v>
      </c>
      <c r="Y265" s="70" t="str">
        <f t="shared" si="88"/>
        <v>E DT-M1@E</v>
      </c>
      <c r="Z265" s="70" t="str">
        <f t="shared" si="89"/>
        <v/>
      </c>
      <c r="AA265" s="70" t="str">
        <f t="shared" si="90"/>
        <v/>
      </c>
      <c r="AC265" s="70" t="str">
        <f t="shared" si="100"/>
        <v>330, 328, 325, 318, 317, 316, 311, 303, 305, 302</v>
      </c>
      <c r="AD265" s="70" t="str">
        <f t="shared" si="101"/>
        <v>302, 305, 307, 306, M1</v>
      </c>
      <c r="AE265" s="70" t="str">
        <f t="shared" si="102"/>
        <v/>
      </c>
      <c r="AF265" s="70" t="str">
        <f t="shared" si="103"/>
        <v/>
      </c>
      <c r="AH265" s="70" t="str">
        <f t="shared" si="104"/>
        <v>30, 04</v>
      </c>
      <c r="AI265" s="70" t="str">
        <f t="shared" si="105"/>
        <v>03</v>
      </c>
      <c r="AJ265" s="70" t="str">
        <f t="shared" si="106"/>
        <v/>
      </c>
      <c r="AK265" s="70" t="str">
        <f t="shared" si="107"/>
        <v/>
      </c>
      <c r="AM265" s="166" t="str">
        <f t="shared" si="108"/>
        <v>4W-W AV</v>
      </c>
      <c r="AN265" s="171" t="s">
        <v>927</v>
      </c>
      <c r="AO265" s="167" t="s">
        <v>875</v>
      </c>
      <c r="AP265" s="167" t="s">
        <v>494</v>
      </c>
    </row>
    <row r="266" spans="1:42" ht="20.100000000000001" customHeight="1" thickBot="1">
      <c r="A266" s="45" t="s">
        <v>928</v>
      </c>
      <c r="B266" s="45" t="s">
        <v>861</v>
      </c>
      <c r="C266" s="45" t="s">
        <v>923</v>
      </c>
      <c r="E266" s="45">
        <f t="shared" si="94"/>
        <v>5</v>
      </c>
      <c r="F266" s="45">
        <f t="shared" si="95"/>
        <v>3</v>
      </c>
      <c r="G266" s="45" t="str">
        <f t="shared" si="96"/>
        <v>M1</v>
      </c>
      <c r="H266" s="45" t="str">
        <f t="shared" si="97"/>
        <v>2W</v>
      </c>
      <c r="J266" s="45" t="str">
        <f t="shared" si="98"/>
        <v>2W</v>
      </c>
      <c r="K266" s="45" t="s">
        <v>130</v>
      </c>
      <c r="L266" s="45" t="str">
        <f t="shared" si="99"/>
        <v>M1-2W@E</v>
      </c>
      <c r="M266" s="75" t="str">
        <f t="shared" si="92"/>
        <v>302, 305, 307, 306, M1, 330, 328, 325, 318, 317, 316, 311, 303, 305, 302</v>
      </c>
      <c r="N266" s="75" t="str">
        <f t="shared" si="93"/>
        <v>06, 03, 10, 16</v>
      </c>
      <c r="R266" s="70" t="s">
        <v>863</v>
      </c>
      <c r="S266" s="70" t="s">
        <v>53</v>
      </c>
      <c r="T266" s="70" t="s">
        <v>285</v>
      </c>
      <c r="U266" s="70"/>
      <c r="V266" s="70"/>
      <c r="X266" s="70" t="str">
        <f t="shared" si="87"/>
        <v>M1-E DT@E</v>
      </c>
      <c r="Y266" s="70" t="str">
        <f t="shared" si="88"/>
        <v>E DT-2W@E</v>
      </c>
      <c r="Z266" s="70" t="str">
        <f t="shared" si="89"/>
        <v/>
      </c>
      <c r="AA266" s="70" t="str">
        <f t="shared" si="90"/>
        <v/>
      </c>
      <c r="AC266" s="70" t="str">
        <f t="shared" si="100"/>
        <v>302, 305, 307, 306, M1</v>
      </c>
      <c r="AD266" s="70" t="str">
        <f t="shared" si="101"/>
        <v>330, 328, 325, 318, 317, 316, 311, 303, 305, 302</v>
      </c>
      <c r="AE266" s="70" t="str">
        <f t="shared" si="102"/>
        <v/>
      </c>
      <c r="AF266" s="70" t="str">
        <f t="shared" si="103"/>
        <v/>
      </c>
      <c r="AH266" s="70" t="str">
        <f t="shared" si="104"/>
        <v>06</v>
      </c>
      <c r="AI266" s="70" t="str">
        <f t="shared" si="105"/>
        <v>03, 10, 16</v>
      </c>
      <c r="AJ266" s="70" t="str">
        <f t="shared" si="106"/>
        <v/>
      </c>
      <c r="AK266" s="70" t="str">
        <f t="shared" si="107"/>
        <v/>
      </c>
      <c r="AM266" s="166" t="str">
        <f t="shared" si="108"/>
        <v>5E-W AV</v>
      </c>
      <c r="AN266" s="171" t="s">
        <v>929</v>
      </c>
      <c r="AO266" s="167" t="s">
        <v>879</v>
      </c>
      <c r="AP266" s="167" t="s">
        <v>500</v>
      </c>
    </row>
    <row r="267" spans="1:42" ht="20.100000000000001" customHeight="1" thickBot="1">
      <c r="A267" s="45" t="s">
        <v>930</v>
      </c>
      <c r="B267" s="45" t="s">
        <v>280</v>
      </c>
      <c r="C267" s="45" t="s">
        <v>926</v>
      </c>
      <c r="E267" s="45">
        <f t="shared" si="94"/>
        <v>5</v>
      </c>
      <c r="F267" s="45">
        <f t="shared" si="95"/>
        <v>3</v>
      </c>
      <c r="G267" s="45" t="str">
        <f t="shared" si="96"/>
        <v>2W</v>
      </c>
      <c r="H267" s="45" t="str">
        <f t="shared" si="97"/>
        <v>M1</v>
      </c>
      <c r="J267" s="45" t="str">
        <f t="shared" si="98"/>
        <v>M1</v>
      </c>
      <c r="K267" s="45" t="s">
        <v>130</v>
      </c>
      <c r="L267" s="45" t="str">
        <f t="shared" si="99"/>
        <v>2W-M1@E</v>
      </c>
      <c r="M267" s="75" t="str">
        <f t="shared" si="92"/>
        <v>330, 328, 325, 318, 317, 316, 311, 303, 305, 302, 302, 305, 307, 306, M1</v>
      </c>
      <c r="N267" s="75" t="str">
        <f t="shared" si="93"/>
        <v>30, 04, 03</v>
      </c>
      <c r="R267" s="70" t="s">
        <v>285</v>
      </c>
      <c r="S267" s="70" t="s">
        <v>53</v>
      </c>
      <c r="T267" s="70" t="s">
        <v>863</v>
      </c>
      <c r="U267" s="70"/>
      <c r="V267" s="70"/>
      <c r="X267" s="70" t="str">
        <f t="shared" si="87"/>
        <v>2W-E DT@E</v>
      </c>
      <c r="Y267" s="70" t="str">
        <f t="shared" si="88"/>
        <v>E DT-M1@E</v>
      </c>
      <c r="Z267" s="70" t="str">
        <f t="shared" si="89"/>
        <v/>
      </c>
      <c r="AA267" s="70" t="str">
        <f t="shared" si="90"/>
        <v/>
      </c>
      <c r="AC267" s="70" t="str">
        <f t="shared" si="100"/>
        <v>330, 328, 325, 318, 317, 316, 311, 303, 305, 302</v>
      </c>
      <c r="AD267" s="70" t="str">
        <f t="shared" si="101"/>
        <v>302, 305, 307, 306, M1</v>
      </c>
      <c r="AE267" s="70" t="str">
        <f t="shared" si="102"/>
        <v/>
      </c>
      <c r="AF267" s="70" t="str">
        <f t="shared" si="103"/>
        <v/>
      </c>
      <c r="AH267" s="70" t="str">
        <f t="shared" si="104"/>
        <v>30, 04</v>
      </c>
      <c r="AI267" s="70" t="str">
        <f t="shared" si="105"/>
        <v>03</v>
      </c>
      <c r="AJ267" s="70" t="str">
        <f t="shared" si="106"/>
        <v/>
      </c>
      <c r="AK267" s="70" t="str">
        <f t="shared" si="107"/>
        <v/>
      </c>
      <c r="AM267" s="166" t="str">
        <f t="shared" si="108"/>
        <v>5W-W AV</v>
      </c>
      <c r="AN267" s="171" t="s">
        <v>931</v>
      </c>
      <c r="AO267" s="167" t="s">
        <v>879</v>
      </c>
      <c r="AP267" s="167" t="s">
        <v>500</v>
      </c>
    </row>
    <row r="268" spans="1:42" ht="20.100000000000001" customHeight="1" thickBot="1">
      <c r="A268" s="45" t="s">
        <v>932</v>
      </c>
      <c r="B268" s="45" t="s">
        <v>861</v>
      </c>
      <c r="C268" s="45" t="s">
        <v>923</v>
      </c>
      <c r="E268" s="45">
        <f t="shared" si="94"/>
        <v>5</v>
      </c>
      <c r="F268" s="45">
        <f t="shared" si="95"/>
        <v>3</v>
      </c>
      <c r="G268" s="45" t="str">
        <f t="shared" si="96"/>
        <v>M1</v>
      </c>
      <c r="H268" s="45" t="str">
        <f t="shared" si="97"/>
        <v>3E</v>
      </c>
      <c r="J268" s="45" t="str">
        <f t="shared" si="98"/>
        <v>3E</v>
      </c>
      <c r="K268" s="45" t="s">
        <v>130</v>
      </c>
      <c r="L268" s="45" t="str">
        <f t="shared" si="99"/>
        <v>M1-3E@E</v>
      </c>
      <c r="M268" s="75" t="str">
        <f t="shared" si="92"/>
        <v>302, 305, 307, 306, M1, 330, 328, 325, 318, 317, 316, 311, 303, 305, 302</v>
      </c>
      <c r="N268" s="75" t="str">
        <f t="shared" si="93"/>
        <v>06, 03, 10, 16</v>
      </c>
      <c r="R268" s="70" t="s">
        <v>863</v>
      </c>
      <c r="S268" s="70" t="s">
        <v>53</v>
      </c>
      <c r="T268" s="70" t="s">
        <v>293</v>
      </c>
      <c r="U268" s="70"/>
      <c r="V268" s="70"/>
      <c r="X268" s="70" t="str">
        <f t="shared" si="87"/>
        <v>M1-E DT@E</v>
      </c>
      <c r="Y268" s="70" t="str">
        <f t="shared" si="88"/>
        <v>E DT-3E@E</v>
      </c>
      <c r="Z268" s="70" t="str">
        <f t="shared" si="89"/>
        <v/>
      </c>
      <c r="AA268" s="70" t="str">
        <f t="shared" si="90"/>
        <v/>
      </c>
      <c r="AC268" s="70" t="str">
        <f t="shared" si="100"/>
        <v>302, 305, 307, 306, M1</v>
      </c>
      <c r="AD268" s="70" t="str">
        <f t="shared" si="101"/>
        <v>330, 328, 325, 318, 317, 316, 311, 303, 305, 302</v>
      </c>
      <c r="AE268" s="70" t="str">
        <f t="shared" si="102"/>
        <v/>
      </c>
      <c r="AF268" s="70" t="str">
        <f t="shared" si="103"/>
        <v/>
      </c>
      <c r="AH268" s="70" t="str">
        <f t="shared" si="104"/>
        <v>06</v>
      </c>
      <c r="AI268" s="70" t="str">
        <f t="shared" si="105"/>
        <v>03, 10, 16</v>
      </c>
      <c r="AJ268" s="70" t="str">
        <f t="shared" si="106"/>
        <v/>
      </c>
      <c r="AK268" s="70" t="str">
        <f t="shared" si="107"/>
        <v/>
      </c>
      <c r="AM268" s="166" t="str">
        <f t="shared" si="108"/>
        <v>6E-W AV</v>
      </c>
      <c r="AN268" s="171" t="s">
        <v>933</v>
      </c>
      <c r="AO268" s="167" t="s">
        <v>879</v>
      </c>
      <c r="AP268" s="167" t="s">
        <v>505</v>
      </c>
    </row>
    <row r="269" spans="1:42" ht="20.100000000000001" customHeight="1" thickBot="1">
      <c r="A269" s="45" t="s">
        <v>934</v>
      </c>
      <c r="B269" s="45" t="s">
        <v>297</v>
      </c>
      <c r="C269" s="45" t="s">
        <v>926</v>
      </c>
      <c r="E269" s="45">
        <f t="shared" si="94"/>
        <v>5</v>
      </c>
      <c r="F269" s="45">
        <f t="shared" si="95"/>
        <v>3</v>
      </c>
      <c r="G269" s="45" t="str">
        <f t="shared" si="96"/>
        <v>3E</v>
      </c>
      <c r="H269" s="45" t="str">
        <f t="shared" si="97"/>
        <v>M1</v>
      </c>
      <c r="J269" s="45" t="str">
        <f t="shared" si="98"/>
        <v>M1</v>
      </c>
      <c r="K269" s="45" t="s">
        <v>130</v>
      </c>
      <c r="L269" s="45" t="str">
        <f t="shared" si="99"/>
        <v>3E-M1@E</v>
      </c>
      <c r="M269" s="75" t="str">
        <f t="shared" si="92"/>
        <v>330, 328, 325, 318, 317, 316, 311, 303, 305, 302, 302, 305, 307, 306, M1</v>
      </c>
      <c r="N269" s="75" t="str">
        <f t="shared" si="93"/>
        <v>31, 04, 03</v>
      </c>
      <c r="R269" s="70" t="s">
        <v>293</v>
      </c>
      <c r="S269" s="70" t="s">
        <v>53</v>
      </c>
      <c r="T269" s="70" t="s">
        <v>863</v>
      </c>
      <c r="U269" s="70"/>
      <c r="V269" s="70"/>
      <c r="X269" s="70" t="str">
        <f t="shared" si="87"/>
        <v>3E-E DT@E</v>
      </c>
      <c r="Y269" s="70" t="str">
        <f t="shared" si="88"/>
        <v>E DT-M1@E</v>
      </c>
      <c r="Z269" s="70" t="str">
        <f t="shared" si="89"/>
        <v/>
      </c>
      <c r="AA269" s="70" t="str">
        <f t="shared" si="90"/>
        <v/>
      </c>
      <c r="AC269" s="70" t="str">
        <f t="shared" si="100"/>
        <v>330, 328, 325, 318, 317, 316, 311, 303, 305, 302</v>
      </c>
      <c r="AD269" s="70" t="str">
        <f t="shared" si="101"/>
        <v>302, 305, 307, 306, M1</v>
      </c>
      <c r="AE269" s="70" t="str">
        <f t="shared" si="102"/>
        <v/>
      </c>
      <c r="AF269" s="70" t="str">
        <f t="shared" si="103"/>
        <v/>
      </c>
      <c r="AH269" s="70" t="str">
        <f t="shared" si="104"/>
        <v>31, 04</v>
      </c>
      <c r="AI269" s="70" t="str">
        <f t="shared" si="105"/>
        <v>03</v>
      </c>
      <c r="AJ269" s="70" t="str">
        <f t="shared" si="106"/>
        <v/>
      </c>
      <c r="AK269" s="70" t="str">
        <f t="shared" si="107"/>
        <v/>
      </c>
      <c r="AM269" s="166" t="str">
        <f t="shared" si="108"/>
        <v>6W-W AV</v>
      </c>
      <c r="AN269" s="171" t="s">
        <v>935</v>
      </c>
      <c r="AO269" s="167" t="s">
        <v>879</v>
      </c>
      <c r="AP269" s="167" t="s">
        <v>505</v>
      </c>
    </row>
    <row r="270" spans="1:42" ht="20.100000000000001" customHeight="1" thickBot="1">
      <c r="A270" s="45" t="s">
        <v>936</v>
      </c>
      <c r="B270" s="45" t="s">
        <v>861</v>
      </c>
      <c r="C270" s="45" t="s">
        <v>923</v>
      </c>
      <c r="E270" s="45">
        <f t="shared" si="94"/>
        <v>5</v>
      </c>
      <c r="F270" s="45">
        <f t="shared" si="95"/>
        <v>3</v>
      </c>
      <c r="G270" s="45" t="str">
        <f t="shared" si="96"/>
        <v>M1</v>
      </c>
      <c r="H270" s="45" t="str">
        <f t="shared" si="97"/>
        <v>3W</v>
      </c>
      <c r="J270" s="45" t="str">
        <f t="shared" si="98"/>
        <v>3W</v>
      </c>
      <c r="K270" s="45" t="s">
        <v>130</v>
      </c>
      <c r="L270" s="45" t="str">
        <f t="shared" si="99"/>
        <v>M1-3W@E</v>
      </c>
      <c r="M270" s="75" t="str">
        <f t="shared" si="92"/>
        <v>302, 305, 307, 306, M1, 330, 328, 325, 318, 317, 316, 311, 303, 305, 302</v>
      </c>
      <c r="N270" s="75" t="str">
        <f t="shared" si="93"/>
        <v>06, 03, 10, 16</v>
      </c>
      <c r="R270" s="70" t="s">
        <v>863</v>
      </c>
      <c r="S270" s="70" t="s">
        <v>53</v>
      </c>
      <c r="T270" s="70" t="s">
        <v>301</v>
      </c>
      <c r="U270" s="70"/>
      <c r="V270" s="70"/>
      <c r="X270" s="70" t="str">
        <f t="shared" si="87"/>
        <v>M1-E DT@E</v>
      </c>
      <c r="Y270" s="70" t="str">
        <f t="shared" si="88"/>
        <v>E DT-3W@E</v>
      </c>
      <c r="Z270" s="70" t="str">
        <f t="shared" si="89"/>
        <v/>
      </c>
      <c r="AA270" s="70" t="str">
        <f t="shared" si="90"/>
        <v/>
      </c>
      <c r="AC270" s="70" t="str">
        <f t="shared" si="100"/>
        <v>302, 305, 307, 306, M1</v>
      </c>
      <c r="AD270" s="70" t="str">
        <f t="shared" si="101"/>
        <v>330, 328, 325, 318, 317, 316, 311, 303, 305, 302</v>
      </c>
      <c r="AE270" s="70" t="str">
        <f t="shared" si="102"/>
        <v/>
      </c>
      <c r="AF270" s="70" t="str">
        <f t="shared" si="103"/>
        <v/>
      </c>
      <c r="AH270" s="70" t="str">
        <f t="shared" si="104"/>
        <v>06</v>
      </c>
      <c r="AI270" s="70" t="str">
        <f t="shared" si="105"/>
        <v>03, 10, 16</v>
      </c>
      <c r="AJ270" s="70" t="str">
        <f t="shared" si="106"/>
        <v/>
      </c>
      <c r="AK270" s="70" t="str">
        <f t="shared" si="107"/>
        <v/>
      </c>
      <c r="AM270" s="166" t="str">
        <f t="shared" si="108"/>
        <v>7E-W AV</v>
      </c>
      <c r="AN270" s="171" t="s">
        <v>937</v>
      </c>
      <c r="AO270" s="167" t="s">
        <v>886</v>
      </c>
      <c r="AP270" s="167" t="s">
        <v>511</v>
      </c>
    </row>
    <row r="271" spans="1:42" ht="20.100000000000001" customHeight="1" thickBot="1">
      <c r="A271" s="45" t="s">
        <v>938</v>
      </c>
      <c r="B271" s="45" t="s">
        <v>297</v>
      </c>
      <c r="C271" s="45" t="s">
        <v>926</v>
      </c>
      <c r="E271" s="45">
        <f t="shared" si="94"/>
        <v>5</v>
      </c>
      <c r="F271" s="45">
        <f t="shared" si="95"/>
        <v>3</v>
      </c>
      <c r="G271" s="45" t="str">
        <f t="shared" si="96"/>
        <v>3W</v>
      </c>
      <c r="H271" s="45" t="str">
        <f t="shared" si="97"/>
        <v>M1</v>
      </c>
      <c r="J271" s="45" t="str">
        <f t="shared" si="98"/>
        <v>M1</v>
      </c>
      <c r="K271" s="45" t="s">
        <v>130</v>
      </c>
      <c r="L271" s="45" t="str">
        <f t="shared" si="99"/>
        <v>3W-M1@E</v>
      </c>
      <c r="M271" s="75" t="str">
        <f t="shared" si="92"/>
        <v>330, 328, 325, 318, 317, 316, 311, 303, 305, 302, 302, 305, 307, 306, M1</v>
      </c>
      <c r="N271" s="75" t="str">
        <f t="shared" si="93"/>
        <v>31, 04, 03</v>
      </c>
      <c r="R271" s="70" t="s">
        <v>301</v>
      </c>
      <c r="S271" s="70" t="s">
        <v>53</v>
      </c>
      <c r="T271" s="70" t="s">
        <v>863</v>
      </c>
      <c r="U271" s="70"/>
      <c r="V271" s="70"/>
      <c r="X271" s="70" t="str">
        <f t="shared" si="87"/>
        <v>3W-E DT@E</v>
      </c>
      <c r="Y271" s="70" t="str">
        <f t="shared" si="88"/>
        <v>E DT-M1@E</v>
      </c>
      <c r="Z271" s="70" t="str">
        <f t="shared" si="89"/>
        <v/>
      </c>
      <c r="AA271" s="70" t="str">
        <f t="shared" si="90"/>
        <v/>
      </c>
      <c r="AC271" s="70" t="str">
        <f t="shared" si="100"/>
        <v>330, 328, 325, 318, 317, 316, 311, 303, 305, 302</v>
      </c>
      <c r="AD271" s="70" t="str">
        <f t="shared" si="101"/>
        <v>302, 305, 307, 306, M1</v>
      </c>
      <c r="AE271" s="70" t="str">
        <f t="shared" si="102"/>
        <v/>
      </c>
      <c r="AF271" s="70" t="str">
        <f t="shared" si="103"/>
        <v/>
      </c>
      <c r="AH271" s="70" t="str">
        <f t="shared" si="104"/>
        <v>31, 04</v>
      </c>
      <c r="AI271" s="70" t="str">
        <f t="shared" si="105"/>
        <v>03</v>
      </c>
      <c r="AJ271" s="70" t="str">
        <f t="shared" si="106"/>
        <v/>
      </c>
      <c r="AK271" s="70" t="str">
        <f t="shared" si="107"/>
        <v/>
      </c>
      <c r="AM271" s="166" t="str">
        <f t="shared" si="108"/>
        <v>7W-W AV</v>
      </c>
      <c r="AN271" s="171" t="s">
        <v>939</v>
      </c>
      <c r="AO271" s="167" t="s">
        <v>886</v>
      </c>
      <c r="AP271" s="167" t="s">
        <v>511</v>
      </c>
    </row>
    <row r="272" spans="1:42" ht="20.100000000000001" customHeight="1" thickBot="1">
      <c r="A272" s="45" t="s">
        <v>940</v>
      </c>
      <c r="B272" s="45" t="s">
        <v>861</v>
      </c>
      <c r="C272" s="45" t="s">
        <v>941</v>
      </c>
      <c r="E272" s="45">
        <f t="shared" si="94"/>
        <v>5</v>
      </c>
      <c r="F272" s="45">
        <f t="shared" si="95"/>
        <v>3</v>
      </c>
      <c r="G272" s="45" t="str">
        <f t="shared" si="96"/>
        <v>M1</v>
      </c>
      <c r="H272" s="45" t="str">
        <f t="shared" si="97"/>
        <v>4E</v>
      </c>
      <c r="J272" s="45" t="str">
        <f t="shared" si="98"/>
        <v>4E</v>
      </c>
      <c r="K272" s="45" t="s">
        <v>130</v>
      </c>
      <c r="L272" s="45" t="str">
        <f t="shared" si="99"/>
        <v>M1-4E@E</v>
      </c>
      <c r="M272" s="75" t="str">
        <f t="shared" si="92"/>
        <v>302, 305, 307, 306, M1, 333, 331, 318, 317, 316, 311, 303, 305, 302</v>
      </c>
      <c r="N272" s="75" t="str">
        <f t="shared" si="93"/>
        <v>06, 03, 10, 16</v>
      </c>
      <c r="R272" s="70" t="s">
        <v>863</v>
      </c>
      <c r="S272" s="70" t="s">
        <v>53</v>
      </c>
      <c r="T272" s="70" t="s">
        <v>309</v>
      </c>
      <c r="U272" s="70"/>
      <c r="V272" s="70"/>
      <c r="X272" s="70" t="str">
        <f t="shared" si="87"/>
        <v>M1-E DT@E</v>
      </c>
      <c r="Y272" s="70" t="str">
        <f t="shared" si="88"/>
        <v>E DT-4E@E</v>
      </c>
      <c r="Z272" s="70" t="str">
        <f t="shared" si="89"/>
        <v/>
      </c>
      <c r="AA272" s="70" t="str">
        <f t="shared" si="90"/>
        <v/>
      </c>
      <c r="AC272" s="70" t="str">
        <f t="shared" si="100"/>
        <v>302, 305, 307, 306, M1</v>
      </c>
      <c r="AD272" s="70" t="str">
        <f t="shared" si="101"/>
        <v>333, 331, 318, 317, 316, 311, 303, 305, 302</v>
      </c>
      <c r="AE272" s="70" t="str">
        <f t="shared" si="102"/>
        <v/>
      </c>
      <c r="AF272" s="70" t="str">
        <f t="shared" si="103"/>
        <v/>
      </c>
      <c r="AH272" s="70" t="str">
        <f t="shared" si="104"/>
        <v>06</v>
      </c>
      <c r="AI272" s="70" t="str">
        <f t="shared" si="105"/>
        <v>03, 10, 16</v>
      </c>
      <c r="AJ272" s="70" t="str">
        <f t="shared" si="106"/>
        <v/>
      </c>
      <c r="AK272" s="70" t="str">
        <f t="shared" si="107"/>
        <v/>
      </c>
      <c r="AM272" s="166" t="str">
        <f t="shared" si="108"/>
        <v>8E-W AV</v>
      </c>
      <c r="AN272" s="171" t="s">
        <v>942</v>
      </c>
      <c r="AO272" s="167" t="s">
        <v>886</v>
      </c>
      <c r="AP272" s="167" t="s">
        <v>516</v>
      </c>
    </row>
    <row r="273" spans="1:44" ht="20.100000000000001" customHeight="1" thickBot="1">
      <c r="A273" s="45" t="s">
        <v>943</v>
      </c>
      <c r="B273" s="45" t="s">
        <v>313</v>
      </c>
      <c r="C273" s="45" t="s">
        <v>944</v>
      </c>
      <c r="E273" s="45">
        <f t="shared" si="94"/>
        <v>5</v>
      </c>
      <c r="F273" s="45">
        <f t="shared" si="95"/>
        <v>3</v>
      </c>
      <c r="G273" s="45" t="str">
        <f t="shared" si="96"/>
        <v>4E</v>
      </c>
      <c r="H273" s="45" t="str">
        <f t="shared" si="97"/>
        <v>M1</v>
      </c>
      <c r="J273" s="45" t="str">
        <f t="shared" si="98"/>
        <v>M1</v>
      </c>
      <c r="K273" s="45" t="s">
        <v>130</v>
      </c>
      <c r="L273" s="45" t="str">
        <f t="shared" si="99"/>
        <v>4E-M1@E</v>
      </c>
      <c r="M273" s="75" t="str">
        <f t="shared" si="92"/>
        <v>333, 331, 318, 317, 316, 311, 303, 305, 302, 302, 305, 307, 306, M1</v>
      </c>
      <c r="N273" s="75" t="str">
        <f t="shared" si="93"/>
        <v>32, 04, 03</v>
      </c>
      <c r="R273" s="70" t="s">
        <v>309</v>
      </c>
      <c r="S273" s="70" t="s">
        <v>53</v>
      </c>
      <c r="T273" s="70" t="s">
        <v>863</v>
      </c>
      <c r="U273" s="70"/>
      <c r="V273" s="70"/>
      <c r="X273" s="70" t="str">
        <f t="shared" si="87"/>
        <v>4E-E DT@E</v>
      </c>
      <c r="Y273" s="70" t="str">
        <f t="shared" si="88"/>
        <v>E DT-M1@E</v>
      </c>
      <c r="Z273" s="70" t="str">
        <f t="shared" si="89"/>
        <v/>
      </c>
      <c r="AA273" s="70" t="str">
        <f t="shared" si="90"/>
        <v/>
      </c>
      <c r="AC273" s="70" t="str">
        <f t="shared" si="100"/>
        <v>333, 331, 318, 317, 316, 311, 303, 305, 302</v>
      </c>
      <c r="AD273" s="70" t="str">
        <f t="shared" si="101"/>
        <v>302, 305, 307, 306, M1</v>
      </c>
      <c r="AE273" s="70" t="str">
        <f t="shared" si="102"/>
        <v/>
      </c>
      <c r="AF273" s="70" t="str">
        <f t="shared" si="103"/>
        <v/>
      </c>
      <c r="AH273" s="70" t="str">
        <f t="shared" si="104"/>
        <v>32, 04</v>
      </c>
      <c r="AI273" s="70" t="str">
        <f t="shared" si="105"/>
        <v>03</v>
      </c>
      <c r="AJ273" s="70" t="str">
        <f t="shared" si="106"/>
        <v/>
      </c>
      <c r="AK273" s="70" t="str">
        <f t="shared" si="107"/>
        <v/>
      </c>
      <c r="AM273" s="166" t="str">
        <f t="shared" si="108"/>
        <v>8W-W AV</v>
      </c>
      <c r="AN273" s="171" t="s">
        <v>945</v>
      </c>
      <c r="AO273" s="167" t="s">
        <v>886</v>
      </c>
      <c r="AP273" s="167" t="s">
        <v>516</v>
      </c>
    </row>
    <row r="274" spans="1:44" ht="20.100000000000001" customHeight="1" thickBot="1">
      <c r="A274" s="45" t="s">
        <v>946</v>
      </c>
      <c r="B274" s="45" t="s">
        <v>861</v>
      </c>
      <c r="C274" s="45" t="s">
        <v>941</v>
      </c>
      <c r="E274" s="45">
        <f t="shared" si="94"/>
        <v>5</v>
      </c>
      <c r="F274" s="45">
        <f t="shared" si="95"/>
        <v>3</v>
      </c>
      <c r="G274" s="45" t="str">
        <f t="shared" si="96"/>
        <v>M1</v>
      </c>
      <c r="H274" s="45" t="str">
        <f t="shared" si="97"/>
        <v>4W</v>
      </c>
      <c r="J274" s="45" t="str">
        <f t="shared" si="98"/>
        <v>4W</v>
      </c>
      <c r="K274" s="45" t="s">
        <v>130</v>
      </c>
      <c r="L274" s="45" t="str">
        <f t="shared" si="99"/>
        <v>M1-4W@E</v>
      </c>
      <c r="M274" s="75" t="str">
        <f t="shared" si="92"/>
        <v>302, 305, 307, 306, M1, 333, 331, 318, 317, 316, 311, 303, 305, 302</v>
      </c>
      <c r="N274" s="75" t="str">
        <f t="shared" si="93"/>
        <v>06, 03, 10, 16</v>
      </c>
      <c r="R274" s="70" t="s">
        <v>863</v>
      </c>
      <c r="S274" s="70" t="s">
        <v>53</v>
      </c>
      <c r="T274" s="70" t="s">
        <v>318</v>
      </c>
      <c r="U274" s="70"/>
      <c r="V274" s="70"/>
      <c r="X274" s="70" t="str">
        <f t="shared" si="87"/>
        <v>M1-E DT@E</v>
      </c>
      <c r="Y274" s="70" t="str">
        <f t="shared" si="88"/>
        <v>E DT-4W@E</v>
      </c>
      <c r="Z274" s="70" t="str">
        <f t="shared" si="89"/>
        <v/>
      </c>
      <c r="AA274" s="70" t="str">
        <f t="shared" si="90"/>
        <v/>
      </c>
      <c r="AC274" s="70" t="str">
        <f t="shared" si="100"/>
        <v>302, 305, 307, 306, M1</v>
      </c>
      <c r="AD274" s="70" t="str">
        <f t="shared" si="101"/>
        <v>333, 331, 318, 317, 316, 311, 303, 305, 302</v>
      </c>
      <c r="AE274" s="70" t="str">
        <f t="shared" si="102"/>
        <v/>
      </c>
      <c r="AF274" s="70" t="str">
        <f t="shared" si="103"/>
        <v/>
      </c>
      <c r="AH274" s="70" t="str">
        <f t="shared" si="104"/>
        <v>06</v>
      </c>
      <c r="AI274" s="70" t="str">
        <f t="shared" si="105"/>
        <v>03, 10, 16</v>
      </c>
      <c r="AJ274" s="70" t="str">
        <f t="shared" si="106"/>
        <v/>
      </c>
      <c r="AK274" s="70" t="str">
        <f t="shared" si="107"/>
        <v/>
      </c>
      <c r="AM274" s="166" t="str">
        <f t="shared" si="108"/>
        <v>LS1-LS2</v>
      </c>
      <c r="AN274" s="170" t="s">
        <v>947</v>
      </c>
      <c r="AO274" s="167" t="s">
        <v>948</v>
      </c>
      <c r="AP274" s="167"/>
      <c r="AR274" s="45" t="s">
        <v>948</v>
      </c>
    </row>
    <row r="275" spans="1:44" ht="20.100000000000001" customHeight="1" thickBot="1">
      <c r="A275" s="45" t="s">
        <v>949</v>
      </c>
      <c r="B275" s="45" t="s">
        <v>313</v>
      </c>
      <c r="C275" s="45" t="s">
        <v>944</v>
      </c>
      <c r="E275" s="45">
        <f t="shared" si="94"/>
        <v>5</v>
      </c>
      <c r="F275" s="45">
        <f t="shared" si="95"/>
        <v>3</v>
      </c>
      <c r="G275" s="45" t="str">
        <f t="shared" si="96"/>
        <v>4W</v>
      </c>
      <c r="H275" s="45" t="str">
        <f t="shared" si="97"/>
        <v>M1</v>
      </c>
      <c r="J275" s="45" t="str">
        <f t="shared" si="98"/>
        <v>M1</v>
      </c>
      <c r="K275" s="45" t="s">
        <v>130</v>
      </c>
      <c r="L275" s="45" t="str">
        <f t="shared" si="99"/>
        <v>4W-M1@E</v>
      </c>
      <c r="M275" s="75" t="str">
        <f t="shared" si="92"/>
        <v>333, 331, 318, 317, 316, 311, 303, 305, 302, 302, 305, 307, 306, M1</v>
      </c>
      <c r="N275" s="75" t="str">
        <f t="shared" si="93"/>
        <v>32, 04, 03</v>
      </c>
      <c r="R275" s="70" t="s">
        <v>318</v>
      </c>
      <c r="S275" s="70" t="s">
        <v>53</v>
      </c>
      <c r="T275" s="70" t="s">
        <v>863</v>
      </c>
      <c r="U275" s="70"/>
      <c r="V275" s="70"/>
      <c r="X275" s="70" t="str">
        <f t="shared" ref="X275:X338" si="109">IF(S275="","",CONCATENATE(R275,"-",S275,"@",$K275))</f>
        <v>4W-E DT@E</v>
      </c>
      <c r="Y275" s="70" t="str">
        <f t="shared" ref="Y275:Y338" si="110">IF(T275="","",CONCATENATE(S275,"-",T275,"@",$K275))</f>
        <v>E DT-M1@E</v>
      </c>
      <c r="Z275" s="70" t="str">
        <f t="shared" ref="Z275:Z338" si="111">IF(U275="","",CONCATENATE(T275,"-",U275,"@",$K275))</f>
        <v/>
      </c>
      <c r="AA275" s="70" t="str">
        <f t="shared" ref="AA275:AA338" si="112">IF(V275="","",CONCATENATE(U275,"-",V275,"@",$K275))</f>
        <v/>
      </c>
      <c r="AC275" s="70" t="str">
        <f t="shared" si="100"/>
        <v>333, 331, 318, 317, 316, 311, 303, 305, 302</v>
      </c>
      <c r="AD275" s="70" t="str">
        <f t="shared" si="101"/>
        <v>302, 305, 307, 306, M1</v>
      </c>
      <c r="AE275" s="70" t="str">
        <f t="shared" si="102"/>
        <v/>
      </c>
      <c r="AF275" s="70" t="str">
        <f t="shared" si="103"/>
        <v/>
      </c>
      <c r="AH275" s="70" t="str">
        <f t="shared" si="104"/>
        <v>32, 04</v>
      </c>
      <c r="AI275" s="70" t="str">
        <f t="shared" si="105"/>
        <v>03</v>
      </c>
      <c r="AJ275" s="70" t="str">
        <f t="shared" si="106"/>
        <v/>
      </c>
      <c r="AK275" s="70" t="str">
        <f t="shared" si="107"/>
        <v/>
      </c>
      <c r="AM275" s="166" t="str">
        <f t="shared" si="108"/>
        <v>LS1-LS3</v>
      </c>
      <c r="AN275" s="171" t="s">
        <v>950</v>
      </c>
      <c r="AO275" s="167" t="s">
        <v>951</v>
      </c>
      <c r="AP275" s="167"/>
      <c r="AR275" s="45" t="s">
        <v>951</v>
      </c>
    </row>
    <row r="276" spans="1:44" ht="20.100000000000001" customHeight="1" thickBot="1">
      <c r="A276" s="45" t="s">
        <v>952</v>
      </c>
      <c r="B276" s="45" t="s">
        <v>861</v>
      </c>
      <c r="C276" s="45" t="s">
        <v>941</v>
      </c>
      <c r="E276" s="45">
        <f t="shared" si="94"/>
        <v>5</v>
      </c>
      <c r="F276" s="45">
        <f t="shared" si="95"/>
        <v>3</v>
      </c>
      <c r="G276" s="45" t="str">
        <f t="shared" si="96"/>
        <v>M1</v>
      </c>
      <c r="H276" s="45" t="str">
        <f t="shared" si="97"/>
        <v>5E</v>
      </c>
      <c r="J276" s="45" t="str">
        <f t="shared" si="98"/>
        <v>5E</v>
      </c>
      <c r="K276" s="45" t="s">
        <v>130</v>
      </c>
      <c r="L276" s="45" t="str">
        <f t="shared" si="99"/>
        <v>M1-5E@E</v>
      </c>
      <c r="M276" s="75" t="str">
        <f t="shared" si="92"/>
        <v>302, 305, 307, 306, M1, 333, 331, 318, 317, 316, 311, 303, 305, 302</v>
      </c>
      <c r="N276" s="75" t="str">
        <f t="shared" si="93"/>
        <v>06, 03, 10, 16</v>
      </c>
      <c r="R276" s="70" t="s">
        <v>863</v>
      </c>
      <c r="S276" s="70" t="s">
        <v>53</v>
      </c>
      <c r="T276" s="70" t="s">
        <v>325</v>
      </c>
      <c r="U276" s="70"/>
      <c r="V276" s="70"/>
      <c r="X276" s="70" t="str">
        <f t="shared" si="109"/>
        <v>M1-E DT@E</v>
      </c>
      <c r="Y276" s="70" t="str">
        <f t="shared" si="110"/>
        <v>E DT-5E@E</v>
      </c>
      <c r="Z276" s="70" t="str">
        <f t="shared" si="111"/>
        <v/>
      </c>
      <c r="AA276" s="70" t="str">
        <f t="shared" si="112"/>
        <v/>
      </c>
      <c r="AC276" s="70" t="str">
        <f t="shared" si="100"/>
        <v>302, 305, 307, 306, M1</v>
      </c>
      <c r="AD276" s="70" t="str">
        <f t="shared" si="101"/>
        <v>333, 331, 318, 317, 316, 311, 303, 305, 302</v>
      </c>
      <c r="AE276" s="70" t="str">
        <f t="shared" si="102"/>
        <v/>
      </c>
      <c r="AF276" s="70" t="str">
        <f t="shared" si="103"/>
        <v/>
      </c>
      <c r="AH276" s="70" t="str">
        <f t="shared" si="104"/>
        <v>06</v>
      </c>
      <c r="AI276" s="70" t="str">
        <f t="shared" si="105"/>
        <v>03, 10, 16</v>
      </c>
      <c r="AJ276" s="70" t="str">
        <f t="shared" si="106"/>
        <v/>
      </c>
      <c r="AK276" s="70" t="str">
        <f t="shared" si="107"/>
        <v/>
      </c>
      <c r="AM276" s="166" t="str">
        <f t="shared" si="108"/>
        <v>LS2-LS1</v>
      </c>
      <c r="AN276" s="171" t="s">
        <v>953</v>
      </c>
      <c r="AO276" s="167" t="s">
        <v>948</v>
      </c>
      <c r="AP276" s="167"/>
      <c r="AR276" s="45" t="s">
        <v>948</v>
      </c>
    </row>
    <row r="277" spans="1:44" ht="20.100000000000001" customHeight="1" thickBot="1">
      <c r="A277" s="45" t="s">
        <v>954</v>
      </c>
      <c r="B277" s="45" t="s">
        <v>329</v>
      </c>
      <c r="C277" s="45" t="s">
        <v>944</v>
      </c>
      <c r="E277" s="45">
        <f t="shared" si="94"/>
        <v>5</v>
      </c>
      <c r="F277" s="45">
        <f t="shared" si="95"/>
        <v>3</v>
      </c>
      <c r="G277" s="45" t="str">
        <f t="shared" si="96"/>
        <v>5E</v>
      </c>
      <c r="H277" s="45" t="str">
        <f t="shared" si="97"/>
        <v>M1</v>
      </c>
      <c r="J277" s="45" t="str">
        <f t="shared" si="98"/>
        <v>M1</v>
      </c>
      <c r="K277" s="45" t="s">
        <v>130</v>
      </c>
      <c r="L277" s="45" t="str">
        <f t="shared" si="99"/>
        <v>5E-M1@E</v>
      </c>
      <c r="M277" s="75" t="str">
        <f t="shared" si="92"/>
        <v>333, 331, 318, 317, 316, 311, 303, 305, 302, 302, 305, 307, 306, M1</v>
      </c>
      <c r="N277" s="75" t="str">
        <f t="shared" si="93"/>
        <v>33, 04, 03</v>
      </c>
      <c r="R277" s="70" t="s">
        <v>325</v>
      </c>
      <c r="S277" s="70" t="s">
        <v>53</v>
      </c>
      <c r="T277" s="70" t="s">
        <v>863</v>
      </c>
      <c r="U277" s="70"/>
      <c r="V277" s="70"/>
      <c r="X277" s="70" t="str">
        <f t="shared" si="109"/>
        <v>5E-E DT@E</v>
      </c>
      <c r="Y277" s="70" t="str">
        <f t="shared" si="110"/>
        <v>E DT-M1@E</v>
      </c>
      <c r="Z277" s="70" t="str">
        <f t="shared" si="111"/>
        <v/>
      </c>
      <c r="AA277" s="70" t="str">
        <f t="shared" si="112"/>
        <v/>
      </c>
      <c r="AC277" s="70" t="str">
        <f t="shared" si="100"/>
        <v>333, 331, 318, 317, 316, 311, 303, 305, 302</v>
      </c>
      <c r="AD277" s="70" t="str">
        <f t="shared" si="101"/>
        <v>302, 305, 307, 306, M1</v>
      </c>
      <c r="AE277" s="70" t="str">
        <f t="shared" si="102"/>
        <v/>
      </c>
      <c r="AF277" s="70" t="str">
        <f t="shared" si="103"/>
        <v/>
      </c>
      <c r="AH277" s="70" t="str">
        <f t="shared" si="104"/>
        <v>33, 04</v>
      </c>
      <c r="AI277" s="70" t="str">
        <f t="shared" si="105"/>
        <v>03</v>
      </c>
      <c r="AJ277" s="70" t="str">
        <f t="shared" si="106"/>
        <v/>
      </c>
      <c r="AK277" s="70" t="str">
        <f t="shared" si="107"/>
        <v/>
      </c>
      <c r="AM277" s="166" t="str">
        <f t="shared" si="108"/>
        <v>LS2-LS3</v>
      </c>
      <c r="AN277" s="171" t="s">
        <v>955</v>
      </c>
      <c r="AO277" s="167" t="s">
        <v>951</v>
      </c>
      <c r="AP277" s="167"/>
      <c r="AR277" s="45" t="s">
        <v>951</v>
      </c>
    </row>
    <row r="278" spans="1:44" ht="20.100000000000001" customHeight="1" thickBot="1">
      <c r="A278" s="45" t="s">
        <v>956</v>
      </c>
      <c r="B278" s="45" t="s">
        <v>861</v>
      </c>
      <c r="C278" s="45" t="s">
        <v>941</v>
      </c>
      <c r="E278" s="45">
        <f t="shared" si="94"/>
        <v>5</v>
      </c>
      <c r="F278" s="45">
        <f t="shared" si="95"/>
        <v>3</v>
      </c>
      <c r="G278" s="45" t="str">
        <f t="shared" si="96"/>
        <v>M1</v>
      </c>
      <c r="H278" s="45" t="str">
        <f t="shared" si="97"/>
        <v>5W</v>
      </c>
      <c r="J278" s="45" t="str">
        <f t="shared" si="98"/>
        <v>5W</v>
      </c>
      <c r="K278" s="45" t="s">
        <v>130</v>
      </c>
      <c r="L278" s="45" t="str">
        <f t="shared" si="99"/>
        <v>M1-5W@E</v>
      </c>
      <c r="M278" s="75" t="str">
        <f t="shared" si="92"/>
        <v>302, 305, 307, 306, M1, 333, 331, 318, 317, 316, 311, 303, 305, 302</v>
      </c>
      <c r="N278" s="75" t="str">
        <f t="shared" si="93"/>
        <v>06, 03, 10, 16</v>
      </c>
      <c r="R278" s="70" t="s">
        <v>863</v>
      </c>
      <c r="S278" s="70" t="s">
        <v>53</v>
      </c>
      <c r="T278" s="70" t="s">
        <v>333</v>
      </c>
      <c r="U278" s="70"/>
      <c r="V278" s="70"/>
      <c r="X278" s="70" t="str">
        <f t="shared" si="109"/>
        <v>M1-E DT@E</v>
      </c>
      <c r="Y278" s="70" t="str">
        <f t="shared" si="110"/>
        <v>E DT-5W@E</v>
      </c>
      <c r="Z278" s="70" t="str">
        <f t="shared" si="111"/>
        <v/>
      </c>
      <c r="AA278" s="70" t="str">
        <f t="shared" si="112"/>
        <v/>
      </c>
      <c r="AC278" s="70" t="str">
        <f t="shared" si="100"/>
        <v>302, 305, 307, 306, M1</v>
      </c>
      <c r="AD278" s="70" t="str">
        <f t="shared" si="101"/>
        <v>333, 331, 318, 317, 316, 311, 303, 305, 302</v>
      </c>
      <c r="AE278" s="70" t="str">
        <f t="shared" si="102"/>
        <v/>
      </c>
      <c r="AF278" s="70" t="str">
        <f t="shared" si="103"/>
        <v/>
      </c>
      <c r="AH278" s="70" t="str">
        <f t="shared" si="104"/>
        <v>06</v>
      </c>
      <c r="AI278" s="70" t="str">
        <f t="shared" si="105"/>
        <v>03, 10, 16</v>
      </c>
      <c r="AJ278" s="70" t="str">
        <f t="shared" si="106"/>
        <v/>
      </c>
      <c r="AK278" s="70" t="str">
        <f t="shared" si="107"/>
        <v/>
      </c>
      <c r="AM278" s="166" t="str">
        <f t="shared" si="108"/>
        <v>LS3-LS2</v>
      </c>
      <c r="AN278" s="171" t="s">
        <v>957</v>
      </c>
      <c r="AO278" s="167" t="s">
        <v>958</v>
      </c>
      <c r="AP278" s="167"/>
      <c r="AR278" s="45" t="s">
        <v>958</v>
      </c>
    </row>
    <row r="279" spans="1:44" ht="20.100000000000001" customHeight="1" thickBot="1">
      <c r="A279" s="45" t="s">
        <v>959</v>
      </c>
      <c r="B279" s="45" t="s">
        <v>329</v>
      </c>
      <c r="C279" s="45" t="s">
        <v>944</v>
      </c>
      <c r="E279" s="45">
        <f t="shared" si="94"/>
        <v>5</v>
      </c>
      <c r="F279" s="45">
        <f t="shared" si="95"/>
        <v>3</v>
      </c>
      <c r="G279" s="45" t="str">
        <f t="shared" si="96"/>
        <v>5W</v>
      </c>
      <c r="H279" s="45" t="str">
        <f t="shared" si="97"/>
        <v>M1</v>
      </c>
      <c r="J279" s="45" t="str">
        <f t="shared" si="98"/>
        <v>M1</v>
      </c>
      <c r="K279" s="45" t="s">
        <v>130</v>
      </c>
      <c r="L279" s="45" t="str">
        <f t="shared" si="99"/>
        <v>5W-M1@E</v>
      </c>
      <c r="M279" s="75" t="str">
        <f t="shared" si="92"/>
        <v>333, 331, 318, 317, 316, 311, 303, 305, 302, 302, 305, 307, 306, M1</v>
      </c>
      <c r="N279" s="75" t="str">
        <f t="shared" si="93"/>
        <v>33, 04, 03</v>
      </c>
      <c r="R279" s="70" t="s">
        <v>333</v>
      </c>
      <c r="S279" s="70" t="s">
        <v>53</v>
      </c>
      <c r="T279" s="70" t="s">
        <v>863</v>
      </c>
      <c r="U279" s="70"/>
      <c r="V279" s="70"/>
      <c r="X279" s="70" t="str">
        <f t="shared" si="109"/>
        <v>5W-E DT@E</v>
      </c>
      <c r="Y279" s="70" t="str">
        <f t="shared" si="110"/>
        <v>E DT-M1@E</v>
      </c>
      <c r="Z279" s="70" t="str">
        <f t="shared" si="111"/>
        <v/>
      </c>
      <c r="AA279" s="70" t="str">
        <f t="shared" si="112"/>
        <v/>
      </c>
      <c r="AC279" s="70" t="str">
        <f t="shared" si="100"/>
        <v>333, 331, 318, 317, 316, 311, 303, 305, 302</v>
      </c>
      <c r="AD279" s="70" t="str">
        <f t="shared" si="101"/>
        <v>302, 305, 307, 306, M1</v>
      </c>
      <c r="AE279" s="70" t="str">
        <f t="shared" si="102"/>
        <v/>
      </c>
      <c r="AF279" s="70" t="str">
        <f t="shared" si="103"/>
        <v/>
      </c>
      <c r="AH279" s="70" t="str">
        <f t="shared" si="104"/>
        <v>33, 04</v>
      </c>
      <c r="AI279" s="70" t="str">
        <f t="shared" si="105"/>
        <v>03</v>
      </c>
      <c r="AJ279" s="70" t="str">
        <f t="shared" si="106"/>
        <v/>
      </c>
      <c r="AK279" s="70" t="str">
        <f t="shared" si="107"/>
        <v/>
      </c>
      <c r="AM279" s="166" t="str">
        <f t="shared" si="108"/>
        <v>LS3-LS1</v>
      </c>
      <c r="AN279" s="171" t="s">
        <v>960</v>
      </c>
      <c r="AO279" s="167" t="s">
        <v>958</v>
      </c>
      <c r="AP279" s="167"/>
      <c r="AR279" s="45" t="s">
        <v>958</v>
      </c>
    </row>
    <row r="280" spans="1:44" ht="20.100000000000001" customHeight="1" thickBot="1">
      <c r="A280" s="45" t="s">
        <v>961</v>
      </c>
      <c r="B280" s="45" t="s">
        <v>861</v>
      </c>
      <c r="C280" s="45" t="s">
        <v>962</v>
      </c>
      <c r="E280" s="45">
        <f t="shared" si="94"/>
        <v>5</v>
      </c>
      <c r="F280" s="45">
        <f t="shared" si="95"/>
        <v>3</v>
      </c>
      <c r="G280" s="45" t="str">
        <f t="shared" si="96"/>
        <v>M1</v>
      </c>
      <c r="H280" s="45" t="str">
        <f t="shared" si="97"/>
        <v>6E</v>
      </c>
      <c r="J280" s="45" t="str">
        <f t="shared" si="98"/>
        <v>6E</v>
      </c>
      <c r="K280" s="45" t="s">
        <v>130</v>
      </c>
      <c r="L280" s="45" t="str">
        <f t="shared" si="99"/>
        <v>M1-6E@E</v>
      </c>
      <c r="M280" s="75" t="str">
        <f t="shared" si="92"/>
        <v>302, 305, 307, 306, M1, 332, 331, 318, 317, 316, 311, 303, 305, 302</v>
      </c>
      <c r="N280" s="75" t="str">
        <f t="shared" si="93"/>
        <v>06, 03, 10, 16</v>
      </c>
      <c r="R280" s="70" t="s">
        <v>863</v>
      </c>
      <c r="S280" s="70" t="s">
        <v>53</v>
      </c>
      <c r="T280" s="70" t="s">
        <v>339</v>
      </c>
      <c r="U280" s="70"/>
      <c r="V280" s="70"/>
      <c r="X280" s="70" t="str">
        <f t="shared" si="109"/>
        <v>M1-E DT@E</v>
      </c>
      <c r="Y280" s="70" t="str">
        <f t="shared" si="110"/>
        <v>E DT-6E@E</v>
      </c>
      <c r="Z280" s="70" t="str">
        <f t="shared" si="111"/>
        <v/>
      </c>
      <c r="AA280" s="70" t="str">
        <f t="shared" si="112"/>
        <v/>
      </c>
      <c r="AC280" s="70" t="str">
        <f t="shared" si="100"/>
        <v>302, 305, 307, 306, M1</v>
      </c>
      <c r="AD280" s="70" t="str">
        <f t="shared" si="101"/>
        <v>332, 331, 318, 317, 316, 311, 303, 305, 302</v>
      </c>
      <c r="AE280" s="70" t="str">
        <f t="shared" si="102"/>
        <v/>
      </c>
      <c r="AF280" s="70" t="str">
        <f t="shared" si="103"/>
        <v/>
      </c>
      <c r="AH280" s="70" t="str">
        <f t="shared" si="104"/>
        <v>06</v>
      </c>
      <c r="AI280" s="70" t="str">
        <f t="shared" si="105"/>
        <v>03, 10, 16</v>
      </c>
      <c r="AJ280" s="70" t="str">
        <f t="shared" si="106"/>
        <v/>
      </c>
      <c r="AK280" s="70" t="str">
        <f t="shared" si="107"/>
        <v/>
      </c>
      <c r="AM280" s="166" t="str">
        <f t="shared" si="108"/>
        <v>M5-M2</v>
      </c>
      <c r="AN280" s="170" t="s">
        <v>963</v>
      </c>
      <c r="AO280" s="167" t="s">
        <v>964</v>
      </c>
      <c r="AP280" s="167"/>
    </row>
    <row r="281" spans="1:44" ht="20.100000000000001" customHeight="1" thickBot="1">
      <c r="A281" s="45" t="s">
        <v>965</v>
      </c>
      <c r="B281" s="45" t="s">
        <v>342</v>
      </c>
      <c r="C281" s="45" t="s">
        <v>966</v>
      </c>
      <c r="E281" s="45">
        <f t="shared" si="94"/>
        <v>5</v>
      </c>
      <c r="F281" s="45">
        <f t="shared" si="95"/>
        <v>3</v>
      </c>
      <c r="G281" s="45" t="str">
        <f t="shared" si="96"/>
        <v>6E</v>
      </c>
      <c r="H281" s="45" t="str">
        <f t="shared" si="97"/>
        <v>M1</v>
      </c>
      <c r="J281" s="45" t="str">
        <f t="shared" si="98"/>
        <v>M1</v>
      </c>
      <c r="K281" s="45" t="s">
        <v>130</v>
      </c>
      <c r="L281" s="45" t="str">
        <f t="shared" si="99"/>
        <v>6E-M1@E</v>
      </c>
      <c r="M281" s="75" t="str">
        <f t="shared" si="92"/>
        <v>332, 331, 318, 317, 316, 311, 303, 305, 302, 302, 305, 307, 306, M1</v>
      </c>
      <c r="N281" s="75" t="str">
        <f t="shared" si="93"/>
        <v>34, 04, 03</v>
      </c>
      <c r="R281" s="70" t="s">
        <v>339</v>
      </c>
      <c r="S281" s="70" t="s">
        <v>53</v>
      </c>
      <c r="T281" s="70" t="s">
        <v>863</v>
      </c>
      <c r="U281" s="70"/>
      <c r="V281" s="70"/>
      <c r="X281" s="70" t="str">
        <f t="shared" si="109"/>
        <v>6E-E DT@E</v>
      </c>
      <c r="Y281" s="70" t="str">
        <f t="shared" si="110"/>
        <v>E DT-M1@E</v>
      </c>
      <c r="Z281" s="70" t="str">
        <f t="shared" si="111"/>
        <v/>
      </c>
      <c r="AA281" s="70" t="str">
        <f t="shared" si="112"/>
        <v/>
      </c>
      <c r="AC281" s="70" t="str">
        <f t="shared" si="100"/>
        <v>332, 331, 318, 317, 316, 311, 303, 305, 302</v>
      </c>
      <c r="AD281" s="70" t="str">
        <f t="shared" si="101"/>
        <v>302, 305, 307, 306, M1</v>
      </c>
      <c r="AE281" s="70" t="str">
        <f t="shared" si="102"/>
        <v/>
      </c>
      <c r="AF281" s="70" t="str">
        <f t="shared" si="103"/>
        <v/>
      </c>
      <c r="AH281" s="70" t="str">
        <f t="shared" si="104"/>
        <v>34, 04</v>
      </c>
      <c r="AI281" s="70" t="str">
        <f t="shared" si="105"/>
        <v>03</v>
      </c>
      <c r="AJ281" s="70" t="str">
        <f t="shared" si="106"/>
        <v/>
      </c>
      <c r="AK281" s="70" t="str">
        <f t="shared" si="107"/>
        <v/>
      </c>
      <c r="AM281" s="166" t="str">
        <f t="shared" si="108"/>
        <v>M4-M2</v>
      </c>
      <c r="AN281" s="170" t="s">
        <v>319</v>
      </c>
      <c r="AO281" s="167" t="s">
        <v>964</v>
      </c>
      <c r="AP281" s="167"/>
    </row>
    <row r="282" spans="1:44" ht="20.100000000000001" customHeight="1" thickBot="1">
      <c r="A282" s="45" t="s">
        <v>967</v>
      </c>
      <c r="B282" s="45" t="s">
        <v>861</v>
      </c>
      <c r="C282" s="45" t="s">
        <v>962</v>
      </c>
      <c r="E282" s="45">
        <f t="shared" si="94"/>
        <v>5</v>
      </c>
      <c r="F282" s="45">
        <f t="shared" si="95"/>
        <v>3</v>
      </c>
      <c r="G282" s="45" t="str">
        <f t="shared" si="96"/>
        <v>M1</v>
      </c>
      <c r="H282" s="45" t="str">
        <f t="shared" si="97"/>
        <v>6W</v>
      </c>
      <c r="J282" s="45" t="str">
        <f t="shared" si="98"/>
        <v>6W</v>
      </c>
      <c r="K282" s="45" t="s">
        <v>130</v>
      </c>
      <c r="L282" s="45" t="str">
        <f t="shared" si="99"/>
        <v>M1-6W@E</v>
      </c>
      <c r="M282" s="75" t="str">
        <f t="shared" si="92"/>
        <v>302, 305, 307, 306, M1, 332, 331, 318, 317, 316, 311, 303, 305, 302</v>
      </c>
      <c r="N282" s="75" t="str">
        <f t="shared" si="93"/>
        <v>06, 03, 10, 16</v>
      </c>
      <c r="R282" s="70" t="s">
        <v>863</v>
      </c>
      <c r="S282" s="70" t="s">
        <v>53</v>
      </c>
      <c r="T282" s="70" t="s">
        <v>346</v>
      </c>
      <c r="U282" s="70"/>
      <c r="V282" s="70"/>
      <c r="X282" s="70" t="str">
        <f t="shared" si="109"/>
        <v>M1-E DT@E</v>
      </c>
      <c r="Y282" s="70" t="str">
        <f t="shared" si="110"/>
        <v>E DT-6W@E</v>
      </c>
      <c r="Z282" s="70" t="str">
        <f t="shared" si="111"/>
        <v/>
      </c>
      <c r="AA282" s="70" t="str">
        <f t="shared" si="112"/>
        <v/>
      </c>
      <c r="AC282" s="70" t="str">
        <f t="shared" si="100"/>
        <v>302, 305, 307, 306, M1</v>
      </c>
      <c r="AD282" s="70" t="str">
        <f t="shared" si="101"/>
        <v>332, 331, 318, 317, 316, 311, 303, 305, 302</v>
      </c>
      <c r="AE282" s="70" t="str">
        <f t="shared" si="102"/>
        <v/>
      </c>
      <c r="AF282" s="70" t="str">
        <f t="shared" si="103"/>
        <v/>
      </c>
      <c r="AH282" s="70" t="str">
        <f t="shared" si="104"/>
        <v>06</v>
      </c>
      <c r="AI282" s="70" t="str">
        <f t="shared" si="105"/>
        <v>03, 10, 16</v>
      </c>
      <c r="AJ282" s="70" t="str">
        <f t="shared" si="106"/>
        <v/>
      </c>
      <c r="AK282" s="70" t="str">
        <f t="shared" si="107"/>
        <v/>
      </c>
      <c r="AM282" s="166" t="str">
        <f t="shared" si="108"/>
        <v>LS1-LB</v>
      </c>
      <c r="AN282" s="170" t="s">
        <v>968</v>
      </c>
      <c r="AO282" s="167" t="s">
        <v>969</v>
      </c>
      <c r="AP282" s="167"/>
    </row>
    <row r="283" spans="1:44" ht="20.100000000000001" customHeight="1" thickBot="1">
      <c r="A283" s="45" t="s">
        <v>970</v>
      </c>
      <c r="B283" s="45" t="s">
        <v>342</v>
      </c>
      <c r="C283" s="45" t="s">
        <v>966</v>
      </c>
      <c r="E283" s="45">
        <f t="shared" si="94"/>
        <v>5</v>
      </c>
      <c r="F283" s="45">
        <f t="shared" si="95"/>
        <v>3</v>
      </c>
      <c r="G283" s="45" t="str">
        <f t="shared" si="96"/>
        <v>6W</v>
      </c>
      <c r="H283" s="45" t="str">
        <f t="shared" si="97"/>
        <v>M1</v>
      </c>
      <c r="J283" s="45" t="str">
        <f t="shared" si="98"/>
        <v>M1</v>
      </c>
      <c r="K283" s="45" t="s">
        <v>130</v>
      </c>
      <c r="L283" s="45" t="str">
        <f t="shared" si="99"/>
        <v>6W-M1@E</v>
      </c>
      <c r="M283" s="75" t="str">
        <f t="shared" si="92"/>
        <v>332, 331, 318, 317, 316, 311, 303, 305, 302, 302, 305, 307, 306, M1</v>
      </c>
      <c r="N283" s="75" t="str">
        <f t="shared" si="93"/>
        <v>34, 04, 03</v>
      </c>
      <c r="R283" s="70" t="s">
        <v>346</v>
      </c>
      <c r="S283" s="70" t="s">
        <v>53</v>
      </c>
      <c r="T283" s="70" t="s">
        <v>863</v>
      </c>
      <c r="U283" s="70"/>
      <c r="V283" s="70"/>
      <c r="X283" s="70" t="str">
        <f t="shared" si="109"/>
        <v>6W-E DT@E</v>
      </c>
      <c r="Y283" s="70" t="str">
        <f t="shared" si="110"/>
        <v>E DT-M1@E</v>
      </c>
      <c r="Z283" s="70" t="str">
        <f t="shared" si="111"/>
        <v/>
      </c>
      <c r="AA283" s="70" t="str">
        <f t="shared" si="112"/>
        <v/>
      </c>
      <c r="AC283" s="70" t="str">
        <f t="shared" si="100"/>
        <v>332, 331, 318, 317, 316, 311, 303, 305, 302</v>
      </c>
      <c r="AD283" s="70" t="str">
        <f t="shared" si="101"/>
        <v>302, 305, 307, 306, M1</v>
      </c>
      <c r="AE283" s="70" t="str">
        <f t="shared" si="102"/>
        <v/>
      </c>
      <c r="AF283" s="70" t="str">
        <f t="shared" si="103"/>
        <v/>
      </c>
      <c r="AH283" s="70" t="str">
        <f t="shared" si="104"/>
        <v>34, 04</v>
      </c>
      <c r="AI283" s="70" t="str">
        <f t="shared" si="105"/>
        <v>03</v>
      </c>
      <c r="AJ283" s="70" t="str">
        <f t="shared" si="106"/>
        <v/>
      </c>
      <c r="AK283" s="70" t="str">
        <f t="shared" si="107"/>
        <v/>
      </c>
      <c r="AM283" s="166" t="str">
        <f t="shared" si="108"/>
        <v>LS2-LB</v>
      </c>
      <c r="AN283" s="170" t="s">
        <v>971</v>
      </c>
      <c r="AO283" s="167" t="s">
        <v>969</v>
      </c>
      <c r="AP283" s="167"/>
    </row>
    <row r="284" spans="1:44" ht="20.100000000000001" customHeight="1" thickBot="1">
      <c r="A284" s="45" t="s">
        <v>972</v>
      </c>
      <c r="B284" s="45" t="s">
        <v>861</v>
      </c>
      <c r="C284" s="45" t="s">
        <v>973</v>
      </c>
      <c r="E284" s="45">
        <f t="shared" si="94"/>
        <v>5</v>
      </c>
      <c r="F284" s="45">
        <f t="shared" si="95"/>
        <v>3</v>
      </c>
      <c r="G284" s="45" t="str">
        <f t="shared" si="96"/>
        <v>M1</v>
      </c>
      <c r="H284" s="45" t="str">
        <f t="shared" si="97"/>
        <v>7E</v>
      </c>
      <c r="J284" s="45" t="str">
        <f t="shared" si="98"/>
        <v>7E</v>
      </c>
      <c r="K284" s="45" t="s">
        <v>130</v>
      </c>
      <c r="L284" s="45" t="str">
        <f t="shared" si="99"/>
        <v>M1-7E@E</v>
      </c>
      <c r="M284" s="75" t="str">
        <f t="shared" si="92"/>
        <v>302, 305, 307, 306, M1, 334, 332, 331, 318, 317, 316, 311, 303, 305, 302</v>
      </c>
      <c r="N284" s="75" t="str">
        <f t="shared" si="93"/>
        <v>06, 03, 10, 16</v>
      </c>
      <c r="R284" s="70" t="s">
        <v>863</v>
      </c>
      <c r="S284" s="70" t="s">
        <v>53</v>
      </c>
      <c r="T284" s="70" t="s">
        <v>354</v>
      </c>
      <c r="U284" s="70"/>
      <c r="V284" s="70"/>
      <c r="X284" s="70" t="str">
        <f t="shared" si="109"/>
        <v>M1-E DT@E</v>
      </c>
      <c r="Y284" s="70" t="str">
        <f t="shared" si="110"/>
        <v>E DT-7E@E</v>
      </c>
      <c r="Z284" s="70" t="str">
        <f t="shared" si="111"/>
        <v/>
      </c>
      <c r="AA284" s="70" t="str">
        <f t="shared" si="112"/>
        <v/>
      </c>
      <c r="AC284" s="70" t="str">
        <f t="shared" si="100"/>
        <v>302, 305, 307, 306, M1</v>
      </c>
      <c r="AD284" s="70" t="str">
        <f t="shared" si="101"/>
        <v>334, 332, 331, 318, 317, 316, 311, 303, 305, 302</v>
      </c>
      <c r="AE284" s="70" t="str">
        <f t="shared" si="102"/>
        <v/>
      </c>
      <c r="AF284" s="70" t="str">
        <f t="shared" si="103"/>
        <v/>
      </c>
      <c r="AH284" s="70" t="str">
        <f t="shared" si="104"/>
        <v>06</v>
      </c>
      <c r="AI284" s="70" t="str">
        <f t="shared" si="105"/>
        <v>03, 10, 16</v>
      </c>
      <c r="AJ284" s="70" t="str">
        <f t="shared" si="106"/>
        <v/>
      </c>
      <c r="AK284" s="70" t="str">
        <f t="shared" si="107"/>
        <v/>
      </c>
      <c r="AM284" s="166" t="str">
        <f t="shared" si="108"/>
        <v>LB-LS1</v>
      </c>
      <c r="AN284" s="170" t="s">
        <v>974</v>
      </c>
      <c r="AO284" s="167" t="s">
        <v>969</v>
      </c>
      <c r="AP284" s="167"/>
    </row>
    <row r="285" spans="1:44" ht="20.100000000000001" customHeight="1" thickBot="1">
      <c r="A285" s="45" t="s">
        <v>975</v>
      </c>
      <c r="B285" s="45" t="s">
        <v>358</v>
      </c>
      <c r="C285" s="45" t="s">
        <v>976</v>
      </c>
      <c r="E285" s="45">
        <f t="shared" si="94"/>
        <v>5</v>
      </c>
      <c r="F285" s="45">
        <f t="shared" si="95"/>
        <v>3</v>
      </c>
      <c r="G285" s="45" t="str">
        <f t="shared" si="96"/>
        <v>7E</v>
      </c>
      <c r="H285" s="45" t="str">
        <f t="shared" si="97"/>
        <v>M1</v>
      </c>
      <c r="J285" s="45" t="str">
        <f t="shared" si="98"/>
        <v>M1</v>
      </c>
      <c r="K285" s="45" t="s">
        <v>130</v>
      </c>
      <c r="L285" s="45" t="str">
        <f t="shared" si="99"/>
        <v>7E-M1@E</v>
      </c>
      <c r="M285" s="75" t="str">
        <f t="shared" si="92"/>
        <v>334, 332, 331, 318, 317, 316, 311, 303, 305, 302, 302, 305, 307, 306, M1</v>
      </c>
      <c r="N285" s="75" t="str">
        <f t="shared" si="93"/>
        <v>35, 04, 03</v>
      </c>
      <c r="R285" s="70" t="s">
        <v>354</v>
      </c>
      <c r="S285" s="70" t="s">
        <v>53</v>
      </c>
      <c r="T285" s="70" t="s">
        <v>863</v>
      </c>
      <c r="U285" s="70"/>
      <c r="V285" s="70"/>
      <c r="X285" s="70" t="str">
        <f t="shared" si="109"/>
        <v>7E-E DT@E</v>
      </c>
      <c r="Y285" s="70" t="str">
        <f t="shared" si="110"/>
        <v>E DT-M1@E</v>
      </c>
      <c r="Z285" s="70" t="str">
        <f t="shared" si="111"/>
        <v/>
      </c>
      <c r="AA285" s="70" t="str">
        <f t="shared" si="112"/>
        <v/>
      </c>
      <c r="AC285" s="70" t="str">
        <f t="shared" si="100"/>
        <v>334, 332, 331, 318, 317, 316, 311, 303, 305, 302</v>
      </c>
      <c r="AD285" s="70" t="str">
        <f t="shared" si="101"/>
        <v>302, 305, 307, 306, M1</v>
      </c>
      <c r="AE285" s="70" t="str">
        <f t="shared" si="102"/>
        <v/>
      </c>
      <c r="AF285" s="70" t="str">
        <f t="shared" si="103"/>
        <v/>
      </c>
      <c r="AH285" s="70" t="str">
        <f t="shared" si="104"/>
        <v>35, 04</v>
      </c>
      <c r="AI285" s="70" t="str">
        <f t="shared" si="105"/>
        <v>03</v>
      </c>
      <c r="AJ285" s="70" t="str">
        <f t="shared" si="106"/>
        <v/>
      </c>
      <c r="AK285" s="70" t="str">
        <f t="shared" si="107"/>
        <v/>
      </c>
      <c r="AM285" s="166" t="str">
        <f t="shared" si="108"/>
        <v>LB-LS2</v>
      </c>
      <c r="AN285" s="170" t="s">
        <v>977</v>
      </c>
      <c r="AO285" s="167" t="s">
        <v>969</v>
      </c>
      <c r="AP285" s="167"/>
    </row>
    <row r="286" spans="1:44" ht="20.100000000000001" customHeight="1" thickBot="1">
      <c r="A286" s="45" t="s">
        <v>978</v>
      </c>
      <c r="B286" s="45" t="s">
        <v>861</v>
      </c>
      <c r="C286" s="45" t="s">
        <v>973</v>
      </c>
      <c r="E286" s="45">
        <f t="shared" si="94"/>
        <v>5</v>
      </c>
      <c r="F286" s="45">
        <f t="shared" si="95"/>
        <v>3</v>
      </c>
      <c r="G286" s="45" t="str">
        <f t="shared" si="96"/>
        <v>M1</v>
      </c>
      <c r="H286" s="45" t="str">
        <f t="shared" si="97"/>
        <v>7W</v>
      </c>
      <c r="J286" s="45" t="str">
        <f t="shared" si="98"/>
        <v>7W</v>
      </c>
      <c r="K286" s="45" t="s">
        <v>130</v>
      </c>
      <c r="L286" s="45" t="str">
        <f t="shared" si="99"/>
        <v>M1-7W@E</v>
      </c>
      <c r="M286" s="75" t="str">
        <f t="shared" si="92"/>
        <v>302, 305, 307, 306, M1, 334, 332, 331, 318, 317, 316, 311, 303, 305, 302</v>
      </c>
      <c r="N286" s="75" t="str">
        <f t="shared" si="93"/>
        <v>06, 03, 10, 16</v>
      </c>
      <c r="R286" s="70" t="s">
        <v>863</v>
      </c>
      <c r="S286" s="70" t="s">
        <v>53</v>
      </c>
      <c r="T286" s="70" t="s">
        <v>363</v>
      </c>
      <c r="U286" s="70"/>
      <c r="V286" s="70"/>
      <c r="X286" s="70" t="str">
        <f t="shared" si="109"/>
        <v>M1-E DT@E</v>
      </c>
      <c r="Y286" s="70" t="str">
        <f t="shared" si="110"/>
        <v>E DT-7W@E</v>
      </c>
      <c r="Z286" s="70" t="str">
        <f t="shared" si="111"/>
        <v/>
      </c>
      <c r="AA286" s="70" t="str">
        <f t="shared" si="112"/>
        <v/>
      </c>
      <c r="AC286" s="70" t="str">
        <f t="shared" si="100"/>
        <v>302, 305, 307, 306, M1</v>
      </c>
      <c r="AD286" s="70" t="str">
        <f t="shared" si="101"/>
        <v>334, 332, 331, 318, 317, 316, 311, 303, 305, 302</v>
      </c>
      <c r="AE286" s="70" t="str">
        <f t="shared" si="102"/>
        <v/>
      </c>
      <c r="AF286" s="70" t="str">
        <f t="shared" si="103"/>
        <v/>
      </c>
      <c r="AH286" s="70" t="str">
        <f t="shared" si="104"/>
        <v>06</v>
      </c>
      <c r="AI286" s="70" t="str">
        <f t="shared" si="105"/>
        <v>03, 10, 16</v>
      </c>
      <c r="AJ286" s="70" t="str">
        <f t="shared" si="106"/>
        <v/>
      </c>
      <c r="AK286" s="70" t="str">
        <f t="shared" si="107"/>
        <v/>
      </c>
      <c r="AM286" s="166" t="str">
        <f t="shared" si="108"/>
        <v>WL-RM1W</v>
      </c>
      <c r="AN286" s="170" t="s">
        <v>979</v>
      </c>
      <c r="AO286" s="167">
        <v>364</v>
      </c>
      <c r="AP286" s="167">
        <v>82</v>
      </c>
    </row>
    <row r="287" spans="1:44" ht="20.100000000000001" customHeight="1" thickBot="1">
      <c r="A287" s="45" t="s">
        <v>980</v>
      </c>
      <c r="B287" s="45" t="s">
        <v>358</v>
      </c>
      <c r="C287" s="45" t="s">
        <v>976</v>
      </c>
      <c r="E287" s="45">
        <f t="shared" si="94"/>
        <v>5</v>
      </c>
      <c r="F287" s="45">
        <f t="shared" si="95"/>
        <v>3</v>
      </c>
      <c r="G287" s="45" t="str">
        <f t="shared" si="96"/>
        <v>7W</v>
      </c>
      <c r="H287" s="45" t="str">
        <f t="shared" si="97"/>
        <v>M1</v>
      </c>
      <c r="J287" s="45" t="str">
        <f t="shared" si="98"/>
        <v>M1</v>
      </c>
      <c r="K287" s="45" t="s">
        <v>130</v>
      </c>
      <c r="L287" s="45" t="str">
        <f t="shared" si="99"/>
        <v>7W-M1@E</v>
      </c>
      <c r="M287" s="75" t="str">
        <f t="shared" si="92"/>
        <v>334, 332, 331, 318, 317, 316, 311, 303, 305, 302, 302, 305, 307, 306, M1</v>
      </c>
      <c r="N287" s="75" t="str">
        <f t="shared" si="93"/>
        <v>35, 04, 03</v>
      </c>
      <c r="R287" s="70" t="s">
        <v>363</v>
      </c>
      <c r="S287" s="70" t="s">
        <v>53</v>
      </c>
      <c r="T287" s="70" t="s">
        <v>863</v>
      </c>
      <c r="U287" s="70"/>
      <c r="V287" s="70"/>
      <c r="X287" s="70" t="str">
        <f t="shared" si="109"/>
        <v>7W-E DT@E</v>
      </c>
      <c r="Y287" s="70" t="str">
        <f t="shared" si="110"/>
        <v>E DT-M1@E</v>
      </c>
      <c r="Z287" s="70" t="str">
        <f t="shared" si="111"/>
        <v/>
      </c>
      <c r="AA287" s="70" t="str">
        <f t="shared" si="112"/>
        <v/>
      </c>
      <c r="AC287" s="70" t="str">
        <f t="shared" si="100"/>
        <v>334, 332, 331, 318, 317, 316, 311, 303, 305, 302</v>
      </c>
      <c r="AD287" s="70" t="str">
        <f t="shared" si="101"/>
        <v>302, 305, 307, 306, M1</v>
      </c>
      <c r="AE287" s="70" t="str">
        <f t="shared" si="102"/>
        <v/>
      </c>
      <c r="AF287" s="70" t="str">
        <f t="shared" si="103"/>
        <v/>
      </c>
      <c r="AH287" s="70" t="str">
        <f t="shared" si="104"/>
        <v>35, 04</v>
      </c>
      <c r="AI287" s="70" t="str">
        <f t="shared" si="105"/>
        <v>03</v>
      </c>
      <c r="AJ287" s="70" t="str">
        <f t="shared" si="106"/>
        <v/>
      </c>
      <c r="AK287" s="70" t="str">
        <f t="shared" si="107"/>
        <v/>
      </c>
      <c r="AM287" s="166" t="str">
        <f t="shared" si="108"/>
        <v>RM1W-WL</v>
      </c>
      <c r="AN287" s="170" t="s">
        <v>981</v>
      </c>
      <c r="AO287" s="167">
        <v>364</v>
      </c>
      <c r="AP287" s="167">
        <v>59</v>
      </c>
    </row>
    <row r="288" spans="1:44" ht="20.100000000000001" customHeight="1" thickBot="1">
      <c r="A288" s="45" t="s">
        <v>982</v>
      </c>
      <c r="B288" s="45" t="s">
        <v>861</v>
      </c>
      <c r="C288" s="45" t="s">
        <v>973</v>
      </c>
      <c r="E288" s="45">
        <f t="shared" si="94"/>
        <v>5</v>
      </c>
      <c r="F288" s="45">
        <f t="shared" si="95"/>
        <v>3</v>
      </c>
      <c r="G288" s="45" t="str">
        <f t="shared" si="96"/>
        <v>M1</v>
      </c>
      <c r="H288" s="45" t="str">
        <f t="shared" si="97"/>
        <v>8E</v>
      </c>
      <c r="J288" s="45" t="str">
        <f t="shared" si="98"/>
        <v>8E</v>
      </c>
      <c r="K288" s="45" t="s">
        <v>130</v>
      </c>
      <c r="L288" s="45" t="str">
        <f t="shared" si="99"/>
        <v>M1-8E@E</v>
      </c>
      <c r="M288" s="75" t="str">
        <f t="shared" si="92"/>
        <v>302, 305, 307, 306, M1, 334, 332, 331, 318, 317, 316, 311, 303, 305, 302</v>
      </c>
      <c r="N288" s="75" t="str">
        <f t="shared" si="93"/>
        <v>06, 03, 10, 16</v>
      </c>
      <c r="R288" s="70" t="s">
        <v>863</v>
      </c>
      <c r="S288" s="70" t="s">
        <v>53</v>
      </c>
      <c r="T288" s="70" t="s">
        <v>370</v>
      </c>
      <c r="U288" s="70"/>
      <c r="V288" s="70"/>
      <c r="X288" s="70" t="str">
        <f t="shared" si="109"/>
        <v>M1-E DT@E</v>
      </c>
      <c r="Y288" s="70" t="str">
        <f t="shared" si="110"/>
        <v>E DT-8E@E</v>
      </c>
      <c r="Z288" s="70" t="str">
        <f t="shared" si="111"/>
        <v/>
      </c>
      <c r="AA288" s="70" t="str">
        <f t="shared" si="112"/>
        <v/>
      </c>
      <c r="AC288" s="70" t="str">
        <f t="shared" si="100"/>
        <v>302, 305, 307, 306, M1</v>
      </c>
      <c r="AD288" s="70" t="str">
        <f t="shared" si="101"/>
        <v>334, 332, 331, 318, 317, 316, 311, 303, 305, 302</v>
      </c>
      <c r="AE288" s="70" t="str">
        <f t="shared" si="102"/>
        <v/>
      </c>
      <c r="AF288" s="70" t="str">
        <f t="shared" si="103"/>
        <v/>
      </c>
      <c r="AH288" s="70" t="str">
        <f t="shared" si="104"/>
        <v>06</v>
      </c>
      <c r="AI288" s="70" t="str">
        <f t="shared" si="105"/>
        <v>03, 10, 16</v>
      </c>
      <c r="AJ288" s="70" t="str">
        <f t="shared" si="106"/>
        <v/>
      </c>
      <c r="AK288" s="70" t="str">
        <f t="shared" si="107"/>
        <v/>
      </c>
      <c r="AM288" s="166" t="str">
        <f t="shared" si="108"/>
        <v>E DT-SHD16</v>
      </c>
      <c r="AN288" s="171" t="s">
        <v>983</v>
      </c>
      <c r="AO288" s="167" t="s">
        <v>984</v>
      </c>
      <c r="AP288" s="168" t="s">
        <v>524</v>
      </c>
    </row>
    <row r="289" spans="1:42" ht="20.100000000000001" customHeight="1" thickBot="1">
      <c r="A289" s="45" t="s">
        <v>985</v>
      </c>
      <c r="B289" s="45" t="s">
        <v>374</v>
      </c>
      <c r="C289" s="45" t="s">
        <v>976</v>
      </c>
      <c r="E289" s="45">
        <f t="shared" si="94"/>
        <v>5</v>
      </c>
      <c r="F289" s="45">
        <f t="shared" si="95"/>
        <v>3</v>
      </c>
      <c r="G289" s="45" t="str">
        <f t="shared" si="96"/>
        <v>8E</v>
      </c>
      <c r="H289" s="45" t="str">
        <f t="shared" si="97"/>
        <v>M1</v>
      </c>
      <c r="J289" s="45" t="str">
        <f t="shared" si="98"/>
        <v>M1</v>
      </c>
      <c r="K289" s="45" t="s">
        <v>130</v>
      </c>
      <c r="L289" s="45" t="str">
        <f t="shared" si="99"/>
        <v>8E-M1@E</v>
      </c>
      <c r="M289" s="75" t="str">
        <f t="shared" si="92"/>
        <v>334, 332, 331, 318, 317, 316, 311, 303, 305, 302, 302, 305, 307, 306, M1</v>
      </c>
      <c r="N289" s="75" t="str">
        <f t="shared" si="93"/>
        <v>36, 04, 03</v>
      </c>
      <c r="R289" s="70" t="s">
        <v>370</v>
      </c>
      <c r="S289" s="70" t="s">
        <v>53</v>
      </c>
      <c r="T289" s="70" t="s">
        <v>863</v>
      </c>
      <c r="U289" s="70"/>
      <c r="V289" s="70"/>
      <c r="X289" s="70" t="str">
        <f t="shared" si="109"/>
        <v>8E-E DT@E</v>
      </c>
      <c r="Y289" s="70" t="str">
        <f t="shared" si="110"/>
        <v>E DT-M1@E</v>
      </c>
      <c r="Z289" s="70" t="str">
        <f t="shared" si="111"/>
        <v/>
      </c>
      <c r="AA289" s="70" t="str">
        <f t="shared" si="112"/>
        <v/>
      </c>
      <c r="AC289" s="70" t="str">
        <f t="shared" si="100"/>
        <v>334, 332, 331, 318, 317, 316, 311, 303, 305, 302</v>
      </c>
      <c r="AD289" s="70" t="str">
        <f t="shared" si="101"/>
        <v>302, 305, 307, 306, M1</v>
      </c>
      <c r="AE289" s="70" t="str">
        <f t="shared" si="102"/>
        <v/>
      </c>
      <c r="AF289" s="70" t="str">
        <f t="shared" si="103"/>
        <v/>
      </c>
      <c r="AH289" s="70" t="str">
        <f t="shared" si="104"/>
        <v>36, 04</v>
      </c>
      <c r="AI289" s="70" t="str">
        <f t="shared" si="105"/>
        <v>03</v>
      </c>
      <c r="AJ289" s="70" t="str">
        <f t="shared" si="106"/>
        <v/>
      </c>
      <c r="AK289" s="70" t="str">
        <f t="shared" si="107"/>
        <v/>
      </c>
      <c r="AM289" s="166" t="str">
        <f t="shared" si="108"/>
        <v>SHD16-E DT</v>
      </c>
      <c r="AN289" s="171" t="s">
        <v>986</v>
      </c>
      <c r="AO289" s="167" t="s">
        <v>984</v>
      </c>
      <c r="AP289" s="168" t="s">
        <v>987</v>
      </c>
    </row>
    <row r="290" spans="1:42" ht="20.100000000000001" customHeight="1" thickBot="1">
      <c r="A290" s="45" t="s">
        <v>988</v>
      </c>
      <c r="B290" s="45" t="s">
        <v>861</v>
      </c>
      <c r="C290" s="45" t="s">
        <v>973</v>
      </c>
      <c r="E290" s="45">
        <f t="shared" si="94"/>
        <v>5</v>
      </c>
      <c r="F290" s="45">
        <f t="shared" si="95"/>
        <v>3</v>
      </c>
      <c r="G290" s="45" t="str">
        <f t="shared" si="96"/>
        <v>M1</v>
      </c>
      <c r="H290" s="45" t="str">
        <f t="shared" si="97"/>
        <v>8W</v>
      </c>
      <c r="J290" s="45" t="str">
        <f t="shared" si="98"/>
        <v>8W</v>
      </c>
      <c r="K290" s="45" t="s">
        <v>130</v>
      </c>
      <c r="L290" s="45" t="str">
        <f t="shared" si="99"/>
        <v>M1-8W@E</v>
      </c>
      <c r="M290" s="75" t="str">
        <f t="shared" si="92"/>
        <v>302, 305, 307, 306, M1, 334, 332, 331, 318, 317, 316, 311, 303, 305, 302</v>
      </c>
      <c r="N290" s="75" t="str">
        <f t="shared" si="93"/>
        <v>06, 03, 10, 16</v>
      </c>
      <c r="R290" s="70" t="s">
        <v>863</v>
      </c>
      <c r="S290" s="70" t="s">
        <v>53</v>
      </c>
      <c r="T290" s="70" t="s">
        <v>377</v>
      </c>
      <c r="U290" s="70"/>
      <c r="V290" s="70"/>
      <c r="X290" s="70" t="str">
        <f t="shared" si="109"/>
        <v>M1-E DT@E</v>
      </c>
      <c r="Y290" s="70" t="str">
        <f t="shared" si="110"/>
        <v>E DT-8W@E</v>
      </c>
      <c r="Z290" s="70" t="str">
        <f t="shared" si="111"/>
        <v/>
      </c>
      <c r="AA290" s="70" t="str">
        <f t="shared" si="112"/>
        <v/>
      </c>
      <c r="AC290" s="70" t="str">
        <f t="shared" si="100"/>
        <v>302, 305, 307, 306, M1</v>
      </c>
      <c r="AD290" s="70" t="str">
        <f t="shared" si="101"/>
        <v>334, 332, 331, 318, 317, 316, 311, 303, 305, 302</v>
      </c>
      <c r="AE290" s="70" t="str">
        <f t="shared" si="102"/>
        <v/>
      </c>
      <c r="AF290" s="70" t="str">
        <f t="shared" si="103"/>
        <v/>
      </c>
      <c r="AH290" s="70" t="str">
        <f t="shared" si="104"/>
        <v>06</v>
      </c>
      <c r="AI290" s="70" t="str">
        <f t="shared" si="105"/>
        <v>03, 10, 16</v>
      </c>
      <c r="AJ290" s="70" t="str">
        <f t="shared" si="106"/>
        <v/>
      </c>
      <c r="AK290" s="70" t="str">
        <f t="shared" si="107"/>
        <v/>
      </c>
      <c r="AM290" s="166" t="str">
        <f t="shared" si="108"/>
        <v>SHD16-LF3</v>
      </c>
      <c r="AN290" s="171" t="s">
        <v>989</v>
      </c>
      <c r="AO290" s="167" t="s">
        <v>990</v>
      </c>
      <c r="AP290" s="168">
        <v>16</v>
      </c>
    </row>
    <row r="291" spans="1:42" ht="20.100000000000001" customHeight="1" thickBot="1">
      <c r="A291" s="45" t="s">
        <v>991</v>
      </c>
      <c r="B291" s="45" t="s">
        <v>374</v>
      </c>
      <c r="C291" s="45" t="s">
        <v>976</v>
      </c>
      <c r="E291" s="45">
        <f t="shared" si="94"/>
        <v>5</v>
      </c>
      <c r="F291" s="45">
        <f t="shared" si="95"/>
        <v>3</v>
      </c>
      <c r="G291" s="45" t="str">
        <f t="shared" si="96"/>
        <v>8W</v>
      </c>
      <c r="H291" s="45" t="str">
        <f t="shared" si="97"/>
        <v>M1</v>
      </c>
      <c r="J291" s="45" t="str">
        <f t="shared" si="98"/>
        <v>M1</v>
      </c>
      <c r="K291" s="45" t="s">
        <v>130</v>
      </c>
      <c r="L291" s="45" t="str">
        <f t="shared" si="99"/>
        <v>8W-M1@E</v>
      </c>
      <c r="M291" s="75" t="str">
        <f t="shared" si="92"/>
        <v>334, 332, 331, 318, 317, 316, 311, 303, 305, 302, 302, 305, 307, 306, M1</v>
      </c>
      <c r="N291" s="75" t="str">
        <f t="shared" si="93"/>
        <v>36, 04, 03</v>
      </c>
      <c r="R291" s="70" t="s">
        <v>377</v>
      </c>
      <c r="S291" s="70" t="s">
        <v>53</v>
      </c>
      <c r="T291" s="70" t="s">
        <v>863</v>
      </c>
      <c r="U291" s="70"/>
      <c r="V291" s="70"/>
      <c r="X291" s="70" t="str">
        <f t="shared" si="109"/>
        <v>8W-E DT@E</v>
      </c>
      <c r="Y291" s="70" t="str">
        <f t="shared" si="110"/>
        <v>E DT-M1@E</v>
      </c>
      <c r="Z291" s="70" t="str">
        <f t="shared" si="111"/>
        <v/>
      </c>
      <c r="AA291" s="70" t="str">
        <f t="shared" si="112"/>
        <v/>
      </c>
      <c r="AC291" s="70" t="str">
        <f t="shared" si="100"/>
        <v>334, 332, 331, 318, 317, 316, 311, 303, 305, 302</v>
      </c>
      <c r="AD291" s="70" t="str">
        <f t="shared" si="101"/>
        <v>302, 305, 307, 306, M1</v>
      </c>
      <c r="AE291" s="70" t="str">
        <f t="shared" si="102"/>
        <v/>
      </c>
      <c r="AF291" s="70" t="str">
        <f t="shared" si="103"/>
        <v/>
      </c>
      <c r="AH291" s="70" t="str">
        <f t="shared" si="104"/>
        <v>36, 04</v>
      </c>
      <c r="AI291" s="70" t="str">
        <f t="shared" si="105"/>
        <v>03</v>
      </c>
      <c r="AJ291" s="70" t="str">
        <f t="shared" si="106"/>
        <v/>
      </c>
      <c r="AK291" s="70" t="str">
        <f t="shared" si="107"/>
        <v/>
      </c>
      <c r="AN291" s="171"/>
      <c r="AO291" s="167"/>
      <c r="AP291" s="167"/>
    </row>
    <row r="292" spans="1:42" ht="20.100000000000001" customHeight="1" thickBot="1">
      <c r="A292" s="45" t="s">
        <v>992</v>
      </c>
      <c r="B292" s="45" t="s">
        <v>861</v>
      </c>
      <c r="C292" s="45" t="s">
        <v>993</v>
      </c>
      <c r="E292" s="45">
        <f t="shared" si="94"/>
        <v>6</v>
      </c>
      <c r="F292" s="45">
        <f t="shared" si="95"/>
        <v>3</v>
      </c>
      <c r="G292" s="45" t="str">
        <f t="shared" si="96"/>
        <v>M2</v>
      </c>
      <c r="H292" s="45" t="str">
        <f t="shared" si="97"/>
        <v>LF3</v>
      </c>
      <c r="J292" s="45" t="str">
        <f t="shared" si="98"/>
        <v>LF3</v>
      </c>
      <c r="K292" s="45" t="s">
        <v>130</v>
      </c>
      <c r="L292" s="45" t="str">
        <f t="shared" si="99"/>
        <v>M2-LF3@E</v>
      </c>
      <c r="M292" s="75" t="str">
        <f t="shared" si="92"/>
        <v>302, 305, 307, 306, M1, M2, 323, 322, 319, 316, 311, 303, 305, 302</v>
      </c>
      <c r="N292" s="75" t="str">
        <f t="shared" si="93"/>
        <v>06, 03, 10, 16</v>
      </c>
      <c r="R292" s="70" t="s">
        <v>994</v>
      </c>
      <c r="S292" s="70" t="s">
        <v>53</v>
      </c>
      <c r="T292" s="70" t="s">
        <v>82</v>
      </c>
      <c r="U292" s="70"/>
      <c r="V292" s="70"/>
      <c r="X292" s="70" t="str">
        <f t="shared" si="109"/>
        <v>M2-E DT@E</v>
      </c>
      <c r="Y292" s="70" t="str">
        <f t="shared" si="110"/>
        <v>E DT-LF3@E</v>
      </c>
      <c r="Z292" s="70" t="str">
        <f t="shared" si="111"/>
        <v/>
      </c>
      <c r="AA292" s="70" t="str">
        <f t="shared" si="112"/>
        <v/>
      </c>
      <c r="AC292" s="70" t="str">
        <f t="shared" si="100"/>
        <v>302, 305, 307, 306, M1, M2</v>
      </c>
      <c r="AD292" s="70" t="str">
        <f t="shared" si="101"/>
        <v>323, 322, 319, 316, 311, 303, 305, 302</v>
      </c>
      <c r="AE292" s="70" t="str">
        <f t="shared" si="102"/>
        <v/>
      </c>
      <c r="AF292" s="70" t="str">
        <f t="shared" si="103"/>
        <v/>
      </c>
      <c r="AH292" s="70" t="str">
        <f t="shared" si="104"/>
        <v>06</v>
      </c>
      <c r="AI292" s="70" t="str">
        <f t="shared" si="105"/>
        <v>03, 10, 16</v>
      </c>
      <c r="AJ292" s="70" t="str">
        <f t="shared" si="106"/>
        <v/>
      </c>
      <c r="AK292" s="70" t="str">
        <f t="shared" si="107"/>
        <v/>
      </c>
      <c r="AM292" s="166" t="str">
        <f t="shared" si="108"/>
        <v>SHD16-LF4</v>
      </c>
      <c r="AN292" s="170" t="s">
        <v>995</v>
      </c>
      <c r="AO292" s="167" t="s">
        <v>990</v>
      </c>
      <c r="AP292" s="167">
        <v>16</v>
      </c>
    </row>
    <row r="293" spans="1:42" ht="20.100000000000001" customHeight="1" thickBot="1">
      <c r="A293" s="45" t="s">
        <v>996</v>
      </c>
      <c r="B293" s="45" t="s">
        <v>154</v>
      </c>
      <c r="C293" s="45" t="s">
        <v>997</v>
      </c>
      <c r="E293" s="45">
        <f t="shared" si="94"/>
        <v>6</v>
      </c>
      <c r="F293" s="45">
        <f t="shared" si="95"/>
        <v>4</v>
      </c>
      <c r="G293" s="45" t="str">
        <f t="shared" si="96"/>
        <v>LF3</v>
      </c>
      <c r="H293" s="45" t="str">
        <f t="shared" si="97"/>
        <v>M2</v>
      </c>
      <c r="J293" s="45" t="str">
        <f t="shared" si="98"/>
        <v>M2</v>
      </c>
      <c r="K293" s="45" t="s">
        <v>130</v>
      </c>
      <c r="L293" s="45" t="str">
        <f t="shared" si="99"/>
        <v>LF3-M2@E</v>
      </c>
      <c r="M293" s="75" t="str">
        <f t="shared" si="92"/>
        <v>323, 322, 319, 316, 311, 303, 305, 302, 302, 305, 307, 306, M1, M2</v>
      </c>
      <c r="N293" s="75" t="str">
        <f t="shared" si="93"/>
        <v>20, 04, 03</v>
      </c>
      <c r="R293" s="70" t="s">
        <v>82</v>
      </c>
      <c r="S293" s="70" t="s">
        <v>53</v>
      </c>
      <c r="T293" s="70" t="s">
        <v>994</v>
      </c>
      <c r="U293" s="70"/>
      <c r="V293" s="70"/>
      <c r="X293" s="70" t="str">
        <f t="shared" si="109"/>
        <v>LF3-E DT@E</v>
      </c>
      <c r="Y293" s="70" t="str">
        <f t="shared" si="110"/>
        <v>E DT-M2@E</v>
      </c>
      <c r="Z293" s="70" t="str">
        <f t="shared" si="111"/>
        <v/>
      </c>
      <c r="AA293" s="70" t="str">
        <f t="shared" si="112"/>
        <v/>
      </c>
      <c r="AC293" s="70" t="str">
        <f t="shared" si="100"/>
        <v>323, 322, 319, 316, 311, 303, 305, 302</v>
      </c>
      <c r="AD293" s="70" t="str">
        <f t="shared" si="101"/>
        <v>302, 305, 307, 306, M1, M2</v>
      </c>
      <c r="AE293" s="70" t="str">
        <f t="shared" si="102"/>
        <v/>
      </c>
      <c r="AF293" s="70" t="str">
        <f t="shared" si="103"/>
        <v/>
      </c>
      <c r="AH293" s="70" t="str">
        <f t="shared" si="104"/>
        <v>20, 04</v>
      </c>
      <c r="AI293" s="70" t="str">
        <f t="shared" si="105"/>
        <v>03</v>
      </c>
      <c r="AJ293" s="70" t="str">
        <f t="shared" si="106"/>
        <v/>
      </c>
      <c r="AK293" s="70" t="str">
        <f t="shared" si="107"/>
        <v/>
      </c>
      <c r="AM293" s="166" t="str">
        <f t="shared" si="108"/>
        <v>SHD16-HM1</v>
      </c>
      <c r="AN293" s="171" t="s">
        <v>998</v>
      </c>
      <c r="AO293" s="167" t="s">
        <v>999</v>
      </c>
      <c r="AP293" s="167">
        <v>16</v>
      </c>
    </row>
    <row r="294" spans="1:42" ht="20.100000000000001" customHeight="1" thickBot="1">
      <c r="A294" s="45" t="s">
        <v>1000</v>
      </c>
      <c r="B294" s="45" t="s">
        <v>861</v>
      </c>
      <c r="C294" s="45" t="s">
        <v>993</v>
      </c>
      <c r="E294" s="45">
        <f t="shared" si="94"/>
        <v>6</v>
      </c>
      <c r="F294" s="45">
        <f t="shared" si="95"/>
        <v>3</v>
      </c>
      <c r="G294" s="45" t="str">
        <f t="shared" si="96"/>
        <v>M2</v>
      </c>
      <c r="H294" s="45" t="str">
        <f t="shared" si="97"/>
        <v>LF4</v>
      </c>
      <c r="J294" s="45" t="str">
        <f t="shared" si="98"/>
        <v>LF4</v>
      </c>
      <c r="K294" s="45" t="s">
        <v>130</v>
      </c>
      <c r="L294" s="45" t="str">
        <f t="shared" si="99"/>
        <v>M2-LF4@E</v>
      </c>
      <c r="M294" s="75" t="str">
        <f t="shared" si="92"/>
        <v>302, 305, 307, 306, M1, M2, 302, 305, 303, 311, 316, 319, 322, 323</v>
      </c>
      <c r="N294" s="75" t="str">
        <f t="shared" si="93"/>
        <v>06, 03, 10, 16</v>
      </c>
      <c r="R294" s="70" t="s">
        <v>994</v>
      </c>
      <c r="S294" s="70" t="s">
        <v>53</v>
      </c>
      <c r="T294" s="70" t="s">
        <v>83</v>
      </c>
      <c r="U294" s="70"/>
      <c r="V294" s="70"/>
      <c r="X294" s="70" t="str">
        <f t="shared" si="109"/>
        <v>M2-E DT@E</v>
      </c>
      <c r="Y294" s="70" t="str">
        <f t="shared" si="110"/>
        <v>E DT-LF4@E</v>
      </c>
      <c r="Z294" s="70" t="str">
        <f t="shared" si="111"/>
        <v/>
      </c>
      <c r="AA294" s="70" t="str">
        <f t="shared" si="112"/>
        <v/>
      </c>
      <c r="AC294" s="70" t="str">
        <f t="shared" si="100"/>
        <v>302, 305, 307, 306, M1, M2</v>
      </c>
      <c r="AD294" s="70" t="str">
        <f t="shared" si="101"/>
        <v>302, 305, 303, 311, 316, 319, 322, 323</v>
      </c>
      <c r="AE294" s="70" t="str">
        <f t="shared" si="102"/>
        <v/>
      </c>
      <c r="AF294" s="70" t="str">
        <f t="shared" si="103"/>
        <v/>
      </c>
      <c r="AH294" s="70" t="str">
        <f t="shared" si="104"/>
        <v>06</v>
      </c>
      <c r="AI294" s="70" t="str">
        <f t="shared" si="105"/>
        <v>03, 10, 16</v>
      </c>
      <c r="AJ294" s="70" t="str">
        <f t="shared" si="106"/>
        <v/>
      </c>
      <c r="AK294" s="70" t="str">
        <f t="shared" si="107"/>
        <v/>
      </c>
      <c r="AM294" s="166" t="str">
        <f t="shared" si="108"/>
        <v>SHD16-HM2</v>
      </c>
      <c r="AN294" s="171" t="s">
        <v>1001</v>
      </c>
      <c r="AO294" s="167" t="s">
        <v>1002</v>
      </c>
      <c r="AP294" s="167">
        <v>16</v>
      </c>
    </row>
    <row r="295" spans="1:42" ht="20.100000000000001" customHeight="1" thickBot="1">
      <c r="A295" s="45" t="s">
        <v>1003</v>
      </c>
      <c r="B295" s="45" t="s">
        <v>165</v>
      </c>
      <c r="C295" s="45" t="s">
        <v>997</v>
      </c>
      <c r="E295" s="45">
        <f t="shared" si="94"/>
        <v>6</v>
      </c>
      <c r="F295" s="45">
        <f t="shared" si="95"/>
        <v>4</v>
      </c>
      <c r="G295" s="45" t="str">
        <f t="shared" si="96"/>
        <v>LF4</v>
      </c>
      <c r="H295" s="45" t="str">
        <f t="shared" si="97"/>
        <v>M2</v>
      </c>
      <c r="J295" s="45" t="str">
        <f t="shared" si="98"/>
        <v>M2</v>
      </c>
      <c r="K295" s="45" t="s">
        <v>130</v>
      </c>
      <c r="L295" s="45" t="str">
        <f t="shared" si="99"/>
        <v>LF4-M2@E</v>
      </c>
      <c r="M295" s="75" t="str">
        <f t="shared" si="92"/>
        <v>302, 305, 303, 311, 316, 319, 322, 323, 302, 305, 307, 306, M1, M2</v>
      </c>
      <c r="N295" s="75" t="str">
        <f t="shared" si="93"/>
        <v>21, 04, 03</v>
      </c>
      <c r="R295" s="70" t="s">
        <v>83</v>
      </c>
      <c r="S295" s="70" t="s">
        <v>53</v>
      </c>
      <c r="T295" s="70" t="s">
        <v>994</v>
      </c>
      <c r="U295" s="70"/>
      <c r="V295" s="70"/>
      <c r="X295" s="70" t="str">
        <f t="shared" si="109"/>
        <v>LF4-E DT@E</v>
      </c>
      <c r="Y295" s="70" t="str">
        <f t="shared" si="110"/>
        <v>E DT-M2@E</v>
      </c>
      <c r="Z295" s="70" t="str">
        <f t="shared" si="111"/>
        <v/>
      </c>
      <c r="AA295" s="70" t="str">
        <f t="shared" si="112"/>
        <v/>
      </c>
      <c r="AC295" s="70" t="str">
        <f t="shared" si="100"/>
        <v>302, 305, 303, 311, 316, 319, 322, 323</v>
      </c>
      <c r="AD295" s="70" t="str">
        <f t="shared" si="101"/>
        <v>302, 305, 307, 306, M1, M2</v>
      </c>
      <c r="AE295" s="70" t="str">
        <f t="shared" si="102"/>
        <v/>
      </c>
      <c r="AF295" s="70" t="str">
        <f t="shared" si="103"/>
        <v/>
      </c>
      <c r="AH295" s="70" t="str">
        <f t="shared" si="104"/>
        <v>21, 04</v>
      </c>
      <c r="AI295" s="70" t="str">
        <f t="shared" si="105"/>
        <v>03</v>
      </c>
      <c r="AJ295" s="70" t="str">
        <f t="shared" si="106"/>
        <v/>
      </c>
      <c r="AK295" s="70" t="str">
        <f t="shared" si="107"/>
        <v/>
      </c>
      <c r="AM295" s="166" t="str">
        <f t="shared" si="108"/>
        <v>SHD16-HM3</v>
      </c>
      <c r="AN295" s="171" t="s">
        <v>1004</v>
      </c>
      <c r="AO295" s="167" t="s">
        <v>1002</v>
      </c>
      <c r="AP295" s="167">
        <v>16</v>
      </c>
    </row>
    <row r="296" spans="1:42" ht="20.100000000000001" customHeight="1" thickBot="1">
      <c r="A296" s="45" t="s">
        <v>1005</v>
      </c>
      <c r="B296" s="45" t="s">
        <v>861</v>
      </c>
      <c r="C296" s="45" t="s">
        <v>1006</v>
      </c>
      <c r="E296" s="45">
        <f t="shared" si="94"/>
        <v>6</v>
      </c>
      <c r="F296" s="45">
        <f t="shared" si="95"/>
        <v>3</v>
      </c>
      <c r="G296" s="45" t="str">
        <f t="shared" si="96"/>
        <v>M2</v>
      </c>
      <c r="H296" s="45" t="str">
        <f t="shared" si="97"/>
        <v>HM1</v>
      </c>
      <c r="J296" s="45" t="str">
        <f t="shared" si="98"/>
        <v>HM1</v>
      </c>
      <c r="K296" s="45" t="s">
        <v>130</v>
      </c>
      <c r="L296" s="45" t="str">
        <f t="shared" si="99"/>
        <v>M2-HM1@E</v>
      </c>
      <c r="M296" s="75" t="str">
        <f t="shared" si="92"/>
        <v>302, 305, 307, 306, M1, M2, 322, 319, 316, 311, 303, 305, 302</v>
      </c>
      <c r="N296" s="75" t="str">
        <f t="shared" si="93"/>
        <v>06, 03, 10, 16</v>
      </c>
      <c r="R296" s="70" t="s">
        <v>994</v>
      </c>
      <c r="S296" s="70" t="s">
        <v>53</v>
      </c>
      <c r="T296" s="70" t="s">
        <v>171</v>
      </c>
      <c r="U296" s="70"/>
      <c r="V296" s="70"/>
      <c r="X296" s="70" t="str">
        <f t="shared" si="109"/>
        <v>M2-E DT@E</v>
      </c>
      <c r="Y296" s="70" t="str">
        <f t="shared" si="110"/>
        <v>E DT-HM1@E</v>
      </c>
      <c r="Z296" s="70" t="str">
        <f t="shared" si="111"/>
        <v/>
      </c>
      <c r="AA296" s="70" t="str">
        <f t="shared" si="112"/>
        <v/>
      </c>
      <c r="AC296" s="70" t="str">
        <f t="shared" si="100"/>
        <v>302, 305, 307, 306, M1, M2</v>
      </c>
      <c r="AD296" s="70" t="str">
        <f t="shared" si="101"/>
        <v>322, 319, 316, 311, 303, 305, 302</v>
      </c>
      <c r="AE296" s="70" t="str">
        <f t="shared" si="102"/>
        <v/>
      </c>
      <c r="AF296" s="70" t="str">
        <f t="shared" si="103"/>
        <v/>
      </c>
      <c r="AH296" s="70" t="str">
        <f t="shared" si="104"/>
        <v>06</v>
      </c>
      <c r="AI296" s="70" t="str">
        <f t="shared" si="105"/>
        <v>03, 10, 16</v>
      </c>
      <c r="AJ296" s="70" t="str">
        <f t="shared" si="106"/>
        <v/>
      </c>
      <c r="AK296" s="70" t="str">
        <f t="shared" si="107"/>
        <v/>
      </c>
      <c r="AM296" s="166" t="str">
        <f t="shared" si="108"/>
        <v>SHD16-RM1E</v>
      </c>
      <c r="AN296" s="171" t="s">
        <v>1007</v>
      </c>
      <c r="AO296" s="167" t="s">
        <v>1008</v>
      </c>
      <c r="AP296" s="167">
        <v>16</v>
      </c>
    </row>
    <row r="297" spans="1:42" ht="20.100000000000001" customHeight="1" thickBot="1">
      <c r="A297" s="45" t="s">
        <v>1009</v>
      </c>
      <c r="B297" s="45" t="s">
        <v>176</v>
      </c>
      <c r="C297" s="45" t="s">
        <v>1010</v>
      </c>
      <c r="E297" s="45">
        <f t="shared" si="94"/>
        <v>6</v>
      </c>
      <c r="F297" s="45">
        <f t="shared" si="95"/>
        <v>4</v>
      </c>
      <c r="G297" s="45" t="str">
        <f t="shared" si="96"/>
        <v>HM1</v>
      </c>
      <c r="H297" s="45" t="str">
        <f t="shared" si="97"/>
        <v>M2</v>
      </c>
      <c r="J297" s="45" t="str">
        <f t="shared" si="98"/>
        <v>M2</v>
      </c>
      <c r="K297" s="45" t="s">
        <v>130</v>
      </c>
      <c r="L297" s="45" t="str">
        <f t="shared" si="99"/>
        <v>HM1-M2@E</v>
      </c>
      <c r="M297" s="75" t="str">
        <f t="shared" si="92"/>
        <v>322, 319, 316, 311, 303, 305, 302, 302, 305, 307, 306, M1, M2</v>
      </c>
      <c r="N297" s="75" t="str">
        <f t="shared" si="93"/>
        <v>22, 04, 03</v>
      </c>
      <c r="R297" s="70" t="s">
        <v>171</v>
      </c>
      <c r="S297" s="70" t="s">
        <v>53</v>
      </c>
      <c r="T297" s="70" t="s">
        <v>994</v>
      </c>
      <c r="U297" s="70"/>
      <c r="V297" s="70"/>
      <c r="X297" s="70" t="str">
        <f t="shared" si="109"/>
        <v>HM1-E DT@E</v>
      </c>
      <c r="Y297" s="70" t="str">
        <f t="shared" si="110"/>
        <v>E DT-M2@E</v>
      </c>
      <c r="Z297" s="70" t="str">
        <f t="shared" si="111"/>
        <v/>
      </c>
      <c r="AA297" s="70" t="str">
        <f t="shared" si="112"/>
        <v/>
      </c>
      <c r="AC297" s="70" t="str">
        <f t="shared" si="100"/>
        <v>322, 319, 316, 311, 303, 305, 302</v>
      </c>
      <c r="AD297" s="70" t="str">
        <f t="shared" si="101"/>
        <v>302, 305, 307, 306, M1, M2</v>
      </c>
      <c r="AE297" s="70" t="str">
        <f t="shared" si="102"/>
        <v/>
      </c>
      <c r="AF297" s="70" t="str">
        <f t="shared" si="103"/>
        <v/>
      </c>
      <c r="AH297" s="70" t="str">
        <f t="shared" si="104"/>
        <v>22, 04</v>
      </c>
      <c r="AI297" s="70" t="str">
        <f t="shared" si="105"/>
        <v>03</v>
      </c>
      <c r="AJ297" s="70" t="str">
        <f t="shared" si="106"/>
        <v/>
      </c>
      <c r="AK297" s="70" t="str">
        <f t="shared" si="107"/>
        <v/>
      </c>
      <c r="AM297" s="166" t="str">
        <f t="shared" si="108"/>
        <v>SHD16-RM1W</v>
      </c>
      <c r="AN297" s="171" t="s">
        <v>1011</v>
      </c>
      <c r="AO297" s="167" t="s">
        <v>1008</v>
      </c>
      <c r="AP297" s="167">
        <v>16</v>
      </c>
    </row>
    <row r="298" spans="1:42" ht="20.100000000000001" customHeight="1" thickBot="1">
      <c r="A298" s="45" t="s">
        <v>1012</v>
      </c>
      <c r="B298" s="45" t="s">
        <v>861</v>
      </c>
      <c r="C298" s="45" t="s">
        <v>1013</v>
      </c>
      <c r="E298" s="45">
        <f t="shared" si="94"/>
        <v>6</v>
      </c>
      <c r="F298" s="45">
        <f t="shared" si="95"/>
        <v>3</v>
      </c>
      <c r="G298" s="45" t="str">
        <f t="shared" si="96"/>
        <v>M2</v>
      </c>
      <c r="H298" s="45" t="str">
        <f t="shared" si="97"/>
        <v>HM2</v>
      </c>
      <c r="J298" s="45" t="str">
        <f t="shared" si="98"/>
        <v>HM2</v>
      </c>
      <c r="K298" s="45" t="s">
        <v>130</v>
      </c>
      <c r="L298" s="45" t="str">
        <f t="shared" si="99"/>
        <v>M2-HM2@E</v>
      </c>
      <c r="M298" s="75" t="str">
        <f t="shared" si="92"/>
        <v>302, 305, 307, 306, M1, M2, 324, 319, 316, 311, 303, 305, 302</v>
      </c>
      <c r="N298" s="75" t="str">
        <f t="shared" si="93"/>
        <v>06, 03, 10, 16</v>
      </c>
      <c r="R298" s="70" t="s">
        <v>994</v>
      </c>
      <c r="S298" s="70" t="s">
        <v>53</v>
      </c>
      <c r="T298" s="70" t="s">
        <v>182</v>
      </c>
      <c r="U298" s="70"/>
      <c r="V298" s="70"/>
      <c r="X298" s="70" t="str">
        <f t="shared" si="109"/>
        <v>M2-E DT@E</v>
      </c>
      <c r="Y298" s="70" t="str">
        <f t="shared" si="110"/>
        <v>E DT-HM2@E</v>
      </c>
      <c r="Z298" s="70" t="str">
        <f t="shared" si="111"/>
        <v/>
      </c>
      <c r="AA298" s="70" t="str">
        <f t="shared" si="112"/>
        <v/>
      </c>
      <c r="AC298" s="70" t="str">
        <f t="shared" si="100"/>
        <v>302, 305, 307, 306, M1, M2</v>
      </c>
      <c r="AD298" s="70" t="str">
        <f t="shared" si="101"/>
        <v>324, 319, 316, 311, 303, 305, 302</v>
      </c>
      <c r="AE298" s="70" t="str">
        <f t="shared" si="102"/>
        <v/>
      </c>
      <c r="AF298" s="70" t="str">
        <f t="shared" si="103"/>
        <v/>
      </c>
      <c r="AH298" s="70" t="str">
        <f t="shared" si="104"/>
        <v>06</v>
      </c>
      <c r="AI298" s="70" t="str">
        <f t="shared" si="105"/>
        <v>03, 10, 16</v>
      </c>
      <c r="AJ298" s="70" t="str">
        <f t="shared" si="106"/>
        <v/>
      </c>
      <c r="AK298" s="70" t="str">
        <f t="shared" si="107"/>
        <v/>
      </c>
      <c r="AM298" s="166" t="str">
        <f t="shared" si="108"/>
        <v>SHD16-RM2E</v>
      </c>
      <c r="AN298" s="171" t="s">
        <v>1014</v>
      </c>
      <c r="AO298" s="167" t="s">
        <v>1015</v>
      </c>
      <c r="AP298" s="167">
        <v>16</v>
      </c>
    </row>
    <row r="299" spans="1:42" ht="20.100000000000001" customHeight="1" thickBot="1">
      <c r="A299" s="45" t="s">
        <v>1016</v>
      </c>
      <c r="B299" s="45" t="s">
        <v>187</v>
      </c>
      <c r="C299" s="45" t="s">
        <v>1017</v>
      </c>
      <c r="E299" s="45">
        <f t="shared" si="94"/>
        <v>6</v>
      </c>
      <c r="F299" s="45">
        <f t="shared" si="95"/>
        <v>4</v>
      </c>
      <c r="G299" s="45" t="str">
        <f t="shared" si="96"/>
        <v>HM2</v>
      </c>
      <c r="H299" s="45" t="str">
        <f t="shared" si="97"/>
        <v>M2</v>
      </c>
      <c r="J299" s="45" t="str">
        <f t="shared" si="98"/>
        <v>M2</v>
      </c>
      <c r="K299" s="45" t="s">
        <v>130</v>
      </c>
      <c r="L299" s="45" t="str">
        <f t="shared" si="99"/>
        <v>HM2-M2@E</v>
      </c>
      <c r="M299" s="75" t="str">
        <f t="shared" si="92"/>
        <v>324, 319, 316, 311, 303, 305, 302, 302, 305, 307, 306, M1, M2</v>
      </c>
      <c r="N299" s="75" t="str">
        <f t="shared" si="93"/>
        <v>23, 04, 03</v>
      </c>
      <c r="R299" s="70" t="s">
        <v>182</v>
      </c>
      <c r="S299" s="70" t="s">
        <v>53</v>
      </c>
      <c r="T299" s="70" t="s">
        <v>994</v>
      </c>
      <c r="U299" s="70"/>
      <c r="V299" s="70"/>
      <c r="X299" s="70" t="str">
        <f t="shared" si="109"/>
        <v>HM2-E DT@E</v>
      </c>
      <c r="Y299" s="70" t="str">
        <f t="shared" si="110"/>
        <v>E DT-M2@E</v>
      </c>
      <c r="Z299" s="70" t="str">
        <f t="shared" si="111"/>
        <v/>
      </c>
      <c r="AA299" s="70" t="str">
        <f t="shared" si="112"/>
        <v/>
      </c>
      <c r="AC299" s="70" t="str">
        <f t="shared" si="100"/>
        <v>324, 319, 316, 311, 303, 305, 302</v>
      </c>
      <c r="AD299" s="70" t="str">
        <f t="shared" si="101"/>
        <v>302, 305, 307, 306, M1, M2</v>
      </c>
      <c r="AE299" s="70" t="str">
        <f t="shared" si="102"/>
        <v/>
      </c>
      <c r="AF299" s="70" t="str">
        <f t="shared" si="103"/>
        <v/>
      </c>
      <c r="AH299" s="70" t="str">
        <f t="shared" si="104"/>
        <v>23, 04</v>
      </c>
      <c r="AI299" s="70" t="str">
        <f t="shared" si="105"/>
        <v>03</v>
      </c>
      <c r="AJ299" s="70" t="str">
        <f t="shared" si="106"/>
        <v/>
      </c>
      <c r="AK299" s="70" t="str">
        <f t="shared" si="107"/>
        <v/>
      </c>
      <c r="AM299" s="166" t="str">
        <f t="shared" si="108"/>
        <v>SHD16-RM2W</v>
      </c>
      <c r="AN299" s="171" t="s">
        <v>1018</v>
      </c>
      <c r="AO299" s="167" t="s">
        <v>1015</v>
      </c>
      <c r="AP299" s="167">
        <v>16</v>
      </c>
    </row>
    <row r="300" spans="1:42" ht="20.100000000000001" customHeight="1" thickBot="1">
      <c r="A300" s="45" t="s">
        <v>1019</v>
      </c>
      <c r="B300" s="45" t="s">
        <v>861</v>
      </c>
      <c r="C300" s="45" t="s">
        <v>1013</v>
      </c>
      <c r="E300" s="45">
        <f t="shared" si="94"/>
        <v>6</v>
      </c>
      <c r="F300" s="45">
        <f t="shared" si="95"/>
        <v>3</v>
      </c>
      <c r="G300" s="45" t="str">
        <f t="shared" si="96"/>
        <v>M2</v>
      </c>
      <c r="H300" s="45" t="str">
        <f t="shared" si="97"/>
        <v>HM3</v>
      </c>
      <c r="J300" s="45" t="str">
        <f t="shared" si="98"/>
        <v>HM3</v>
      </c>
      <c r="K300" s="45" t="s">
        <v>130</v>
      </c>
      <c r="L300" s="45" t="str">
        <f t="shared" si="99"/>
        <v>M2-HM3@E</v>
      </c>
      <c r="M300" s="75" t="str">
        <f t="shared" si="92"/>
        <v>302, 305, 307, 306, M1, M2, 324, 319, 316, 311, 303, 305, 302</v>
      </c>
      <c r="N300" s="75" t="str">
        <f t="shared" si="93"/>
        <v>06, 03, 10, 16</v>
      </c>
      <c r="R300" s="70" t="s">
        <v>994</v>
      </c>
      <c r="S300" s="70" t="s">
        <v>53</v>
      </c>
      <c r="T300" s="70" t="s">
        <v>191</v>
      </c>
      <c r="U300" s="70"/>
      <c r="V300" s="70"/>
      <c r="X300" s="70" t="str">
        <f t="shared" si="109"/>
        <v>M2-E DT@E</v>
      </c>
      <c r="Y300" s="70" t="str">
        <f t="shared" si="110"/>
        <v>E DT-HM3@E</v>
      </c>
      <c r="Z300" s="70" t="str">
        <f t="shared" si="111"/>
        <v/>
      </c>
      <c r="AA300" s="70" t="str">
        <f t="shared" si="112"/>
        <v/>
      </c>
      <c r="AC300" s="70" t="str">
        <f t="shared" si="100"/>
        <v>302, 305, 307, 306, M1, M2</v>
      </c>
      <c r="AD300" s="70" t="str">
        <f t="shared" si="101"/>
        <v>324, 319, 316, 311, 303, 305, 302</v>
      </c>
      <c r="AE300" s="70" t="str">
        <f t="shared" si="102"/>
        <v/>
      </c>
      <c r="AF300" s="70" t="str">
        <f t="shared" si="103"/>
        <v/>
      </c>
      <c r="AH300" s="70" t="str">
        <f t="shared" si="104"/>
        <v>06</v>
      </c>
      <c r="AI300" s="70" t="str">
        <f t="shared" si="105"/>
        <v>03, 10, 16</v>
      </c>
      <c r="AJ300" s="70" t="str">
        <f t="shared" si="106"/>
        <v/>
      </c>
      <c r="AK300" s="70" t="str">
        <f t="shared" si="107"/>
        <v/>
      </c>
      <c r="AM300" s="166" t="str">
        <f t="shared" si="108"/>
        <v>SHD16-RM3E</v>
      </c>
      <c r="AN300" s="171" t="s">
        <v>1020</v>
      </c>
      <c r="AO300" s="167" t="s">
        <v>1015</v>
      </c>
      <c r="AP300" s="167">
        <v>16</v>
      </c>
    </row>
    <row r="301" spans="1:42" ht="20.100000000000001" customHeight="1" thickBot="1">
      <c r="A301" s="45" t="s">
        <v>1021</v>
      </c>
      <c r="B301" s="45" t="s">
        <v>196</v>
      </c>
      <c r="C301" s="45" t="s">
        <v>1017</v>
      </c>
      <c r="E301" s="45">
        <f t="shared" si="94"/>
        <v>6</v>
      </c>
      <c r="F301" s="45">
        <f t="shared" si="95"/>
        <v>4</v>
      </c>
      <c r="G301" s="45" t="str">
        <f t="shared" si="96"/>
        <v>HM3</v>
      </c>
      <c r="H301" s="45" t="str">
        <f t="shared" si="97"/>
        <v>M2</v>
      </c>
      <c r="J301" s="45" t="str">
        <f t="shared" si="98"/>
        <v>M2</v>
      </c>
      <c r="K301" s="45" t="s">
        <v>130</v>
      </c>
      <c r="L301" s="45" t="str">
        <f t="shared" si="99"/>
        <v>HM3-M2@E</v>
      </c>
      <c r="M301" s="75" t="str">
        <f t="shared" si="92"/>
        <v>324, 319, 316, 311, 303, 305, 302, 302, 305, 307, 306, M1, M2</v>
      </c>
      <c r="N301" s="75" t="str">
        <f t="shared" si="93"/>
        <v>24,04, 03</v>
      </c>
      <c r="R301" s="70" t="s">
        <v>191</v>
      </c>
      <c r="S301" s="70" t="s">
        <v>53</v>
      </c>
      <c r="T301" s="70" t="s">
        <v>994</v>
      </c>
      <c r="U301" s="70"/>
      <c r="V301" s="70"/>
      <c r="X301" s="70" t="str">
        <f t="shared" si="109"/>
        <v>HM3-E DT@E</v>
      </c>
      <c r="Y301" s="70" t="str">
        <f t="shared" si="110"/>
        <v>E DT-M2@E</v>
      </c>
      <c r="Z301" s="70" t="str">
        <f t="shared" si="111"/>
        <v/>
      </c>
      <c r="AA301" s="70" t="str">
        <f t="shared" si="112"/>
        <v/>
      </c>
      <c r="AC301" s="70" t="str">
        <f t="shared" si="100"/>
        <v>324, 319, 316, 311, 303, 305, 302</v>
      </c>
      <c r="AD301" s="70" t="str">
        <f t="shared" si="101"/>
        <v>302, 305, 307, 306, M1, M2</v>
      </c>
      <c r="AE301" s="70" t="str">
        <f t="shared" si="102"/>
        <v/>
      </c>
      <c r="AF301" s="70" t="str">
        <f t="shared" si="103"/>
        <v/>
      </c>
      <c r="AH301" s="70" t="str">
        <f t="shared" si="104"/>
        <v>24,04</v>
      </c>
      <c r="AI301" s="70" t="str">
        <f t="shared" si="105"/>
        <v>03</v>
      </c>
      <c r="AJ301" s="70" t="str">
        <f t="shared" si="106"/>
        <v/>
      </c>
      <c r="AK301" s="70" t="str">
        <f t="shared" si="107"/>
        <v/>
      </c>
      <c r="AM301" s="166" t="str">
        <f t="shared" si="108"/>
        <v>SHD16-RM3W</v>
      </c>
      <c r="AN301" s="171" t="s">
        <v>1022</v>
      </c>
      <c r="AO301" s="167" t="s">
        <v>1015</v>
      </c>
      <c r="AP301" s="167">
        <v>16</v>
      </c>
    </row>
    <row r="302" spans="1:42" ht="20.100000000000001" customHeight="1" thickBot="1">
      <c r="A302" s="45" t="s">
        <v>1023</v>
      </c>
      <c r="B302" s="45" t="s">
        <v>861</v>
      </c>
      <c r="C302" s="45" t="s">
        <v>1024</v>
      </c>
      <c r="E302" s="45">
        <f t="shared" si="94"/>
        <v>7</v>
      </c>
      <c r="F302" s="45">
        <f t="shared" si="95"/>
        <v>3</v>
      </c>
      <c r="G302" s="45" t="str">
        <f t="shared" si="96"/>
        <v>M2</v>
      </c>
      <c r="H302" s="45" t="str">
        <f t="shared" si="97"/>
        <v>RM1E</v>
      </c>
      <c r="J302" s="45" t="str">
        <f t="shared" si="98"/>
        <v>RM1E</v>
      </c>
      <c r="K302" s="45" t="s">
        <v>130</v>
      </c>
      <c r="L302" s="45" t="str">
        <f t="shared" si="99"/>
        <v>M2-RM1E@E</v>
      </c>
      <c r="M302" s="75" t="str">
        <f t="shared" si="92"/>
        <v>302, 305, 307, 306, M1, M2, 302, 305, 303, 311, 316, 319, 324</v>
      </c>
      <c r="N302" s="75" t="str">
        <f t="shared" si="93"/>
        <v>06, 03, 10, 16</v>
      </c>
      <c r="R302" s="70" t="s">
        <v>994</v>
      </c>
      <c r="S302" s="70" t="s">
        <v>53</v>
      </c>
      <c r="T302" s="70" t="s">
        <v>200</v>
      </c>
      <c r="U302" s="70"/>
      <c r="V302" s="70"/>
      <c r="X302" s="70" t="str">
        <f t="shared" si="109"/>
        <v>M2-E DT@E</v>
      </c>
      <c r="Y302" s="70" t="str">
        <f t="shared" si="110"/>
        <v>E DT-RM1E@E</v>
      </c>
      <c r="Z302" s="70" t="str">
        <f t="shared" si="111"/>
        <v/>
      </c>
      <c r="AA302" s="70" t="str">
        <f t="shared" si="112"/>
        <v/>
      </c>
      <c r="AC302" s="70" t="str">
        <f t="shared" si="100"/>
        <v>302, 305, 307, 306, M1, M2</v>
      </c>
      <c r="AD302" s="70" t="str">
        <f t="shared" si="101"/>
        <v>302, 305, 303, 311, 316, 319, 324</v>
      </c>
      <c r="AE302" s="70" t="str">
        <f t="shared" si="102"/>
        <v/>
      </c>
      <c r="AF302" s="70" t="str">
        <f t="shared" si="103"/>
        <v/>
      </c>
      <c r="AH302" s="70" t="str">
        <f t="shared" si="104"/>
        <v>06</v>
      </c>
      <c r="AI302" s="70" t="str">
        <f t="shared" si="105"/>
        <v>03, 10, 16</v>
      </c>
      <c r="AJ302" s="70" t="str">
        <f t="shared" si="106"/>
        <v/>
      </c>
      <c r="AK302" s="70" t="str">
        <f t="shared" si="107"/>
        <v/>
      </c>
      <c r="AM302" s="166" t="str">
        <f t="shared" si="108"/>
        <v>SHD16-HCTE</v>
      </c>
      <c r="AN302" s="171" t="s">
        <v>1025</v>
      </c>
      <c r="AO302" s="167" t="s">
        <v>1026</v>
      </c>
      <c r="AP302" s="167">
        <v>16</v>
      </c>
    </row>
    <row r="303" spans="1:42" ht="20.100000000000001" customHeight="1" thickBot="1">
      <c r="A303" s="45" t="s">
        <v>1027</v>
      </c>
      <c r="B303" s="45" t="s">
        <v>204</v>
      </c>
      <c r="C303" s="45" t="s">
        <v>1028</v>
      </c>
      <c r="E303" s="45">
        <f t="shared" si="94"/>
        <v>7</v>
      </c>
      <c r="F303" s="45">
        <f t="shared" si="95"/>
        <v>5</v>
      </c>
      <c r="G303" s="45" t="str">
        <f t="shared" si="96"/>
        <v>RM1E</v>
      </c>
      <c r="H303" s="45" t="str">
        <f t="shared" si="97"/>
        <v>M2</v>
      </c>
      <c r="J303" s="45" t="str">
        <f t="shared" si="98"/>
        <v>M2</v>
      </c>
      <c r="K303" s="45" t="s">
        <v>130</v>
      </c>
      <c r="L303" s="45" t="str">
        <f t="shared" si="99"/>
        <v>RM1E-M2@E</v>
      </c>
      <c r="M303" s="75" t="str">
        <f t="shared" si="92"/>
        <v>302, 305, 303, 311, 316, 319, 324, 302, 305, 307, 306, M1, M2</v>
      </c>
      <c r="N303" s="75" t="str">
        <f t="shared" si="93"/>
        <v>25, 04, 03</v>
      </c>
      <c r="R303" s="70" t="s">
        <v>200</v>
      </c>
      <c r="S303" s="70" t="s">
        <v>53</v>
      </c>
      <c r="T303" s="70" t="s">
        <v>994</v>
      </c>
      <c r="U303" s="70"/>
      <c r="V303" s="70"/>
      <c r="X303" s="70" t="str">
        <f t="shared" si="109"/>
        <v>RM1E-E DT@E</v>
      </c>
      <c r="Y303" s="70" t="str">
        <f t="shared" si="110"/>
        <v>E DT-M2@E</v>
      </c>
      <c r="Z303" s="70" t="str">
        <f t="shared" si="111"/>
        <v/>
      </c>
      <c r="AA303" s="70" t="str">
        <f t="shared" si="112"/>
        <v/>
      </c>
      <c r="AC303" s="70" t="str">
        <f t="shared" si="100"/>
        <v>302, 305, 303, 311, 316, 319, 324</v>
      </c>
      <c r="AD303" s="70" t="str">
        <f t="shared" si="101"/>
        <v>302, 305, 307, 306, M1, M2</v>
      </c>
      <c r="AE303" s="70" t="str">
        <f t="shared" si="102"/>
        <v/>
      </c>
      <c r="AF303" s="70" t="str">
        <f t="shared" si="103"/>
        <v/>
      </c>
      <c r="AH303" s="70" t="str">
        <f t="shared" si="104"/>
        <v>25, 04</v>
      </c>
      <c r="AI303" s="70" t="str">
        <f t="shared" si="105"/>
        <v>03</v>
      </c>
      <c r="AJ303" s="70" t="str">
        <f t="shared" si="106"/>
        <v/>
      </c>
      <c r="AK303" s="70" t="str">
        <f t="shared" si="107"/>
        <v/>
      </c>
      <c r="AM303" s="166" t="str">
        <f t="shared" si="108"/>
        <v>SHD16-HCTW</v>
      </c>
      <c r="AN303" s="171" t="s">
        <v>1029</v>
      </c>
      <c r="AO303" s="167" t="s">
        <v>1026</v>
      </c>
      <c r="AP303" s="167">
        <v>16</v>
      </c>
    </row>
    <row r="304" spans="1:42" ht="20.100000000000001" customHeight="1" thickBot="1">
      <c r="A304" s="45" t="s">
        <v>1030</v>
      </c>
      <c r="B304" s="45" t="s">
        <v>861</v>
      </c>
      <c r="C304" s="45" t="s">
        <v>1024</v>
      </c>
      <c r="E304" s="45">
        <f t="shared" si="94"/>
        <v>7</v>
      </c>
      <c r="F304" s="45">
        <f t="shared" si="95"/>
        <v>3</v>
      </c>
      <c r="G304" s="45" t="str">
        <f t="shared" si="96"/>
        <v>M2</v>
      </c>
      <c r="H304" s="45" t="str">
        <f t="shared" si="97"/>
        <v>RM1W</v>
      </c>
      <c r="J304" s="45" t="str">
        <f t="shared" si="98"/>
        <v>RM1W</v>
      </c>
      <c r="K304" s="45" t="s">
        <v>130</v>
      </c>
      <c r="L304" s="45" t="str">
        <f t="shared" si="99"/>
        <v>M2-RM1W@E</v>
      </c>
      <c r="M304" s="75" t="str">
        <f t="shared" si="92"/>
        <v>302, 305, 307, 306, M1, M2, 302, 305, 303, 311, 316, 319, 324</v>
      </c>
      <c r="N304" s="75" t="str">
        <f t="shared" si="93"/>
        <v>06, 03, 10, 16</v>
      </c>
      <c r="R304" s="70" t="s">
        <v>994</v>
      </c>
      <c r="S304" s="70" t="s">
        <v>53</v>
      </c>
      <c r="T304" s="70" t="s">
        <v>208</v>
      </c>
      <c r="U304" s="70"/>
      <c r="V304" s="70"/>
      <c r="X304" s="70" t="str">
        <f t="shared" si="109"/>
        <v>M2-E DT@E</v>
      </c>
      <c r="Y304" s="70" t="str">
        <f t="shared" si="110"/>
        <v>E DT-RM1W@E</v>
      </c>
      <c r="Z304" s="70" t="str">
        <f t="shared" si="111"/>
        <v/>
      </c>
      <c r="AA304" s="70" t="str">
        <f t="shared" si="112"/>
        <v/>
      </c>
      <c r="AC304" s="70" t="str">
        <f t="shared" si="100"/>
        <v>302, 305, 307, 306, M1, M2</v>
      </c>
      <c r="AD304" s="70" t="str">
        <f t="shared" si="101"/>
        <v>302, 305, 303, 311, 316, 319, 324</v>
      </c>
      <c r="AE304" s="70" t="str">
        <f t="shared" si="102"/>
        <v/>
      </c>
      <c r="AF304" s="70" t="str">
        <f t="shared" si="103"/>
        <v/>
      </c>
      <c r="AH304" s="70" t="str">
        <f t="shared" si="104"/>
        <v>06</v>
      </c>
      <c r="AI304" s="70" t="str">
        <f t="shared" si="105"/>
        <v>03, 10, 16</v>
      </c>
      <c r="AJ304" s="70" t="str">
        <f t="shared" si="106"/>
        <v/>
      </c>
      <c r="AK304" s="70" t="str">
        <f t="shared" si="107"/>
        <v/>
      </c>
      <c r="AM304" s="166" t="str">
        <f t="shared" si="108"/>
        <v>SHD16-1E</v>
      </c>
      <c r="AN304" s="171" t="s">
        <v>1031</v>
      </c>
      <c r="AO304" s="167" t="s">
        <v>1026</v>
      </c>
      <c r="AP304" s="167">
        <v>16</v>
      </c>
    </row>
    <row r="305" spans="1:42" ht="20.100000000000001" customHeight="1" thickBot="1">
      <c r="A305" s="45" t="s">
        <v>1032</v>
      </c>
      <c r="B305" s="45" t="s">
        <v>204</v>
      </c>
      <c r="C305" s="45" t="s">
        <v>1028</v>
      </c>
      <c r="E305" s="45">
        <f t="shared" si="94"/>
        <v>7</v>
      </c>
      <c r="F305" s="45">
        <f t="shared" si="95"/>
        <v>5</v>
      </c>
      <c r="G305" s="45" t="str">
        <f t="shared" si="96"/>
        <v>RM1W</v>
      </c>
      <c r="H305" s="45" t="str">
        <f t="shared" si="97"/>
        <v>M2</v>
      </c>
      <c r="J305" s="45" t="str">
        <f t="shared" si="98"/>
        <v>M2</v>
      </c>
      <c r="K305" s="45" t="s">
        <v>130</v>
      </c>
      <c r="L305" s="45" t="str">
        <f t="shared" si="99"/>
        <v>RM1W-M2@E</v>
      </c>
      <c r="M305" s="75" t="str">
        <f t="shared" si="92"/>
        <v>302, 305, 303, 311, 316, 319, 324, 302, 305, 307, 306, M1, M2</v>
      </c>
      <c r="N305" s="75" t="str">
        <f t="shared" si="93"/>
        <v>25, 04, 03</v>
      </c>
      <c r="R305" s="70" t="s">
        <v>208</v>
      </c>
      <c r="S305" s="70" t="s">
        <v>53</v>
      </c>
      <c r="T305" s="70" t="s">
        <v>994</v>
      </c>
      <c r="U305" s="70"/>
      <c r="V305" s="70"/>
      <c r="X305" s="70" t="str">
        <f t="shared" si="109"/>
        <v>RM1W-E DT@E</v>
      </c>
      <c r="Y305" s="70" t="str">
        <f t="shared" si="110"/>
        <v>E DT-M2@E</v>
      </c>
      <c r="Z305" s="70" t="str">
        <f t="shared" si="111"/>
        <v/>
      </c>
      <c r="AA305" s="70" t="str">
        <f t="shared" si="112"/>
        <v/>
      </c>
      <c r="AC305" s="70" t="str">
        <f t="shared" si="100"/>
        <v>302, 305, 303, 311, 316, 319, 324</v>
      </c>
      <c r="AD305" s="70" t="str">
        <f t="shared" si="101"/>
        <v>302, 305, 307, 306, M1, M2</v>
      </c>
      <c r="AE305" s="70" t="str">
        <f t="shared" si="102"/>
        <v/>
      </c>
      <c r="AF305" s="70" t="str">
        <f t="shared" si="103"/>
        <v/>
      </c>
      <c r="AH305" s="70" t="str">
        <f t="shared" si="104"/>
        <v>25, 04</v>
      </c>
      <c r="AI305" s="70" t="str">
        <f t="shared" si="105"/>
        <v>03</v>
      </c>
      <c r="AJ305" s="70" t="str">
        <f t="shared" si="106"/>
        <v/>
      </c>
      <c r="AK305" s="70" t="str">
        <f t="shared" si="107"/>
        <v/>
      </c>
      <c r="AM305" s="166" t="str">
        <f t="shared" si="108"/>
        <v>SHD16-1W</v>
      </c>
      <c r="AN305" s="171" t="s">
        <v>1033</v>
      </c>
      <c r="AO305" s="167" t="s">
        <v>1026</v>
      </c>
      <c r="AP305" s="167">
        <v>16</v>
      </c>
    </row>
    <row r="306" spans="1:42" ht="20.100000000000001" customHeight="1" thickBot="1">
      <c r="A306" s="45" t="s">
        <v>1034</v>
      </c>
      <c r="B306" s="45" t="s">
        <v>861</v>
      </c>
      <c r="C306" s="45" t="s">
        <v>1035</v>
      </c>
      <c r="E306" s="45">
        <f t="shared" si="94"/>
        <v>7</v>
      </c>
      <c r="F306" s="45">
        <f t="shared" si="95"/>
        <v>3</v>
      </c>
      <c r="G306" s="45" t="str">
        <f t="shared" si="96"/>
        <v>M2</v>
      </c>
      <c r="H306" s="45" t="str">
        <f t="shared" si="97"/>
        <v>RM2E</v>
      </c>
      <c r="J306" s="45" t="str">
        <f t="shared" si="98"/>
        <v>RM2E</v>
      </c>
      <c r="K306" s="45" t="s">
        <v>130</v>
      </c>
      <c r="L306" s="45" t="str">
        <f t="shared" si="99"/>
        <v>M2-RM2E@E</v>
      </c>
      <c r="M306" s="75" t="str">
        <f t="shared" si="92"/>
        <v>302, 305, 307, 306, M1, M2, 327, 326, 325, 318, 317, 316, 311, 303, 305, 302</v>
      </c>
      <c r="N306" s="75" t="str">
        <f t="shared" si="93"/>
        <v>06, 03, 10, 16</v>
      </c>
      <c r="R306" s="70" t="s">
        <v>994</v>
      </c>
      <c r="S306" s="70" t="s">
        <v>53</v>
      </c>
      <c r="T306" s="70" t="s">
        <v>216</v>
      </c>
      <c r="U306" s="70"/>
      <c r="V306" s="70"/>
      <c r="X306" s="70" t="str">
        <f t="shared" si="109"/>
        <v>M2-E DT@E</v>
      </c>
      <c r="Y306" s="70" t="str">
        <f t="shared" si="110"/>
        <v>E DT-RM2E@E</v>
      </c>
      <c r="Z306" s="70" t="str">
        <f t="shared" si="111"/>
        <v/>
      </c>
      <c r="AA306" s="70" t="str">
        <f t="shared" si="112"/>
        <v/>
      </c>
      <c r="AC306" s="70" t="str">
        <f t="shared" si="100"/>
        <v>302, 305, 307, 306, M1, M2</v>
      </c>
      <c r="AD306" s="70" t="str">
        <f t="shared" si="101"/>
        <v>327, 326, 325, 318, 317, 316, 311, 303, 305, 302</v>
      </c>
      <c r="AE306" s="70" t="str">
        <f t="shared" si="102"/>
        <v/>
      </c>
      <c r="AF306" s="70" t="str">
        <f t="shared" si="103"/>
        <v/>
      </c>
      <c r="AH306" s="70" t="str">
        <f t="shared" si="104"/>
        <v>06</v>
      </c>
      <c r="AI306" s="70" t="str">
        <f t="shared" si="105"/>
        <v>03, 10, 16</v>
      </c>
      <c r="AJ306" s="70" t="str">
        <f t="shared" si="106"/>
        <v/>
      </c>
      <c r="AK306" s="70" t="str">
        <f t="shared" si="107"/>
        <v/>
      </c>
      <c r="AM306" s="166" t="str">
        <f t="shared" si="108"/>
        <v>SHD16-2E</v>
      </c>
      <c r="AN306" s="171" t="s">
        <v>1036</v>
      </c>
      <c r="AO306" s="167" t="s">
        <v>1037</v>
      </c>
      <c r="AP306" s="167">
        <v>16</v>
      </c>
    </row>
    <row r="307" spans="1:42" ht="20.100000000000001" customHeight="1" thickBot="1">
      <c r="A307" s="45" t="s">
        <v>1038</v>
      </c>
      <c r="B307" s="45" t="s">
        <v>220</v>
      </c>
      <c r="C307" s="45" t="s">
        <v>1039</v>
      </c>
      <c r="E307" s="45">
        <f t="shared" si="94"/>
        <v>7</v>
      </c>
      <c r="F307" s="45">
        <f t="shared" si="95"/>
        <v>5</v>
      </c>
      <c r="G307" s="45" t="str">
        <f t="shared" si="96"/>
        <v>RM2E</v>
      </c>
      <c r="H307" s="45" t="str">
        <f t="shared" si="97"/>
        <v>M2</v>
      </c>
      <c r="J307" s="45" t="str">
        <f t="shared" si="98"/>
        <v>M2</v>
      </c>
      <c r="K307" s="45" t="s">
        <v>130</v>
      </c>
      <c r="L307" s="45" t="str">
        <f t="shared" si="99"/>
        <v>RM2E-M2@E</v>
      </c>
      <c r="M307" s="75" t="str">
        <f t="shared" si="92"/>
        <v>327, 326, 325, 318, 317, 316, 311, 303, 305, 302, 302, 305, 307, 306, M1, M2</v>
      </c>
      <c r="N307" s="75" t="str">
        <f t="shared" si="93"/>
        <v>26, 04, 03</v>
      </c>
      <c r="R307" s="70" t="s">
        <v>216</v>
      </c>
      <c r="S307" s="70" t="s">
        <v>53</v>
      </c>
      <c r="T307" s="70" t="s">
        <v>994</v>
      </c>
      <c r="U307" s="70"/>
      <c r="V307" s="70"/>
      <c r="X307" s="70" t="str">
        <f t="shared" si="109"/>
        <v>RM2E-E DT@E</v>
      </c>
      <c r="Y307" s="70" t="str">
        <f t="shared" si="110"/>
        <v>E DT-M2@E</v>
      </c>
      <c r="Z307" s="70" t="str">
        <f t="shared" si="111"/>
        <v/>
      </c>
      <c r="AA307" s="70" t="str">
        <f t="shared" si="112"/>
        <v/>
      </c>
      <c r="AC307" s="70" t="str">
        <f t="shared" si="100"/>
        <v>327, 326, 325, 318, 317, 316, 311, 303, 305, 302</v>
      </c>
      <c r="AD307" s="70" t="str">
        <f t="shared" si="101"/>
        <v>302, 305, 307, 306, M1, M2</v>
      </c>
      <c r="AE307" s="70" t="str">
        <f t="shared" si="102"/>
        <v/>
      </c>
      <c r="AF307" s="70" t="str">
        <f t="shared" si="103"/>
        <v/>
      </c>
      <c r="AH307" s="70" t="str">
        <f t="shared" si="104"/>
        <v>26, 04</v>
      </c>
      <c r="AI307" s="70" t="str">
        <f t="shared" si="105"/>
        <v>03</v>
      </c>
      <c r="AJ307" s="70" t="str">
        <f t="shared" si="106"/>
        <v/>
      </c>
      <c r="AK307" s="70" t="str">
        <f t="shared" si="107"/>
        <v/>
      </c>
      <c r="AM307" s="166" t="str">
        <f t="shared" si="108"/>
        <v>SHD16-2W</v>
      </c>
      <c r="AN307" s="171" t="s">
        <v>1040</v>
      </c>
      <c r="AO307" s="167" t="s">
        <v>1037</v>
      </c>
      <c r="AP307" s="167">
        <v>16</v>
      </c>
    </row>
    <row r="308" spans="1:42" ht="20.100000000000001" customHeight="1" thickBot="1">
      <c r="A308" s="45" t="s">
        <v>1041</v>
      </c>
      <c r="B308" s="45" t="s">
        <v>861</v>
      </c>
      <c r="C308" s="45" t="s">
        <v>1035</v>
      </c>
      <c r="E308" s="45">
        <f t="shared" si="94"/>
        <v>7</v>
      </c>
      <c r="F308" s="45">
        <f t="shared" si="95"/>
        <v>3</v>
      </c>
      <c r="G308" s="45" t="str">
        <f t="shared" si="96"/>
        <v>M2</v>
      </c>
      <c r="H308" s="45" t="str">
        <f t="shared" si="97"/>
        <v>RM2W</v>
      </c>
      <c r="J308" s="45" t="str">
        <f t="shared" si="98"/>
        <v>RM2W</v>
      </c>
      <c r="K308" s="45" t="s">
        <v>130</v>
      </c>
      <c r="L308" s="45" t="str">
        <f t="shared" si="99"/>
        <v>M2-RM2W@E</v>
      </c>
      <c r="M308" s="75" t="str">
        <f t="shared" si="92"/>
        <v>302, 305, 307, 306, M1, M2, 327, 326, 325, 318, 317, 316, 311, 303, 305, 302</v>
      </c>
      <c r="N308" s="75" t="str">
        <f t="shared" si="93"/>
        <v>06, 03, 10, 16</v>
      </c>
      <c r="R308" s="70" t="s">
        <v>994</v>
      </c>
      <c r="S308" s="70" t="s">
        <v>53</v>
      </c>
      <c r="T308" s="70" t="s">
        <v>224</v>
      </c>
      <c r="U308" s="70"/>
      <c r="V308" s="70"/>
      <c r="X308" s="70" t="str">
        <f t="shared" si="109"/>
        <v>M2-E DT@E</v>
      </c>
      <c r="Y308" s="70" t="str">
        <f t="shared" si="110"/>
        <v>E DT-RM2W@E</v>
      </c>
      <c r="Z308" s="70" t="str">
        <f t="shared" si="111"/>
        <v/>
      </c>
      <c r="AA308" s="70" t="str">
        <f t="shared" si="112"/>
        <v/>
      </c>
      <c r="AC308" s="70" t="str">
        <f t="shared" si="100"/>
        <v>302, 305, 307, 306, M1, M2</v>
      </c>
      <c r="AD308" s="70" t="str">
        <f t="shared" si="101"/>
        <v>327, 326, 325, 318, 317, 316, 311, 303, 305, 302</v>
      </c>
      <c r="AE308" s="70" t="str">
        <f t="shared" si="102"/>
        <v/>
      </c>
      <c r="AF308" s="70" t="str">
        <f t="shared" si="103"/>
        <v/>
      </c>
      <c r="AH308" s="70" t="str">
        <f t="shared" si="104"/>
        <v>06</v>
      </c>
      <c r="AI308" s="70" t="str">
        <f t="shared" si="105"/>
        <v>03, 10, 16</v>
      </c>
      <c r="AJ308" s="70" t="str">
        <f t="shared" si="106"/>
        <v/>
      </c>
      <c r="AK308" s="70" t="str">
        <f t="shared" si="107"/>
        <v/>
      </c>
      <c r="AM308" s="166" t="str">
        <f t="shared" si="108"/>
        <v>SHD16-3E</v>
      </c>
      <c r="AN308" s="171" t="s">
        <v>1042</v>
      </c>
      <c r="AO308" s="167" t="s">
        <v>1037</v>
      </c>
      <c r="AP308" s="167">
        <v>16</v>
      </c>
    </row>
    <row r="309" spans="1:42" ht="20.100000000000001" customHeight="1" thickBot="1">
      <c r="A309" s="45" t="s">
        <v>1043</v>
      </c>
      <c r="B309" s="45" t="s">
        <v>220</v>
      </c>
      <c r="C309" s="45" t="s">
        <v>1039</v>
      </c>
      <c r="E309" s="45">
        <f t="shared" si="94"/>
        <v>7</v>
      </c>
      <c r="F309" s="45">
        <f t="shared" si="95"/>
        <v>5</v>
      </c>
      <c r="G309" s="45" t="str">
        <f t="shared" si="96"/>
        <v>RM2W</v>
      </c>
      <c r="H309" s="45" t="str">
        <f t="shared" si="97"/>
        <v>M2</v>
      </c>
      <c r="J309" s="45" t="str">
        <f t="shared" si="98"/>
        <v>M2</v>
      </c>
      <c r="K309" s="45" t="s">
        <v>130</v>
      </c>
      <c r="L309" s="45" t="str">
        <f t="shared" si="99"/>
        <v>RM2W-M2@E</v>
      </c>
      <c r="M309" s="75" t="str">
        <f t="shared" si="92"/>
        <v>327, 326, 325, 318, 317, 316, 311, 303, 305, 302, 302, 305, 307, 306, M1, M2</v>
      </c>
      <c r="N309" s="75" t="str">
        <f t="shared" si="93"/>
        <v>26, 04, 03</v>
      </c>
      <c r="R309" s="70" t="s">
        <v>224</v>
      </c>
      <c r="S309" s="70" t="s">
        <v>53</v>
      </c>
      <c r="T309" s="70" t="s">
        <v>994</v>
      </c>
      <c r="U309" s="70"/>
      <c r="V309" s="70"/>
      <c r="X309" s="70" t="str">
        <f t="shared" si="109"/>
        <v>RM2W-E DT@E</v>
      </c>
      <c r="Y309" s="70" t="str">
        <f t="shared" si="110"/>
        <v>E DT-M2@E</v>
      </c>
      <c r="Z309" s="70" t="str">
        <f t="shared" si="111"/>
        <v/>
      </c>
      <c r="AA309" s="70" t="str">
        <f t="shared" si="112"/>
        <v/>
      </c>
      <c r="AC309" s="70" t="str">
        <f t="shared" si="100"/>
        <v>327, 326, 325, 318, 317, 316, 311, 303, 305, 302</v>
      </c>
      <c r="AD309" s="70" t="str">
        <f t="shared" si="101"/>
        <v>302, 305, 307, 306, M1, M2</v>
      </c>
      <c r="AE309" s="70" t="str">
        <f t="shared" si="102"/>
        <v/>
      </c>
      <c r="AF309" s="70" t="str">
        <f t="shared" si="103"/>
        <v/>
      </c>
      <c r="AH309" s="70" t="str">
        <f t="shared" si="104"/>
        <v>26, 04</v>
      </c>
      <c r="AI309" s="70" t="str">
        <f t="shared" si="105"/>
        <v>03</v>
      </c>
      <c r="AJ309" s="70" t="str">
        <f t="shared" si="106"/>
        <v/>
      </c>
      <c r="AK309" s="70" t="str">
        <f t="shared" si="107"/>
        <v/>
      </c>
      <c r="AM309" s="166" t="str">
        <f t="shared" si="108"/>
        <v>SHD16-3W</v>
      </c>
      <c r="AN309" s="171" t="s">
        <v>1044</v>
      </c>
      <c r="AO309" s="167" t="s">
        <v>1037</v>
      </c>
      <c r="AP309" s="167">
        <v>16</v>
      </c>
    </row>
    <row r="310" spans="1:42" ht="20.100000000000001" customHeight="1" thickBot="1">
      <c r="A310" s="45" t="s">
        <v>1045</v>
      </c>
      <c r="B310" s="45" t="s">
        <v>861</v>
      </c>
      <c r="C310" s="45" t="s">
        <v>1035</v>
      </c>
      <c r="E310" s="45">
        <f t="shared" si="94"/>
        <v>7</v>
      </c>
      <c r="F310" s="45">
        <f t="shared" si="95"/>
        <v>3</v>
      </c>
      <c r="G310" s="45" t="str">
        <f t="shared" si="96"/>
        <v>M2</v>
      </c>
      <c r="H310" s="45" t="str">
        <f t="shared" si="97"/>
        <v>RM3E</v>
      </c>
      <c r="J310" s="45" t="str">
        <f t="shared" si="98"/>
        <v>RM3E</v>
      </c>
      <c r="K310" s="45" t="s">
        <v>130</v>
      </c>
      <c r="L310" s="45" t="str">
        <f t="shared" si="99"/>
        <v>M2-RM3E@E</v>
      </c>
      <c r="M310" s="75" t="str">
        <f t="shared" si="92"/>
        <v>302, 305, 307, 306, M1, M2, 327, 326, 325, 318, 317, 316, 311, 303, 305, 302</v>
      </c>
      <c r="N310" s="75" t="str">
        <f t="shared" si="93"/>
        <v>06, 03, 10, 16</v>
      </c>
      <c r="R310" s="70" t="s">
        <v>994</v>
      </c>
      <c r="S310" s="70" t="s">
        <v>53</v>
      </c>
      <c r="T310" s="70" t="s">
        <v>231</v>
      </c>
      <c r="U310" s="70"/>
      <c r="V310" s="70"/>
      <c r="X310" s="70" t="str">
        <f t="shared" si="109"/>
        <v>M2-E DT@E</v>
      </c>
      <c r="Y310" s="70" t="str">
        <f t="shared" si="110"/>
        <v>E DT-RM3E@E</v>
      </c>
      <c r="Z310" s="70" t="str">
        <f t="shared" si="111"/>
        <v/>
      </c>
      <c r="AA310" s="70" t="str">
        <f t="shared" si="112"/>
        <v/>
      </c>
      <c r="AC310" s="70" t="str">
        <f t="shared" si="100"/>
        <v>302, 305, 307, 306, M1, M2</v>
      </c>
      <c r="AD310" s="70" t="str">
        <f t="shared" si="101"/>
        <v>327, 326, 325, 318, 317, 316, 311, 303, 305, 302</v>
      </c>
      <c r="AE310" s="70" t="str">
        <f t="shared" si="102"/>
        <v/>
      </c>
      <c r="AF310" s="70" t="str">
        <f t="shared" si="103"/>
        <v/>
      </c>
      <c r="AH310" s="70" t="str">
        <f t="shared" si="104"/>
        <v>06</v>
      </c>
      <c r="AI310" s="70" t="str">
        <f t="shared" si="105"/>
        <v>03, 10, 16</v>
      </c>
      <c r="AJ310" s="70" t="str">
        <f t="shared" si="106"/>
        <v/>
      </c>
      <c r="AK310" s="70" t="str">
        <f t="shared" si="107"/>
        <v/>
      </c>
      <c r="AM310" s="166" t="str">
        <f t="shared" si="108"/>
        <v>SHD16-4E</v>
      </c>
      <c r="AN310" s="171" t="s">
        <v>1046</v>
      </c>
      <c r="AO310" s="167" t="s">
        <v>1047</v>
      </c>
      <c r="AP310" s="167">
        <v>16</v>
      </c>
    </row>
    <row r="311" spans="1:42" ht="20.100000000000001" customHeight="1" thickBot="1">
      <c r="A311" s="45" t="s">
        <v>1048</v>
      </c>
      <c r="B311" s="45" t="s">
        <v>235</v>
      </c>
      <c r="C311" s="45" t="s">
        <v>1039</v>
      </c>
      <c r="E311" s="45">
        <f t="shared" si="94"/>
        <v>7</v>
      </c>
      <c r="F311" s="45">
        <f t="shared" si="95"/>
        <v>5</v>
      </c>
      <c r="G311" s="45" t="str">
        <f t="shared" si="96"/>
        <v>RM3E</v>
      </c>
      <c r="H311" s="45" t="str">
        <f t="shared" si="97"/>
        <v>M2</v>
      </c>
      <c r="J311" s="45" t="str">
        <f t="shared" si="98"/>
        <v>M2</v>
      </c>
      <c r="K311" s="45" t="s">
        <v>130</v>
      </c>
      <c r="L311" s="45" t="str">
        <f t="shared" si="99"/>
        <v>RM3E-M2@E</v>
      </c>
      <c r="M311" s="75" t="str">
        <f t="shared" si="92"/>
        <v>327, 326, 325, 318, 317, 316, 311, 303, 305, 302, 302, 305, 307, 306, M1, M2</v>
      </c>
      <c r="N311" s="75" t="str">
        <f t="shared" si="93"/>
        <v>27, 04, 03</v>
      </c>
      <c r="R311" s="70" t="s">
        <v>231</v>
      </c>
      <c r="S311" s="70" t="s">
        <v>53</v>
      </c>
      <c r="T311" s="70" t="s">
        <v>994</v>
      </c>
      <c r="U311" s="70"/>
      <c r="V311" s="70"/>
      <c r="X311" s="70" t="str">
        <f t="shared" si="109"/>
        <v>RM3E-E DT@E</v>
      </c>
      <c r="Y311" s="70" t="str">
        <f t="shared" si="110"/>
        <v>E DT-M2@E</v>
      </c>
      <c r="Z311" s="70" t="str">
        <f t="shared" si="111"/>
        <v/>
      </c>
      <c r="AA311" s="70" t="str">
        <f t="shared" si="112"/>
        <v/>
      </c>
      <c r="AC311" s="70" t="str">
        <f t="shared" si="100"/>
        <v>327, 326, 325, 318, 317, 316, 311, 303, 305, 302</v>
      </c>
      <c r="AD311" s="70" t="str">
        <f t="shared" si="101"/>
        <v>302, 305, 307, 306, M1, M2</v>
      </c>
      <c r="AE311" s="70" t="str">
        <f t="shared" si="102"/>
        <v/>
      </c>
      <c r="AF311" s="70" t="str">
        <f t="shared" si="103"/>
        <v/>
      </c>
      <c r="AH311" s="70" t="str">
        <f t="shared" si="104"/>
        <v>27, 04</v>
      </c>
      <c r="AI311" s="70" t="str">
        <f t="shared" si="105"/>
        <v>03</v>
      </c>
      <c r="AJ311" s="70" t="str">
        <f t="shared" si="106"/>
        <v/>
      </c>
      <c r="AK311" s="70" t="str">
        <f t="shared" si="107"/>
        <v/>
      </c>
      <c r="AM311" s="166" t="str">
        <f t="shared" si="108"/>
        <v>SHD16-4W</v>
      </c>
      <c r="AN311" s="171" t="s">
        <v>1049</v>
      </c>
      <c r="AO311" s="167" t="s">
        <v>1047</v>
      </c>
      <c r="AP311" s="167">
        <v>16</v>
      </c>
    </row>
    <row r="312" spans="1:42" ht="20.100000000000001" customHeight="1" thickBot="1">
      <c r="A312" s="45" t="s">
        <v>1050</v>
      </c>
      <c r="B312" s="45" t="s">
        <v>861</v>
      </c>
      <c r="C312" s="45" t="s">
        <v>1035</v>
      </c>
      <c r="E312" s="45">
        <f t="shared" si="94"/>
        <v>7</v>
      </c>
      <c r="F312" s="45">
        <f t="shared" si="95"/>
        <v>3</v>
      </c>
      <c r="G312" s="45" t="str">
        <f t="shared" si="96"/>
        <v>M2</v>
      </c>
      <c r="H312" s="45" t="str">
        <f t="shared" si="97"/>
        <v>RM3W</v>
      </c>
      <c r="J312" s="45" t="str">
        <f t="shared" si="98"/>
        <v>RM3W</v>
      </c>
      <c r="K312" s="45" t="s">
        <v>130</v>
      </c>
      <c r="L312" s="45" t="str">
        <f t="shared" si="99"/>
        <v>M2-RM3W@E</v>
      </c>
      <c r="M312" s="75" t="str">
        <f t="shared" si="92"/>
        <v>302, 305, 307, 306, M1, M2, 327, 326, 325, 318, 317, 316, 311, 303, 305, 302</v>
      </c>
      <c r="N312" s="75" t="str">
        <f t="shared" si="93"/>
        <v>06, 03, 10, 16</v>
      </c>
      <c r="R312" s="70" t="s">
        <v>994</v>
      </c>
      <c r="S312" s="70" t="s">
        <v>53</v>
      </c>
      <c r="T312" s="70" t="s">
        <v>238</v>
      </c>
      <c r="U312" s="70"/>
      <c r="V312" s="70"/>
      <c r="X312" s="70" t="str">
        <f t="shared" si="109"/>
        <v>M2-E DT@E</v>
      </c>
      <c r="Y312" s="70" t="str">
        <f t="shared" si="110"/>
        <v>E DT-RM3W@E</v>
      </c>
      <c r="Z312" s="70" t="str">
        <f t="shared" si="111"/>
        <v/>
      </c>
      <c r="AA312" s="70" t="str">
        <f t="shared" si="112"/>
        <v/>
      </c>
      <c r="AC312" s="70" t="str">
        <f t="shared" si="100"/>
        <v>302, 305, 307, 306, M1, M2</v>
      </c>
      <c r="AD312" s="70" t="str">
        <f t="shared" si="101"/>
        <v>327, 326, 325, 318, 317, 316, 311, 303, 305, 302</v>
      </c>
      <c r="AE312" s="70" t="str">
        <f t="shared" si="102"/>
        <v/>
      </c>
      <c r="AF312" s="70" t="str">
        <f t="shared" si="103"/>
        <v/>
      </c>
      <c r="AH312" s="70" t="str">
        <f t="shared" si="104"/>
        <v>06</v>
      </c>
      <c r="AI312" s="70" t="str">
        <f t="shared" si="105"/>
        <v>03, 10, 16</v>
      </c>
      <c r="AJ312" s="70" t="str">
        <f t="shared" si="106"/>
        <v/>
      </c>
      <c r="AK312" s="70" t="str">
        <f t="shared" si="107"/>
        <v/>
      </c>
      <c r="AM312" s="166" t="str">
        <f t="shared" si="108"/>
        <v>SHD16-5E</v>
      </c>
      <c r="AN312" s="171" t="s">
        <v>1051</v>
      </c>
      <c r="AO312" s="167" t="s">
        <v>1047</v>
      </c>
      <c r="AP312" s="167">
        <v>16</v>
      </c>
    </row>
    <row r="313" spans="1:42" ht="20.100000000000001" customHeight="1" thickBot="1">
      <c r="A313" s="45" t="s">
        <v>1052</v>
      </c>
      <c r="B313" s="45" t="s">
        <v>235</v>
      </c>
      <c r="C313" s="45" t="s">
        <v>1039</v>
      </c>
      <c r="E313" s="45">
        <f t="shared" si="94"/>
        <v>7</v>
      </c>
      <c r="F313" s="45">
        <f t="shared" si="95"/>
        <v>5</v>
      </c>
      <c r="G313" s="45" t="str">
        <f t="shared" si="96"/>
        <v>RM3W</v>
      </c>
      <c r="H313" s="45" t="str">
        <f t="shared" si="97"/>
        <v>M2</v>
      </c>
      <c r="J313" s="45" t="str">
        <f t="shared" si="98"/>
        <v>M2</v>
      </c>
      <c r="K313" s="45" t="s">
        <v>130</v>
      </c>
      <c r="L313" s="45" t="str">
        <f t="shared" si="99"/>
        <v>RM3W-M2@E</v>
      </c>
      <c r="M313" s="75" t="str">
        <f t="shared" si="92"/>
        <v>327, 326, 325, 318, 317, 316, 311, 303, 305, 302, 302, 305, 307, 306, M1, M2</v>
      </c>
      <c r="N313" s="75" t="str">
        <f t="shared" si="93"/>
        <v>27, 04, 03</v>
      </c>
      <c r="R313" s="70" t="s">
        <v>238</v>
      </c>
      <c r="S313" s="70" t="s">
        <v>53</v>
      </c>
      <c r="T313" s="70" t="s">
        <v>994</v>
      </c>
      <c r="U313" s="70"/>
      <c r="V313" s="70"/>
      <c r="X313" s="70" t="str">
        <f t="shared" si="109"/>
        <v>RM3W-E DT@E</v>
      </c>
      <c r="Y313" s="70" t="str">
        <f t="shared" si="110"/>
        <v>E DT-M2@E</v>
      </c>
      <c r="Z313" s="70" t="str">
        <f t="shared" si="111"/>
        <v/>
      </c>
      <c r="AA313" s="70" t="str">
        <f t="shared" si="112"/>
        <v/>
      </c>
      <c r="AC313" s="70" t="str">
        <f t="shared" si="100"/>
        <v>327, 326, 325, 318, 317, 316, 311, 303, 305, 302</v>
      </c>
      <c r="AD313" s="70" t="str">
        <f t="shared" si="101"/>
        <v>302, 305, 307, 306, M1, M2</v>
      </c>
      <c r="AE313" s="70" t="str">
        <f t="shared" si="102"/>
        <v/>
      </c>
      <c r="AF313" s="70" t="str">
        <f t="shared" si="103"/>
        <v/>
      </c>
      <c r="AH313" s="70" t="str">
        <f t="shared" si="104"/>
        <v>27, 04</v>
      </c>
      <c r="AI313" s="70" t="str">
        <f t="shared" si="105"/>
        <v>03</v>
      </c>
      <c r="AJ313" s="70" t="str">
        <f t="shared" si="106"/>
        <v/>
      </c>
      <c r="AK313" s="70" t="str">
        <f t="shared" si="107"/>
        <v/>
      </c>
      <c r="AM313" s="166" t="str">
        <f t="shared" si="108"/>
        <v>SHD16-5W</v>
      </c>
      <c r="AN313" s="171" t="s">
        <v>1053</v>
      </c>
      <c r="AO313" s="167" t="s">
        <v>1047</v>
      </c>
      <c r="AP313" s="167">
        <v>16</v>
      </c>
    </row>
    <row r="314" spans="1:42" ht="20.100000000000001" customHeight="1" thickBot="1">
      <c r="A314" s="45" t="s">
        <v>1054</v>
      </c>
      <c r="B314" s="45" t="s">
        <v>861</v>
      </c>
      <c r="C314" s="45" t="s">
        <v>1055</v>
      </c>
      <c r="E314" s="45">
        <f t="shared" si="94"/>
        <v>7</v>
      </c>
      <c r="F314" s="45">
        <f t="shared" si="95"/>
        <v>3</v>
      </c>
      <c r="G314" s="45" t="str">
        <f t="shared" si="96"/>
        <v>M2</v>
      </c>
      <c r="H314" s="45" t="str">
        <f t="shared" si="97"/>
        <v>HCTE</v>
      </c>
      <c r="J314" s="45" t="str">
        <f t="shared" si="98"/>
        <v>HCTE</v>
      </c>
      <c r="K314" s="45" t="s">
        <v>130</v>
      </c>
      <c r="L314" s="45" t="str">
        <f t="shared" si="99"/>
        <v>M2-HCTE@E</v>
      </c>
      <c r="M314" s="75" t="str">
        <f t="shared" si="92"/>
        <v>302, 305, 307, 306, M1, M2, 329, 328, 325, 318, 317, 316, 311, 303, 305, 302</v>
      </c>
      <c r="N314" s="75" t="str">
        <f t="shared" si="93"/>
        <v>06, 03, 10, 16</v>
      </c>
      <c r="R314" s="70" t="s">
        <v>994</v>
      </c>
      <c r="S314" s="70" t="s">
        <v>53</v>
      </c>
      <c r="T314" s="70" t="s">
        <v>246</v>
      </c>
      <c r="U314" s="70"/>
      <c r="V314" s="70"/>
      <c r="X314" s="70" t="str">
        <f t="shared" si="109"/>
        <v>M2-E DT@E</v>
      </c>
      <c r="Y314" s="70" t="str">
        <f t="shared" si="110"/>
        <v>E DT-HCTE@E</v>
      </c>
      <c r="Z314" s="70" t="str">
        <f t="shared" si="111"/>
        <v/>
      </c>
      <c r="AA314" s="70" t="str">
        <f t="shared" si="112"/>
        <v/>
      </c>
      <c r="AC314" s="70" t="str">
        <f t="shared" si="100"/>
        <v>302, 305, 307, 306, M1, M2</v>
      </c>
      <c r="AD314" s="70" t="str">
        <f t="shared" si="101"/>
        <v>329, 328, 325, 318, 317, 316, 311, 303, 305, 302</v>
      </c>
      <c r="AE314" s="70" t="str">
        <f t="shared" si="102"/>
        <v/>
      </c>
      <c r="AF314" s="70" t="str">
        <f t="shared" si="103"/>
        <v/>
      </c>
      <c r="AH314" s="70" t="str">
        <f t="shared" si="104"/>
        <v>06</v>
      </c>
      <c r="AI314" s="70" t="str">
        <f t="shared" si="105"/>
        <v>03, 10, 16</v>
      </c>
      <c r="AJ314" s="70" t="str">
        <f t="shared" si="106"/>
        <v/>
      </c>
      <c r="AK314" s="70" t="str">
        <f t="shared" si="107"/>
        <v/>
      </c>
      <c r="AM314" s="166" t="str">
        <f t="shared" si="108"/>
        <v>SHD16-6E</v>
      </c>
      <c r="AN314" s="171" t="s">
        <v>1056</v>
      </c>
      <c r="AO314" s="167" t="s">
        <v>1057</v>
      </c>
      <c r="AP314" s="167">
        <v>16</v>
      </c>
    </row>
    <row r="315" spans="1:42" ht="20.100000000000001" customHeight="1" thickBot="1">
      <c r="A315" s="45" t="s">
        <v>1058</v>
      </c>
      <c r="B315" s="45" t="s">
        <v>250</v>
      </c>
      <c r="C315" s="45" t="s">
        <v>1059</v>
      </c>
      <c r="E315" s="45">
        <f t="shared" si="94"/>
        <v>7</v>
      </c>
      <c r="F315" s="45">
        <f t="shared" si="95"/>
        <v>5</v>
      </c>
      <c r="G315" s="45" t="str">
        <f t="shared" si="96"/>
        <v>HCTE</v>
      </c>
      <c r="H315" s="45" t="str">
        <f t="shared" si="97"/>
        <v>M2</v>
      </c>
      <c r="J315" s="45" t="str">
        <f t="shared" si="98"/>
        <v>M2</v>
      </c>
      <c r="K315" s="45" t="s">
        <v>130</v>
      </c>
      <c r="L315" s="45" t="str">
        <f t="shared" si="99"/>
        <v>HCTE-M2@E</v>
      </c>
      <c r="M315" s="75" t="str">
        <f t="shared" si="92"/>
        <v>329, 328, 325, 318, 317, 316, 311, 303, 305, 302, 302, 305, 307, 306, M1, M2</v>
      </c>
      <c r="N315" s="75" t="str">
        <f t="shared" si="93"/>
        <v>28, 04, 03</v>
      </c>
      <c r="R315" s="70" t="s">
        <v>246</v>
      </c>
      <c r="S315" s="70" t="s">
        <v>53</v>
      </c>
      <c r="T315" s="70" t="s">
        <v>994</v>
      </c>
      <c r="U315" s="70"/>
      <c r="V315" s="70"/>
      <c r="X315" s="70" t="str">
        <f t="shared" si="109"/>
        <v>HCTE-E DT@E</v>
      </c>
      <c r="Y315" s="70" t="str">
        <f t="shared" si="110"/>
        <v>E DT-M2@E</v>
      </c>
      <c r="Z315" s="70" t="str">
        <f t="shared" si="111"/>
        <v/>
      </c>
      <c r="AA315" s="70" t="str">
        <f t="shared" si="112"/>
        <v/>
      </c>
      <c r="AC315" s="70" t="str">
        <f t="shared" si="100"/>
        <v>329, 328, 325, 318, 317, 316, 311, 303, 305, 302</v>
      </c>
      <c r="AD315" s="70" t="str">
        <f t="shared" si="101"/>
        <v>302, 305, 307, 306, M1, M2</v>
      </c>
      <c r="AE315" s="70" t="str">
        <f t="shared" si="102"/>
        <v/>
      </c>
      <c r="AF315" s="70" t="str">
        <f t="shared" si="103"/>
        <v/>
      </c>
      <c r="AH315" s="70" t="str">
        <f t="shared" si="104"/>
        <v>28, 04</v>
      </c>
      <c r="AI315" s="70" t="str">
        <f t="shared" si="105"/>
        <v>03</v>
      </c>
      <c r="AJ315" s="70" t="str">
        <f t="shared" si="106"/>
        <v/>
      </c>
      <c r="AK315" s="70" t="str">
        <f t="shared" si="107"/>
        <v/>
      </c>
      <c r="AM315" s="166" t="str">
        <f t="shared" si="108"/>
        <v>SHD16-6W</v>
      </c>
      <c r="AN315" s="171" t="s">
        <v>1060</v>
      </c>
      <c r="AO315" s="167" t="s">
        <v>1057</v>
      </c>
      <c r="AP315" s="167">
        <v>16</v>
      </c>
    </row>
    <row r="316" spans="1:42" ht="20.100000000000001" customHeight="1" thickBot="1">
      <c r="A316" s="45" t="s">
        <v>1061</v>
      </c>
      <c r="B316" s="45" t="s">
        <v>861</v>
      </c>
      <c r="C316" s="45" t="s">
        <v>1055</v>
      </c>
      <c r="E316" s="45">
        <f t="shared" si="94"/>
        <v>7</v>
      </c>
      <c r="F316" s="45">
        <f t="shared" si="95"/>
        <v>3</v>
      </c>
      <c r="G316" s="45" t="str">
        <f t="shared" si="96"/>
        <v>M2</v>
      </c>
      <c r="H316" s="45" t="str">
        <f t="shared" si="97"/>
        <v>HCTW</v>
      </c>
      <c r="J316" s="45" t="str">
        <f t="shared" si="98"/>
        <v>HCTW</v>
      </c>
      <c r="K316" s="45" t="s">
        <v>130</v>
      </c>
      <c r="L316" s="45" t="str">
        <f t="shared" si="99"/>
        <v>M2-HCTW@E</v>
      </c>
      <c r="M316" s="75" t="str">
        <f t="shared" si="92"/>
        <v>302, 305, 307, 306, M1, M2, 329, 328, 325, 318, 317, 316, 311, 303, 305, 302</v>
      </c>
      <c r="N316" s="75" t="str">
        <f t="shared" si="93"/>
        <v>06, 03, 10, 16</v>
      </c>
      <c r="R316" s="70" t="s">
        <v>994</v>
      </c>
      <c r="S316" s="70" t="s">
        <v>53</v>
      </c>
      <c r="T316" s="70" t="s">
        <v>254</v>
      </c>
      <c r="U316" s="70"/>
      <c r="V316" s="70"/>
      <c r="X316" s="70" t="str">
        <f t="shared" si="109"/>
        <v>M2-E DT@E</v>
      </c>
      <c r="Y316" s="70" t="str">
        <f t="shared" si="110"/>
        <v>E DT-HCTW@E</v>
      </c>
      <c r="Z316" s="70" t="str">
        <f t="shared" si="111"/>
        <v/>
      </c>
      <c r="AA316" s="70" t="str">
        <f t="shared" si="112"/>
        <v/>
      </c>
      <c r="AC316" s="70" t="str">
        <f t="shared" si="100"/>
        <v>302, 305, 307, 306, M1, M2</v>
      </c>
      <c r="AD316" s="70" t="str">
        <f t="shared" si="101"/>
        <v>329, 328, 325, 318, 317, 316, 311, 303, 305, 302</v>
      </c>
      <c r="AE316" s="70" t="str">
        <f t="shared" si="102"/>
        <v/>
      </c>
      <c r="AF316" s="70" t="str">
        <f t="shared" si="103"/>
        <v/>
      </c>
      <c r="AH316" s="70" t="str">
        <f t="shared" si="104"/>
        <v>06</v>
      </c>
      <c r="AI316" s="70" t="str">
        <f t="shared" si="105"/>
        <v>03, 10, 16</v>
      </c>
      <c r="AJ316" s="70" t="str">
        <f t="shared" si="106"/>
        <v/>
      </c>
      <c r="AK316" s="70" t="str">
        <f t="shared" si="107"/>
        <v/>
      </c>
      <c r="AM316" s="166" t="str">
        <f t="shared" si="108"/>
        <v>SHD16-7E</v>
      </c>
      <c r="AN316" s="171" t="s">
        <v>1062</v>
      </c>
      <c r="AO316" s="167" t="s">
        <v>1063</v>
      </c>
      <c r="AP316" s="167">
        <v>16</v>
      </c>
    </row>
    <row r="317" spans="1:42" ht="20.100000000000001" customHeight="1" thickBot="1">
      <c r="A317" s="45" t="s">
        <v>1064</v>
      </c>
      <c r="B317" s="45" t="s">
        <v>250</v>
      </c>
      <c r="C317" s="45" t="s">
        <v>1059</v>
      </c>
      <c r="E317" s="45">
        <f t="shared" si="94"/>
        <v>7</v>
      </c>
      <c r="F317" s="45">
        <f t="shared" si="95"/>
        <v>5</v>
      </c>
      <c r="G317" s="45" t="str">
        <f t="shared" si="96"/>
        <v>HCTW</v>
      </c>
      <c r="H317" s="45" t="str">
        <f t="shared" si="97"/>
        <v>M2</v>
      </c>
      <c r="J317" s="45" t="str">
        <f t="shared" si="98"/>
        <v>M2</v>
      </c>
      <c r="K317" s="45" t="s">
        <v>130</v>
      </c>
      <c r="L317" s="45" t="str">
        <f t="shared" si="99"/>
        <v>HCTW-M2@E</v>
      </c>
      <c r="M317" s="75" t="str">
        <f t="shared" si="92"/>
        <v>329, 328, 325, 318, 317, 316, 311, 303, 305, 302, 302, 305, 307, 306, M1, M2</v>
      </c>
      <c r="N317" s="75" t="str">
        <f t="shared" si="93"/>
        <v>28, 04, 03</v>
      </c>
      <c r="R317" s="70" t="s">
        <v>254</v>
      </c>
      <c r="S317" s="70" t="s">
        <v>53</v>
      </c>
      <c r="T317" s="70" t="s">
        <v>994</v>
      </c>
      <c r="U317" s="70"/>
      <c r="V317" s="70"/>
      <c r="X317" s="70" t="str">
        <f t="shared" si="109"/>
        <v>HCTW-E DT@E</v>
      </c>
      <c r="Y317" s="70" t="str">
        <f t="shared" si="110"/>
        <v>E DT-M2@E</v>
      </c>
      <c r="Z317" s="70" t="str">
        <f t="shared" si="111"/>
        <v/>
      </c>
      <c r="AA317" s="70" t="str">
        <f t="shared" si="112"/>
        <v/>
      </c>
      <c r="AC317" s="70" t="str">
        <f t="shared" si="100"/>
        <v>329, 328, 325, 318, 317, 316, 311, 303, 305, 302</v>
      </c>
      <c r="AD317" s="70" t="str">
        <f t="shared" si="101"/>
        <v>302, 305, 307, 306, M1, M2</v>
      </c>
      <c r="AE317" s="70" t="str">
        <f t="shared" si="102"/>
        <v/>
      </c>
      <c r="AF317" s="70" t="str">
        <f t="shared" si="103"/>
        <v/>
      </c>
      <c r="AH317" s="70" t="str">
        <f t="shared" si="104"/>
        <v>28, 04</v>
      </c>
      <c r="AI317" s="70" t="str">
        <f t="shared" si="105"/>
        <v>03</v>
      </c>
      <c r="AJ317" s="70" t="str">
        <f t="shared" si="106"/>
        <v/>
      </c>
      <c r="AK317" s="70" t="str">
        <f t="shared" si="107"/>
        <v/>
      </c>
      <c r="AM317" s="166" t="str">
        <f t="shared" si="108"/>
        <v>SHD16-7W</v>
      </c>
      <c r="AN317" s="171" t="s">
        <v>1065</v>
      </c>
      <c r="AO317" s="167" t="s">
        <v>1063</v>
      </c>
      <c r="AP317" s="167">
        <v>16</v>
      </c>
    </row>
    <row r="318" spans="1:42" ht="20.100000000000001" customHeight="1" thickBot="1">
      <c r="A318" s="45" t="s">
        <v>1066</v>
      </c>
      <c r="B318" s="45" t="s">
        <v>861</v>
      </c>
      <c r="C318" s="45" t="s">
        <v>1055</v>
      </c>
      <c r="E318" s="45">
        <f t="shared" si="94"/>
        <v>5</v>
      </c>
      <c r="F318" s="45">
        <f t="shared" si="95"/>
        <v>3</v>
      </c>
      <c r="G318" s="45" t="str">
        <f t="shared" si="96"/>
        <v>M2</v>
      </c>
      <c r="H318" s="45" t="str">
        <f t="shared" si="97"/>
        <v>1E</v>
      </c>
      <c r="J318" s="45" t="str">
        <f t="shared" si="98"/>
        <v>1E</v>
      </c>
      <c r="K318" s="45" t="s">
        <v>130</v>
      </c>
      <c r="L318" s="45" t="str">
        <f t="shared" si="99"/>
        <v>M2-1E@E</v>
      </c>
      <c r="M318" s="75" t="str">
        <f t="shared" si="92"/>
        <v>302, 305, 307, 306, M1, M2, 329, 328, 325, 318, 317, 316, 311, 303, 305, 302</v>
      </c>
      <c r="N318" s="75" t="str">
        <f t="shared" si="93"/>
        <v>06, 03, 10, 16</v>
      </c>
      <c r="R318" s="70" t="s">
        <v>994</v>
      </c>
      <c r="S318" s="70" t="s">
        <v>53</v>
      </c>
      <c r="T318" s="70" t="s">
        <v>261</v>
      </c>
      <c r="U318" s="70"/>
      <c r="V318" s="70"/>
      <c r="X318" s="70" t="str">
        <f t="shared" si="109"/>
        <v>M2-E DT@E</v>
      </c>
      <c r="Y318" s="70" t="str">
        <f t="shared" si="110"/>
        <v>E DT-1E@E</v>
      </c>
      <c r="Z318" s="70" t="str">
        <f t="shared" si="111"/>
        <v/>
      </c>
      <c r="AA318" s="70" t="str">
        <f t="shared" si="112"/>
        <v/>
      </c>
      <c r="AC318" s="70" t="str">
        <f t="shared" si="100"/>
        <v>302, 305, 307, 306, M1, M2</v>
      </c>
      <c r="AD318" s="70" t="str">
        <f t="shared" si="101"/>
        <v>329, 328, 325, 318, 317, 316, 311, 303, 305, 302</v>
      </c>
      <c r="AE318" s="70" t="str">
        <f t="shared" si="102"/>
        <v/>
      </c>
      <c r="AF318" s="70" t="str">
        <f t="shared" si="103"/>
        <v/>
      </c>
      <c r="AH318" s="70" t="str">
        <f t="shared" si="104"/>
        <v>06</v>
      </c>
      <c r="AI318" s="70" t="str">
        <f t="shared" si="105"/>
        <v>03, 10, 16</v>
      </c>
      <c r="AJ318" s="70" t="str">
        <f t="shared" si="106"/>
        <v/>
      </c>
      <c r="AK318" s="70" t="str">
        <f t="shared" si="107"/>
        <v/>
      </c>
      <c r="AM318" s="166" t="str">
        <f t="shared" si="108"/>
        <v>SHD16-8E</v>
      </c>
      <c r="AN318" s="171" t="s">
        <v>1067</v>
      </c>
      <c r="AO318" s="167" t="s">
        <v>1063</v>
      </c>
      <c r="AP318" s="167">
        <v>16</v>
      </c>
    </row>
    <row r="319" spans="1:42" ht="20.100000000000001" customHeight="1" thickBot="1">
      <c r="A319" s="45" t="s">
        <v>1068</v>
      </c>
      <c r="B319" s="45" t="s">
        <v>266</v>
      </c>
      <c r="C319" s="45" t="s">
        <v>1059</v>
      </c>
      <c r="E319" s="45">
        <f t="shared" si="94"/>
        <v>5</v>
      </c>
      <c r="F319" s="45">
        <f t="shared" si="95"/>
        <v>3</v>
      </c>
      <c r="G319" s="45" t="str">
        <f t="shared" si="96"/>
        <v>1E</v>
      </c>
      <c r="H319" s="45" t="str">
        <f t="shared" si="97"/>
        <v>M2</v>
      </c>
      <c r="J319" s="45" t="str">
        <f t="shared" si="98"/>
        <v>M2</v>
      </c>
      <c r="K319" s="45" t="s">
        <v>130</v>
      </c>
      <c r="L319" s="45" t="str">
        <f t="shared" si="99"/>
        <v>1E-M2@E</v>
      </c>
      <c r="M319" s="75" t="str">
        <f t="shared" si="92"/>
        <v>329, 328, 325, 318, 317, 316, 311, 303, 305, 302, 302, 305, 307, 306, M1, M2</v>
      </c>
      <c r="N319" s="75" t="str">
        <f t="shared" si="93"/>
        <v>29, 04, 03</v>
      </c>
      <c r="R319" s="70" t="s">
        <v>261</v>
      </c>
      <c r="S319" s="70" t="s">
        <v>53</v>
      </c>
      <c r="T319" s="70" t="s">
        <v>994</v>
      </c>
      <c r="U319" s="70"/>
      <c r="V319" s="70"/>
      <c r="X319" s="70" t="str">
        <f t="shared" si="109"/>
        <v>1E-E DT@E</v>
      </c>
      <c r="Y319" s="70" t="str">
        <f t="shared" si="110"/>
        <v>E DT-M2@E</v>
      </c>
      <c r="Z319" s="70" t="str">
        <f t="shared" si="111"/>
        <v/>
      </c>
      <c r="AA319" s="70" t="str">
        <f t="shared" si="112"/>
        <v/>
      </c>
      <c r="AC319" s="70" t="str">
        <f t="shared" si="100"/>
        <v>329, 328, 325, 318, 317, 316, 311, 303, 305, 302</v>
      </c>
      <c r="AD319" s="70" t="str">
        <f t="shared" si="101"/>
        <v>302, 305, 307, 306, M1, M2</v>
      </c>
      <c r="AE319" s="70" t="str">
        <f t="shared" si="102"/>
        <v/>
      </c>
      <c r="AF319" s="70" t="str">
        <f t="shared" si="103"/>
        <v/>
      </c>
      <c r="AH319" s="70" t="str">
        <f t="shared" si="104"/>
        <v>29, 04</v>
      </c>
      <c r="AI319" s="70" t="str">
        <f t="shared" si="105"/>
        <v>03</v>
      </c>
      <c r="AJ319" s="70" t="str">
        <f t="shared" si="106"/>
        <v/>
      </c>
      <c r="AK319" s="70" t="str">
        <f t="shared" si="107"/>
        <v/>
      </c>
      <c r="AM319" s="166" t="str">
        <f t="shared" si="108"/>
        <v>SHD16-8W</v>
      </c>
      <c r="AN319" s="171" t="s">
        <v>1069</v>
      </c>
      <c r="AO319" s="167" t="s">
        <v>1063</v>
      </c>
      <c r="AP319" s="167">
        <v>16</v>
      </c>
    </row>
    <row r="320" spans="1:42" ht="20.100000000000001" customHeight="1" thickBot="1">
      <c r="A320" s="45" t="s">
        <v>1070</v>
      </c>
      <c r="B320" s="45" t="s">
        <v>861</v>
      </c>
      <c r="C320" s="45" t="s">
        <v>1055</v>
      </c>
      <c r="E320" s="45">
        <f t="shared" si="94"/>
        <v>5</v>
      </c>
      <c r="F320" s="45">
        <f t="shared" si="95"/>
        <v>3</v>
      </c>
      <c r="G320" s="45" t="str">
        <f t="shared" si="96"/>
        <v>M2</v>
      </c>
      <c r="H320" s="45" t="str">
        <f t="shared" si="97"/>
        <v>1W</v>
      </c>
      <c r="J320" s="45" t="str">
        <f t="shared" si="98"/>
        <v>1W</v>
      </c>
      <c r="K320" s="45" t="s">
        <v>130</v>
      </c>
      <c r="L320" s="45" t="str">
        <f t="shared" si="99"/>
        <v>M2-1W@E</v>
      </c>
      <c r="M320" s="75" t="str">
        <f t="shared" si="92"/>
        <v>302, 305, 307, 306, M1, M2, 329, 328, 325, 318, 317, 316, 311, 303, 305, 302</v>
      </c>
      <c r="N320" s="75" t="str">
        <f t="shared" si="93"/>
        <v>06, 03, 10, 16</v>
      </c>
      <c r="R320" s="70" t="s">
        <v>994</v>
      </c>
      <c r="S320" s="70" t="s">
        <v>53</v>
      </c>
      <c r="T320" s="70" t="s">
        <v>269</v>
      </c>
      <c r="U320" s="70"/>
      <c r="V320" s="70"/>
      <c r="X320" s="70" t="str">
        <f t="shared" si="109"/>
        <v>M2-E DT@E</v>
      </c>
      <c r="Y320" s="70" t="str">
        <f t="shared" si="110"/>
        <v>E DT-1W@E</v>
      </c>
      <c r="Z320" s="70" t="str">
        <f t="shared" si="111"/>
        <v/>
      </c>
      <c r="AA320" s="70" t="str">
        <f t="shared" si="112"/>
        <v/>
      </c>
      <c r="AC320" s="70" t="str">
        <f t="shared" si="100"/>
        <v>302, 305, 307, 306, M1, M2</v>
      </c>
      <c r="AD320" s="70" t="str">
        <f t="shared" si="101"/>
        <v>329, 328, 325, 318, 317, 316, 311, 303, 305, 302</v>
      </c>
      <c r="AE320" s="70" t="str">
        <f t="shared" si="102"/>
        <v/>
      </c>
      <c r="AF320" s="70" t="str">
        <f t="shared" si="103"/>
        <v/>
      </c>
      <c r="AH320" s="70" t="str">
        <f t="shared" si="104"/>
        <v>06</v>
      </c>
      <c r="AI320" s="70" t="str">
        <f t="shared" si="105"/>
        <v>03, 10, 16</v>
      </c>
      <c r="AJ320" s="70" t="str">
        <f t="shared" si="106"/>
        <v/>
      </c>
      <c r="AK320" s="70" t="str">
        <f t="shared" si="107"/>
        <v/>
      </c>
      <c r="AM320" s="166" t="str">
        <f t="shared" si="108"/>
        <v>LF4-SHD16</v>
      </c>
      <c r="AN320" s="171" t="s">
        <v>1071</v>
      </c>
      <c r="AO320" s="167" t="s">
        <v>990</v>
      </c>
      <c r="AP320" s="167">
        <v>21</v>
      </c>
    </row>
    <row r="321" spans="1:42" ht="20.100000000000001" customHeight="1" thickBot="1">
      <c r="A321" s="45" t="s">
        <v>1072</v>
      </c>
      <c r="B321" s="45" t="s">
        <v>266</v>
      </c>
      <c r="C321" s="45" t="s">
        <v>1059</v>
      </c>
      <c r="E321" s="45">
        <f t="shared" si="94"/>
        <v>5</v>
      </c>
      <c r="F321" s="45">
        <f t="shared" si="95"/>
        <v>3</v>
      </c>
      <c r="G321" s="45" t="str">
        <f t="shared" si="96"/>
        <v>1W</v>
      </c>
      <c r="H321" s="45" t="str">
        <f t="shared" si="97"/>
        <v>M2</v>
      </c>
      <c r="J321" s="45" t="str">
        <f t="shared" si="98"/>
        <v>M2</v>
      </c>
      <c r="K321" s="45" t="s">
        <v>130</v>
      </c>
      <c r="L321" s="45" t="str">
        <f t="shared" si="99"/>
        <v>1W-M2@E</v>
      </c>
      <c r="M321" s="75" t="str">
        <f t="shared" si="92"/>
        <v>329, 328, 325, 318, 317, 316, 311, 303, 305, 302, 302, 305, 307, 306, M1, M2</v>
      </c>
      <c r="N321" s="75" t="str">
        <f t="shared" si="93"/>
        <v>29, 04, 03</v>
      </c>
      <c r="R321" s="70" t="s">
        <v>269</v>
      </c>
      <c r="S321" s="70" t="s">
        <v>53</v>
      </c>
      <c r="T321" s="70" t="s">
        <v>994</v>
      </c>
      <c r="U321" s="70"/>
      <c r="V321" s="70"/>
      <c r="X321" s="70" t="str">
        <f t="shared" si="109"/>
        <v>1W-E DT@E</v>
      </c>
      <c r="Y321" s="70" t="str">
        <f t="shared" si="110"/>
        <v>E DT-M2@E</v>
      </c>
      <c r="Z321" s="70" t="str">
        <f t="shared" si="111"/>
        <v/>
      </c>
      <c r="AA321" s="70" t="str">
        <f t="shared" si="112"/>
        <v/>
      </c>
      <c r="AC321" s="70" t="str">
        <f t="shared" si="100"/>
        <v>329, 328, 325, 318, 317, 316, 311, 303, 305, 302</v>
      </c>
      <c r="AD321" s="70" t="str">
        <f t="shared" si="101"/>
        <v>302, 305, 307, 306, M1, M2</v>
      </c>
      <c r="AE321" s="70" t="str">
        <f t="shared" si="102"/>
        <v/>
      </c>
      <c r="AF321" s="70" t="str">
        <f t="shared" si="103"/>
        <v/>
      </c>
      <c r="AH321" s="70" t="str">
        <f t="shared" si="104"/>
        <v>29, 04</v>
      </c>
      <c r="AI321" s="70" t="str">
        <f t="shared" si="105"/>
        <v>03</v>
      </c>
      <c r="AJ321" s="70" t="str">
        <f t="shared" si="106"/>
        <v/>
      </c>
      <c r="AK321" s="70" t="str">
        <f t="shared" si="107"/>
        <v/>
      </c>
      <c r="AM321" s="166" t="str">
        <f t="shared" si="108"/>
        <v>HM1-SHD16</v>
      </c>
      <c r="AN321" s="171" t="s">
        <v>1073</v>
      </c>
      <c r="AO321" s="167" t="s">
        <v>999</v>
      </c>
      <c r="AP321" s="167">
        <v>22</v>
      </c>
    </row>
    <row r="322" spans="1:42" ht="20.100000000000001" customHeight="1" thickBot="1">
      <c r="A322" s="45" t="s">
        <v>1074</v>
      </c>
      <c r="B322" s="45" t="s">
        <v>861</v>
      </c>
      <c r="C322" s="45" t="s">
        <v>1075</v>
      </c>
      <c r="E322" s="45">
        <f t="shared" si="94"/>
        <v>5</v>
      </c>
      <c r="F322" s="45">
        <f t="shared" si="95"/>
        <v>3</v>
      </c>
      <c r="G322" s="45" t="str">
        <f t="shared" si="96"/>
        <v>M2</v>
      </c>
      <c r="H322" s="45" t="str">
        <f t="shared" si="97"/>
        <v>2E</v>
      </c>
      <c r="J322" s="45" t="str">
        <f t="shared" si="98"/>
        <v>2E</v>
      </c>
      <c r="K322" s="45" t="s">
        <v>130</v>
      </c>
      <c r="L322" s="45" t="str">
        <f t="shared" si="99"/>
        <v>M2-2E@E</v>
      </c>
      <c r="M322" s="75" t="str">
        <f t="shared" ref="M322:M385" si="113">IF(AF322="",IF(AE322="",IF(AD322="",AC322,CONCATENATE(AC322,", ",AD322)),CONCATENATE(AC322,", ",AD322,", ",AE322)),CONCATENATE(AC322,", ",AD322,", ",AE322,", ",AF322))</f>
        <v>302, 305, 307, 306, M1, M2, 330, 328, 325, 318, 317, 316, 311, 303, 305, 302</v>
      </c>
      <c r="N322" s="75" t="str">
        <f t="shared" ref="N322:N385" si="114">IF(AK322="",IF(AJ322="",IF(AI322="",AH322,CONCATENATE(AH322,", ",AI322)),CONCATENATE(AH322,", ",AI322,", ",AJ322)),CONCATENATE(AH322,", ",AI322,", ",AJ322,", ",AK322))</f>
        <v>06, 03, 10, 16</v>
      </c>
      <c r="R322" s="70" t="s">
        <v>994</v>
      </c>
      <c r="S322" s="70" t="s">
        <v>53</v>
      </c>
      <c r="T322" s="70" t="s">
        <v>276</v>
      </c>
      <c r="U322" s="70"/>
      <c r="V322" s="70"/>
      <c r="X322" s="70" t="str">
        <f t="shared" si="109"/>
        <v>M2-E DT@E</v>
      </c>
      <c r="Y322" s="70" t="str">
        <f t="shared" si="110"/>
        <v>E DT-2E@E</v>
      </c>
      <c r="Z322" s="70" t="str">
        <f t="shared" si="111"/>
        <v/>
      </c>
      <c r="AA322" s="70" t="str">
        <f t="shared" si="112"/>
        <v/>
      </c>
      <c r="AC322" s="70" t="str">
        <f t="shared" si="100"/>
        <v>302, 305, 307, 306, M1, M2</v>
      </c>
      <c r="AD322" s="70" t="str">
        <f t="shared" si="101"/>
        <v>330, 328, 325, 318, 317, 316, 311, 303, 305, 302</v>
      </c>
      <c r="AE322" s="70" t="str">
        <f t="shared" si="102"/>
        <v/>
      </c>
      <c r="AF322" s="70" t="str">
        <f t="shared" si="103"/>
        <v/>
      </c>
      <c r="AH322" s="70" t="str">
        <f t="shared" si="104"/>
        <v>06</v>
      </c>
      <c r="AI322" s="70" t="str">
        <f t="shared" si="105"/>
        <v>03, 10, 16</v>
      </c>
      <c r="AJ322" s="70" t="str">
        <f t="shared" si="106"/>
        <v/>
      </c>
      <c r="AK322" s="70" t="str">
        <f t="shared" si="107"/>
        <v/>
      </c>
      <c r="AM322" s="166" t="str">
        <f t="shared" si="108"/>
        <v>HM2-SHD16</v>
      </c>
      <c r="AN322" s="171" t="s">
        <v>1076</v>
      </c>
      <c r="AO322" s="167" t="s">
        <v>1002</v>
      </c>
      <c r="AP322" s="167">
        <v>23</v>
      </c>
    </row>
    <row r="323" spans="1:42" ht="20.100000000000001" customHeight="1" thickBot="1">
      <c r="A323" s="45" t="s">
        <v>1077</v>
      </c>
      <c r="B323" s="45" t="s">
        <v>280</v>
      </c>
      <c r="C323" s="45" t="s">
        <v>1078</v>
      </c>
      <c r="E323" s="45">
        <f t="shared" ref="E323:E386" si="115">LEN(A323)</f>
        <v>5</v>
      </c>
      <c r="F323" s="45">
        <f t="shared" ref="F323:F386" si="116">SEARCH("-",A323)</f>
        <v>3</v>
      </c>
      <c r="G323" s="45" t="str">
        <f t="shared" ref="G323:G386" si="117">LEFT(A323,F323-1)</f>
        <v>2E</v>
      </c>
      <c r="H323" s="45" t="str">
        <f t="shared" ref="H323:H386" si="118">RIGHT(A323,E323-F323)</f>
        <v>M2</v>
      </c>
      <c r="J323" s="45" t="str">
        <f t="shared" ref="J323:J386" si="119">IF(V323="",IF(U323="",IF(T323="",S323,T323),U323),V323)</f>
        <v>M2</v>
      </c>
      <c r="K323" s="45" t="s">
        <v>130</v>
      </c>
      <c r="L323" s="45" t="str">
        <f t="shared" ref="L323:L386" si="120">CONCATENATE(R323,"-",J323,"@",K323)</f>
        <v>2E-M2@E</v>
      </c>
      <c r="M323" s="75" t="str">
        <f t="shared" si="113"/>
        <v>330, 328, 325, 318, 317, 316, 311, 303, 305, 302, 302, 305, 307, 306, M1, M2</v>
      </c>
      <c r="N323" s="75" t="str">
        <f t="shared" si="114"/>
        <v>30, 04, 03</v>
      </c>
      <c r="R323" s="70" t="s">
        <v>276</v>
      </c>
      <c r="S323" s="70" t="s">
        <v>53</v>
      </c>
      <c r="T323" s="70" t="s">
        <v>994</v>
      </c>
      <c r="U323" s="70"/>
      <c r="V323" s="70"/>
      <c r="X323" s="70" t="str">
        <f t="shared" si="109"/>
        <v>2E-E DT@E</v>
      </c>
      <c r="Y323" s="70" t="str">
        <f t="shared" si="110"/>
        <v>E DT-M2@E</v>
      </c>
      <c r="Z323" s="70" t="str">
        <f t="shared" si="111"/>
        <v/>
      </c>
      <c r="AA323" s="70" t="str">
        <f t="shared" si="112"/>
        <v/>
      </c>
      <c r="AC323" s="70" t="str">
        <f t="shared" ref="AC323:AC386" si="121">IF(X323="","",VLOOKUP(X323,$AN$2:$AP$736,2,0))</f>
        <v>330, 328, 325, 318, 317, 316, 311, 303, 305, 302</v>
      </c>
      <c r="AD323" s="70" t="str">
        <f t="shared" ref="AD323:AD386" si="122">IF(Y323="","",VLOOKUP(Y323,$AN$2:$AP$736,2,0))</f>
        <v>302, 305, 307, 306, M1, M2</v>
      </c>
      <c r="AE323" s="70" t="str">
        <f t="shared" ref="AE323:AE386" si="123">IF(Z323="","",VLOOKUP(Z323,$AN$2:$AP$736,2,0))</f>
        <v/>
      </c>
      <c r="AF323" s="70" t="str">
        <f t="shared" ref="AF323:AF386" si="124">IF(AA323="","",VLOOKUP(AA323,$AN$2:$AP$736,2,0))</f>
        <v/>
      </c>
      <c r="AH323" s="70" t="str">
        <f t="shared" ref="AH323:AH386" si="125">IF(X323="","",VLOOKUP(X323,$AN$2:$AP$162,3,0))</f>
        <v>30, 04</v>
      </c>
      <c r="AI323" s="70" t="str">
        <f t="shared" ref="AI323:AI386" si="126">IF(Y323="","",VLOOKUP(Y323,$AN$2:$AP$162,3,0))</f>
        <v>03</v>
      </c>
      <c r="AJ323" s="70" t="str">
        <f t="shared" ref="AJ323:AJ386" si="127">IF(Z323="","",VLOOKUP(Z323,$AN$2:$AP$162,3,0))</f>
        <v/>
      </c>
      <c r="AK323" s="70" t="str">
        <f t="shared" ref="AK323:AK386" si="128">IF(AA323="","",VLOOKUP(AA323,$AN$2:$AP$162,3,0))</f>
        <v/>
      </c>
      <c r="AM323" s="166" t="str">
        <f t="shared" ref="AM323:AM386" si="129">LEFT(AN323,LEN(AN323)-2)</f>
        <v>HM3-SHD16</v>
      </c>
      <c r="AN323" s="171" t="s">
        <v>1079</v>
      </c>
      <c r="AO323" s="167" t="s">
        <v>1002</v>
      </c>
      <c r="AP323" s="167">
        <v>24</v>
      </c>
    </row>
    <row r="324" spans="1:42" ht="20.100000000000001" customHeight="1" thickBot="1">
      <c r="A324" s="45" t="s">
        <v>1080</v>
      </c>
      <c r="B324" s="45" t="s">
        <v>861</v>
      </c>
      <c r="C324" s="45" t="s">
        <v>1075</v>
      </c>
      <c r="E324" s="45">
        <f t="shared" si="115"/>
        <v>5</v>
      </c>
      <c r="F324" s="45">
        <f t="shared" si="116"/>
        <v>3</v>
      </c>
      <c r="G324" s="45" t="str">
        <f t="shared" si="117"/>
        <v>M2</v>
      </c>
      <c r="H324" s="45" t="str">
        <f t="shared" si="118"/>
        <v>2W</v>
      </c>
      <c r="J324" s="45" t="str">
        <f t="shared" si="119"/>
        <v>2W</v>
      </c>
      <c r="K324" s="45" t="s">
        <v>130</v>
      </c>
      <c r="L324" s="45" t="str">
        <f t="shared" si="120"/>
        <v>M2-2W@E</v>
      </c>
      <c r="M324" s="75" t="str">
        <f t="shared" si="113"/>
        <v>302, 305, 307, 306, M1, M2, 330, 328, 325, 318, 317, 316, 311, 303, 305, 302</v>
      </c>
      <c r="N324" s="75" t="str">
        <f t="shared" si="114"/>
        <v>06, 03, 10, 16</v>
      </c>
      <c r="R324" s="70" t="s">
        <v>994</v>
      </c>
      <c r="S324" s="70" t="s">
        <v>53</v>
      </c>
      <c r="T324" s="70" t="s">
        <v>285</v>
      </c>
      <c r="U324" s="70"/>
      <c r="V324" s="70"/>
      <c r="X324" s="70" t="str">
        <f t="shared" si="109"/>
        <v>M2-E DT@E</v>
      </c>
      <c r="Y324" s="70" t="str">
        <f t="shared" si="110"/>
        <v>E DT-2W@E</v>
      </c>
      <c r="Z324" s="70" t="str">
        <f t="shared" si="111"/>
        <v/>
      </c>
      <c r="AA324" s="70" t="str">
        <f t="shared" si="112"/>
        <v/>
      </c>
      <c r="AC324" s="70" t="str">
        <f t="shared" si="121"/>
        <v>302, 305, 307, 306, M1, M2</v>
      </c>
      <c r="AD324" s="70" t="str">
        <f t="shared" si="122"/>
        <v>330, 328, 325, 318, 317, 316, 311, 303, 305, 302</v>
      </c>
      <c r="AE324" s="70" t="str">
        <f t="shared" si="123"/>
        <v/>
      </c>
      <c r="AF324" s="70" t="str">
        <f t="shared" si="124"/>
        <v/>
      </c>
      <c r="AH324" s="70" t="str">
        <f t="shared" si="125"/>
        <v>06</v>
      </c>
      <c r="AI324" s="70" t="str">
        <f t="shared" si="126"/>
        <v>03, 10, 16</v>
      </c>
      <c r="AJ324" s="70" t="str">
        <f t="shared" si="127"/>
        <v/>
      </c>
      <c r="AK324" s="70" t="str">
        <f t="shared" si="128"/>
        <v/>
      </c>
      <c r="AM324" s="166" t="str">
        <f t="shared" si="129"/>
        <v>RM1E-SHD16</v>
      </c>
      <c r="AN324" s="171" t="s">
        <v>1081</v>
      </c>
      <c r="AO324" s="167" t="s">
        <v>1008</v>
      </c>
      <c r="AP324" s="167">
        <v>25</v>
      </c>
    </row>
    <row r="325" spans="1:42" ht="20.100000000000001" customHeight="1" thickBot="1">
      <c r="A325" s="45" t="s">
        <v>1082</v>
      </c>
      <c r="B325" s="45" t="s">
        <v>280</v>
      </c>
      <c r="C325" s="45" t="s">
        <v>1078</v>
      </c>
      <c r="E325" s="45">
        <f t="shared" si="115"/>
        <v>5</v>
      </c>
      <c r="F325" s="45">
        <f t="shared" si="116"/>
        <v>3</v>
      </c>
      <c r="G325" s="45" t="str">
        <f t="shared" si="117"/>
        <v>2W</v>
      </c>
      <c r="H325" s="45" t="str">
        <f t="shared" si="118"/>
        <v>M2</v>
      </c>
      <c r="J325" s="45" t="str">
        <f t="shared" si="119"/>
        <v>M2</v>
      </c>
      <c r="K325" s="45" t="s">
        <v>130</v>
      </c>
      <c r="L325" s="45" t="str">
        <f t="shared" si="120"/>
        <v>2W-M2@E</v>
      </c>
      <c r="M325" s="75" t="str">
        <f t="shared" si="113"/>
        <v>330, 328, 325, 318, 317, 316, 311, 303, 305, 302, 302, 305, 307, 306, M1, M2</v>
      </c>
      <c r="N325" s="75" t="str">
        <f t="shared" si="114"/>
        <v>30, 04, 03</v>
      </c>
      <c r="R325" s="70" t="s">
        <v>285</v>
      </c>
      <c r="S325" s="70" t="s">
        <v>53</v>
      </c>
      <c r="T325" s="70" t="s">
        <v>994</v>
      </c>
      <c r="U325" s="70"/>
      <c r="V325" s="70"/>
      <c r="X325" s="70" t="str">
        <f t="shared" si="109"/>
        <v>2W-E DT@E</v>
      </c>
      <c r="Y325" s="70" t="str">
        <f t="shared" si="110"/>
        <v>E DT-M2@E</v>
      </c>
      <c r="Z325" s="70" t="str">
        <f t="shared" si="111"/>
        <v/>
      </c>
      <c r="AA325" s="70" t="str">
        <f t="shared" si="112"/>
        <v/>
      </c>
      <c r="AC325" s="70" t="str">
        <f t="shared" si="121"/>
        <v>330, 328, 325, 318, 317, 316, 311, 303, 305, 302</v>
      </c>
      <c r="AD325" s="70" t="str">
        <f t="shared" si="122"/>
        <v>302, 305, 307, 306, M1, M2</v>
      </c>
      <c r="AE325" s="70" t="str">
        <f t="shared" si="123"/>
        <v/>
      </c>
      <c r="AF325" s="70" t="str">
        <f t="shared" si="124"/>
        <v/>
      </c>
      <c r="AH325" s="70" t="str">
        <f t="shared" si="125"/>
        <v>30, 04</v>
      </c>
      <c r="AI325" s="70" t="str">
        <f t="shared" si="126"/>
        <v>03</v>
      </c>
      <c r="AJ325" s="70" t="str">
        <f t="shared" si="127"/>
        <v/>
      </c>
      <c r="AK325" s="70" t="str">
        <f t="shared" si="128"/>
        <v/>
      </c>
      <c r="AM325" s="166" t="str">
        <f t="shared" si="129"/>
        <v>RM1W-SHD16</v>
      </c>
      <c r="AN325" s="171" t="s">
        <v>1083</v>
      </c>
      <c r="AO325" s="167" t="s">
        <v>1008</v>
      </c>
      <c r="AP325" s="167">
        <v>25</v>
      </c>
    </row>
    <row r="326" spans="1:42" ht="20.100000000000001" customHeight="1" thickBot="1">
      <c r="A326" s="45" t="s">
        <v>1084</v>
      </c>
      <c r="B326" s="45" t="s">
        <v>861</v>
      </c>
      <c r="C326" s="45" t="s">
        <v>1075</v>
      </c>
      <c r="E326" s="45">
        <f t="shared" si="115"/>
        <v>5</v>
      </c>
      <c r="F326" s="45">
        <f t="shared" si="116"/>
        <v>3</v>
      </c>
      <c r="G326" s="45" t="str">
        <f t="shared" si="117"/>
        <v>M2</v>
      </c>
      <c r="H326" s="45" t="str">
        <f t="shared" si="118"/>
        <v>3E</v>
      </c>
      <c r="J326" s="45" t="str">
        <f t="shared" si="119"/>
        <v>3E</v>
      </c>
      <c r="K326" s="45" t="s">
        <v>130</v>
      </c>
      <c r="L326" s="45" t="str">
        <f t="shared" si="120"/>
        <v>M2-3E@E</v>
      </c>
      <c r="M326" s="75" t="str">
        <f t="shared" si="113"/>
        <v>302, 305, 307, 306, M1, M2, 330, 328, 325, 318, 317, 316, 311, 303, 305, 302</v>
      </c>
      <c r="N326" s="75" t="str">
        <f t="shared" si="114"/>
        <v>06, 03, 10, 16</v>
      </c>
      <c r="R326" s="70" t="s">
        <v>994</v>
      </c>
      <c r="S326" s="70" t="s">
        <v>53</v>
      </c>
      <c r="T326" s="70" t="s">
        <v>293</v>
      </c>
      <c r="U326" s="70"/>
      <c r="V326" s="70"/>
      <c r="X326" s="70" t="str">
        <f t="shared" si="109"/>
        <v>M2-E DT@E</v>
      </c>
      <c r="Y326" s="70" t="str">
        <f t="shared" si="110"/>
        <v>E DT-3E@E</v>
      </c>
      <c r="Z326" s="70" t="str">
        <f t="shared" si="111"/>
        <v/>
      </c>
      <c r="AA326" s="70" t="str">
        <f t="shared" si="112"/>
        <v/>
      </c>
      <c r="AC326" s="70" t="str">
        <f t="shared" si="121"/>
        <v>302, 305, 307, 306, M1, M2</v>
      </c>
      <c r="AD326" s="70" t="str">
        <f t="shared" si="122"/>
        <v>330, 328, 325, 318, 317, 316, 311, 303, 305, 302</v>
      </c>
      <c r="AE326" s="70" t="str">
        <f t="shared" si="123"/>
        <v/>
      </c>
      <c r="AF326" s="70" t="str">
        <f t="shared" si="124"/>
        <v/>
      </c>
      <c r="AH326" s="70" t="str">
        <f t="shared" si="125"/>
        <v>06</v>
      </c>
      <c r="AI326" s="70" t="str">
        <f t="shared" si="126"/>
        <v>03, 10, 16</v>
      </c>
      <c r="AJ326" s="70" t="str">
        <f t="shared" si="127"/>
        <v/>
      </c>
      <c r="AK326" s="70" t="str">
        <f t="shared" si="128"/>
        <v/>
      </c>
      <c r="AM326" s="166" t="str">
        <f t="shared" si="129"/>
        <v>RM2E-SHD16</v>
      </c>
      <c r="AN326" s="171" t="s">
        <v>1085</v>
      </c>
      <c r="AO326" s="167" t="s">
        <v>1015</v>
      </c>
      <c r="AP326" s="167">
        <v>26</v>
      </c>
    </row>
    <row r="327" spans="1:42" ht="20.100000000000001" customHeight="1" thickBot="1">
      <c r="A327" s="45" t="s">
        <v>1086</v>
      </c>
      <c r="B327" s="45" t="s">
        <v>297</v>
      </c>
      <c r="C327" s="45" t="s">
        <v>1078</v>
      </c>
      <c r="E327" s="45">
        <f t="shared" si="115"/>
        <v>5</v>
      </c>
      <c r="F327" s="45">
        <f t="shared" si="116"/>
        <v>3</v>
      </c>
      <c r="G327" s="45" t="str">
        <f t="shared" si="117"/>
        <v>3E</v>
      </c>
      <c r="H327" s="45" t="str">
        <f t="shared" si="118"/>
        <v>M2</v>
      </c>
      <c r="J327" s="45" t="str">
        <f t="shared" si="119"/>
        <v>M2</v>
      </c>
      <c r="K327" s="45" t="s">
        <v>130</v>
      </c>
      <c r="L327" s="45" t="str">
        <f t="shared" si="120"/>
        <v>3E-M2@E</v>
      </c>
      <c r="M327" s="75" t="str">
        <f t="shared" si="113"/>
        <v>330, 328, 325, 318, 317, 316, 311, 303, 305, 302, 302, 305, 307, 306, M1, M2</v>
      </c>
      <c r="N327" s="75" t="str">
        <f t="shared" si="114"/>
        <v>31, 04, 03</v>
      </c>
      <c r="R327" s="70" t="s">
        <v>293</v>
      </c>
      <c r="S327" s="70" t="s">
        <v>53</v>
      </c>
      <c r="T327" s="70" t="s">
        <v>994</v>
      </c>
      <c r="U327" s="70"/>
      <c r="V327" s="70"/>
      <c r="X327" s="70" t="str">
        <f t="shared" si="109"/>
        <v>3E-E DT@E</v>
      </c>
      <c r="Y327" s="70" t="str">
        <f t="shared" si="110"/>
        <v>E DT-M2@E</v>
      </c>
      <c r="Z327" s="70" t="str">
        <f t="shared" si="111"/>
        <v/>
      </c>
      <c r="AA327" s="70" t="str">
        <f t="shared" si="112"/>
        <v/>
      </c>
      <c r="AC327" s="70" t="str">
        <f t="shared" si="121"/>
        <v>330, 328, 325, 318, 317, 316, 311, 303, 305, 302</v>
      </c>
      <c r="AD327" s="70" t="str">
        <f t="shared" si="122"/>
        <v>302, 305, 307, 306, M1, M2</v>
      </c>
      <c r="AE327" s="70" t="str">
        <f t="shared" si="123"/>
        <v/>
      </c>
      <c r="AF327" s="70" t="str">
        <f t="shared" si="124"/>
        <v/>
      </c>
      <c r="AH327" s="70" t="str">
        <f t="shared" si="125"/>
        <v>31, 04</v>
      </c>
      <c r="AI327" s="70" t="str">
        <f t="shared" si="126"/>
        <v>03</v>
      </c>
      <c r="AJ327" s="70" t="str">
        <f t="shared" si="127"/>
        <v/>
      </c>
      <c r="AK327" s="70" t="str">
        <f t="shared" si="128"/>
        <v/>
      </c>
      <c r="AM327" s="166" t="str">
        <f t="shared" si="129"/>
        <v>RM2W-SHD16</v>
      </c>
      <c r="AN327" s="171" t="s">
        <v>1087</v>
      </c>
      <c r="AO327" s="167" t="s">
        <v>1015</v>
      </c>
      <c r="AP327" s="167">
        <v>26</v>
      </c>
    </row>
    <row r="328" spans="1:42" ht="20.100000000000001" customHeight="1" thickBot="1">
      <c r="A328" s="45" t="s">
        <v>1088</v>
      </c>
      <c r="B328" s="45" t="s">
        <v>861</v>
      </c>
      <c r="C328" s="45" t="s">
        <v>1075</v>
      </c>
      <c r="E328" s="45">
        <f t="shared" si="115"/>
        <v>5</v>
      </c>
      <c r="F328" s="45">
        <f t="shared" si="116"/>
        <v>3</v>
      </c>
      <c r="G328" s="45" t="str">
        <f t="shared" si="117"/>
        <v>M2</v>
      </c>
      <c r="H328" s="45" t="str">
        <f t="shared" si="118"/>
        <v>3W</v>
      </c>
      <c r="J328" s="45" t="str">
        <f t="shared" si="119"/>
        <v>3W</v>
      </c>
      <c r="K328" s="45" t="s">
        <v>130</v>
      </c>
      <c r="L328" s="45" t="str">
        <f t="shared" si="120"/>
        <v>M2-3W@E</v>
      </c>
      <c r="M328" s="75" t="str">
        <f t="shared" si="113"/>
        <v>302, 305, 307, 306, M1, M2, 330, 328, 325, 318, 317, 316, 311, 303, 305, 302</v>
      </c>
      <c r="N328" s="75" t="str">
        <f t="shared" si="114"/>
        <v>06, 03, 10, 16</v>
      </c>
      <c r="R328" s="70" t="s">
        <v>994</v>
      </c>
      <c r="S328" s="70" t="s">
        <v>53</v>
      </c>
      <c r="T328" s="70" t="s">
        <v>301</v>
      </c>
      <c r="U328" s="70"/>
      <c r="V328" s="70"/>
      <c r="X328" s="70" t="str">
        <f t="shared" si="109"/>
        <v>M2-E DT@E</v>
      </c>
      <c r="Y328" s="70" t="str">
        <f t="shared" si="110"/>
        <v>E DT-3W@E</v>
      </c>
      <c r="Z328" s="70" t="str">
        <f t="shared" si="111"/>
        <v/>
      </c>
      <c r="AA328" s="70" t="str">
        <f t="shared" si="112"/>
        <v/>
      </c>
      <c r="AC328" s="70" t="str">
        <f t="shared" si="121"/>
        <v>302, 305, 307, 306, M1, M2</v>
      </c>
      <c r="AD328" s="70" t="str">
        <f t="shared" si="122"/>
        <v>330, 328, 325, 318, 317, 316, 311, 303, 305, 302</v>
      </c>
      <c r="AE328" s="70" t="str">
        <f t="shared" si="123"/>
        <v/>
      </c>
      <c r="AF328" s="70" t="str">
        <f t="shared" si="124"/>
        <v/>
      </c>
      <c r="AH328" s="70" t="str">
        <f t="shared" si="125"/>
        <v>06</v>
      </c>
      <c r="AI328" s="70" t="str">
        <f t="shared" si="126"/>
        <v>03, 10, 16</v>
      </c>
      <c r="AJ328" s="70" t="str">
        <f t="shared" si="127"/>
        <v/>
      </c>
      <c r="AK328" s="70" t="str">
        <f t="shared" si="128"/>
        <v/>
      </c>
      <c r="AM328" s="166" t="str">
        <f t="shared" si="129"/>
        <v>RM3E-SHD16</v>
      </c>
      <c r="AN328" s="171" t="s">
        <v>1089</v>
      </c>
      <c r="AO328" s="167" t="s">
        <v>1015</v>
      </c>
      <c r="AP328" s="167">
        <v>27</v>
      </c>
    </row>
    <row r="329" spans="1:42" ht="20.100000000000001" customHeight="1" thickBot="1">
      <c r="A329" s="45" t="s">
        <v>1090</v>
      </c>
      <c r="B329" s="45" t="s">
        <v>297</v>
      </c>
      <c r="C329" s="45" t="s">
        <v>1078</v>
      </c>
      <c r="E329" s="45">
        <f t="shared" si="115"/>
        <v>5</v>
      </c>
      <c r="F329" s="45">
        <f t="shared" si="116"/>
        <v>3</v>
      </c>
      <c r="G329" s="45" t="str">
        <f t="shared" si="117"/>
        <v>3W</v>
      </c>
      <c r="H329" s="45" t="str">
        <f t="shared" si="118"/>
        <v>M2</v>
      </c>
      <c r="J329" s="45" t="str">
        <f t="shared" si="119"/>
        <v>M2</v>
      </c>
      <c r="K329" s="45" t="s">
        <v>130</v>
      </c>
      <c r="L329" s="45" t="str">
        <f t="shared" si="120"/>
        <v>3W-M2@E</v>
      </c>
      <c r="M329" s="75" t="str">
        <f t="shared" si="113"/>
        <v>330, 328, 325, 318, 317, 316, 311, 303, 305, 302, 302, 305, 307, 306, M1, M2</v>
      </c>
      <c r="N329" s="75" t="str">
        <f t="shared" si="114"/>
        <v>31, 04, 03</v>
      </c>
      <c r="R329" s="70" t="s">
        <v>301</v>
      </c>
      <c r="S329" s="70" t="s">
        <v>53</v>
      </c>
      <c r="T329" s="70" t="s">
        <v>994</v>
      </c>
      <c r="U329" s="70"/>
      <c r="V329" s="70"/>
      <c r="X329" s="70" t="str">
        <f t="shared" si="109"/>
        <v>3W-E DT@E</v>
      </c>
      <c r="Y329" s="70" t="str">
        <f t="shared" si="110"/>
        <v>E DT-M2@E</v>
      </c>
      <c r="Z329" s="70" t="str">
        <f t="shared" si="111"/>
        <v/>
      </c>
      <c r="AA329" s="70" t="str">
        <f t="shared" si="112"/>
        <v/>
      </c>
      <c r="AC329" s="70" t="str">
        <f t="shared" si="121"/>
        <v>330, 328, 325, 318, 317, 316, 311, 303, 305, 302</v>
      </c>
      <c r="AD329" s="70" t="str">
        <f t="shared" si="122"/>
        <v>302, 305, 307, 306, M1, M2</v>
      </c>
      <c r="AE329" s="70" t="str">
        <f t="shared" si="123"/>
        <v/>
      </c>
      <c r="AF329" s="70" t="str">
        <f t="shared" si="124"/>
        <v/>
      </c>
      <c r="AH329" s="70" t="str">
        <f t="shared" si="125"/>
        <v>31, 04</v>
      </c>
      <c r="AI329" s="70" t="str">
        <f t="shared" si="126"/>
        <v>03</v>
      </c>
      <c r="AJ329" s="70" t="str">
        <f t="shared" si="127"/>
        <v/>
      </c>
      <c r="AK329" s="70" t="str">
        <f t="shared" si="128"/>
        <v/>
      </c>
      <c r="AM329" s="166" t="str">
        <f t="shared" si="129"/>
        <v>RM3W-SHD16</v>
      </c>
      <c r="AN329" s="171" t="s">
        <v>1091</v>
      </c>
      <c r="AO329" s="167" t="s">
        <v>1015</v>
      </c>
      <c r="AP329" s="167">
        <v>27</v>
      </c>
    </row>
    <row r="330" spans="1:42" ht="20.100000000000001" customHeight="1" thickBot="1">
      <c r="A330" s="45" t="s">
        <v>1092</v>
      </c>
      <c r="B330" s="45" t="s">
        <v>861</v>
      </c>
      <c r="C330" s="45" t="s">
        <v>1093</v>
      </c>
      <c r="E330" s="45">
        <f t="shared" si="115"/>
        <v>5</v>
      </c>
      <c r="F330" s="45">
        <f t="shared" si="116"/>
        <v>3</v>
      </c>
      <c r="G330" s="45" t="str">
        <f t="shared" si="117"/>
        <v>M2</v>
      </c>
      <c r="H330" s="45" t="str">
        <f t="shared" si="118"/>
        <v>4E</v>
      </c>
      <c r="J330" s="45" t="str">
        <f t="shared" si="119"/>
        <v>4E</v>
      </c>
      <c r="K330" s="45" t="s">
        <v>130</v>
      </c>
      <c r="L330" s="45" t="str">
        <f t="shared" si="120"/>
        <v>M2-4E@E</v>
      </c>
      <c r="M330" s="75" t="str">
        <f t="shared" si="113"/>
        <v>302, 305, 307, 306, M1, M2, 333, 331, 318, 317, 316, 311, 303, 305, 302</v>
      </c>
      <c r="N330" s="75" t="str">
        <f t="shared" si="114"/>
        <v>06, 03, 10, 16</v>
      </c>
      <c r="R330" s="70" t="s">
        <v>994</v>
      </c>
      <c r="S330" s="70" t="s">
        <v>53</v>
      </c>
      <c r="T330" s="70" t="s">
        <v>309</v>
      </c>
      <c r="U330" s="70"/>
      <c r="V330" s="70"/>
      <c r="X330" s="70" t="str">
        <f t="shared" si="109"/>
        <v>M2-E DT@E</v>
      </c>
      <c r="Y330" s="70" t="str">
        <f t="shared" si="110"/>
        <v>E DT-4E@E</v>
      </c>
      <c r="Z330" s="70" t="str">
        <f t="shared" si="111"/>
        <v/>
      </c>
      <c r="AA330" s="70" t="str">
        <f t="shared" si="112"/>
        <v/>
      </c>
      <c r="AC330" s="70" t="str">
        <f t="shared" si="121"/>
        <v>302, 305, 307, 306, M1, M2</v>
      </c>
      <c r="AD330" s="70" t="str">
        <f t="shared" si="122"/>
        <v>333, 331, 318, 317, 316, 311, 303, 305, 302</v>
      </c>
      <c r="AE330" s="70" t="str">
        <f t="shared" si="123"/>
        <v/>
      </c>
      <c r="AF330" s="70" t="str">
        <f t="shared" si="124"/>
        <v/>
      </c>
      <c r="AH330" s="70" t="str">
        <f t="shared" si="125"/>
        <v>06</v>
      </c>
      <c r="AI330" s="70" t="str">
        <f t="shared" si="126"/>
        <v>03, 10, 16</v>
      </c>
      <c r="AJ330" s="70" t="str">
        <f t="shared" si="127"/>
        <v/>
      </c>
      <c r="AK330" s="70" t="str">
        <f t="shared" si="128"/>
        <v/>
      </c>
      <c r="AM330" s="166" t="str">
        <f t="shared" si="129"/>
        <v>HCTE-SHD16</v>
      </c>
      <c r="AN330" s="171" t="s">
        <v>1094</v>
      </c>
      <c r="AO330" s="167" t="s">
        <v>1026</v>
      </c>
      <c r="AP330" s="167">
        <v>28</v>
      </c>
    </row>
    <row r="331" spans="1:42" ht="20.100000000000001" customHeight="1" thickBot="1">
      <c r="A331" s="45" t="s">
        <v>1095</v>
      </c>
      <c r="B331" s="45" t="s">
        <v>313</v>
      </c>
      <c r="C331" s="45" t="s">
        <v>1096</v>
      </c>
      <c r="E331" s="45">
        <f t="shared" si="115"/>
        <v>5</v>
      </c>
      <c r="F331" s="45">
        <f t="shared" si="116"/>
        <v>3</v>
      </c>
      <c r="G331" s="45" t="str">
        <f t="shared" si="117"/>
        <v>4E</v>
      </c>
      <c r="H331" s="45" t="str">
        <f t="shared" si="118"/>
        <v>M2</v>
      </c>
      <c r="J331" s="45" t="str">
        <f t="shared" si="119"/>
        <v>M2</v>
      </c>
      <c r="K331" s="45" t="s">
        <v>130</v>
      </c>
      <c r="L331" s="45" t="str">
        <f t="shared" si="120"/>
        <v>4E-M2@E</v>
      </c>
      <c r="M331" s="75" t="str">
        <f t="shared" si="113"/>
        <v>333, 331, 318, 317, 316, 311, 303, 305, 302, 302, 305, 307, 306, M1, M2</v>
      </c>
      <c r="N331" s="75" t="str">
        <f t="shared" si="114"/>
        <v>32, 04, 03</v>
      </c>
      <c r="R331" s="70" t="s">
        <v>309</v>
      </c>
      <c r="S331" s="70" t="s">
        <v>53</v>
      </c>
      <c r="T331" s="70" t="s">
        <v>994</v>
      </c>
      <c r="U331" s="70"/>
      <c r="V331" s="70"/>
      <c r="X331" s="70" t="str">
        <f t="shared" si="109"/>
        <v>4E-E DT@E</v>
      </c>
      <c r="Y331" s="70" t="str">
        <f t="shared" si="110"/>
        <v>E DT-M2@E</v>
      </c>
      <c r="Z331" s="70" t="str">
        <f t="shared" si="111"/>
        <v/>
      </c>
      <c r="AA331" s="70" t="str">
        <f t="shared" si="112"/>
        <v/>
      </c>
      <c r="AC331" s="70" t="str">
        <f t="shared" si="121"/>
        <v>333, 331, 318, 317, 316, 311, 303, 305, 302</v>
      </c>
      <c r="AD331" s="70" t="str">
        <f t="shared" si="122"/>
        <v>302, 305, 307, 306, M1, M2</v>
      </c>
      <c r="AE331" s="70" t="str">
        <f t="shared" si="123"/>
        <v/>
      </c>
      <c r="AF331" s="70" t="str">
        <f t="shared" si="124"/>
        <v/>
      </c>
      <c r="AH331" s="70" t="str">
        <f t="shared" si="125"/>
        <v>32, 04</v>
      </c>
      <c r="AI331" s="70" t="str">
        <f t="shared" si="126"/>
        <v>03</v>
      </c>
      <c r="AJ331" s="70" t="str">
        <f t="shared" si="127"/>
        <v/>
      </c>
      <c r="AK331" s="70" t="str">
        <f t="shared" si="128"/>
        <v/>
      </c>
      <c r="AM331" s="166" t="str">
        <f t="shared" si="129"/>
        <v>HCTW-SHD16</v>
      </c>
      <c r="AN331" s="171" t="s">
        <v>1097</v>
      </c>
      <c r="AO331" s="167" t="s">
        <v>1026</v>
      </c>
      <c r="AP331" s="167">
        <v>28</v>
      </c>
    </row>
    <row r="332" spans="1:42" ht="20.100000000000001" customHeight="1" thickBot="1">
      <c r="A332" s="45" t="s">
        <v>1098</v>
      </c>
      <c r="B332" s="45" t="s">
        <v>861</v>
      </c>
      <c r="C332" s="45" t="s">
        <v>1093</v>
      </c>
      <c r="E332" s="45">
        <f t="shared" si="115"/>
        <v>5</v>
      </c>
      <c r="F332" s="45">
        <f t="shared" si="116"/>
        <v>3</v>
      </c>
      <c r="G332" s="45" t="str">
        <f t="shared" si="117"/>
        <v>M2</v>
      </c>
      <c r="H332" s="45" t="str">
        <f t="shared" si="118"/>
        <v>4W</v>
      </c>
      <c r="J332" s="45" t="str">
        <f t="shared" si="119"/>
        <v>4W</v>
      </c>
      <c r="K332" s="45" t="s">
        <v>130</v>
      </c>
      <c r="L332" s="45" t="str">
        <f t="shared" si="120"/>
        <v>M2-4W@E</v>
      </c>
      <c r="M332" s="75" t="str">
        <f t="shared" si="113"/>
        <v>302, 305, 307, 306, M1, M2, 333, 331, 318, 317, 316, 311, 303, 305, 302</v>
      </c>
      <c r="N332" s="75" t="str">
        <f t="shared" si="114"/>
        <v>06, 03, 10, 16</v>
      </c>
      <c r="R332" s="70" t="s">
        <v>994</v>
      </c>
      <c r="S332" s="70" t="s">
        <v>53</v>
      </c>
      <c r="T332" s="70" t="s">
        <v>318</v>
      </c>
      <c r="U332" s="70"/>
      <c r="V332" s="70"/>
      <c r="X332" s="70" t="str">
        <f t="shared" si="109"/>
        <v>M2-E DT@E</v>
      </c>
      <c r="Y332" s="70" t="str">
        <f t="shared" si="110"/>
        <v>E DT-4W@E</v>
      </c>
      <c r="Z332" s="70" t="str">
        <f t="shared" si="111"/>
        <v/>
      </c>
      <c r="AA332" s="70" t="str">
        <f t="shared" si="112"/>
        <v/>
      </c>
      <c r="AC332" s="70" t="str">
        <f t="shared" si="121"/>
        <v>302, 305, 307, 306, M1, M2</v>
      </c>
      <c r="AD332" s="70" t="str">
        <f t="shared" si="122"/>
        <v>333, 331, 318, 317, 316, 311, 303, 305, 302</v>
      </c>
      <c r="AE332" s="70" t="str">
        <f t="shared" si="123"/>
        <v/>
      </c>
      <c r="AF332" s="70" t="str">
        <f t="shared" si="124"/>
        <v/>
      </c>
      <c r="AH332" s="70" t="str">
        <f t="shared" si="125"/>
        <v>06</v>
      </c>
      <c r="AI332" s="70" t="str">
        <f t="shared" si="126"/>
        <v>03, 10, 16</v>
      </c>
      <c r="AJ332" s="70" t="str">
        <f t="shared" si="127"/>
        <v/>
      </c>
      <c r="AK332" s="70" t="str">
        <f t="shared" si="128"/>
        <v/>
      </c>
      <c r="AM332" s="166" t="str">
        <f t="shared" si="129"/>
        <v>1E-SHD16</v>
      </c>
      <c r="AN332" s="171" t="s">
        <v>1099</v>
      </c>
      <c r="AO332" s="167" t="s">
        <v>1026</v>
      </c>
      <c r="AP332" s="167">
        <v>29</v>
      </c>
    </row>
    <row r="333" spans="1:42" ht="20.100000000000001" customHeight="1" thickBot="1">
      <c r="A333" s="45" t="s">
        <v>1100</v>
      </c>
      <c r="B333" s="45" t="s">
        <v>313</v>
      </c>
      <c r="C333" s="45" t="s">
        <v>1096</v>
      </c>
      <c r="E333" s="45">
        <f t="shared" si="115"/>
        <v>5</v>
      </c>
      <c r="F333" s="45">
        <f t="shared" si="116"/>
        <v>3</v>
      </c>
      <c r="G333" s="45" t="str">
        <f t="shared" si="117"/>
        <v>4W</v>
      </c>
      <c r="H333" s="45" t="str">
        <f t="shared" si="118"/>
        <v>M2</v>
      </c>
      <c r="J333" s="45" t="str">
        <f t="shared" si="119"/>
        <v>M2</v>
      </c>
      <c r="K333" s="45" t="s">
        <v>130</v>
      </c>
      <c r="L333" s="45" t="str">
        <f t="shared" si="120"/>
        <v>4W-M2@E</v>
      </c>
      <c r="M333" s="75" t="str">
        <f t="shared" si="113"/>
        <v>333, 331, 318, 317, 316, 311, 303, 305, 302, 302, 305, 307, 306, M1, M2</v>
      </c>
      <c r="N333" s="75" t="str">
        <f t="shared" si="114"/>
        <v>32, 04, 03</v>
      </c>
      <c r="R333" s="70" t="s">
        <v>318</v>
      </c>
      <c r="S333" s="70" t="s">
        <v>53</v>
      </c>
      <c r="T333" s="70" t="s">
        <v>994</v>
      </c>
      <c r="U333" s="70"/>
      <c r="V333" s="70"/>
      <c r="X333" s="70" t="str">
        <f t="shared" si="109"/>
        <v>4W-E DT@E</v>
      </c>
      <c r="Y333" s="70" t="str">
        <f t="shared" si="110"/>
        <v>E DT-M2@E</v>
      </c>
      <c r="Z333" s="70" t="str">
        <f t="shared" si="111"/>
        <v/>
      </c>
      <c r="AA333" s="70" t="str">
        <f t="shared" si="112"/>
        <v/>
      </c>
      <c r="AC333" s="70" t="str">
        <f t="shared" si="121"/>
        <v>333, 331, 318, 317, 316, 311, 303, 305, 302</v>
      </c>
      <c r="AD333" s="70" t="str">
        <f t="shared" si="122"/>
        <v>302, 305, 307, 306, M1, M2</v>
      </c>
      <c r="AE333" s="70" t="str">
        <f t="shared" si="123"/>
        <v/>
      </c>
      <c r="AF333" s="70" t="str">
        <f t="shared" si="124"/>
        <v/>
      </c>
      <c r="AH333" s="70" t="str">
        <f t="shared" si="125"/>
        <v>32, 04</v>
      </c>
      <c r="AI333" s="70" t="str">
        <f t="shared" si="126"/>
        <v>03</v>
      </c>
      <c r="AJ333" s="70" t="str">
        <f t="shared" si="127"/>
        <v/>
      </c>
      <c r="AK333" s="70" t="str">
        <f t="shared" si="128"/>
        <v/>
      </c>
      <c r="AM333" s="166" t="str">
        <f t="shared" si="129"/>
        <v>1W-SHD16</v>
      </c>
      <c r="AN333" s="171" t="s">
        <v>1101</v>
      </c>
      <c r="AO333" s="167" t="s">
        <v>1026</v>
      </c>
      <c r="AP333" s="167">
        <v>29</v>
      </c>
    </row>
    <row r="334" spans="1:42" ht="20.100000000000001" customHeight="1" thickBot="1">
      <c r="A334" s="45" t="s">
        <v>1102</v>
      </c>
      <c r="B334" s="45" t="s">
        <v>861</v>
      </c>
      <c r="C334" s="45" t="s">
        <v>1093</v>
      </c>
      <c r="E334" s="45">
        <f t="shared" si="115"/>
        <v>5</v>
      </c>
      <c r="F334" s="45">
        <f t="shared" si="116"/>
        <v>3</v>
      </c>
      <c r="G334" s="45" t="str">
        <f t="shared" si="117"/>
        <v>M2</v>
      </c>
      <c r="H334" s="45" t="str">
        <f t="shared" si="118"/>
        <v>5E</v>
      </c>
      <c r="J334" s="45" t="str">
        <f t="shared" si="119"/>
        <v>5E</v>
      </c>
      <c r="K334" s="45" t="s">
        <v>130</v>
      </c>
      <c r="L334" s="45" t="str">
        <f t="shared" si="120"/>
        <v>M2-5E@E</v>
      </c>
      <c r="M334" s="75" t="str">
        <f t="shared" si="113"/>
        <v>302, 305, 307, 306, M1, M2, 333, 331, 318, 317, 316, 311, 303, 305, 302</v>
      </c>
      <c r="N334" s="75" t="str">
        <f t="shared" si="114"/>
        <v>06, 03, 10, 16</v>
      </c>
      <c r="R334" s="70" t="s">
        <v>994</v>
      </c>
      <c r="S334" s="70" t="s">
        <v>53</v>
      </c>
      <c r="T334" s="70" t="s">
        <v>325</v>
      </c>
      <c r="U334" s="70"/>
      <c r="V334" s="70"/>
      <c r="X334" s="70" t="str">
        <f t="shared" si="109"/>
        <v>M2-E DT@E</v>
      </c>
      <c r="Y334" s="70" t="str">
        <f t="shared" si="110"/>
        <v>E DT-5E@E</v>
      </c>
      <c r="Z334" s="70" t="str">
        <f t="shared" si="111"/>
        <v/>
      </c>
      <c r="AA334" s="70" t="str">
        <f t="shared" si="112"/>
        <v/>
      </c>
      <c r="AC334" s="70" t="str">
        <f t="shared" si="121"/>
        <v>302, 305, 307, 306, M1, M2</v>
      </c>
      <c r="AD334" s="70" t="str">
        <f t="shared" si="122"/>
        <v>333, 331, 318, 317, 316, 311, 303, 305, 302</v>
      </c>
      <c r="AE334" s="70" t="str">
        <f t="shared" si="123"/>
        <v/>
      </c>
      <c r="AF334" s="70" t="str">
        <f t="shared" si="124"/>
        <v/>
      </c>
      <c r="AH334" s="70" t="str">
        <f t="shared" si="125"/>
        <v>06</v>
      </c>
      <c r="AI334" s="70" t="str">
        <f t="shared" si="126"/>
        <v>03, 10, 16</v>
      </c>
      <c r="AJ334" s="70" t="str">
        <f t="shared" si="127"/>
        <v/>
      </c>
      <c r="AK334" s="70" t="str">
        <f t="shared" si="128"/>
        <v/>
      </c>
      <c r="AM334" s="166" t="str">
        <f t="shared" si="129"/>
        <v>2E-SHD16</v>
      </c>
      <c r="AN334" s="171" t="s">
        <v>1103</v>
      </c>
      <c r="AO334" s="167" t="s">
        <v>1037</v>
      </c>
      <c r="AP334" s="167">
        <v>30</v>
      </c>
    </row>
    <row r="335" spans="1:42" ht="20.100000000000001" customHeight="1" thickBot="1">
      <c r="A335" s="45" t="s">
        <v>1104</v>
      </c>
      <c r="B335" s="45" t="s">
        <v>329</v>
      </c>
      <c r="C335" s="45" t="s">
        <v>1096</v>
      </c>
      <c r="E335" s="45">
        <f t="shared" si="115"/>
        <v>5</v>
      </c>
      <c r="F335" s="45">
        <f t="shared" si="116"/>
        <v>3</v>
      </c>
      <c r="G335" s="45" t="str">
        <f t="shared" si="117"/>
        <v>5E</v>
      </c>
      <c r="H335" s="45" t="str">
        <f t="shared" si="118"/>
        <v>M2</v>
      </c>
      <c r="J335" s="45" t="str">
        <f t="shared" si="119"/>
        <v>M2</v>
      </c>
      <c r="K335" s="45" t="s">
        <v>130</v>
      </c>
      <c r="L335" s="45" t="str">
        <f t="shared" si="120"/>
        <v>5E-M2@E</v>
      </c>
      <c r="M335" s="75" t="str">
        <f t="shared" si="113"/>
        <v>333, 331, 318, 317, 316, 311, 303, 305, 302, 302, 305, 307, 306, M1, M2</v>
      </c>
      <c r="N335" s="75" t="str">
        <f t="shared" si="114"/>
        <v>33, 04, 03</v>
      </c>
      <c r="R335" s="70" t="s">
        <v>325</v>
      </c>
      <c r="S335" s="70" t="s">
        <v>53</v>
      </c>
      <c r="T335" s="70" t="s">
        <v>994</v>
      </c>
      <c r="U335" s="70"/>
      <c r="V335" s="70"/>
      <c r="X335" s="70" t="str">
        <f t="shared" si="109"/>
        <v>5E-E DT@E</v>
      </c>
      <c r="Y335" s="70" t="str">
        <f t="shared" si="110"/>
        <v>E DT-M2@E</v>
      </c>
      <c r="Z335" s="70" t="str">
        <f t="shared" si="111"/>
        <v/>
      </c>
      <c r="AA335" s="70" t="str">
        <f t="shared" si="112"/>
        <v/>
      </c>
      <c r="AC335" s="70" t="str">
        <f t="shared" si="121"/>
        <v>333, 331, 318, 317, 316, 311, 303, 305, 302</v>
      </c>
      <c r="AD335" s="70" t="str">
        <f t="shared" si="122"/>
        <v>302, 305, 307, 306, M1, M2</v>
      </c>
      <c r="AE335" s="70" t="str">
        <f t="shared" si="123"/>
        <v/>
      </c>
      <c r="AF335" s="70" t="str">
        <f t="shared" si="124"/>
        <v/>
      </c>
      <c r="AH335" s="70" t="str">
        <f t="shared" si="125"/>
        <v>33, 04</v>
      </c>
      <c r="AI335" s="70" t="str">
        <f t="shared" si="126"/>
        <v>03</v>
      </c>
      <c r="AJ335" s="70" t="str">
        <f t="shared" si="127"/>
        <v/>
      </c>
      <c r="AK335" s="70" t="str">
        <f t="shared" si="128"/>
        <v/>
      </c>
      <c r="AM335" s="166" t="str">
        <f t="shared" si="129"/>
        <v>2W-SHD16</v>
      </c>
      <c r="AN335" s="171" t="s">
        <v>1105</v>
      </c>
      <c r="AO335" s="167" t="s">
        <v>1037</v>
      </c>
      <c r="AP335" s="167">
        <v>30</v>
      </c>
    </row>
    <row r="336" spans="1:42" ht="20.100000000000001" customHeight="1" thickBot="1">
      <c r="A336" s="45" t="s">
        <v>1106</v>
      </c>
      <c r="B336" s="45" t="s">
        <v>861</v>
      </c>
      <c r="C336" s="45" t="s">
        <v>1093</v>
      </c>
      <c r="E336" s="45">
        <f t="shared" si="115"/>
        <v>5</v>
      </c>
      <c r="F336" s="45">
        <f t="shared" si="116"/>
        <v>3</v>
      </c>
      <c r="G336" s="45" t="str">
        <f t="shared" si="117"/>
        <v>M2</v>
      </c>
      <c r="H336" s="45" t="str">
        <f t="shared" si="118"/>
        <v>5W</v>
      </c>
      <c r="J336" s="45" t="str">
        <f t="shared" si="119"/>
        <v>5W</v>
      </c>
      <c r="K336" s="45" t="s">
        <v>130</v>
      </c>
      <c r="L336" s="45" t="str">
        <f t="shared" si="120"/>
        <v>M2-5W@E</v>
      </c>
      <c r="M336" s="75" t="str">
        <f t="shared" si="113"/>
        <v>302, 305, 307, 306, M1, M2, 333, 331, 318, 317, 316, 311, 303, 305, 302</v>
      </c>
      <c r="N336" s="75" t="str">
        <f t="shared" si="114"/>
        <v>06, 03, 10, 16</v>
      </c>
      <c r="R336" s="70" t="s">
        <v>994</v>
      </c>
      <c r="S336" s="70" t="s">
        <v>53</v>
      </c>
      <c r="T336" s="70" t="s">
        <v>333</v>
      </c>
      <c r="U336" s="70"/>
      <c r="V336" s="70"/>
      <c r="X336" s="70" t="str">
        <f t="shared" si="109"/>
        <v>M2-E DT@E</v>
      </c>
      <c r="Y336" s="70" t="str">
        <f t="shared" si="110"/>
        <v>E DT-5W@E</v>
      </c>
      <c r="Z336" s="70" t="str">
        <f t="shared" si="111"/>
        <v/>
      </c>
      <c r="AA336" s="70" t="str">
        <f t="shared" si="112"/>
        <v/>
      </c>
      <c r="AC336" s="70" t="str">
        <f t="shared" si="121"/>
        <v>302, 305, 307, 306, M1, M2</v>
      </c>
      <c r="AD336" s="70" t="str">
        <f t="shared" si="122"/>
        <v>333, 331, 318, 317, 316, 311, 303, 305, 302</v>
      </c>
      <c r="AE336" s="70" t="str">
        <f t="shared" si="123"/>
        <v/>
      </c>
      <c r="AF336" s="70" t="str">
        <f t="shared" si="124"/>
        <v/>
      </c>
      <c r="AH336" s="70" t="str">
        <f t="shared" si="125"/>
        <v>06</v>
      </c>
      <c r="AI336" s="70" t="str">
        <f t="shared" si="126"/>
        <v>03, 10, 16</v>
      </c>
      <c r="AJ336" s="70" t="str">
        <f t="shared" si="127"/>
        <v/>
      </c>
      <c r="AK336" s="70" t="str">
        <f t="shared" si="128"/>
        <v/>
      </c>
      <c r="AM336" s="166" t="str">
        <f t="shared" si="129"/>
        <v>3E-SHD16</v>
      </c>
      <c r="AN336" s="171" t="s">
        <v>1107</v>
      </c>
      <c r="AO336" s="167" t="s">
        <v>1037</v>
      </c>
      <c r="AP336" s="167">
        <v>31</v>
      </c>
    </row>
    <row r="337" spans="1:45" ht="20.100000000000001" customHeight="1" thickBot="1">
      <c r="A337" s="45" t="s">
        <v>1108</v>
      </c>
      <c r="B337" s="45" t="s">
        <v>329</v>
      </c>
      <c r="C337" s="45" t="s">
        <v>1096</v>
      </c>
      <c r="E337" s="45">
        <f t="shared" si="115"/>
        <v>5</v>
      </c>
      <c r="F337" s="45">
        <f t="shared" si="116"/>
        <v>3</v>
      </c>
      <c r="G337" s="45" t="str">
        <f t="shared" si="117"/>
        <v>5W</v>
      </c>
      <c r="H337" s="45" t="str">
        <f t="shared" si="118"/>
        <v>M2</v>
      </c>
      <c r="J337" s="45" t="str">
        <f t="shared" si="119"/>
        <v>M2</v>
      </c>
      <c r="K337" s="45" t="s">
        <v>130</v>
      </c>
      <c r="L337" s="45" t="str">
        <f t="shared" si="120"/>
        <v>5W-M2@E</v>
      </c>
      <c r="M337" s="75" t="str">
        <f t="shared" si="113"/>
        <v>333, 331, 318, 317, 316, 311, 303, 305, 302, 302, 305, 307, 306, M1, M2</v>
      </c>
      <c r="N337" s="75" t="str">
        <f t="shared" si="114"/>
        <v>33, 04, 03</v>
      </c>
      <c r="R337" s="70" t="s">
        <v>333</v>
      </c>
      <c r="S337" s="70" t="s">
        <v>53</v>
      </c>
      <c r="T337" s="70" t="s">
        <v>994</v>
      </c>
      <c r="U337" s="70"/>
      <c r="V337" s="70"/>
      <c r="X337" s="70" t="str">
        <f t="shared" si="109"/>
        <v>5W-E DT@E</v>
      </c>
      <c r="Y337" s="70" t="str">
        <f t="shared" si="110"/>
        <v>E DT-M2@E</v>
      </c>
      <c r="Z337" s="70" t="str">
        <f t="shared" si="111"/>
        <v/>
      </c>
      <c r="AA337" s="70" t="str">
        <f t="shared" si="112"/>
        <v/>
      </c>
      <c r="AC337" s="70" t="str">
        <f t="shared" si="121"/>
        <v>333, 331, 318, 317, 316, 311, 303, 305, 302</v>
      </c>
      <c r="AD337" s="70" t="str">
        <f t="shared" si="122"/>
        <v>302, 305, 307, 306, M1, M2</v>
      </c>
      <c r="AE337" s="70" t="str">
        <f t="shared" si="123"/>
        <v/>
      </c>
      <c r="AF337" s="70" t="str">
        <f t="shared" si="124"/>
        <v/>
      </c>
      <c r="AH337" s="70" t="str">
        <f t="shared" si="125"/>
        <v>33, 04</v>
      </c>
      <c r="AI337" s="70" t="str">
        <f t="shared" si="126"/>
        <v>03</v>
      </c>
      <c r="AJ337" s="70" t="str">
        <f t="shared" si="127"/>
        <v/>
      </c>
      <c r="AK337" s="70" t="str">
        <f t="shared" si="128"/>
        <v/>
      </c>
      <c r="AM337" s="166" t="str">
        <f t="shared" si="129"/>
        <v>3W-SHD16</v>
      </c>
      <c r="AN337" s="171" t="s">
        <v>1109</v>
      </c>
      <c r="AO337" s="167" t="s">
        <v>1037</v>
      </c>
      <c r="AP337" s="167">
        <v>31</v>
      </c>
    </row>
    <row r="338" spans="1:45" ht="20.100000000000001" customHeight="1" thickBot="1">
      <c r="A338" s="45" t="s">
        <v>1110</v>
      </c>
      <c r="B338" s="45" t="s">
        <v>861</v>
      </c>
      <c r="C338" s="45" t="s">
        <v>1111</v>
      </c>
      <c r="E338" s="45">
        <f t="shared" si="115"/>
        <v>5</v>
      </c>
      <c r="F338" s="45">
        <f t="shared" si="116"/>
        <v>3</v>
      </c>
      <c r="G338" s="45" t="str">
        <f t="shared" si="117"/>
        <v>M2</v>
      </c>
      <c r="H338" s="45" t="str">
        <f t="shared" si="118"/>
        <v>6E</v>
      </c>
      <c r="J338" s="45" t="str">
        <f t="shared" si="119"/>
        <v>6E</v>
      </c>
      <c r="K338" s="45" t="s">
        <v>130</v>
      </c>
      <c r="L338" s="45" t="str">
        <f t="shared" si="120"/>
        <v>M2-6E@E</v>
      </c>
      <c r="M338" s="75" t="str">
        <f t="shared" si="113"/>
        <v>302, 305, 307, 306, M1, M2, 332, 331, 318, 317, 316, 311, 303, 305, 302</v>
      </c>
      <c r="N338" s="75" t="str">
        <f t="shared" si="114"/>
        <v>06, 03, 10, 16</v>
      </c>
      <c r="R338" s="70" t="s">
        <v>994</v>
      </c>
      <c r="S338" s="70" t="s">
        <v>53</v>
      </c>
      <c r="T338" s="70" t="s">
        <v>339</v>
      </c>
      <c r="U338" s="70"/>
      <c r="V338" s="70"/>
      <c r="X338" s="70" t="str">
        <f t="shared" si="109"/>
        <v>M2-E DT@E</v>
      </c>
      <c r="Y338" s="70" t="str">
        <f t="shared" si="110"/>
        <v>E DT-6E@E</v>
      </c>
      <c r="Z338" s="70" t="str">
        <f t="shared" si="111"/>
        <v/>
      </c>
      <c r="AA338" s="70" t="str">
        <f t="shared" si="112"/>
        <v/>
      </c>
      <c r="AC338" s="70" t="str">
        <f t="shared" si="121"/>
        <v>302, 305, 307, 306, M1, M2</v>
      </c>
      <c r="AD338" s="70" t="str">
        <f t="shared" si="122"/>
        <v>332, 331, 318, 317, 316, 311, 303, 305, 302</v>
      </c>
      <c r="AE338" s="70" t="str">
        <f t="shared" si="123"/>
        <v/>
      </c>
      <c r="AF338" s="70" t="str">
        <f t="shared" si="124"/>
        <v/>
      </c>
      <c r="AH338" s="70" t="str">
        <f t="shared" si="125"/>
        <v>06</v>
      </c>
      <c r="AI338" s="70" t="str">
        <f t="shared" si="126"/>
        <v>03, 10, 16</v>
      </c>
      <c r="AJ338" s="70" t="str">
        <f t="shared" si="127"/>
        <v/>
      </c>
      <c r="AK338" s="70" t="str">
        <f t="shared" si="128"/>
        <v/>
      </c>
      <c r="AM338" s="166" t="str">
        <f t="shared" si="129"/>
        <v>4E-SHD16</v>
      </c>
      <c r="AN338" s="171" t="s">
        <v>1112</v>
      </c>
      <c r="AO338" s="167" t="s">
        <v>1047</v>
      </c>
      <c r="AP338" s="167">
        <v>32</v>
      </c>
    </row>
    <row r="339" spans="1:45" ht="20.100000000000001" customHeight="1" thickBot="1">
      <c r="A339" s="45" t="s">
        <v>1113</v>
      </c>
      <c r="B339" s="45" t="s">
        <v>342</v>
      </c>
      <c r="C339" s="45" t="s">
        <v>1114</v>
      </c>
      <c r="E339" s="45">
        <f t="shared" si="115"/>
        <v>5</v>
      </c>
      <c r="F339" s="45">
        <f t="shared" si="116"/>
        <v>3</v>
      </c>
      <c r="G339" s="45" t="str">
        <f t="shared" si="117"/>
        <v>6E</v>
      </c>
      <c r="H339" s="45" t="str">
        <f t="shared" si="118"/>
        <v>M2</v>
      </c>
      <c r="J339" s="45" t="str">
        <f t="shared" si="119"/>
        <v>M2</v>
      </c>
      <c r="K339" s="45" t="s">
        <v>130</v>
      </c>
      <c r="L339" s="45" t="str">
        <f t="shared" si="120"/>
        <v>6E-M2@E</v>
      </c>
      <c r="M339" s="75" t="str">
        <f t="shared" si="113"/>
        <v>332, 331, 318, 317, 316, 311, 303, 305, 302, 302, 305, 307, 306, M1, M2</v>
      </c>
      <c r="N339" s="75" t="str">
        <f t="shared" si="114"/>
        <v>34, 04, 03</v>
      </c>
      <c r="R339" s="70" t="s">
        <v>339</v>
      </c>
      <c r="S339" s="70" t="s">
        <v>53</v>
      </c>
      <c r="T339" s="70" t="s">
        <v>994</v>
      </c>
      <c r="U339" s="70"/>
      <c r="V339" s="70"/>
      <c r="X339" s="70" t="str">
        <f t="shared" ref="X339:X402" si="130">IF(S339="","",CONCATENATE(R339,"-",S339,"@",$K339))</f>
        <v>6E-E DT@E</v>
      </c>
      <c r="Y339" s="70" t="str">
        <f t="shared" ref="Y339:Y402" si="131">IF(T339="","",CONCATENATE(S339,"-",T339,"@",$K339))</f>
        <v>E DT-M2@E</v>
      </c>
      <c r="Z339" s="70" t="str">
        <f t="shared" ref="Z339:Z402" si="132">IF(U339="","",CONCATENATE(T339,"-",U339,"@",$K339))</f>
        <v/>
      </c>
      <c r="AA339" s="70" t="str">
        <f t="shared" ref="AA339:AA402" si="133">IF(V339="","",CONCATENATE(U339,"-",V339,"@",$K339))</f>
        <v/>
      </c>
      <c r="AC339" s="70" t="str">
        <f t="shared" si="121"/>
        <v>332, 331, 318, 317, 316, 311, 303, 305, 302</v>
      </c>
      <c r="AD339" s="70" t="str">
        <f t="shared" si="122"/>
        <v>302, 305, 307, 306, M1, M2</v>
      </c>
      <c r="AE339" s="70" t="str">
        <f t="shared" si="123"/>
        <v/>
      </c>
      <c r="AF339" s="70" t="str">
        <f t="shared" si="124"/>
        <v/>
      </c>
      <c r="AH339" s="70" t="str">
        <f t="shared" si="125"/>
        <v>34, 04</v>
      </c>
      <c r="AI339" s="70" t="str">
        <f t="shared" si="126"/>
        <v>03</v>
      </c>
      <c r="AJ339" s="70" t="str">
        <f t="shared" si="127"/>
        <v/>
      </c>
      <c r="AK339" s="70" t="str">
        <f t="shared" si="128"/>
        <v/>
      </c>
      <c r="AM339" s="166" t="str">
        <f t="shared" si="129"/>
        <v>4W-SHD16</v>
      </c>
      <c r="AN339" s="171" t="s">
        <v>1115</v>
      </c>
      <c r="AO339" s="167" t="s">
        <v>1047</v>
      </c>
      <c r="AP339" s="167">
        <v>32</v>
      </c>
    </row>
    <row r="340" spans="1:45" ht="20.100000000000001" customHeight="1" thickBot="1">
      <c r="A340" s="45" t="s">
        <v>1116</v>
      </c>
      <c r="B340" s="45" t="s">
        <v>861</v>
      </c>
      <c r="C340" s="45" t="s">
        <v>1111</v>
      </c>
      <c r="E340" s="45">
        <f t="shared" si="115"/>
        <v>5</v>
      </c>
      <c r="F340" s="45">
        <f t="shared" si="116"/>
        <v>3</v>
      </c>
      <c r="G340" s="45" t="str">
        <f t="shared" si="117"/>
        <v>M2</v>
      </c>
      <c r="H340" s="45" t="str">
        <f t="shared" si="118"/>
        <v>6W</v>
      </c>
      <c r="J340" s="45" t="str">
        <f t="shared" si="119"/>
        <v>6W</v>
      </c>
      <c r="K340" s="45" t="s">
        <v>130</v>
      </c>
      <c r="L340" s="45" t="str">
        <f t="shared" si="120"/>
        <v>M2-6W@E</v>
      </c>
      <c r="M340" s="75" t="str">
        <f t="shared" si="113"/>
        <v>302, 305, 307, 306, M1, M2, 332, 331, 318, 317, 316, 311, 303, 305, 302</v>
      </c>
      <c r="N340" s="75" t="str">
        <f t="shared" si="114"/>
        <v>06, 03, 10, 16</v>
      </c>
      <c r="R340" s="70" t="s">
        <v>994</v>
      </c>
      <c r="S340" s="70" t="s">
        <v>53</v>
      </c>
      <c r="T340" s="70" t="s">
        <v>346</v>
      </c>
      <c r="U340" s="70"/>
      <c r="V340" s="70"/>
      <c r="X340" s="70" t="str">
        <f t="shared" si="130"/>
        <v>M2-E DT@E</v>
      </c>
      <c r="Y340" s="70" t="str">
        <f t="shared" si="131"/>
        <v>E DT-6W@E</v>
      </c>
      <c r="Z340" s="70" t="str">
        <f t="shared" si="132"/>
        <v/>
      </c>
      <c r="AA340" s="70" t="str">
        <f t="shared" si="133"/>
        <v/>
      </c>
      <c r="AC340" s="70" t="str">
        <f t="shared" si="121"/>
        <v>302, 305, 307, 306, M1, M2</v>
      </c>
      <c r="AD340" s="70" t="str">
        <f t="shared" si="122"/>
        <v>332, 331, 318, 317, 316, 311, 303, 305, 302</v>
      </c>
      <c r="AE340" s="70" t="str">
        <f t="shared" si="123"/>
        <v/>
      </c>
      <c r="AF340" s="70" t="str">
        <f t="shared" si="124"/>
        <v/>
      </c>
      <c r="AH340" s="70" t="str">
        <f t="shared" si="125"/>
        <v>06</v>
      </c>
      <c r="AI340" s="70" t="str">
        <f t="shared" si="126"/>
        <v>03, 10, 16</v>
      </c>
      <c r="AJ340" s="70" t="str">
        <f t="shared" si="127"/>
        <v/>
      </c>
      <c r="AK340" s="70" t="str">
        <f t="shared" si="128"/>
        <v/>
      </c>
      <c r="AM340" s="166" t="str">
        <f t="shared" si="129"/>
        <v>5E-SHD16</v>
      </c>
      <c r="AN340" s="171" t="s">
        <v>1117</v>
      </c>
      <c r="AO340" s="167" t="s">
        <v>1047</v>
      </c>
      <c r="AP340" s="167">
        <v>33</v>
      </c>
    </row>
    <row r="341" spans="1:45" ht="20.100000000000001" customHeight="1" thickBot="1">
      <c r="A341" s="45" t="s">
        <v>1118</v>
      </c>
      <c r="B341" s="45" t="s">
        <v>342</v>
      </c>
      <c r="C341" s="45" t="s">
        <v>1114</v>
      </c>
      <c r="E341" s="45">
        <f t="shared" si="115"/>
        <v>5</v>
      </c>
      <c r="F341" s="45">
        <f t="shared" si="116"/>
        <v>3</v>
      </c>
      <c r="G341" s="45" t="str">
        <f t="shared" si="117"/>
        <v>6W</v>
      </c>
      <c r="H341" s="45" t="str">
        <f t="shared" si="118"/>
        <v>M2</v>
      </c>
      <c r="J341" s="45" t="str">
        <f t="shared" si="119"/>
        <v>M2</v>
      </c>
      <c r="K341" s="45" t="s">
        <v>130</v>
      </c>
      <c r="L341" s="45" t="str">
        <f t="shared" si="120"/>
        <v>6W-M2@E</v>
      </c>
      <c r="M341" s="75" t="str">
        <f t="shared" si="113"/>
        <v>332, 331, 318, 317, 316, 311, 303, 305, 302, 302, 305, 307, 306, M1, M2</v>
      </c>
      <c r="N341" s="75" t="str">
        <f t="shared" si="114"/>
        <v>34, 04, 03</v>
      </c>
      <c r="R341" s="70" t="s">
        <v>346</v>
      </c>
      <c r="S341" s="70" t="s">
        <v>53</v>
      </c>
      <c r="T341" s="70" t="s">
        <v>994</v>
      </c>
      <c r="U341" s="70"/>
      <c r="V341" s="70"/>
      <c r="X341" s="70" t="str">
        <f t="shared" si="130"/>
        <v>6W-E DT@E</v>
      </c>
      <c r="Y341" s="70" t="str">
        <f t="shared" si="131"/>
        <v>E DT-M2@E</v>
      </c>
      <c r="Z341" s="70" t="str">
        <f t="shared" si="132"/>
        <v/>
      </c>
      <c r="AA341" s="70" t="str">
        <f t="shared" si="133"/>
        <v/>
      </c>
      <c r="AC341" s="70" t="str">
        <f t="shared" si="121"/>
        <v>332, 331, 318, 317, 316, 311, 303, 305, 302</v>
      </c>
      <c r="AD341" s="70" t="str">
        <f t="shared" si="122"/>
        <v>302, 305, 307, 306, M1, M2</v>
      </c>
      <c r="AE341" s="70" t="str">
        <f t="shared" si="123"/>
        <v/>
      </c>
      <c r="AF341" s="70" t="str">
        <f t="shared" si="124"/>
        <v/>
      </c>
      <c r="AH341" s="70" t="str">
        <f t="shared" si="125"/>
        <v>34, 04</v>
      </c>
      <c r="AI341" s="70" t="str">
        <f t="shared" si="126"/>
        <v>03</v>
      </c>
      <c r="AJ341" s="70" t="str">
        <f t="shared" si="127"/>
        <v/>
      </c>
      <c r="AK341" s="70" t="str">
        <f t="shared" si="128"/>
        <v/>
      </c>
      <c r="AM341" s="166" t="str">
        <f t="shared" si="129"/>
        <v>5W-SHD16</v>
      </c>
      <c r="AN341" s="171" t="s">
        <v>1119</v>
      </c>
      <c r="AO341" s="167" t="s">
        <v>1047</v>
      </c>
      <c r="AP341" s="167">
        <v>33</v>
      </c>
    </row>
    <row r="342" spans="1:45" ht="20.100000000000001" customHeight="1" thickBot="1">
      <c r="A342" s="45" t="s">
        <v>1120</v>
      </c>
      <c r="B342" s="45" t="s">
        <v>861</v>
      </c>
      <c r="C342" s="45" t="s">
        <v>1121</v>
      </c>
      <c r="E342" s="45">
        <f t="shared" si="115"/>
        <v>5</v>
      </c>
      <c r="F342" s="45">
        <f t="shared" si="116"/>
        <v>3</v>
      </c>
      <c r="G342" s="45" t="str">
        <f t="shared" si="117"/>
        <v>M2</v>
      </c>
      <c r="H342" s="45" t="str">
        <f t="shared" si="118"/>
        <v>7E</v>
      </c>
      <c r="J342" s="45" t="str">
        <f t="shared" si="119"/>
        <v>7E</v>
      </c>
      <c r="K342" s="45" t="s">
        <v>130</v>
      </c>
      <c r="L342" s="45" t="str">
        <f t="shared" si="120"/>
        <v>M2-7E@E</v>
      </c>
      <c r="M342" s="75" t="str">
        <f t="shared" si="113"/>
        <v>302, 305, 307, 306, M1, M2, 334, 332, 331, 318, 317, 316, 311, 303, 305, 302</v>
      </c>
      <c r="N342" s="75" t="str">
        <f t="shared" si="114"/>
        <v>06, 03, 10, 16</v>
      </c>
      <c r="R342" s="70" t="s">
        <v>994</v>
      </c>
      <c r="S342" s="70" t="s">
        <v>53</v>
      </c>
      <c r="T342" s="70" t="s">
        <v>354</v>
      </c>
      <c r="U342" s="70"/>
      <c r="V342" s="70"/>
      <c r="X342" s="70" t="str">
        <f t="shared" si="130"/>
        <v>M2-E DT@E</v>
      </c>
      <c r="Y342" s="70" t="str">
        <f t="shared" si="131"/>
        <v>E DT-7E@E</v>
      </c>
      <c r="Z342" s="70" t="str">
        <f t="shared" si="132"/>
        <v/>
      </c>
      <c r="AA342" s="70" t="str">
        <f t="shared" si="133"/>
        <v/>
      </c>
      <c r="AC342" s="70" t="str">
        <f t="shared" si="121"/>
        <v>302, 305, 307, 306, M1, M2</v>
      </c>
      <c r="AD342" s="70" t="str">
        <f t="shared" si="122"/>
        <v>334, 332, 331, 318, 317, 316, 311, 303, 305, 302</v>
      </c>
      <c r="AE342" s="70" t="str">
        <f t="shared" si="123"/>
        <v/>
      </c>
      <c r="AF342" s="70" t="str">
        <f t="shared" si="124"/>
        <v/>
      </c>
      <c r="AH342" s="70" t="str">
        <f t="shared" si="125"/>
        <v>06</v>
      </c>
      <c r="AI342" s="70" t="str">
        <f t="shared" si="126"/>
        <v>03, 10, 16</v>
      </c>
      <c r="AJ342" s="70" t="str">
        <f t="shared" si="127"/>
        <v/>
      </c>
      <c r="AK342" s="70" t="str">
        <f t="shared" si="128"/>
        <v/>
      </c>
      <c r="AM342" s="166" t="str">
        <f t="shared" si="129"/>
        <v>6E-SHD16</v>
      </c>
      <c r="AN342" s="171" t="s">
        <v>1122</v>
      </c>
      <c r="AO342" s="167" t="s">
        <v>1057</v>
      </c>
      <c r="AP342" s="167">
        <v>34</v>
      </c>
    </row>
    <row r="343" spans="1:45" ht="20.100000000000001" customHeight="1" thickBot="1">
      <c r="A343" s="45" t="s">
        <v>1123</v>
      </c>
      <c r="B343" s="45" t="s">
        <v>358</v>
      </c>
      <c r="C343" s="45" t="s">
        <v>1124</v>
      </c>
      <c r="E343" s="45">
        <f t="shared" si="115"/>
        <v>5</v>
      </c>
      <c r="F343" s="45">
        <f t="shared" si="116"/>
        <v>3</v>
      </c>
      <c r="G343" s="45" t="str">
        <f t="shared" si="117"/>
        <v>7E</v>
      </c>
      <c r="H343" s="45" t="str">
        <f t="shared" si="118"/>
        <v>M2</v>
      </c>
      <c r="J343" s="45" t="str">
        <f t="shared" si="119"/>
        <v>M2</v>
      </c>
      <c r="K343" s="45" t="s">
        <v>130</v>
      </c>
      <c r="L343" s="45" t="str">
        <f t="shared" si="120"/>
        <v>7E-M2@E</v>
      </c>
      <c r="M343" s="75" t="str">
        <f t="shared" si="113"/>
        <v>334, 332, 331, 318, 317, 316, 311, 303, 305, 302, 302, 305, 307, 306, M1, M2</v>
      </c>
      <c r="N343" s="75" t="str">
        <f t="shared" si="114"/>
        <v>35, 04, 03</v>
      </c>
      <c r="R343" s="70" t="s">
        <v>354</v>
      </c>
      <c r="S343" s="70" t="s">
        <v>53</v>
      </c>
      <c r="T343" s="70" t="s">
        <v>994</v>
      </c>
      <c r="U343" s="70"/>
      <c r="V343" s="70"/>
      <c r="X343" s="70" t="str">
        <f t="shared" si="130"/>
        <v>7E-E DT@E</v>
      </c>
      <c r="Y343" s="70" t="str">
        <f t="shared" si="131"/>
        <v>E DT-M2@E</v>
      </c>
      <c r="Z343" s="70" t="str">
        <f t="shared" si="132"/>
        <v/>
      </c>
      <c r="AA343" s="70" t="str">
        <f t="shared" si="133"/>
        <v/>
      </c>
      <c r="AC343" s="70" t="str">
        <f t="shared" si="121"/>
        <v>334, 332, 331, 318, 317, 316, 311, 303, 305, 302</v>
      </c>
      <c r="AD343" s="70" t="str">
        <f t="shared" si="122"/>
        <v>302, 305, 307, 306, M1, M2</v>
      </c>
      <c r="AE343" s="70" t="str">
        <f t="shared" si="123"/>
        <v/>
      </c>
      <c r="AF343" s="70" t="str">
        <f t="shared" si="124"/>
        <v/>
      </c>
      <c r="AH343" s="70" t="str">
        <f t="shared" si="125"/>
        <v>35, 04</v>
      </c>
      <c r="AI343" s="70" t="str">
        <f t="shared" si="126"/>
        <v>03</v>
      </c>
      <c r="AJ343" s="70" t="str">
        <f t="shared" si="127"/>
        <v/>
      </c>
      <c r="AK343" s="70" t="str">
        <f t="shared" si="128"/>
        <v/>
      </c>
      <c r="AM343" s="166" t="str">
        <f t="shared" si="129"/>
        <v>6W-SHD16</v>
      </c>
      <c r="AN343" s="171" t="s">
        <v>1125</v>
      </c>
      <c r="AO343" s="167" t="s">
        <v>1057</v>
      </c>
      <c r="AP343" s="167">
        <v>34</v>
      </c>
    </row>
    <row r="344" spans="1:45" ht="20.100000000000001" customHeight="1" thickBot="1">
      <c r="A344" s="45" t="s">
        <v>1126</v>
      </c>
      <c r="B344" s="45" t="s">
        <v>861</v>
      </c>
      <c r="C344" s="45" t="s">
        <v>1121</v>
      </c>
      <c r="E344" s="45">
        <f t="shared" si="115"/>
        <v>5</v>
      </c>
      <c r="F344" s="45">
        <f t="shared" si="116"/>
        <v>3</v>
      </c>
      <c r="G344" s="45" t="str">
        <f t="shared" si="117"/>
        <v>M2</v>
      </c>
      <c r="H344" s="45" t="str">
        <f t="shared" si="118"/>
        <v>7W</v>
      </c>
      <c r="J344" s="45" t="str">
        <f t="shared" si="119"/>
        <v>7W</v>
      </c>
      <c r="K344" s="45" t="s">
        <v>130</v>
      </c>
      <c r="L344" s="45" t="str">
        <f t="shared" si="120"/>
        <v>M2-7W@E</v>
      </c>
      <c r="M344" s="75" t="str">
        <f t="shared" si="113"/>
        <v>302, 305, 307, 306, M1, M2, 334, 332, 331, 318, 317, 316, 311, 303, 305, 302</v>
      </c>
      <c r="N344" s="75" t="str">
        <f t="shared" si="114"/>
        <v>06, 03, 10, 16</v>
      </c>
      <c r="R344" s="70" t="s">
        <v>994</v>
      </c>
      <c r="S344" s="70" t="s">
        <v>53</v>
      </c>
      <c r="T344" s="70" t="s">
        <v>363</v>
      </c>
      <c r="U344" s="70"/>
      <c r="V344" s="70"/>
      <c r="X344" s="70" t="str">
        <f t="shared" si="130"/>
        <v>M2-E DT@E</v>
      </c>
      <c r="Y344" s="70" t="str">
        <f t="shared" si="131"/>
        <v>E DT-7W@E</v>
      </c>
      <c r="Z344" s="70" t="str">
        <f t="shared" si="132"/>
        <v/>
      </c>
      <c r="AA344" s="70" t="str">
        <f t="shared" si="133"/>
        <v/>
      </c>
      <c r="AC344" s="70" t="str">
        <f t="shared" si="121"/>
        <v>302, 305, 307, 306, M1, M2</v>
      </c>
      <c r="AD344" s="70" t="str">
        <f t="shared" si="122"/>
        <v>334, 332, 331, 318, 317, 316, 311, 303, 305, 302</v>
      </c>
      <c r="AE344" s="70" t="str">
        <f t="shared" si="123"/>
        <v/>
      </c>
      <c r="AF344" s="70" t="str">
        <f t="shared" si="124"/>
        <v/>
      </c>
      <c r="AH344" s="70" t="str">
        <f t="shared" si="125"/>
        <v>06</v>
      </c>
      <c r="AI344" s="70" t="str">
        <f t="shared" si="126"/>
        <v>03, 10, 16</v>
      </c>
      <c r="AJ344" s="70" t="str">
        <f t="shared" si="127"/>
        <v/>
      </c>
      <c r="AK344" s="70" t="str">
        <f t="shared" si="128"/>
        <v/>
      </c>
      <c r="AM344" s="166" t="str">
        <f t="shared" si="129"/>
        <v>7E-SHD16</v>
      </c>
      <c r="AN344" s="171" t="s">
        <v>1127</v>
      </c>
      <c r="AO344" s="167" t="s">
        <v>1063</v>
      </c>
      <c r="AP344" s="167">
        <v>35</v>
      </c>
    </row>
    <row r="345" spans="1:45" ht="20.100000000000001" customHeight="1" thickBot="1">
      <c r="A345" s="45" t="s">
        <v>1128</v>
      </c>
      <c r="B345" s="45" t="s">
        <v>358</v>
      </c>
      <c r="C345" s="45" t="s">
        <v>1124</v>
      </c>
      <c r="E345" s="45">
        <f t="shared" si="115"/>
        <v>5</v>
      </c>
      <c r="F345" s="45">
        <f t="shared" si="116"/>
        <v>3</v>
      </c>
      <c r="G345" s="45" t="str">
        <f t="shared" si="117"/>
        <v>7W</v>
      </c>
      <c r="H345" s="45" t="str">
        <f t="shared" si="118"/>
        <v>M2</v>
      </c>
      <c r="J345" s="45" t="str">
        <f t="shared" si="119"/>
        <v>M2</v>
      </c>
      <c r="K345" s="45" t="s">
        <v>130</v>
      </c>
      <c r="L345" s="45" t="str">
        <f t="shared" si="120"/>
        <v>7W-M2@E</v>
      </c>
      <c r="M345" s="75" t="str">
        <f t="shared" si="113"/>
        <v>334, 332, 331, 318, 317, 316, 311, 303, 305, 302, 302, 305, 307, 306, M1, M2</v>
      </c>
      <c r="N345" s="75" t="str">
        <f t="shared" si="114"/>
        <v>35, 04, 03</v>
      </c>
      <c r="R345" s="70" t="s">
        <v>363</v>
      </c>
      <c r="S345" s="70" t="s">
        <v>53</v>
      </c>
      <c r="T345" s="70" t="s">
        <v>994</v>
      </c>
      <c r="U345" s="70"/>
      <c r="V345" s="70"/>
      <c r="X345" s="70" t="str">
        <f t="shared" si="130"/>
        <v>7W-E DT@E</v>
      </c>
      <c r="Y345" s="70" t="str">
        <f t="shared" si="131"/>
        <v>E DT-M2@E</v>
      </c>
      <c r="Z345" s="70" t="str">
        <f t="shared" si="132"/>
        <v/>
      </c>
      <c r="AA345" s="70" t="str">
        <f t="shared" si="133"/>
        <v/>
      </c>
      <c r="AC345" s="70" t="str">
        <f t="shared" si="121"/>
        <v>334, 332, 331, 318, 317, 316, 311, 303, 305, 302</v>
      </c>
      <c r="AD345" s="70" t="str">
        <f t="shared" si="122"/>
        <v>302, 305, 307, 306, M1, M2</v>
      </c>
      <c r="AE345" s="70" t="str">
        <f t="shared" si="123"/>
        <v/>
      </c>
      <c r="AF345" s="70" t="str">
        <f t="shared" si="124"/>
        <v/>
      </c>
      <c r="AH345" s="70" t="str">
        <f t="shared" si="125"/>
        <v>35, 04</v>
      </c>
      <c r="AI345" s="70" t="str">
        <f t="shared" si="126"/>
        <v>03</v>
      </c>
      <c r="AJ345" s="70" t="str">
        <f t="shared" si="127"/>
        <v/>
      </c>
      <c r="AK345" s="70" t="str">
        <f t="shared" si="128"/>
        <v/>
      </c>
      <c r="AM345" s="166" t="str">
        <f t="shared" si="129"/>
        <v>7W-SHD16</v>
      </c>
      <c r="AN345" s="171" t="s">
        <v>1129</v>
      </c>
      <c r="AO345" s="167" t="s">
        <v>1063</v>
      </c>
      <c r="AP345" s="167">
        <v>35</v>
      </c>
    </row>
    <row r="346" spans="1:45" ht="20.100000000000001" customHeight="1" thickBot="1">
      <c r="A346" s="45" t="s">
        <v>1130</v>
      </c>
      <c r="B346" s="45" t="s">
        <v>861</v>
      </c>
      <c r="C346" s="45" t="s">
        <v>1121</v>
      </c>
      <c r="E346" s="45">
        <f t="shared" si="115"/>
        <v>5</v>
      </c>
      <c r="F346" s="45">
        <f t="shared" si="116"/>
        <v>3</v>
      </c>
      <c r="G346" s="45" t="str">
        <f t="shared" si="117"/>
        <v>M2</v>
      </c>
      <c r="H346" s="45" t="str">
        <f t="shared" si="118"/>
        <v>8E</v>
      </c>
      <c r="J346" s="45" t="str">
        <f t="shared" si="119"/>
        <v>8E</v>
      </c>
      <c r="K346" s="45" t="s">
        <v>130</v>
      </c>
      <c r="L346" s="45" t="str">
        <f t="shared" si="120"/>
        <v>M2-8E@E</v>
      </c>
      <c r="M346" s="75" t="str">
        <f t="shared" si="113"/>
        <v>302, 305, 307, 306, M1, M2, 334, 332, 331, 318, 317, 316, 311, 303, 305, 302</v>
      </c>
      <c r="N346" s="75" t="str">
        <f t="shared" si="114"/>
        <v>06, 03, 10, 16</v>
      </c>
      <c r="R346" s="70" t="s">
        <v>994</v>
      </c>
      <c r="S346" s="70" t="s">
        <v>53</v>
      </c>
      <c r="T346" s="70" t="s">
        <v>370</v>
      </c>
      <c r="U346" s="70"/>
      <c r="V346" s="70"/>
      <c r="X346" s="70" t="str">
        <f t="shared" si="130"/>
        <v>M2-E DT@E</v>
      </c>
      <c r="Y346" s="70" t="str">
        <f t="shared" si="131"/>
        <v>E DT-8E@E</v>
      </c>
      <c r="Z346" s="70" t="str">
        <f t="shared" si="132"/>
        <v/>
      </c>
      <c r="AA346" s="70" t="str">
        <f t="shared" si="133"/>
        <v/>
      </c>
      <c r="AC346" s="70" t="str">
        <f t="shared" si="121"/>
        <v>302, 305, 307, 306, M1, M2</v>
      </c>
      <c r="AD346" s="70" t="str">
        <f t="shared" si="122"/>
        <v>334, 332, 331, 318, 317, 316, 311, 303, 305, 302</v>
      </c>
      <c r="AE346" s="70" t="str">
        <f t="shared" si="123"/>
        <v/>
      </c>
      <c r="AF346" s="70" t="str">
        <f t="shared" si="124"/>
        <v/>
      </c>
      <c r="AH346" s="70" t="str">
        <f t="shared" si="125"/>
        <v>06</v>
      </c>
      <c r="AI346" s="70" t="str">
        <f t="shared" si="126"/>
        <v>03, 10, 16</v>
      </c>
      <c r="AJ346" s="70" t="str">
        <f t="shared" si="127"/>
        <v/>
      </c>
      <c r="AK346" s="70" t="str">
        <f t="shared" si="128"/>
        <v/>
      </c>
      <c r="AM346" s="166" t="str">
        <f t="shared" si="129"/>
        <v>8E-SHD16</v>
      </c>
      <c r="AN346" s="171" t="s">
        <v>1131</v>
      </c>
      <c r="AO346" s="167" t="s">
        <v>1063</v>
      </c>
      <c r="AP346" s="167">
        <v>36</v>
      </c>
    </row>
    <row r="347" spans="1:45" ht="20.100000000000001" customHeight="1" thickBot="1">
      <c r="A347" s="45" t="s">
        <v>1132</v>
      </c>
      <c r="B347" s="45" t="s">
        <v>374</v>
      </c>
      <c r="C347" s="45" t="s">
        <v>1124</v>
      </c>
      <c r="E347" s="45">
        <f t="shared" si="115"/>
        <v>5</v>
      </c>
      <c r="F347" s="45">
        <f t="shared" si="116"/>
        <v>3</v>
      </c>
      <c r="G347" s="45" t="str">
        <f t="shared" si="117"/>
        <v>8E</v>
      </c>
      <c r="H347" s="45" t="str">
        <f t="shared" si="118"/>
        <v>M2</v>
      </c>
      <c r="J347" s="45" t="str">
        <f t="shared" si="119"/>
        <v>M2</v>
      </c>
      <c r="K347" s="45" t="s">
        <v>130</v>
      </c>
      <c r="L347" s="45" t="str">
        <f t="shared" si="120"/>
        <v>8E-M2@E</v>
      </c>
      <c r="M347" s="75" t="str">
        <f t="shared" si="113"/>
        <v>334, 332, 331, 318, 317, 316, 311, 303, 305, 302, 302, 305, 307, 306, M1, M2</v>
      </c>
      <c r="N347" s="75" t="str">
        <f t="shared" si="114"/>
        <v>36, 04, 03</v>
      </c>
      <c r="R347" s="70" t="s">
        <v>370</v>
      </c>
      <c r="S347" s="70" t="s">
        <v>53</v>
      </c>
      <c r="T347" s="70" t="s">
        <v>994</v>
      </c>
      <c r="U347" s="70"/>
      <c r="V347" s="70"/>
      <c r="X347" s="70" t="str">
        <f t="shared" si="130"/>
        <v>8E-E DT@E</v>
      </c>
      <c r="Y347" s="70" t="str">
        <f t="shared" si="131"/>
        <v>E DT-M2@E</v>
      </c>
      <c r="Z347" s="70" t="str">
        <f t="shared" si="132"/>
        <v/>
      </c>
      <c r="AA347" s="70" t="str">
        <f t="shared" si="133"/>
        <v/>
      </c>
      <c r="AC347" s="70" t="str">
        <f t="shared" si="121"/>
        <v>334, 332, 331, 318, 317, 316, 311, 303, 305, 302</v>
      </c>
      <c r="AD347" s="70" t="str">
        <f t="shared" si="122"/>
        <v>302, 305, 307, 306, M1, M2</v>
      </c>
      <c r="AE347" s="70" t="str">
        <f t="shared" si="123"/>
        <v/>
      </c>
      <c r="AF347" s="70" t="str">
        <f t="shared" si="124"/>
        <v/>
      </c>
      <c r="AH347" s="70" t="str">
        <f t="shared" si="125"/>
        <v>36, 04</v>
      </c>
      <c r="AI347" s="70" t="str">
        <f t="shared" si="126"/>
        <v>03</v>
      </c>
      <c r="AJ347" s="70" t="str">
        <f t="shared" si="127"/>
        <v/>
      </c>
      <c r="AK347" s="70" t="str">
        <f t="shared" si="128"/>
        <v/>
      </c>
      <c r="AM347" s="166" t="str">
        <f t="shared" si="129"/>
        <v>8W-SHD16</v>
      </c>
      <c r="AN347" s="171" t="s">
        <v>1133</v>
      </c>
      <c r="AO347" s="167" t="s">
        <v>1063</v>
      </c>
      <c r="AP347" s="167">
        <v>36</v>
      </c>
    </row>
    <row r="348" spans="1:45" ht="20.100000000000001" customHeight="1" thickBot="1">
      <c r="A348" s="45" t="s">
        <v>1134</v>
      </c>
      <c r="B348" s="45" t="s">
        <v>861</v>
      </c>
      <c r="C348" s="45" t="s">
        <v>1121</v>
      </c>
      <c r="E348" s="45">
        <f t="shared" si="115"/>
        <v>5</v>
      </c>
      <c r="F348" s="45">
        <f t="shared" si="116"/>
        <v>3</v>
      </c>
      <c r="G348" s="45" t="str">
        <f t="shared" si="117"/>
        <v>M2</v>
      </c>
      <c r="H348" s="45" t="str">
        <f t="shared" si="118"/>
        <v>8W</v>
      </c>
      <c r="J348" s="45" t="str">
        <f t="shared" si="119"/>
        <v>8W</v>
      </c>
      <c r="K348" s="45" t="s">
        <v>130</v>
      </c>
      <c r="L348" s="45" t="str">
        <f t="shared" si="120"/>
        <v>M2-8W@E</v>
      </c>
      <c r="M348" s="75" t="str">
        <f t="shared" si="113"/>
        <v>302, 305, 307, 306, M1, M2, 334, 332, 331, 318, 317, 316, 311, 303, 305, 302</v>
      </c>
      <c r="N348" s="75" t="str">
        <f t="shared" si="114"/>
        <v>06, 03, 10, 16</v>
      </c>
      <c r="R348" s="70" t="s">
        <v>994</v>
      </c>
      <c r="S348" s="70" t="s">
        <v>53</v>
      </c>
      <c r="T348" s="70" t="s">
        <v>377</v>
      </c>
      <c r="U348" s="70"/>
      <c r="V348" s="70"/>
      <c r="X348" s="70" t="str">
        <f t="shared" si="130"/>
        <v>M2-E DT@E</v>
      </c>
      <c r="Y348" s="70" t="str">
        <f t="shared" si="131"/>
        <v>E DT-8W@E</v>
      </c>
      <c r="Z348" s="70" t="str">
        <f t="shared" si="132"/>
        <v/>
      </c>
      <c r="AA348" s="70" t="str">
        <f t="shared" si="133"/>
        <v/>
      </c>
      <c r="AC348" s="70" t="str">
        <f t="shared" si="121"/>
        <v>302, 305, 307, 306, M1, M2</v>
      </c>
      <c r="AD348" s="70" t="str">
        <f t="shared" si="122"/>
        <v>334, 332, 331, 318, 317, 316, 311, 303, 305, 302</v>
      </c>
      <c r="AE348" s="70" t="str">
        <f t="shared" si="123"/>
        <v/>
      </c>
      <c r="AF348" s="70" t="str">
        <f t="shared" si="124"/>
        <v/>
      </c>
      <c r="AH348" s="70" t="str">
        <f t="shared" si="125"/>
        <v>06</v>
      </c>
      <c r="AI348" s="70" t="str">
        <f t="shared" si="126"/>
        <v>03, 10, 16</v>
      </c>
      <c r="AJ348" s="70" t="str">
        <f t="shared" si="127"/>
        <v/>
      </c>
      <c r="AK348" s="70" t="str">
        <f t="shared" si="128"/>
        <v/>
      </c>
      <c r="AM348" s="166" t="str">
        <f t="shared" si="129"/>
        <v>LF3-SHD16</v>
      </c>
      <c r="AN348" s="170" t="s">
        <v>1135</v>
      </c>
      <c r="AO348" s="167" t="s">
        <v>1136</v>
      </c>
      <c r="AP348" s="167">
        <v>20</v>
      </c>
    </row>
    <row r="349" spans="1:45" ht="20.100000000000001" customHeight="1" thickBot="1">
      <c r="A349" s="45" t="s">
        <v>1137</v>
      </c>
      <c r="B349" s="45" t="s">
        <v>374</v>
      </c>
      <c r="C349" s="45" t="s">
        <v>1124</v>
      </c>
      <c r="E349" s="45">
        <f t="shared" si="115"/>
        <v>5</v>
      </c>
      <c r="F349" s="45">
        <f t="shared" si="116"/>
        <v>3</v>
      </c>
      <c r="G349" s="45" t="str">
        <f t="shared" si="117"/>
        <v>8W</v>
      </c>
      <c r="H349" s="45" t="str">
        <f t="shared" si="118"/>
        <v>M2</v>
      </c>
      <c r="J349" s="45" t="str">
        <f t="shared" si="119"/>
        <v>M2</v>
      </c>
      <c r="K349" s="45" t="s">
        <v>130</v>
      </c>
      <c r="L349" s="45" t="str">
        <f t="shared" si="120"/>
        <v>8W-M2@E</v>
      </c>
      <c r="M349" s="75" t="str">
        <f t="shared" si="113"/>
        <v>334, 332, 331, 318, 317, 316, 311, 303, 305, 302, 302, 305, 307, 306, M1, M2</v>
      </c>
      <c r="N349" s="75" t="str">
        <f t="shared" si="114"/>
        <v>36, 04, 03</v>
      </c>
      <c r="R349" s="70" t="s">
        <v>377</v>
      </c>
      <c r="S349" s="70" t="s">
        <v>53</v>
      </c>
      <c r="T349" s="70" t="s">
        <v>994</v>
      </c>
      <c r="U349" s="70"/>
      <c r="V349" s="70"/>
      <c r="X349" s="70" t="str">
        <f t="shared" si="130"/>
        <v>8W-E DT@E</v>
      </c>
      <c r="Y349" s="70" t="str">
        <f t="shared" si="131"/>
        <v>E DT-M2@E</v>
      </c>
      <c r="Z349" s="70" t="str">
        <f t="shared" si="132"/>
        <v/>
      </c>
      <c r="AA349" s="70" t="str">
        <f t="shared" si="133"/>
        <v/>
      </c>
      <c r="AC349" s="70" t="str">
        <f t="shared" si="121"/>
        <v>334, 332, 331, 318, 317, 316, 311, 303, 305, 302</v>
      </c>
      <c r="AD349" s="70" t="str">
        <f t="shared" si="122"/>
        <v>302, 305, 307, 306, M1, M2</v>
      </c>
      <c r="AE349" s="70" t="str">
        <f t="shared" si="123"/>
        <v/>
      </c>
      <c r="AF349" s="70" t="str">
        <f t="shared" si="124"/>
        <v/>
      </c>
      <c r="AH349" s="70" t="str">
        <f t="shared" si="125"/>
        <v>36, 04</v>
      </c>
      <c r="AI349" s="70" t="str">
        <f t="shared" si="126"/>
        <v>03</v>
      </c>
      <c r="AJ349" s="70" t="str">
        <f t="shared" si="127"/>
        <v/>
      </c>
      <c r="AK349" s="70" t="str">
        <f t="shared" si="128"/>
        <v/>
      </c>
      <c r="AM349" s="166" t="str">
        <f t="shared" si="129"/>
        <v>E AV-SHD16</v>
      </c>
      <c r="AN349" s="171" t="s">
        <v>1138</v>
      </c>
      <c r="AO349" s="167" t="s">
        <v>1139</v>
      </c>
      <c r="AP349" s="168" t="s">
        <v>718</v>
      </c>
    </row>
    <row r="350" spans="1:45" ht="20.100000000000001" customHeight="1" thickBot="1">
      <c r="A350" s="45" t="s">
        <v>1140</v>
      </c>
      <c r="B350" s="45" t="s">
        <v>861</v>
      </c>
      <c r="C350" s="45" t="s">
        <v>1141</v>
      </c>
      <c r="E350" s="45">
        <f t="shared" si="115"/>
        <v>6</v>
      </c>
      <c r="F350" s="45">
        <f t="shared" si="116"/>
        <v>3</v>
      </c>
      <c r="G350" s="45" t="str">
        <f t="shared" si="117"/>
        <v>M3</v>
      </c>
      <c r="H350" s="45" t="str">
        <f t="shared" si="118"/>
        <v>LF3</v>
      </c>
      <c r="J350" s="45" t="str">
        <f t="shared" si="119"/>
        <v>LF3</v>
      </c>
      <c r="K350" s="45" t="s">
        <v>130</v>
      </c>
      <c r="L350" s="45" t="str">
        <f t="shared" si="120"/>
        <v>M3-LF3@E</v>
      </c>
      <c r="M350" s="75" t="str">
        <f t="shared" si="113"/>
        <v>302, 305, 307, 306, M1, M2, M3, 323, 322, 319, 316, 311, 303, 305, 302</v>
      </c>
      <c r="N350" s="75" t="str">
        <f t="shared" si="114"/>
        <v>06, 03, 10, 16</v>
      </c>
      <c r="R350" s="70" t="s">
        <v>1142</v>
      </c>
      <c r="S350" s="70" t="s">
        <v>53</v>
      </c>
      <c r="T350" s="70" t="s">
        <v>82</v>
      </c>
      <c r="U350" s="70"/>
      <c r="V350" s="70"/>
      <c r="X350" s="70" t="str">
        <f t="shared" si="130"/>
        <v>M3-E DT@E</v>
      </c>
      <c r="Y350" s="70" t="str">
        <f t="shared" si="131"/>
        <v>E DT-LF3@E</v>
      </c>
      <c r="Z350" s="70" t="str">
        <f t="shared" si="132"/>
        <v/>
      </c>
      <c r="AA350" s="70" t="str">
        <f t="shared" si="133"/>
        <v/>
      </c>
      <c r="AC350" s="70" t="str">
        <f t="shared" si="121"/>
        <v>302, 305, 307, 306, M1, M2, M3</v>
      </c>
      <c r="AD350" s="70" t="str">
        <f t="shared" si="122"/>
        <v>323, 322, 319, 316, 311, 303, 305, 302</v>
      </c>
      <c r="AE350" s="70" t="str">
        <f t="shared" si="123"/>
        <v/>
      </c>
      <c r="AF350" s="70" t="str">
        <f t="shared" si="124"/>
        <v/>
      </c>
      <c r="AH350" s="70" t="str">
        <f t="shared" si="125"/>
        <v>06</v>
      </c>
      <c r="AI350" s="70" t="str">
        <f t="shared" si="126"/>
        <v>03, 10, 16</v>
      </c>
      <c r="AJ350" s="70" t="str">
        <f t="shared" si="127"/>
        <v/>
      </c>
      <c r="AK350" s="70" t="str">
        <f t="shared" si="128"/>
        <v/>
      </c>
      <c r="AM350" s="166" t="str">
        <f t="shared" si="129"/>
        <v>SHD16-E AV</v>
      </c>
      <c r="AN350" s="171" t="s">
        <v>1143</v>
      </c>
      <c r="AO350" s="167" t="s">
        <v>1139</v>
      </c>
      <c r="AP350" s="168" t="s">
        <v>987</v>
      </c>
    </row>
    <row r="351" spans="1:45" ht="20.100000000000001" customHeight="1" thickBot="1">
      <c r="A351" s="45" t="s">
        <v>1144</v>
      </c>
      <c r="B351" s="45" t="s">
        <v>154</v>
      </c>
      <c r="C351" s="45" t="s">
        <v>1145</v>
      </c>
      <c r="E351" s="45">
        <f t="shared" si="115"/>
        <v>6</v>
      </c>
      <c r="F351" s="45">
        <f t="shared" si="116"/>
        <v>4</v>
      </c>
      <c r="G351" s="45" t="str">
        <f t="shared" si="117"/>
        <v>LF3</v>
      </c>
      <c r="H351" s="45" t="str">
        <f t="shared" si="118"/>
        <v>M3</v>
      </c>
      <c r="J351" s="45" t="str">
        <f t="shared" si="119"/>
        <v>M3</v>
      </c>
      <c r="K351" s="45" t="s">
        <v>130</v>
      </c>
      <c r="L351" s="45" t="str">
        <f t="shared" si="120"/>
        <v>LF3-M3@E</v>
      </c>
      <c r="M351" s="75" t="str">
        <f t="shared" si="113"/>
        <v>323, 322, 319, 316, 311, 303, 305, 302, 302, 305, 307, 306, M1, M2, M3</v>
      </c>
      <c r="N351" s="75" t="str">
        <f t="shared" si="114"/>
        <v>20, 04, 03</v>
      </c>
      <c r="R351" s="70" t="s">
        <v>82</v>
      </c>
      <c r="S351" s="70" t="s">
        <v>53</v>
      </c>
      <c r="T351" s="70" t="s">
        <v>1142</v>
      </c>
      <c r="U351" s="70"/>
      <c r="V351" s="70"/>
      <c r="X351" s="70" t="str">
        <f t="shared" si="130"/>
        <v>LF3-E DT@E</v>
      </c>
      <c r="Y351" s="70" t="str">
        <f t="shared" si="131"/>
        <v>E DT-M3@E</v>
      </c>
      <c r="Z351" s="70" t="str">
        <f t="shared" si="132"/>
        <v/>
      </c>
      <c r="AA351" s="70" t="str">
        <f t="shared" si="133"/>
        <v/>
      </c>
      <c r="AC351" s="70" t="str">
        <f t="shared" si="121"/>
        <v>323, 322, 319, 316, 311, 303, 305, 302</v>
      </c>
      <c r="AD351" s="70" t="str">
        <f t="shared" si="122"/>
        <v>302, 305, 307, 306, M1, M2, M3</v>
      </c>
      <c r="AE351" s="70" t="str">
        <f t="shared" si="123"/>
        <v/>
      </c>
      <c r="AF351" s="70" t="str">
        <f t="shared" si="124"/>
        <v/>
      </c>
      <c r="AH351" s="70" t="str">
        <f t="shared" si="125"/>
        <v>20, 04</v>
      </c>
      <c r="AI351" s="70" t="str">
        <f t="shared" si="126"/>
        <v>03</v>
      </c>
      <c r="AJ351" s="70" t="str">
        <f t="shared" si="127"/>
        <v/>
      </c>
      <c r="AK351" s="70" t="str">
        <f t="shared" si="128"/>
        <v/>
      </c>
      <c r="AM351" s="166" t="str">
        <f t="shared" si="129"/>
        <v>E DT-SHD16</v>
      </c>
      <c r="AN351" s="171" t="s">
        <v>983</v>
      </c>
      <c r="AO351" s="167" t="s">
        <v>984</v>
      </c>
      <c r="AP351" s="168" t="s">
        <v>524</v>
      </c>
    </row>
    <row r="352" spans="1:45" ht="20.100000000000001" customHeight="1" thickBot="1">
      <c r="A352" s="45" t="s">
        <v>1146</v>
      </c>
      <c r="B352" s="45" t="s">
        <v>861</v>
      </c>
      <c r="C352" s="45" t="s">
        <v>1141</v>
      </c>
      <c r="E352" s="45">
        <f t="shared" si="115"/>
        <v>6</v>
      </c>
      <c r="F352" s="45">
        <f t="shared" si="116"/>
        <v>3</v>
      </c>
      <c r="G352" s="45" t="str">
        <f t="shared" si="117"/>
        <v>M3</v>
      </c>
      <c r="H352" s="45" t="str">
        <f t="shared" si="118"/>
        <v>LF4</v>
      </c>
      <c r="J352" s="45" t="str">
        <f t="shared" si="119"/>
        <v>LF4</v>
      </c>
      <c r="K352" s="45" t="s">
        <v>130</v>
      </c>
      <c r="L352" s="45" t="str">
        <f t="shared" si="120"/>
        <v>M3-LF4@E</v>
      </c>
      <c r="M352" s="75" t="str">
        <f t="shared" si="113"/>
        <v>302, 305, 307, 306, M1, M2, M3, 302, 305, 303, 311, 316, 319, 322, 323</v>
      </c>
      <c r="N352" s="75" t="str">
        <f t="shared" si="114"/>
        <v>06, 03, 10, 16</v>
      </c>
      <c r="R352" s="70" t="s">
        <v>1142</v>
      </c>
      <c r="S352" s="70" t="s">
        <v>53</v>
      </c>
      <c r="T352" s="70" t="s">
        <v>83</v>
      </c>
      <c r="U352" s="70"/>
      <c r="V352" s="70"/>
      <c r="X352" s="70" t="str">
        <f t="shared" si="130"/>
        <v>M3-E DT@E</v>
      </c>
      <c r="Y352" s="70" t="str">
        <f t="shared" si="131"/>
        <v>E DT-LF4@E</v>
      </c>
      <c r="Z352" s="70" t="str">
        <f t="shared" si="132"/>
        <v/>
      </c>
      <c r="AA352" s="70" t="str">
        <f t="shared" si="133"/>
        <v/>
      </c>
      <c r="AC352" s="70" t="str">
        <f t="shared" si="121"/>
        <v>302, 305, 307, 306, M1, M2, M3</v>
      </c>
      <c r="AD352" s="70" t="str">
        <f t="shared" si="122"/>
        <v>302, 305, 303, 311, 316, 319, 322, 323</v>
      </c>
      <c r="AE352" s="70" t="str">
        <f t="shared" si="123"/>
        <v/>
      </c>
      <c r="AF352" s="70" t="str">
        <f t="shared" si="124"/>
        <v/>
      </c>
      <c r="AH352" s="70" t="str">
        <f t="shared" si="125"/>
        <v>06</v>
      </c>
      <c r="AI352" s="70" t="str">
        <f t="shared" si="126"/>
        <v>03, 10, 16</v>
      </c>
      <c r="AJ352" s="70" t="str">
        <f t="shared" si="127"/>
        <v/>
      </c>
      <c r="AK352" s="70" t="str">
        <f t="shared" si="128"/>
        <v/>
      </c>
      <c r="AM352" s="166" t="str">
        <f t="shared" si="129"/>
        <v>E DT-SHD10</v>
      </c>
      <c r="AN352" s="171" t="s">
        <v>1147</v>
      </c>
      <c r="AO352" s="167" t="s">
        <v>1148</v>
      </c>
      <c r="AP352" s="168" t="s">
        <v>524</v>
      </c>
      <c r="AQ352" s="45" t="s">
        <v>983</v>
      </c>
      <c r="AR352" s="45" t="s">
        <v>984</v>
      </c>
      <c r="AS352" s="45" t="s">
        <v>524</v>
      </c>
    </row>
    <row r="353" spans="1:45" ht="20.100000000000001" customHeight="1" thickBot="1">
      <c r="A353" s="45" t="s">
        <v>1149</v>
      </c>
      <c r="B353" s="45" t="s">
        <v>165</v>
      </c>
      <c r="C353" s="45" t="s">
        <v>1145</v>
      </c>
      <c r="E353" s="45">
        <f t="shared" si="115"/>
        <v>6</v>
      </c>
      <c r="F353" s="45">
        <f t="shared" si="116"/>
        <v>4</v>
      </c>
      <c r="G353" s="45" t="str">
        <f t="shared" si="117"/>
        <v>LF4</v>
      </c>
      <c r="H353" s="45" t="str">
        <f t="shared" si="118"/>
        <v>M3</v>
      </c>
      <c r="J353" s="45" t="str">
        <f t="shared" si="119"/>
        <v>M3</v>
      </c>
      <c r="K353" s="45" t="s">
        <v>130</v>
      </c>
      <c r="L353" s="45" t="str">
        <f t="shared" si="120"/>
        <v>LF4-M3@E</v>
      </c>
      <c r="M353" s="75" t="str">
        <f t="shared" si="113"/>
        <v>302, 305, 303, 311, 316, 319, 322, 323, 302, 305, 307, 306, M1, M2, M3</v>
      </c>
      <c r="N353" s="75" t="str">
        <f t="shared" si="114"/>
        <v>21, 04, 03</v>
      </c>
      <c r="R353" s="70" t="s">
        <v>83</v>
      </c>
      <c r="S353" s="70" t="s">
        <v>53</v>
      </c>
      <c r="T353" s="70" t="s">
        <v>1142</v>
      </c>
      <c r="U353" s="70"/>
      <c r="V353" s="70"/>
      <c r="X353" s="70" t="str">
        <f t="shared" si="130"/>
        <v>LF4-E DT@E</v>
      </c>
      <c r="Y353" s="70" t="str">
        <f t="shared" si="131"/>
        <v>E DT-M3@E</v>
      </c>
      <c r="Z353" s="70" t="str">
        <f t="shared" si="132"/>
        <v/>
      </c>
      <c r="AA353" s="70" t="str">
        <f t="shared" si="133"/>
        <v/>
      </c>
      <c r="AC353" s="70" t="str">
        <f t="shared" si="121"/>
        <v>302, 305, 303, 311, 316, 319, 322, 323</v>
      </c>
      <c r="AD353" s="70" t="str">
        <f t="shared" si="122"/>
        <v>302, 305, 307, 306, M1, M2, M3</v>
      </c>
      <c r="AE353" s="70" t="str">
        <f t="shared" si="123"/>
        <v/>
      </c>
      <c r="AF353" s="70" t="str">
        <f t="shared" si="124"/>
        <v/>
      </c>
      <c r="AH353" s="70" t="str">
        <f t="shared" si="125"/>
        <v>21, 04</v>
      </c>
      <c r="AI353" s="70" t="str">
        <f t="shared" si="126"/>
        <v>03</v>
      </c>
      <c r="AJ353" s="70" t="str">
        <f t="shared" si="127"/>
        <v/>
      </c>
      <c r="AK353" s="70" t="str">
        <f t="shared" si="128"/>
        <v/>
      </c>
      <c r="AM353" s="166" t="str">
        <f t="shared" si="129"/>
        <v>SHD10-E DT</v>
      </c>
      <c r="AN353" s="171" t="s">
        <v>1150</v>
      </c>
      <c r="AO353" s="167" t="s">
        <v>1148</v>
      </c>
      <c r="AP353" s="167" t="s">
        <v>987</v>
      </c>
      <c r="AQ353" s="45" t="s">
        <v>986</v>
      </c>
      <c r="AR353" s="45" t="s">
        <v>984</v>
      </c>
      <c r="AS353" s="45" t="s">
        <v>987</v>
      </c>
    </row>
    <row r="354" spans="1:45" ht="20.100000000000001" customHeight="1" thickBot="1">
      <c r="A354" s="45" t="s">
        <v>1151</v>
      </c>
      <c r="B354" s="45" t="s">
        <v>861</v>
      </c>
      <c r="C354" s="45" t="s">
        <v>1152</v>
      </c>
      <c r="E354" s="45">
        <f t="shared" si="115"/>
        <v>6</v>
      </c>
      <c r="F354" s="45">
        <f t="shared" si="116"/>
        <v>3</v>
      </c>
      <c r="G354" s="45" t="str">
        <f t="shared" si="117"/>
        <v>M3</v>
      </c>
      <c r="H354" s="45" t="str">
        <f t="shared" si="118"/>
        <v>HM1</v>
      </c>
      <c r="J354" s="45" t="str">
        <f t="shared" si="119"/>
        <v>HM1</v>
      </c>
      <c r="K354" s="45" t="s">
        <v>130</v>
      </c>
      <c r="L354" s="45" t="str">
        <f t="shared" si="120"/>
        <v>M3-HM1@E</v>
      </c>
      <c r="M354" s="75" t="str">
        <f t="shared" si="113"/>
        <v>302, 305, 307, 306, M1, M2, M3, 322, 319, 316, 311, 303, 305, 302</v>
      </c>
      <c r="N354" s="75" t="str">
        <f t="shared" si="114"/>
        <v>06, 03, 10, 16</v>
      </c>
      <c r="R354" s="70" t="s">
        <v>1142</v>
      </c>
      <c r="S354" s="70" t="s">
        <v>53</v>
      </c>
      <c r="T354" s="70" t="s">
        <v>171</v>
      </c>
      <c r="U354" s="70"/>
      <c r="V354" s="70"/>
      <c r="X354" s="70" t="str">
        <f t="shared" si="130"/>
        <v>M3-E DT@E</v>
      </c>
      <c r="Y354" s="70" t="str">
        <f t="shared" si="131"/>
        <v>E DT-HM1@E</v>
      </c>
      <c r="Z354" s="70" t="str">
        <f t="shared" si="132"/>
        <v/>
      </c>
      <c r="AA354" s="70" t="str">
        <f t="shared" si="133"/>
        <v/>
      </c>
      <c r="AC354" s="70" t="str">
        <f t="shared" si="121"/>
        <v>302, 305, 307, 306, M1, M2, M3</v>
      </c>
      <c r="AD354" s="70" t="str">
        <f t="shared" si="122"/>
        <v>322, 319, 316, 311, 303, 305, 302</v>
      </c>
      <c r="AE354" s="70" t="str">
        <f t="shared" si="123"/>
        <v/>
      </c>
      <c r="AF354" s="70" t="str">
        <f t="shared" si="124"/>
        <v/>
      </c>
      <c r="AH354" s="70" t="str">
        <f t="shared" si="125"/>
        <v>06</v>
      </c>
      <c r="AI354" s="70" t="str">
        <f t="shared" si="126"/>
        <v>03, 10, 16</v>
      </c>
      <c r="AJ354" s="70" t="str">
        <f t="shared" si="127"/>
        <v/>
      </c>
      <c r="AK354" s="70" t="str">
        <f t="shared" si="128"/>
        <v/>
      </c>
      <c r="AM354" s="166" t="str">
        <f t="shared" si="129"/>
        <v>SHD10-LF3</v>
      </c>
      <c r="AN354" s="171" t="s">
        <v>1153</v>
      </c>
      <c r="AO354" s="167" t="s">
        <v>1154</v>
      </c>
      <c r="AP354" s="168" t="s">
        <v>1155</v>
      </c>
      <c r="AQ354" s="45" t="s">
        <v>989</v>
      </c>
      <c r="AR354" s="45" t="s">
        <v>990</v>
      </c>
      <c r="AS354" s="45">
        <v>16</v>
      </c>
    </row>
    <row r="355" spans="1:45" ht="20.100000000000001" customHeight="1" thickBot="1">
      <c r="A355" s="45" t="s">
        <v>1156</v>
      </c>
      <c r="B355" s="45" t="s">
        <v>176</v>
      </c>
      <c r="C355" s="45" t="s">
        <v>1157</v>
      </c>
      <c r="E355" s="45">
        <f t="shared" si="115"/>
        <v>6</v>
      </c>
      <c r="F355" s="45">
        <f t="shared" si="116"/>
        <v>4</v>
      </c>
      <c r="G355" s="45" t="str">
        <f t="shared" si="117"/>
        <v>HM1</v>
      </c>
      <c r="H355" s="45" t="str">
        <f t="shared" si="118"/>
        <v>M3</v>
      </c>
      <c r="J355" s="45" t="str">
        <f t="shared" si="119"/>
        <v>M3</v>
      </c>
      <c r="K355" s="45" t="s">
        <v>130</v>
      </c>
      <c r="L355" s="45" t="str">
        <f t="shared" si="120"/>
        <v>HM1-M3@E</v>
      </c>
      <c r="M355" s="75" t="str">
        <f t="shared" si="113"/>
        <v>322, 319, 316, 311, 303, 305, 302, 302, 305, 307, 306, M1, M2, M3</v>
      </c>
      <c r="N355" s="75" t="str">
        <f t="shared" si="114"/>
        <v>22, 04, 03</v>
      </c>
      <c r="R355" s="70" t="s">
        <v>171</v>
      </c>
      <c r="S355" s="70" t="s">
        <v>53</v>
      </c>
      <c r="T355" s="70" t="s">
        <v>1142</v>
      </c>
      <c r="U355" s="70"/>
      <c r="V355" s="70"/>
      <c r="X355" s="70" t="str">
        <f t="shared" si="130"/>
        <v>HM1-E DT@E</v>
      </c>
      <c r="Y355" s="70" t="str">
        <f t="shared" si="131"/>
        <v>E DT-M3@E</v>
      </c>
      <c r="Z355" s="70" t="str">
        <f t="shared" si="132"/>
        <v/>
      </c>
      <c r="AA355" s="70" t="str">
        <f t="shared" si="133"/>
        <v/>
      </c>
      <c r="AC355" s="70" t="str">
        <f t="shared" si="121"/>
        <v>322, 319, 316, 311, 303, 305, 302</v>
      </c>
      <c r="AD355" s="70" t="str">
        <f t="shared" si="122"/>
        <v>302, 305, 307, 306, M1, M2, M3</v>
      </c>
      <c r="AE355" s="70" t="str">
        <f t="shared" si="123"/>
        <v/>
      </c>
      <c r="AF355" s="70" t="str">
        <f t="shared" si="124"/>
        <v/>
      </c>
      <c r="AH355" s="70" t="str">
        <f t="shared" si="125"/>
        <v>22, 04</v>
      </c>
      <c r="AI355" s="70" t="str">
        <f t="shared" si="126"/>
        <v>03</v>
      </c>
      <c r="AJ355" s="70" t="str">
        <f t="shared" si="127"/>
        <v/>
      </c>
      <c r="AK355" s="70" t="str">
        <f t="shared" si="128"/>
        <v/>
      </c>
      <c r="AN355" s="171"/>
      <c r="AO355" s="167"/>
      <c r="AP355" s="167"/>
    </row>
    <row r="356" spans="1:45" ht="20.100000000000001" customHeight="1" thickBot="1">
      <c r="A356" s="45" t="s">
        <v>1158</v>
      </c>
      <c r="B356" s="45" t="s">
        <v>861</v>
      </c>
      <c r="C356" s="45" t="s">
        <v>1159</v>
      </c>
      <c r="E356" s="45">
        <f t="shared" si="115"/>
        <v>6</v>
      </c>
      <c r="F356" s="45">
        <f t="shared" si="116"/>
        <v>3</v>
      </c>
      <c r="G356" s="45" t="str">
        <f t="shared" si="117"/>
        <v>M3</v>
      </c>
      <c r="H356" s="45" t="str">
        <f t="shared" si="118"/>
        <v>HM2</v>
      </c>
      <c r="J356" s="45" t="str">
        <f t="shared" si="119"/>
        <v>HM2</v>
      </c>
      <c r="K356" s="45" t="s">
        <v>130</v>
      </c>
      <c r="L356" s="45" t="str">
        <f t="shared" si="120"/>
        <v>M3-HM2@E</v>
      </c>
      <c r="M356" s="75" t="str">
        <f t="shared" si="113"/>
        <v>302, 305, 307, 306, M1, M2, M3, 324, 319, 316, 311, 303, 305, 302</v>
      </c>
      <c r="N356" s="75" t="str">
        <f t="shared" si="114"/>
        <v>06, 03, 10, 16</v>
      </c>
      <c r="R356" s="70" t="s">
        <v>1142</v>
      </c>
      <c r="S356" s="70" t="s">
        <v>53</v>
      </c>
      <c r="T356" s="70" t="s">
        <v>182</v>
      </c>
      <c r="U356" s="70"/>
      <c r="V356" s="70"/>
      <c r="X356" s="70" t="str">
        <f t="shared" si="130"/>
        <v>M3-E DT@E</v>
      </c>
      <c r="Y356" s="70" t="str">
        <f t="shared" si="131"/>
        <v>E DT-HM2@E</v>
      </c>
      <c r="Z356" s="70" t="str">
        <f t="shared" si="132"/>
        <v/>
      </c>
      <c r="AA356" s="70" t="str">
        <f t="shared" si="133"/>
        <v/>
      </c>
      <c r="AC356" s="70" t="str">
        <f t="shared" si="121"/>
        <v>302, 305, 307, 306, M1, M2, M3</v>
      </c>
      <c r="AD356" s="70" t="str">
        <f t="shared" si="122"/>
        <v>324, 319, 316, 311, 303, 305, 302</v>
      </c>
      <c r="AE356" s="70" t="str">
        <f t="shared" si="123"/>
        <v/>
      </c>
      <c r="AF356" s="70" t="str">
        <f t="shared" si="124"/>
        <v/>
      </c>
      <c r="AH356" s="70" t="str">
        <f t="shared" si="125"/>
        <v>06</v>
      </c>
      <c r="AI356" s="70" t="str">
        <f t="shared" si="126"/>
        <v>03, 10, 16</v>
      </c>
      <c r="AJ356" s="70" t="str">
        <f t="shared" si="127"/>
        <v/>
      </c>
      <c r="AK356" s="70" t="str">
        <f t="shared" si="128"/>
        <v/>
      </c>
      <c r="AM356" s="166" t="str">
        <f t="shared" si="129"/>
        <v>SHD10-LF4</v>
      </c>
      <c r="AN356" s="171" t="s">
        <v>1160</v>
      </c>
      <c r="AO356" s="167" t="s">
        <v>1161</v>
      </c>
      <c r="AP356" s="167">
        <v>10</v>
      </c>
      <c r="AQ356" s="45" t="s">
        <v>995</v>
      </c>
      <c r="AR356" s="45" t="s">
        <v>990</v>
      </c>
      <c r="AS356" s="45">
        <v>16</v>
      </c>
    </row>
    <row r="357" spans="1:45" ht="20.100000000000001" customHeight="1" thickBot="1">
      <c r="A357" s="45" t="s">
        <v>1162</v>
      </c>
      <c r="B357" s="45" t="s">
        <v>187</v>
      </c>
      <c r="C357" s="45" t="s">
        <v>1163</v>
      </c>
      <c r="E357" s="45">
        <f t="shared" si="115"/>
        <v>6</v>
      </c>
      <c r="F357" s="45">
        <f t="shared" si="116"/>
        <v>4</v>
      </c>
      <c r="G357" s="45" t="str">
        <f t="shared" si="117"/>
        <v>HM2</v>
      </c>
      <c r="H357" s="45" t="str">
        <f t="shared" si="118"/>
        <v>M3</v>
      </c>
      <c r="J357" s="45" t="str">
        <f t="shared" si="119"/>
        <v>M3</v>
      </c>
      <c r="K357" s="45" t="s">
        <v>130</v>
      </c>
      <c r="L357" s="45" t="str">
        <f t="shared" si="120"/>
        <v>HM2-M3@E</v>
      </c>
      <c r="M357" s="75" t="str">
        <f t="shared" si="113"/>
        <v>324, 319, 316, 311, 303, 305, 302, 302, 305, 307, 306, M1, M2, M3</v>
      </c>
      <c r="N357" s="75" t="str">
        <f t="shared" si="114"/>
        <v>23, 04, 03</v>
      </c>
      <c r="R357" s="70" t="s">
        <v>182</v>
      </c>
      <c r="S357" s="70" t="s">
        <v>53</v>
      </c>
      <c r="T357" s="70" t="s">
        <v>1142</v>
      </c>
      <c r="U357" s="70"/>
      <c r="V357" s="70"/>
      <c r="X357" s="70" t="str">
        <f t="shared" si="130"/>
        <v>HM2-E DT@E</v>
      </c>
      <c r="Y357" s="70" t="str">
        <f t="shared" si="131"/>
        <v>E DT-M3@E</v>
      </c>
      <c r="Z357" s="70" t="str">
        <f t="shared" si="132"/>
        <v/>
      </c>
      <c r="AA357" s="70" t="str">
        <f t="shared" si="133"/>
        <v/>
      </c>
      <c r="AC357" s="70" t="str">
        <f t="shared" si="121"/>
        <v>324, 319, 316, 311, 303, 305, 302</v>
      </c>
      <c r="AD357" s="70" t="str">
        <f t="shared" si="122"/>
        <v>302, 305, 307, 306, M1, M2, M3</v>
      </c>
      <c r="AE357" s="70" t="str">
        <f t="shared" si="123"/>
        <v/>
      </c>
      <c r="AF357" s="70" t="str">
        <f t="shared" si="124"/>
        <v/>
      </c>
      <c r="AH357" s="70" t="str">
        <f t="shared" si="125"/>
        <v>23, 04</v>
      </c>
      <c r="AI357" s="70" t="str">
        <f t="shared" si="126"/>
        <v>03</v>
      </c>
      <c r="AJ357" s="70" t="str">
        <f t="shared" si="127"/>
        <v/>
      </c>
      <c r="AK357" s="70" t="str">
        <f t="shared" si="128"/>
        <v/>
      </c>
      <c r="AM357" s="166" t="str">
        <f t="shared" si="129"/>
        <v>SHD10-HM1</v>
      </c>
      <c r="AN357" s="171" t="s">
        <v>1164</v>
      </c>
      <c r="AO357" s="167" t="s">
        <v>1165</v>
      </c>
      <c r="AP357" s="167">
        <v>10</v>
      </c>
      <c r="AQ357" s="45" t="s">
        <v>998</v>
      </c>
      <c r="AR357" s="45" t="s">
        <v>999</v>
      </c>
      <c r="AS357" s="45">
        <v>16</v>
      </c>
    </row>
    <row r="358" spans="1:45" ht="20.100000000000001" customHeight="1" thickBot="1">
      <c r="A358" s="45" t="s">
        <v>1166</v>
      </c>
      <c r="B358" s="45" t="s">
        <v>861</v>
      </c>
      <c r="C358" s="45" t="s">
        <v>1159</v>
      </c>
      <c r="E358" s="45">
        <f t="shared" si="115"/>
        <v>6</v>
      </c>
      <c r="F358" s="45">
        <f t="shared" si="116"/>
        <v>3</v>
      </c>
      <c r="G358" s="45" t="str">
        <f t="shared" si="117"/>
        <v>M3</v>
      </c>
      <c r="H358" s="45" t="str">
        <f t="shared" si="118"/>
        <v>HM3</v>
      </c>
      <c r="J358" s="45" t="str">
        <f t="shared" si="119"/>
        <v>HM3</v>
      </c>
      <c r="K358" s="45" t="s">
        <v>130</v>
      </c>
      <c r="L358" s="45" t="str">
        <f t="shared" si="120"/>
        <v>M3-HM3@E</v>
      </c>
      <c r="M358" s="75" t="str">
        <f t="shared" si="113"/>
        <v>302, 305, 307, 306, M1, M2, M3, 324, 319, 316, 311, 303, 305, 302</v>
      </c>
      <c r="N358" s="75" t="str">
        <f t="shared" si="114"/>
        <v>06, 03, 10, 16</v>
      </c>
      <c r="R358" s="70" t="s">
        <v>1142</v>
      </c>
      <c r="S358" s="70" t="s">
        <v>53</v>
      </c>
      <c r="T358" s="70" t="s">
        <v>191</v>
      </c>
      <c r="U358" s="70"/>
      <c r="V358" s="70"/>
      <c r="X358" s="70" t="str">
        <f t="shared" si="130"/>
        <v>M3-E DT@E</v>
      </c>
      <c r="Y358" s="70" t="str">
        <f t="shared" si="131"/>
        <v>E DT-HM3@E</v>
      </c>
      <c r="Z358" s="70" t="str">
        <f t="shared" si="132"/>
        <v/>
      </c>
      <c r="AA358" s="70" t="str">
        <f t="shared" si="133"/>
        <v/>
      </c>
      <c r="AC358" s="70" t="str">
        <f t="shared" si="121"/>
        <v>302, 305, 307, 306, M1, M2, M3</v>
      </c>
      <c r="AD358" s="70" t="str">
        <f t="shared" si="122"/>
        <v>324, 319, 316, 311, 303, 305, 302</v>
      </c>
      <c r="AE358" s="70" t="str">
        <f t="shared" si="123"/>
        <v/>
      </c>
      <c r="AF358" s="70" t="str">
        <f t="shared" si="124"/>
        <v/>
      </c>
      <c r="AH358" s="70" t="str">
        <f t="shared" si="125"/>
        <v>06</v>
      </c>
      <c r="AI358" s="70" t="str">
        <f t="shared" si="126"/>
        <v>03, 10, 16</v>
      </c>
      <c r="AJ358" s="70" t="str">
        <f t="shared" si="127"/>
        <v/>
      </c>
      <c r="AK358" s="70" t="str">
        <f t="shared" si="128"/>
        <v/>
      </c>
      <c r="AM358" s="166" t="str">
        <f t="shared" si="129"/>
        <v>SHD10-HM2</v>
      </c>
      <c r="AN358" s="171" t="s">
        <v>1167</v>
      </c>
      <c r="AO358" s="167" t="s">
        <v>1168</v>
      </c>
      <c r="AP358" s="167">
        <v>10</v>
      </c>
      <c r="AQ358" s="45" t="s">
        <v>1001</v>
      </c>
      <c r="AR358" s="45" t="s">
        <v>1002</v>
      </c>
      <c r="AS358" s="45">
        <v>16</v>
      </c>
    </row>
    <row r="359" spans="1:45" ht="20.100000000000001" customHeight="1" thickBot="1">
      <c r="A359" s="45" t="s">
        <v>1169</v>
      </c>
      <c r="B359" s="45" t="s">
        <v>196</v>
      </c>
      <c r="C359" s="45" t="s">
        <v>1163</v>
      </c>
      <c r="E359" s="45">
        <f t="shared" si="115"/>
        <v>6</v>
      </c>
      <c r="F359" s="45">
        <f t="shared" si="116"/>
        <v>4</v>
      </c>
      <c r="G359" s="45" t="str">
        <f t="shared" si="117"/>
        <v>HM3</v>
      </c>
      <c r="H359" s="45" t="str">
        <f t="shared" si="118"/>
        <v>M3</v>
      </c>
      <c r="J359" s="45" t="str">
        <f t="shared" si="119"/>
        <v>M3</v>
      </c>
      <c r="K359" s="45" t="s">
        <v>130</v>
      </c>
      <c r="L359" s="45" t="str">
        <f t="shared" si="120"/>
        <v>HM3-M3@E</v>
      </c>
      <c r="M359" s="75" t="str">
        <f t="shared" si="113"/>
        <v>324, 319, 316, 311, 303, 305, 302, 302, 305, 307, 306, M1, M2, M3</v>
      </c>
      <c r="N359" s="75" t="str">
        <f t="shared" si="114"/>
        <v>24,04, 03</v>
      </c>
      <c r="R359" s="70" t="s">
        <v>191</v>
      </c>
      <c r="S359" s="70" t="s">
        <v>53</v>
      </c>
      <c r="T359" s="70" t="s">
        <v>1142</v>
      </c>
      <c r="U359" s="70"/>
      <c r="V359" s="70"/>
      <c r="X359" s="70" t="str">
        <f t="shared" si="130"/>
        <v>HM3-E DT@E</v>
      </c>
      <c r="Y359" s="70" t="str">
        <f t="shared" si="131"/>
        <v>E DT-M3@E</v>
      </c>
      <c r="Z359" s="70" t="str">
        <f t="shared" si="132"/>
        <v/>
      </c>
      <c r="AA359" s="70" t="str">
        <f t="shared" si="133"/>
        <v/>
      </c>
      <c r="AC359" s="70" t="str">
        <f t="shared" si="121"/>
        <v>324, 319, 316, 311, 303, 305, 302</v>
      </c>
      <c r="AD359" s="70" t="str">
        <f t="shared" si="122"/>
        <v>302, 305, 307, 306, M1, M2, M3</v>
      </c>
      <c r="AE359" s="70" t="str">
        <f t="shared" si="123"/>
        <v/>
      </c>
      <c r="AF359" s="70" t="str">
        <f t="shared" si="124"/>
        <v/>
      </c>
      <c r="AH359" s="70" t="str">
        <f t="shared" si="125"/>
        <v>24,04</v>
      </c>
      <c r="AI359" s="70" t="str">
        <f t="shared" si="126"/>
        <v>03</v>
      </c>
      <c r="AJ359" s="70" t="str">
        <f t="shared" si="127"/>
        <v/>
      </c>
      <c r="AK359" s="70" t="str">
        <f t="shared" si="128"/>
        <v/>
      </c>
      <c r="AM359" s="166" t="str">
        <f t="shared" si="129"/>
        <v>SHD10-HM3</v>
      </c>
      <c r="AN359" s="171" t="s">
        <v>1170</v>
      </c>
      <c r="AO359" s="167" t="s">
        <v>1168</v>
      </c>
      <c r="AP359" s="167">
        <v>10</v>
      </c>
      <c r="AQ359" s="45" t="s">
        <v>1004</v>
      </c>
      <c r="AR359" s="45" t="s">
        <v>1002</v>
      </c>
      <c r="AS359" s="45">
        <v>16</v>
      </c>
    </row>
    <row r="360" spans="1:45" ht="20.100000000000001" customHeight="1" thickBot="1">
      <c r="A360" s="45" t="s">
        <v>1171</v>
      </c>
      <c r="B360" s="45" t="s">
        <v>861</v>
      </c>
      <c r="C360" s="45" t="s">
        <v>1172</v>
      </c>
      <c r="E360" s="45">
        <f t="shared" si="115"/>
        <v>7</v>
      </c>
      <c r="F360" s="45">
        <f t="shared" si="116"/>
        <v>3</v>
      </c>
      <c r="G360" s="45" t="str">
        <f t="shared" si="117"/>
        <v>M3</v>
      </c>
      <c r="H360" s="45" t="str">
        <f t="shared" si="118"/>
        <v>RM1E</v>
      </c>
      <c r="J360" s="45" t="str">
        <f t="shared" si="119"/>
        <v>RM1E</v>
      </c>
      <c r="K360" s="45" t="s">
        <v>130</v>
      </c>
      <c r="L360" s="45" t="str">
        <f t="shared" si="120"/>
        <v>M3-RM1E@E</v>
      </c>
      <c r="M360" s="75" t="str">
        <f t="shared" si="113"/>
        <v>302, 305, 307, 306, M1, M2, M3, 302, 305, 303, 311, 316, 319, 324</v>
      </c>
      <c r="N360" s="75" t="str">
        <f t="shared" si="114"/>
        <v>06, 03, 10, 16</v>
      </c>
      <c r="R360" s="70" t="s">
        <v>1142</v>
      </c>
      <c r="S360" s="70" t="s">
        <v>53</v>
      </c>
      <c r="T360" s="70" t="s">
        <v>200</v>
      </c>
      <c r="U360" s="70"/>
      <c r="V360" s="70"/>
      <c r="X360" s="70" t="str">
        <f t="shared" si="130"/>
        <v>M3-E DT@E</v>
      </c>
      <c r="Y360" s="70" t="str">
        <f t="shared" si="131"/>
        <v>E DT-RM1E@E</v>
      </c>
      <c r="Z360" s="70" t="str">
        <f t="shared" si="132"/>
        <v/>
      </c>
      <c r="AA360" s="70" t="str">
        <f t="shared" si="133"/>
        <v/>
      </c>
      <c r="AC360" s="70" t="str">
        <f t="shared" si="121"/>
        <v>302, 305, 307, 306, M1, M2, M3</v>
      </c>
      <c r="AD360" s="70" t="str">
        <f t="shared" si="122"/>
        <v>302, 305, 303, 311, 316, 319, 324</v>
      </c>
      <c r="AE360" s="70" t="str">
        <f t="shared" si="123"/>
        <v/>
      </c>
      <c r="AF360" s="70" t="str">
        <f t="shared" si="124"/>
        <v/>
      </c>
      <c r="AH360" s="70" t="str">
        <f t="shared" si="125"/>
        <v>06</v>
      </c>
      <c r="AI360" s="70" t="str">
        <f t="shared" si="126"/>
        <v>03, 10, 16</v>
      </c>
      <c r="AJ360" s="70" t="str">
        <f t="shared" si="127"/>
        <v/>
      </c>
      <c r="AK360" s="70" t="str">
        <f t="shared" si="128"/>
        <v/>
      </c>
      <c r="AM360" s="166" t="str">
        <f t="shared" si="129"/>
        <v>SHD10-RM1E</v>
      </c>
      <c r="AN360" s="171" t="s">
        <v>1173</v>
      </c>
      <c r="AO360" s="167" t="s">
        <v>1174</v>
      </c>
      <c r="AP360" s="167">
        <v>10</v>
      </c>
      <c r="AQ360" s="45" t="s">
        <v>1007</v>
      </c>
      <c r="AR360" s="45" t="s">
        <v>1008</v>
      </c>
      <c r="AS360" s="45">
        <v>16</v>
      </c>
    </row>
    <row r="361" spans="1:45" ht="20.100000000000001" customHeight="1" thickBot="1">
      <c r="A361" s="45" t="s">
        <v>1175</v>
      </c>
      <c r="B361" s="45" t="s">
        <v>204</v>
      </c>
      <c r="C361" s="45" t="s">
        <v>1176</v>
      </c>
      <c r="E361" s="45">
        <f t="shared" si="115"/>
        <v>7</v>
      </c>
      <c r="F361" s="45">
        <f t="shared" si="116"/>
        <v>5</v>
      </c>
      <c r="G361" s="45" t="str">
        <f t="shared" si="117"/>
        <v>RM1E</v>
      </c>
      <c r="H361" s="45" t="str">
        <f t="shared" si="118"/>
        <v>M3</v>
      </c>
      <c r="J361" s="45" t="str">
        <f t="shared" si="119"/>
        <v>M3</v>
      </c>
      <c r="K361" s="45" t="s">
        <v>130</v>
      </c>
      <c r="L361" s="45" t="str">
        <f t="shared" si="120"/>
        <v>RM1E-M3@E</v>
      </c>
      <c r="M361" s="75" t="str">
        <f t="shared" si="113"/>
        <v>302, 305, 303, 311, 316, 319, 324, 302, 305, 307, 306, M1, M2, M3</v>
      </c>
      <c r="N361" s="75" t="str">
        <f t="shared" si="114"/>
        <v>25, 04, 03</v>
      </c>
      <c r="R361" s="70" t="s">
        <v>200</v>
      </c>
      <c r="S361" s="70" t="s">
        <v>53</v>
      </c>
      <c r="T361" s="70" t="s">
        <v>1142</v>
      </c>
      <c r="U361" s="70"/>
      <c r="V361" s="70"/>
      <c r="X361" s="70" t="str">
        <f t="shared" si="130"/>
        <v>RM1E-E DT@E</v>
      </c>
      <c r="Y361" s="70" t="str">
        <f t="shared" si="131"/>
        <v>E DT-M3@E</v>
      </c>
      <c r="Z361" s="70" t="str">
        <f t="shared" si="132"/>
        <v/>
      </c>
      <c r="AA361" s="70" t="str">
        <f t="shared" si="133"/>
        <v/>
      </c>
      <c r="AC361" s="70" t="str">
        <f t="shared" si="121"/>
        <v>302, 305, 303, 311, 316, 319, 324</v>
      </c>
      <c r="AD361" s="70" t="str">
        <f t="shared" si="122"/>
        <v>302, 305, 307, 306, M1, M2, M3</v>
      </c>
      <c r="AE361" s="70" t="str">
        <f t="shared" si="123"/>
        <v/>
      </c>
      <c r="AF361" s="70" t="str">
        <f t="shared" si="124"/>
        <v/>
      </c>
      <c r="AH361" s="70" t="str">
        <f t="shared" si="125"/>
        <v>25, 04</v>
      </c>
      <c r="AI361" s="70" t="str">
        <f t="shared" si="126"/>
        <v>03</v>
      </c>
      <c r="AJ361" s="70" t="str">
        <f t="shared" si="127"/>
        <v/>
      </c>
      <c r="AK361" s="70" t="str">
        <f t="shared" si="128"/>
        <v/>
      </c>
      <c r="AM361" s="166" t="str">
        <f t="shared" si="129"/>
        <v>SHD10-RM1W</v>
      </c>
      <c r="AN361" s="171" t="s">
        <v>1177</v>
      </c>
      <c r="AO361" s="167" t="s">
        <v>1174</v>
      </c>
      <c r="AP361" s="167">
        <v>10</v>
      </c>
      <c r="AQ361" s="45" t="s">
        <v>1011</v>
      </c>
      <c r="AR361" s="45" t="s">
        <v>1008</v>
      </c>
      <c r="AS361" s="45">
        <v>16</v>
      </c>
    </row>
    <row r="362" spans="1:45" ht="20.100000000000001" customHeight="1" thickBot="1">
      <c r="A362" s="45" t="s">
        <v>1178</v>
      </c>
      <c r="B362" s="45" t="s">
        <v>861</v>
      </c>
      <c r="C362" s="45" t="s">
        <v>1172</v>
      </c>
      <c r="E362" s="45">
        <f t="shared" si="115"/>
        <v>7</v>
      </c>
      <c r="F362" s="45">
        <f t="shared" si="116"/>
        <v>3</v>
      </c>
      <c r="G362" s="45" t="str">
        <f t="shared" si="117"/>
        <v>M3</v>
      </c>
      <c r="H362" s="45" t="str">
        <f t="shared" si="118"/>
        <v>RM1W</v>
      </c>
      <c r="J362" s="45" t="str">
        <f t="shared" si="119"/>
        <v>RM1W</v>
      </c>
      <c r="K362" s="45" t="s">
        <v>130</v>
      </c>
      <c r="L362" s="45" t="str">
        <f t="shared" si="120"/>
        <v>M3-RM1W@E</v>
      </c>
      <c r="M362" s="75" t="str">
        <f t="shared" si="113"/>
        <v>302, 305, 307, 306, M1, M2, M3, 302, 305, 303, 311, 316, 319, 324</v>
      </c>
      <c r="N362" s="75" t="str">
        <f t="shared" si="114"/>
        <v>06, 03, 10, 16</v>
      </c>
      <c r="R362" s="70" t="s">
        <v>1142</v>
      </c>
      <c r="S362" s="70" t="s">
        <v>53</v>
      </c>
      <c r="T362" s="70" t="s">
        <v>208</v>
      </c>
      <c r="U362" s="70"/>
      <c r="V362" s="70"/>
      <c r="X362" s="70" t="str">
        <f t="shared" si="130"/>
        <v>M3-E DT@E</v>
      </c>
      <c r="Y362" s="70" t="str">
        <f t="shared" si="131"/>
        <v>E DT-RM1W@E</v>
      </c>
      <c r="Z362" s="70" t="str">
        <f t="shared" si="132"/>
        <v/>
      </c>
      <c r="AA362" s="70" t="str">
        <f t="shared" si="133"/>
        <v/>
      </c>
      <c r="AC362" s="70" t="str">
        <f t="shared" si="121"/>
        <v>302, 305, 307, 306, M1, M2, M3</v>
      </c>
      <c r="AD362" s="70" t="str">
        <f t="shared" si="122"/>
        <v>302, 305, 303, 311, 316, 319, 324</v>
      </c>
      <c r="AE362" s="70" t="str">
        <f t="shared" si="123"/>
        <v/>
      </c>
      <c r="AF362" s="70" t="str">
        <f t="shared" si="124"/>
        <v/>
      </c>
      <c r="AH362" s="70" t="str">
        <f t="shared" si="125"/>
        <v>06</v>
      </c>
      <c r="AI362" s="70" t="str">
        <f t="shared" si="126"/>
        <v>03, 10, 16</v>
      </c>
      <c r="AJ362" s="70" t="str">
        <f t="shared" si="127"/>
        <v/>
      </c>
      <c r="AK362" s="70" t="str">
        <f t="shared" si="128"/>
        <v/>
      </c>
      <c r="AM362" s="166" t="str">
        <f t="shared" si="129"/>
        <v>SHD10-RM2E</v>
      </c>
      <c r="AN362" s="171" t="s">
        <v>1179</v>
      </c>
      <c r="AO362" s="167" t="s">
        <v>1180</v>
      </c>
      <c r="AP362" s="167">
        <v>10</v>
      </c>
      <c r="AQ362" s="45" t="s">
        <v>1014</v>
      </c>
      <c r="AR362" s="45" t="s">
        <v>1015</v>
      </c>
      <c r="AS362" s="45">
        <v>16</v>
      </c>
    </row>
    <row r="363" spans="1:45" ht="20.100000000000001" customHeight="1" thickBot="1">
      <c r="A363" s="45" t="s">
        <v>1181</v>
      </c>
      <c r="B363" s="45" t="s">
        <v>204</v>
      </c>
      <c r="C363" s="45" t="s">
        <v>1176</v>
      </c>
      <c r="E363" s="45">
        <f t="shared" si="115"/>
        <v>7</v>
      </c>
      <c r="F363" s="45">
        <f t="shared" si="116"/>
        <v>5</v>
      </c>
      <c r="G363" s="45" t="str">
        <f t="shared" si="117"/>
        <v>RM1W</v>
      </c>
      <c r="H363" s="45" t="str">
        <f t="shared" si="118"/>
        <v>M3</v>
      </c>
      <c r="J363" s="45" t="str">
        <f t="shared" si="119"/>
        <v>M3</v>
      </c>
      <c r="K363" s="45" t="s">
        <v>130</v>
      </c>
      <c r="L363" s="45" t="str">
        <f t="shared" si="120"/>
        <v>RM1W-M3@E</v>
      </c>
      <c r="M363" s="75" t="str">
        <f t="shared" si="113"/>
        <v>302, 305, 303, 311, 316, 319, 324, 302, 305, 307, 306, M1, M2, M3</v>
      </c>
      <c r="N363" s="75" t="str">
        <f t="shared" si="114"/>
        <v>25, 04, 03</v>
      </c>
      <c r="R363" s="70" t="s">
        <v>208</v>
      </c>
      <c r="S363" s="70" t="s">
        <v>53</v>
      </c>
      <c r="T363" s="70" t="s">
        <v>1142</v>
      </c>
      <c r="U363" s="70"/>
      <c r="V363" s="70"/>
      <c r="X363" s="70" t="str">
        <f t="shared" si="130"/>
        <v>RM1W-E DT@E</v>
      </c>
      <c r="Y363" s="70" t="str">
        <f t="shared" si="131"/>
        <v>E DT-M3@E</v>
      </c>
      <c r="Z363" s="70" t="str">
        <f t="shared" si="132"/>
        <v/>
      </c>
      <c r="AA363" s="70" t="str">
        <f t="shared" si="133"/>
        <v/>
      </c>
      <c r="AC363" s="70" t="str">
        <f t="shared" si="121"/>
        <v>302, 305, 303, 311, 316, 319, 324</v>
      </c>
      <c r="AD363" s="70" t="str">
        <f t="shared" si="122"/>
        <v>302, 305, 307, 306, M1, M2, M3</v>
      </c>
      <c r="AE363" s="70" t="str">
        <f t="shared" si="123"/>
        <v/>
      </c>
      <c r="AF363" s="70" t="str">
        <f t="shared" si="124"/>
        <v/>
      </c>
      <c r="AH363" s="70" t="str">
        <f t="shared" si="125"/>
        <v>25, 04</v>
      </c>
      <c r="AI363" s="70" t="str">
        <f t="shared" si="126"/>
        <v>03</v>
      </c>
      <c r="AJ363" s="70" t="str">
        <f t="shared" si="127"/>
        <v/>
      </c>
      <c r="AK363" s="70" t="str">
        <f t="shared" si="128"/>
        <v/>
      </c>
      <c r="AM363" s="166" t="str">
        <f t="shared" si="129"/>
        <v>SHD10-RM2W</v>
      </c>
      <c r="AN363" s="171" t="s">
        <v>1182</v>
      </c>
      <c r="AO363" s="167" t="s">
        <v>1180</v>
      </c>
      <c r="AP363" s="167">
        <v>10</v>
      </c>
      <c r="AQ363" s="45" t="s">
        <v>1018</v>
      </c>
      <c r="AR363" s="45" t="s">
        <v>1015</v>
      </c>
      <c r="AS363" s="45">
        <v>16</v>
      </c>
    </row>
    <row r="364" spans="1:45" ht="20.100000000000001" customHeight="1" thickBot="1">
      <c r="A364" s="45" t="s">
        <v>1183</v>
      </c>
      <c r="B364" s="45" t="s">
        <v>861</v>
      </c>
      <c r="C364" s="45" t="s">
        <v>1184</v>
      </c>
      <c r="E364" s="45">
        <f t="shared" si="115"/>
        <v>7</v>
      </c>
      <c r="F364" s="45">
        <f t="shared" si="116"/>
        <v>3</v>
      </c>
      <c r="G364" s="45" t="str">
        <f t="shared" si="117"/>
        <v>M3</v>
      </c>
      <c r="H364" s="45" t="str">
        <f t="shared" si="118"/>
        <v>RM2E</v>
      </c>
      <c r="J364" s="45" t="str">
        <f t="shared" si="119"/>
        <v>RM2E</v>
      </c>
      <c r="K364" s="45" t="s">
        <v>130</v>
      </c>
      <c r="L364" s="45" t="str">
        <f t="shared" si="120"/>
        <v>M3-RM2E@E</v>
      </c>
      <c r="M364" s="75" t="str">
        <f t="shared" si="113"/>
        <v>302, 305, 307, 306, M1, M2, M3, 327, 326, 325, 318, 317, 316, 311, 303, 305, 302</v>
      </c>
      <c r="N364" s="75" t="str">
        <f t="shared" si="114"/>
        <v>06, 03, 10, 16</v>
      </c>
      <c r="R364" s="70" t="s">
        <v>1142</v>
      </c>
      <c r="S364" s="70" t="s">
        <v>53</v>
      </c>
      <c r="T364" s="70" t="s">
        <v>216</v>
      </c>
      <c r="U364" s="70"/>
      <c r="V364" s="70"/>
      <c r="X364" s="70" t="str">
        <f t="shared" si="130"/>
        <v>M3-E DT@E</v>
      </c>
      <c r="Y364" s="70" t="str">
        <f t="shared" si="131"/>
        <v>E DT-RM2E@E</v>
      </c>
      <c r="Z364" s="70" t="str">
        <f t="shared" si="132"/>
        <v/>
      </c>
      <c r="AA364" s="70" t="str">
        <f t="shared" si="133"/>
        <v/>
      </c>
      <c r="AC364" s="70" t="str">
        <f t="shared" si="121"/>
        <v>302, 305, 307, 306, M1, M2, M3</v>
      </c>
      <c r="AD364" s="70" t="str">
        <f t="shared" si="122"/>
        <v>327, 326, 325, 318, 317, 316, 311, 303, 305, 302</v>
      </c>
      <c r="AE364" s="70" t="str">
        <f t="shared" si="123"/>
        <v/>
      </c>
      <c r="AF364" s="70" t="str">
        <f t="shared" si="124"/>
        <v/>
      </c>
      <c r="AH364" s="70" t="str">
        <f t="shared" si="125"/>
        <v>06</v>
      </c>
      <c r="AI364" s="70" t="str">
        <f t="shared" si="126"/>
        <v>03, 10, 16</v>
      </c>
      <c r="AJ364" s="70" t="str">
        <f t="shared" si="127"/>
        <v/>
      </c>
      <c r="AK364" s="70" t="str">
        <f t="shared" si="128"/>
        <v/>
      </c>
      <c r="AM364" s="166" t="str">
        <f t="shared" si="129"/>
        <v>SHD10-RM3E</v>
      </c>
      <c r="AN364" s="171" t="s">
        <v>1185</v>
      </c>
      <c r="AO364" s="167" t="s">
        <v>1180</v>
      </c>
      <c r="AP364" s="167">
        <v>10</v>
      </c>
      <c r="AQ364" s="45" t="s">
        <v>1020</v>
      </c>
      <c r="AR364" s="45" t="s">
        <v>1015</v>
      </c>
      <c r="AS364" s="45">
        <v>16</v>
      </c>
    </row>
    <row r="365" spans="1:45" ht="20.100000000000001" customHeight="1" thickBot="1">
      <c r="A365" s="45" t="s">
        <v>1186</v>
      </c>
      <c r="B365" s="45" t="s">
        <v>220</v>
      </c>
      <c r="C365" s="45" t="s">
        <v>1187</v>
      </c>
      <c r="E365" s="45">
        <f t="shared" si="115"/>
        <v>7</v>
      </c>
      <c r="F365" s="45">
        <f t="shared" si="116"/>
        <v>5</v>
      </c>
      <c r="G365" s="45" t="str">
        <f t="shared" si="117"/>
        <v>RM2E</v>
      </c>
      <c r="H365" s="45" t="str">
        <f t="shared" si="118"/>
        <v>M3</v>
      </c>
      <c r="J365" s="45" t="str">
        <f t="shared" si="119"/>
        <v>M3</v>
      </c>
      <c r="K365" s="45" t="s">
        <v>130</v>
      </c>
      <c r="L365" s="45" t="str">
        <f t="shared" si="120"/>
        <v>RM2E-M3@E</v>
      </c>
      <c r="M365" s="75" t="str">
        <f t="shared" si="113"/>
        <v>327, 326, 325, 318, 317, 316, 311, 303, 305, 302, 302, 305, 307, 306, M1, M2, M3</v>
      </c>
      <c r="N365" s="75" t="str">
        <f t="shared" si="114"/>
        <v>26, 04, 03</v>
      </c>
      <c r="R365" s="70" t="s">
        <v>216</v>
      </c>
      <c r="S365" s="70" t="s">
        <v>53</v>
      </c>
      <c r="T365" s="70" t="s">
        <v>1142</v>
      </c>
      <c r="U365" s="70"/>
      <c r="V365" s="70"/>
      <c r="X365" s="70" t="str">
        <f t="shared" si="130"/>
        <v>RM2E-E DT@E</v>
      </c>
      <c r="Y365" s="70" t="str">
        <f t="shared" si="131"/>
        <v>E DT-M3@E</v>
      </c>
      <c r="Z365" s="70" t="str">
        <f t="shared" si="132"/>
        <v/>
      </c>
      <c r="AA365" s="70" t="str">
        <f t="shared" si="133"/>
        <v/>
      </c>
      <c r="AC365" s="70" t="str">
        <f t="shared" si="121"/>
        <v>327, 326, 325, 318, 317, 316, 311, 303, 305, 302</v>
      </c>
      <c r="AD365" s="70" t="str">
        <f t="shared" si="122"/>
        <v>302, 305, 307, 306, M1, M2, M3</v>
      </c>
      <c r="AE365" s="70" t="str">
        <f t="shared" si="123"/>
        <v/>
      </c>
      <c r="AF365" s="70" t="str">
        <f t="shared" si="124"/>
        <v/>
      </c>
      <c r="AH365" s="70" t="str">
        <f t="shared" si="125"/>
        <v>26, 04</v>
      </c>
      <c r="AI365" s="70" t="str">
        <f t="shared" si="126"/>
        <v>03</v>
      </c>
      <c r="AJ365" s="70" t="str">
        <f t="shared" si="127"/>
        <v/>
      </c>
      <c r="AK365" s="70" t="str">
        <f t="shared" si="128"/>
        <v/>
      </c>
      <c r="AM365" s="166" t="str">
        <f t="shared" si="129"/>
        <v>SHD10-RM3W</v>
      </c>
      <c r="AN365" s="171" t="s">
        <v>1188</v>
      </c>
      <c r="AO365" s="167" t="s">
        <v>1180</v>
      </c>
      <c r="AP365" s="167">
        <v>10</v>
      </c>
      <c r="AQ365" s="45" t="s">
        <v>1022</v>
      </c>
      <c r="AR365" s="45" t="s">
        <v>1015</v>
      </c>
      <c r="AS365" s="45">
        <v>16</v>
      </c>
    </row>
    <row r="366" spans="1:45" ht="20.100000000000001" customHeight="1" thickBot="1">
      <c r="A366" s="45" t="s">
        <v>1189</v>
      </c>
      <c r="B366" s="45" t="s">
        <v>861</v>
      </c>
      <c r="C366" s="45" t="s">
        <v>1184</v>
      </c>
      <c r="E366" s="45">
        <f t="shared" si="115"/>
        <v>7</v>
      </c>
      <c r="F366" s="45">
        <f t="shared" si="116"/>
        <v>3</v>
      </c>
      <c r="G366" s="45" t="str">
        <f t="shared" si="117"/>
        <v>M3</v>
      </c>
      <c r="H366" s="45" t="str">
        <f t="shared" si="118"/>
        <v>RM2W</v>
      </c>
      <c r="J366" s="45" t="str">
        <f t="shared" si="119"/>
        <v>RM2W</v>
      </c>
      <c r="K366" s="45" t="s">
        <v>130</v>
      </c>
      <c r="L366" s="45" t="str">
        <f t="shared" si="120"/>
        <v>M3-RM2W@E</v>
      </c>
      <c r="M366" s="75" t="str">
        <f t="shared" si="113"/>
        <v>302, 305, 307, 306, M1, M2, M3, 327, 326, 325, 318, 317, 316, 311, 303, 305, 302</v>
      </c>
      <c r="N366" s="75" t="str">
        <f t="shared" si="114"/>
        <v>06, 03, 10, 16</v>
      </c>
      <c r="R366" s="70" t="s">
        <v>1142</v>
      </c>
      <c r="S366" s="70" t="s">
        <v>53</v>
      </c>
      <c r="T366" s="70" t="s">
        <v>224</v>
      </c>
      <c r="U366" s="70"/>
      <c r="V366" s="70"/>
      <c r="X366" s="70" t="str">
        <f t="shared" si="130"/>
        <v>M3-E DT@E</v>
      </c>
      <c r="Y366" s="70" t="str">
        <f t="shared" si="131"/>
        <v>E DT-RM2W@E</v>
      </c>
      <c r="Z366" s="70" t="str">
        <f t="shared" si="132"/>
        <v/>
      </c>
      <c r="AA366" s="70" t="str">
        <f t="shared" si="133"/>
        <v/>
      </c>
      <c r="AC366" s="70" t="str">
        <f t="shared" si="121"/>
        <v>302, 305, 307, 306, M1, M2, M3</v>
      </c>
      <c r="AD366" s="70" t="str">
        <f t="shared" si="122"/>
        <v>327, 326, 325, 318, 317, 316, 311, 303, 305, 302</v>
      </c>
      <c r="AE366" s="70" t="str">
        <f t="shared" si="123"/>
        <v/>
      </c>
      <c r="AF366" s="70" t="str">
        <f t="shared" si="124"/>
        <v/>
      </c>
      <c r="AH366" s="70" t="str">
        <f t="shared" si="125"/>
        <v>06</v>
      </c>
      <c r="AI366" s="70" t="str">
        <f t="shared" si="126"/>
        <v>03, 10, 16</v>
      </c>
      <c r="AJ366" s="70" t="str">
        <f t="shared" si="127"/>
        <v/>
      </c>
      <c r="AK366" s="70" t="str">
        <f t="shared" si="128"/>
        <v/>
      </c>
      <c r="AM366" s="166" t="str">
        <f t="shared" si="129"/>
        <v>SHD10-HCTE</v>
      </c>
      <c r="AN366" s="171" t="s">
        <v>1190</v>
      </c>
      <c r="AO366" s="167" t="s">
        <v>1191</v>
      </c>
      <c r="AP366" s="167">
        <v>10</v>
      </c>
      <c r="AQ366" s="45" t="s">
        <v>1025</v>
      </c>
      <c r="AR366" s="45" t="s">
        <v>1026</v>
      </c>
      <c r="AS366" s="45">
        <v>16</v>
      </c>
    </row>
    <row r="367" spans="1:45" ht="20.100000000000001" customHeight="1" thickBot="1">
      <c r="A367" s="45" t="s">
        <v>1192</v>
      </c>
      <c r="B367" s="45" t="s">
        <v>220</v>
      </c>
      <c r="C367" s="45" t="s">
        <v>1187</v>
      </c>
      <c r="E367" s="45">
        <f t="shared" si="115"/>
        <v>7</v>
      </c>
      <c r="F367" s="45">
        <f t="shared" si="116"/>
        <v>5</v>
      </c>
      <c r="G367" s="45" t="str">
        <f t="shared" si="117"/>
        <v>RM2W</v>
      </c>
      <c r="H367" s="45" t="str">
        <f t="shared" si="118"/>
        <v>M3</v>
      </c>
      <c r="J367" s="45" t="str">
        <f t="shared" si="119"/>
        <v>M3</v>
      </c>
      <c r="K367" s="45" t="s">
        <v>130</v>
      </c>
      <c r="L367" s="45" t="str">
        <f t="shared" si="120"/>
        <v>RM2W-M3@E</v>
      </c>
      <c r="M367" s="75" t="str">
        <f t="shared" si="113"/>
        <v>327, 326, 325, 318, 317, 316, 311, 303, 305, 302, 302, 305, 307, 306, M1, M2, M3</v>
      </c>
      <c r="N367" s="75" t="str">
        <f t="shared" si="114"/>
        <v>26, 04, 03</v>
      </c>
      <c r="R367" s="70" t="s">
        <v>224</v>
      </c>
      <c r="S367" s="70" t="s">
        <v>53</v>
      </c>
      <c r="T367" s="70" t="s">
        <v>1142</v>
      </c>
      <c r="U367" s="70"/>
      <c r="V367" s="70"/>
      <c r="X367" s="70" t="str">
        <f t="shared" si="130"/>
        <v>RM2W-E DT@E</v>
      </c>
      <c r="Y367" s="70" t="str">
        <f t="shared" si="131"/>
        <v>E DT-M3@E</v>
      </c>
      <c r="Z367" s="70" t="str">
        <f t="shared" si="132"/>
        <v/>
      </c>
      <c r="AA367" s="70" t="str">
        <f t="shared" si="133"/>
        <v/>
      </c>
      <c r="AC367" s="70" t="str">
        <f t="shared" si="121"/>
        <v>327, 326, 325, 318, 317, 316, 311, 303, 305, 302</v>
      </c>
      <c r="AD367" s="70" t="str">
        <f t="shared" si="122"/>
        <v>302, 305, 307, 306, M1, M2, M3</v>
      </c>
      <c r="AE367" s="70" t="str">
        <f t="shared" si="123"/>
        <v/>
      </c>
      <c r="AF367" s="70" t="str">
        <f t="shared" si="124"/>
        <v/>
      </c>
      <c r="AH367" s="70" t="str">
        <f t="shared" si="125"/>
        <v>26, 04</v>
      </c>
      <c r="AI367" s="70" t="str">
        <f t="shared" si="126"/>
        <v>03</v>
      </c>
      <c r="AJ367" s="70" t="str">
        <f t="shared" si="127"/>
        <v/>
      </c>
      <c r="AK367" s="70" t="str">
        <f t="shared" si="128"/>
        <v/>
      </c>
      <c r="AM367" s="166" t="str">
        <f t="shared" si="129"/>
        <v>SHD10-HCTW</v>
      </c>
      <c r="AN367" s="171" t="s">
        <v>1193</v>
      </c>
      <c r="AO367" s="167" t="s">
        <v>1191</v>
      </c>
      <c r="AP367" s="167">
        <v>10</v>
      </c>
      <c r="AQ367" s="45" t="s">
        <v>1029</v>
      </c>
      <c r="AR367" s="45" t="s">
        <v>1026</v>
      </c>
      <c r="AS367" s="45">
        <v>16</v>
      </c>
    </row>
    <row r="368" spans="1:45" ht="20.100000000000001" customHeight="1" thickBot="1">
      <c r="A368" s="45" t="s">
        <v>1194</v>
      </c>
      <c r="B368" s="45" t="s">
        <v>861</v>
      </c>
      <c r="C368" s="45" t="s">
        <v>1184</v>
      </c>
      <c r="E368" s="45">
        <f t="shared" si="115"/>
        <v>7</v>
      </c>
      <c r="F368" s="45">
        <f t="shared" si="116"/>
        <v>3</v>
      </c>
      <c r="G368" s="45" t="str">
        <f t="shared" si="117"/>
        <v>M3</v>
      </c>
      <c r="H368" s="45" t="str">
        <f t="shared" si="118"/>
        <v>RM3E</v>
      </c>
      <c r="J368" s="45" t="str">
        <f t="shared" si="119"/>
        <v>RM3E</v>
      </c>
      <c r="K368" s="45" t="s">
        <v>130</v>
      </c>
      <c r="L368" s="45" t="str">
        <f t="shared" si="120"/>
        <v>M3-RM3E@E</v>
      </c>
      <c r="M368" s="75" t="str">
        <f t="shared" si="113"/>
        <v>302, 305, 307, 306, M1, M2, M3, 327, 326, 325, 318, 317, 316, 311, 303, 305, 302</v>
      </c>
      <c r="N368" s="75" t="str">
        <f t="shared" si="114"/>
        <v>06, 03, 10, 16</v>
      </c>
      <c r="R368" s="70" t="s">
        <v>1142</v>
      </c>
      <c r="S368" s="70" t="s">
        <v>53</v>
      </c>
      <c r="T368" s="70" t="s">
        <v>231</v>
      </c>
      <c r="U368" s="70"/>
      <c r="V368" s="70"/>
      <c r="X368" s="70" t="str">
        <f t="shared" si="130"/>
        <v>M3-E DT@E</v>
      </c>
      <c r="Y368" s="70" t="str">
        <f t="shared" si="131"/>
        <v>E DT-RM3E@E</v>
      </c>
      <c r="Z368" s="70" t="str">
        <f t="shared" si="132"/>
        <v/>
      </c>
      <c r="AA368" s="70" t="str">
        <f t="shared" si="133"/>
        <v/>
      </c>
      <c r="AC368" s="70" t="str">
        <f t="shared" si="121"/>
        <v>302, 305, 307, 306, M1, M2, M3</v>
      </c>
      <c r="AD368" s="70" t="str">
        <f t="shared" si="122"/>
        <v>327, 326, 325, 318, 317, 316, 311, 303, 305, 302</v>
      </c>
      <c r="AE368" s="70" t="str">
        <f t="shared" si="123"/>
        <v/>
      </c>
      <c r="AF368" s="70" t="str">
        <f t="shared" si="124"/>
        <v/>
      </c>
      <c r="AH368" s="70" t="str">
        <f t="shared" si="125"/>
        <v>06</v>
      </c>
      <c r="AI368" s="70" t="str">
        <f t="shared" si="126"/>
        <v>03, 10, 16</v>
      </c>
      <c r="AJ368" s="70" t="str">
        <f t="shared" si="127"/>
        <v/>
      </c>
      <c r="AK368" s="70" t="str">
        <f t="shared" si="128"/>
        <v/>
      </c>
      <c r="AM368" s="166" t="str">
        <f t="shared" si="129"/>
        <v>SHD10-1E</v>
      </c>
      <c r="AN368" s="171" t="s">
        <v>1195</v>
      </c>
      <c r="AO368" s="167" t="s">
        <v>1191</v>
      </c>
      <c r="AP368" s="167">
        <v>10</v>
      </c>
      <c r="AQ368" s="45" t="s">
        <v>1031</v>
      </c>
      <c r="AR368" s="45" t="s">
        <v>1026</v>
      </c>
      <c r="AS368" s="45">
        <v>16</v>
      </c>
    </row>
    <row r="369" spans="1:45" ht="20.100000000000001" customHeight="1" thickBot="1">
      <c r="A369" s="45" t="s">
        <v>1196</v>
      </c>
      <c r="B369" s="45" t="s">
        <v>235</v>
      </c>
      <c r="C369" s="45" t="s">
        <v>1187</v>
      </c>
      <c r="E369" s="45">
        <f t="shared" si="115"/>
        <v>7</v>
      </c>
      <c r="F369" s="45">
        <f t="shared" si="116"/>
        <v>5</v>
      </c>
      <c r="G369" s="45" t="str">
        <f t="shared" si="117"/>
        <v>RM3E</v>
      </c>
      <c r="H369" s="45" t="str">
        <f t="shared" si="118"/>
        <v>M3</v>
      </c>
      <c r="J369" s="45" t="str">
        <f t="shared" si="119"/>
        <v>M3</v>
      </c>
      <c r="K369" s="45" t="s">
        <v>130</v>
      </c>
      <c r="L369" s="45" t="str">
        <f t="shared" si="120"/>
        <v>RM3E-M3@E</v>
      </c>
      <c r="M369" s="75" t="str">
        <f t="shared" si="113"/>
        <v>327, 326, 325, 318, 317, 316, 311, 303, 305, 302, 302, 305, 307, 306, M1, M2, M3</v>
      </c>
      <c r="N369" s="75" t="str">
        <f t="shared" si="114"/>
        <v>27, 04, 03</v>
      </c>
      <c r="R369" s="70" t="s">
        <v>231</v>
      </c>
      <c r="S369" s="70" t="s">
        <v>53</v>
      </c>
      <c r="T369" s="70" t="s">
        <v>1142</v>
      </c>
      <c r="U369" s="70"/>
      <c r="V369" s="70"/>
      <c r="X369" s="70" t="str">
        <f t="shared" si="130"/>
        <v>RM3E-E DT@E</v>
      </c>
      <c r="Y369" s="70" t="str">
        <f t="shared" si="131"/>
        <v>E DT-M3@E</v>
      </c>
      <c r="Z369" s="70" t="str">
        <f t="shared" si="132"/>
        <v/>
      </c>
      <c r="AA369" s="70" t="str">
        <f t="shared" si="133"/>
        <v/>
      </c>
      <c r="AC369" s="70" t="str">
        <f t="shared" si="121"/>
        <v>327, 326, 325, 318, 317, 316, 311, 303, 305, 302</v>
      </c>
      <c r="AD369" s="70" t="str">
        <f t="shared" si="122"/>
        <v>302, 305, 307, 306, M1, M2, M3</v>
      </c>
      <c r="AE369" s="70" t="str">
        <f t="shared" si="123"/>
        <v/>
      </c>
      <c r="AF369" s="70" t="str">
        <f t="shared" si="124"/>
        <v/>
      </c>
      <c r="AH369" s="70" t="str">
        <f t="shared" si="125"/>
        <v>27, 04</v>
      </c>
      <c r="AI369" s="70" t="str">
        <f t="shared" si="126"/>
        <v>03</v>
      </c>
      <c r="AJ369" s="70" t="str">
        <f t="shared" si="127"/>
        <v/>
      </c>
      <c r="AK369" s="70" t="str">
        <f t="shared" si="128"/>
        <v/>
      </c>
      <c r="AM369" s="166" t="str">
        <f t="shared" si="129"/>
        <v>SHD10-1W</v>
      </c>
      <c r="AN369" s="171" t="s">
        <v>1197</v>
      </c>
      <c r="AO369" s="167" t="s">
        <v>1191</v>
      </c>
      <c r="AP369" s="167">
        <v>10</v>
      </c>
      <c r="AQ369" s="45" t="s">
        <v>1033</v>
      </c>
      <c r="AR369" s="45" t="s">
        <v>1026</v>
      </c>
      <c r="AS369" s="45">
        <v>16</v>
      </c>
    </row>
    <row r="370" spans="1:45" ht="20.100000000000001" customHeight="1" thickBot="1">
      <c r="A370" s="45" t="s">
        <v>1198</v>
      </c>
      <c r="B370" s="45" t="s">
        <v>861</v>
      </c>
      <c r="C370" s="45" t="s">
        <v>1184</v>
      </c>
      <c r="E370" s="45">
        <f t="shared" si="115"/>
        <v>7</v>
      </c>
      <c r="F370" s="45">
        <f t="shared" si="116"/>
        <v>3</v>
      </c>
      <c r="G370" s="45" t="str">
        <f t="shared" si="117"/>
        <v>M3</v>
      </c>
      <c r="H370" s="45" t="str">
        <f t="shared" si="118"/>
        <v>RM3W</v>
      </c>
      <c r="J370" s="45" t="str">
        <f t="shared" si="119"/>
        <v>RM3W</v>
      </c>
      <c r="K370" s="45" t="s">
        <v>130</v>
      </c>
      <c r="L370" s="45" t="str">
        <f t="shared" si="120"/>
        <v>M3-RM3W@E</v>
      </c>
      <c r="M370" s="75" t="str">
        <f t="shared" si="113"/>
        <v>302, 305, 307, 306, M1, M2, M3, 327, 326, 325, 318, 317, 316, 311, 303, 305, 302</v>
      </c>
      <c r="N370" s="75" t="str">
        <f t="shared" si="114"/>
        <v>06, 03, 10, 16</v>
      </c>
      <c r="R370" s="70" t="s">
        <v>1142</v>
      </c>
      <c r="S370" s="70" t="s">
        <v>53</v>
      </c>
      <c r="T370" s="70" t="s">
        <v>238</v>
      </c>
      <c r="U370" s="70"/>
      <c r="V370" s="70"/>
      <c r="X370" s="70" t="str">
        <f t="shared" si="130"/>
        <v>M3-E DT@E</v>
      </c>
      <c r="Y370" s="70" t="str">
        <f t="shared" si="131"/>
        <v>E DT-RM3W@E</v>
      </c>
      <c r="Z370" s="70" t="str">
        <f t="shared" si="132"/>
        <v/>
      </c>
      <c r="AA370" s="70" t="str">
        <f t="shared" si="133"/>
        <v/>
      </c>
      <c r="AC370" s="70" t="str">
        <f t="shared" si="121"/>
        <v>302, 305, 307, 306, M1, M2, M3</v>
      </c>
      <c r="AD370" s="70" t="str">
        <f t="shared" si="122"/>
        <v>327, 326, 325, 318, 317, 316, 311, 303, 305, 302</v>
      </c>
      <c r="AE370" s="70" t="str">
        <f t="shared" si="123"/>
        <v/>
      </c>
      <c r="AF370" s="70" t="str">
        <f t="shared" si="124"/>
        <v/>
      </c>
      <c r="AH370" s="70" t="str">
        <f t="shared" si="125"/>
        <v>06</v>
      </c>
      <c r="AI370" s="70" t="str">
        <f t="shared" si="126"/>
        <v>03, 10, 16</v>
      </c>
      <c r="AJ370" s="70" t="str">
        <f t="shared" si="127"/>
        <v/>
      </c>
      <c r="AK370" s="70" t="str">
        <f t="shared" si="128"/>
        <v/>
      </c>
      <c r="AM370" s="166" t="str">
        <f t="shared" si="129"/>
        <v>SHD10-2E</v>
      </c>
      <c r="AN370" s="171" t="s">
        <v>1199</v>
      </c>
      <c r="AO370" s="167" t="s">
        <v>1200</v>
      </c>
      <c r="AP370" s="167">
        <v>10</v>
      </c>
      <c r="AQ370" s="45" t="s">
        <v>1036</v>
      </c>
      <c r="AR370" s="45" t="s">
        <v>1037</v>
      </c>
      <c r="AS370" s="45">
        <v>16</v>
      </c>
    </row>
    <row r="371" spans="1:45" ht="20.100000000000001" customHeight="1" thickBot="1">
      <c r="A371" s="45" t="s">
        <v>1201</v>
      </c>
      <c r="B371" s="45" t="s">
        <v>235</v>
      </c>
      <c r="C371" s="45" t="s">
        <v>1187</v>
      </c>
      <c r="E371" s="45">
        <f t="shared" si="115"/>
        <v>7</v>
      </c>
      <c r="F371" s="45">
        <f t="shared" si="116"/>
        <v>5</v>
      </c>
      <c r="G371" s="45" t="str">
        <f t="shared" si="117"/>
        <v>RM3W</v>
      </c>
      <c r="H371" s="45" t="str">
        <f t="shared" si="118"/>
        <v>M3</v>
      </c>
      <c r="J371" s="45" t="str">
        <f t="shared" si="119"/>
        <v>M3</v>
      </c>
      <c r="K371" s="45" t="s">
        <v>130</v>
      </c>
      <c r="L371" s="45" t="str">
        <f t="shared" si="120"/>
        <v>RM3W-M3@E</v>
      </c>
      <c r="M371" s="75" t="str">
        <f t="shared" si="113"/>
        <v>327, 326, 325, 318, 317, 316, 311, 303, 305, 302, 302, 305, 307, 306, M1, M2, M3</v>
      </c>
      <c r="N371" s="75" t="str">
        <f t="shared" si="114"/>
        <v>27, 04, 03</v>
      </c>
      <c r="R371" s="70" t="s">
        <v>238</v>
      </c>
      <c r="S371" s="70" t="s">
        <v>53</v>
      </c>
      <c r="T371" s="70" t="s">
        <v>1142</v>
      </c>
      <c r="U371" s="70"/>
      <c r="V371" s="70"/>
      <c r="X371" s="70" t="str">
        <f t="shared" si="130"/>
        <v>RM3W-E DT@E</v>
      </c>
      <c r="Y371" s="70" t="str">
        <f t="shared" si="131"/>
        <v>E DT-M3@E</v>
      </c>
      <c r="Z371" s="70" t="str">
        <f t="shared" si="132"/>
        <v/>
      </c>
      <c r="AA371" s="70" t="str">
        <f t="shared" si="133"/>
        <v/>
      </c>
      <c r="AC371" s="70" t="str">
        <f t="shared" si="121"/>
        <v>327, 326, 325, 318, 317, 316, 311, 303, 305, 302</v>
      </c>
      <c r="AD371" s="70" t="str">
        <f t="shared" si="122"/>
        <v>302, 305, 307, 306, M1, M2, M3</v>
      </c>
      <c r="AE371" s="70" t="str">
        <f t="shared" si="123"/>
        <v/>
      </c>
      <c r="AF371" s="70" t="str">
        <f t="shared" si="124"/>
        <v/>
      </c>
      <c r="AH371" s="70" t="str">
        <f t="shared" si="125"/>
        <v>27, 04</v>
      </c>
      <c r="AI371" s="70" t="str">
        <f t="shared" si="126"/>
        <v>03</v>
      </c>
      <c r="AJ371" s="70" t="str">
        <f t="shared" si="127"/>
        <v/>
      </c>
      <c r="AK371" s="70" t="str">
        <f t="shared" si="128"/>
        <v/>
      </c>
      <c r="AM371" s="166" t="str">
        <f t="shared" si="129"/>
        <v>SHD10-2W</v>
      </c>
      <c r="AN371" s="171" t="s">
        <v>1202</v>
      </c>
      <c r="AO371" s="167" t="s">
        <v>1200</v>
      </c>
      <c r="AP371" s="167">
        <v>10</v>
      </c>
      <c r="AQ371" s="45" t="s">
        <v>1040</v>
      </c>
      <c r="AR371" s="45" t="s">
        <v>1037</v>
      </c>
      <c r="AS371" s="45">
        <v>16</v>
      </c>
    </row>
    <row r="372" spans="1:45" ht="20.100000000000001" customHeight="1" thickBot="1">
      <c r="A372" s="45" t="s">
        <v>1203</v>
      </c>
      <c r="B372" s="45" t="s">
        <v>861</v>
      </c>
      <c r="C372" s="45" t="s">
        <v>1204</v>
      </c>
      <c r="E372" s="45">
        <f t="shared" si="115"/>
        <v>7</v>
      </c>
      <c r="F372" s="45">
        <f t="shared" si="116"/>
        <v>3</v>
      </c>
      <c r="G372" s="45" t="str">
        <f t="shared" si="117"/>
        <v>M3</v>
      </c>
      <c r="H372" s="45" t="str">
        <f t="shared" si="118"/>
        <v>HCTE</v>
      </c>
      <c r="J372" s="45" t="str">
        <f t="shared" si="119"/>
        <v>HCTE</v>
      </c>
      <c r="K372" s="45" t="s">
        <v>130</v>
      </c>
      <c r="L372" s="45" t="str">
        <f t="shared" si="120"/>
        <v>M3-HCTE@E</v>
      </c>
      <c r="M372" s="75" t="str">
        <f t="shared" si="113"/>
        <v>302, 305, 307, 306, M1, M2, M3, 329, 328, 325, 318, 317, 316, 311, 303, 305, 302</v>
      </c>
      <c r="N372" s="75" t="str">
        <f t="shared" si="114"/>
        <v>06, 03, 10, 16</v>
      </c>
      <c r="R372" s="70" t="s">
        <v>1142</v>
      </c>
      <c r="S372" s="70" t="s">
        <v>53</v>
      </c>
      <c r="T372" s="70" t="s">
        <v>246</v>
      </c>
      <c r="U372" s="70"/>
      <c r="V372" s="70"/>
      <c r="X372" s="70" t="str">
        <f t="shared" si="130"/>
        <v>M3-E DT@E</v>
      </c>
      <c r="Y372" s="70" t="str">
        <f t="shared" si="131"/>
        <v>E DT-HCTE@E</v>
      </c>
      <c r="Z372" s="70" t="str">
        <f t="shared" si="132"/>
        <v/>
      </c>
      <c r="AA372" s="70" t="str">
        <f t="shared" si="133"/>
        <v/>
      </c>
      <c r="AC372" s="70" t="str">
        <f t="shared" si="121"/>
        <v>302, 305, 307, 306, M1, M2, M3</v>
      </c>
      <c r="AD372" s="70" t="str">
        <f t="shared" si="122"/>
        <v>329, 328, 325, 318, 317, 316, 311, 303, 305, 302</v>
      </c>
      <c r="AE372" s="70" t="str">
        <f t="shared" si="123"/>
        <v/>
      </c>
      <c r="AF372" s="70" t="str">
        <f t="shared" si="124"/>
        <v/>
      </c>
      <c r="AH372" s="70" t="str">
        <f t="shared" si="125"/>
        <v>06</v>
      </c>
      <c r="AI372" s="70" t="str">
        <f t="shared" si="126"/>
        <v>03, 10, 16</v>
      </c>
      <c r="AJ372" s="70" t="str">
        <f t="shared" si="127"/>
        <v/>
      </c>
      <c r="AK372" s="70" t="str">
        <f t="shared" si="128"/>
        <v/>
      </c>
      <c r="AM372" s="166" t="str">
        <f t="shared" si="129"/>
        <v>SHD10-3E</v>
      </c>
      <c r="AN372" s="171" t="s">
        <v>1205</v>
      </c>
      <c r="AO372" s="167" t="s">
        <v>1200</v>
      </c>
      <c r="AP372" s="167">
        <v>10</v>
      </c>
      <c r="AQ372" s="45" t="s">
        <v>1042</v>
      </c>
      <c r="AR372" s="45" t="s">
        <v>1037</v>
      </c>
      <c r="AS372" s="45">
        <v>16</v>
      </c>
    </row>
    <row r="373" spans="1:45" ht="20.100000000000001" customHeight="1" thickBot="1">
      <c r="A373" s="45" t="s">
        <v>1206</v>
      </c>
      <c r="B373" s="45" t="s">
        <v>250</v>
      </c>
      <c r="C373" s="45" t="s">
        <v>1207</v>
      </c>
      <c r="E373" s="45">
        <f t="shared" si="115"/>
        <v>7</v>
      </c>
      <c r="F373" s="45">
        <f t="shared" si="116"/>
        <v>5</v>
      </c>
      <c r="G373" s="45" t="str">
        <f t="shared" si="117"/>
        <v>HCTE</v>
      </c>
      <c r="H373" s="45" t="str">
        <f t="shared" si="118"/>
        <v>M3</v>
      </c>
      <c r="J373" s="45" t="str">
        <f t="shared" si="119"/>
        <v>M3</v>
      </c>
      <c r="K373" s="45" t="s">
        <v>130</v>
      </c>
      <c r="L373" s="45" t="str">
        <f t="shared" si="120"/>
        <v>HCTE-M3@E</v>
      </c>
      <c r="M373" s="75" t="str">
        <f t="shared" si="113"/>
        <v>329, 328, 325, 318, 317, 316, 311, 303, 305, 302, 302, 305, 307, 306, M1, M2, M3</v>
      </c>
      <c r="N373" s="75" t="str">
        <f t="shared" si="114"/>
        <v>28, 04, 03</v>
      </c>
      <c r="R373" s="70" t="s">
        <v>246</v>
      </c>
      <c r="S373" s="70" t="s">
        <v>53</v>
      </c>
      <c r="T373" s="70" t="s">
        <v>1142</v>
      </c>
      <c r="U373" s="70"/>
      <c r="V373" s="70"/>
      <c r="X373" s="70" t="str">
        <f t="shared" si="130"/>
        <v>HCTE-E DT@E</v>
      </c>
      <c r="Y373" s="70" t="str">
        <f t="shared" si="131"/>
        <v>E DT-M3@E</v>
      </c>
      <c r="Z373" s="70" t="str">
        <f t="shared" si="132"/>
        <v/>
      </c>
      <c r="AA373" s="70" t="str">
        <f t="shared" si="133"/>
        <v/>
      </c>
      <c r="AC373" s="70" t="str">
        <f t="shared" si="121"/>
        <v>329, 328, 325, 318, 317, 316, 311, 303, 305, 302</v>
      </c>
      <c r="AD373" s="70" t="str">
        <f t="shared" si="122"/>
        <v>302, 305, 307, 306, M1, M2, M3</v>
      </c>
      <c r="AE373" s="70" t="str">
        <f t="shared" si="123"/>
        <v/>
      </c>
      <c r="AF373" s="70" t="str">
        <f t="shared" si="124"/>
        <v/>
      </c>
      <c r="AH373" s="70" t="str">
        <f t="shared" si="125"/>
        <v>28, 04</v>
      </c>
      <c r="AI373" s="70" t="str">
        <f t="shared" si="126"/>
        <v>03</v>
      </c>
      <c r="AJ373" s="70" t="str">
        <f t="shared" si="127"/>
        <v/>
      </c>
      <c r="AK373" s="70" t="str">
        <f t="shared" si="128"/>
        <v/>
      </c>
      <c r="AM373" s="166" t="str">
        <f t="shared" si="129"/>
        <v>SHD10-3W</v>
      </c>
      <c r="AN373" s="171" t="s">
        <v>1208</v>
      </c>
      <c r="AO373" s="167" t="s">
        <v>1200</v>
      </c>
      <c r="AP373" s="167">
        <v>10</v>
      </c>
      <c r="AQ373" s="45" t="s">
        <v>1044</v>
      </c>
      <c r="AR373" s="45" t="s">
        <v>1037</v>
      </c>
      <c r="AS373" s="45">
        <v>16</v>
      </c>
    </row>
    <row r="374" spans="1:45" ht="20.100000000000001" customHeight="1" thickBot="1">
      <c r="A374" s="45" t="s">
        <v>1209</v>
      </c>
      <c r="B374" s="45" t="s">
        <v>861</v>
      </c>
      <c r="C374" s="45" t="s">
        <v>1204</v>
      </c>
      <c r="E374" s="45">
        <f t="shared" si="115"/>
        <v>7</v>
      </c>
      <c r="F374" s="45">
        <f t="shared" si="116"/>
        <v>3</v>
      </c>
      <c r="G374" s="45" t="str">
        <f t="shared" si="117"/>
        <v>M3</v>
      </c>
      <c r="H374" s="45" t="str">
        <f t="shared" si="118"/>
        <v>HCTW</v>
      </c>
      <c r="J374" s="45" t="str">
        <f t="shared" si="119"/>
        <v>HCTW</v>
      </c>
      <c r="K374" s="45" t="s">
        <v>130</v>
      </c>
      <c r="L374" s="45" t="str">
        <f t="shared" si="120"/>
        <v>M3-HCTW@E</v>
      </c>
      <c r="M374" s="75" t="str">
        <f t="shared" si="113"/>
        <v>302, 305, 307, 306, M1, M2, M3, 329, 328, 325, 318, 317, 316, 311, 303, 305, 302</v>
      </c>
      <c r="N374" s="75" t="str">
        <f t="shared" si="114"/>
        <v>06, 03, 10, 16</v>
      </c>
      <c r="R374" s="70" t="s">
        <v>1142</v>
      </c>
      <c r="S374" s="70" t="s">
        <v>53</v>
      </c>
      <c r="T374" s="70" t="s">
        <v>254</v>
      </c>
      <c r="U374" s="70"/>
      <c r="V374" s="70"/>
      <c r="X374" s="70" t="str">
        <f t="shared" si="130"/>
        <v>M3-E DT@E</v>
      </c>
      <c r="Y374" s="70" t="str">
        <f t="shared" si="131"/>
        <v>E DT-HCTW@E</v>
      </c>
      <c r="Z374" s="70" t="str">
        <f t="shared" si="132"/>
        <v/>
      </c>
      <c r="AA374" s="70" t="str">
        <f t="shared" si="133"/>
        <v/>
      </c>
      <c r="AC374" s="70" t="str">
        <f t="shared" si="121"/>
        <v>302, 305, 307, 306, M1, M2, M3</v>
      </c>
      <c r="AD374" s="70" t="str">
        <f t="shared" si="122"/>
        <v>329, 328, 325, 318, 317, 316, 311, 303, 305, 302</v>
      </c>
      <c r="AE374" s="70" t="str">
        <f t="shared" si="123"/>
        <v/>
      </c>
      <c r="AF374" s="70" t="str">
        <f t="shared" si="124"/>
        <v/>
      </c>
      <c r="AH374" s="70" t="str">
        <f t="shared" si="125"/>
        <v>06</v>
      </c>
      <c r="AI374" s="70" t="str">
        <f t="shared" si="126"/>
        <v>03, 10, 16</v>
      </c>
      <c r="AJ374" s="70" t="str">
        <f t="shared" si="127"/>
        <v/>
      </c>
      <c r="AK374" s="70" t="str">
        <f t="shared" si="128"/>
        <v/>
      </c>
      <c r="AM374" s="166" t="str">
        <f t="shared" si="129"/>
        <v>SHD10-4E</v>
      </c>
      <c r="AN374" s="171" t="s">
        <v>1210</v>
      </c>
      <c r="AO374" s="167" t="s">
        <v>1211</v>
      </c>
      <c r="AP374" s="167">
        <v>10</v>
      </c>
      <c r="AQ374" s="45" t="s">
        <v>1046</v>
      </c>
      <c r="AR374" s="45" t="s">
        <v>1047</v>
      </c>
      <c r="AS374" s="45">
        <v>16</v>
      </c>
    </row>
    <row r="375" spans="1:45" ht="20.100000000000001" customHeight="1" thickBot="1">
      <c r="A375" s="45" t="s">
        <v>1212</v>
      </c>
      <c r="B375" s="45" t="s">
        <v>250</v>
      </c>
      <c r="C375" s="45" t="s">
        <v>1207</v>
      </c>
      <c r="E375" s="45">
        <f t="shared" si="115"/>
        <v>7</v>
      </c>
      <c r="F375" s="45">
        <f t="shared" si="116"/>
        <v>5</v>
      </c>
      <c r="G375" s="45" t="str">
        <f t="shared" si="117"/>
        <v>HCTW</v>
      </c>
      <c r="H375" s="45" t="str">
        <f t="shared" si="118"/>
        <v>M3</v>
      </c>
      <c r="J375" s="45" t="str">
        <f t="shared" si="119"/>
        <v>M3</v>
      </c>
      <c r="K375" s="45" t="s">
        <v>130</v>
      </c>
      <c r="L375" s="45" t="str">
        <f t="shared" si="120"/>
        <v>HCTW-M3@E</v>
      </c>
      <c r="M375" s="75" t="str">
        <f t="shared" si="113"/>
        <v>329, 328, 325, 318, 317, 316, 311, 303, 305, 302, 302, 305, 307, 306, M1, M2, M3</v>
      </c>
      <c r="N375" s="75" t="str">
        <f t="shared" si="114"/>
        <v>28, 04, 03</v>
      </c>
      <c r="R375" s="70" t="s">
        <v>254</v>
      </c>
      <c r="S375" s="70" t="s">
        <v>53</v>
      </c>
      <c r="T375" s="70" t="s">
        <v>1142</v>
      </c>
      <c r="U375" s="70"/>
      <c r="V375" s="70"/>
      <c r="X375" s="70" t="str">
        <f t="shared" si="130"/>
        <v>HCTW-E DT@E</v>
      </c>
      <c r="Y375" s="70" t="str">
        <f t="shared" si="131"/>
        <v>E DT-M3@E</v>
      </c>
      <c r="Z375" s="70" t="str">
        <f t="shared" si="132"/>
        <v/>
      </c>
      <c r="AA375" s="70" t="str">
        <f t="shared" si="133"/>
        <v/>
      </c>
      <c r="AC375" s="70" t="str">
        <f t="shared" si="121"/>
        <v>329, 328, 325, 318, 317, 316, 311, 303, 305, 302</v>
      </c>
      <c r="AD375" s="70" t="str">
        <f t="shared" si="122"/>
        <v>302, 305, 307, 306, M1, M2, M3</v>
      </c>
      <c r="AE375" s="70" t="str">
        <f t="shared" si="123"/>
        <v/>
      </c>
      <c r="AF375" s="70" t="str">
        <f t="shared" si="124"/>
        <v/>
      </c>
      <c r="AH375" s="70" t="str">
        <f t="shared" si="125"/>
        <v>28, 04</v>
      </c>
      <c r="AI375" s="70" t="str">
        <f t="shared" si="126"/>
        <v>03</v>
      </c>
      <c r="AJ375" s="70" t="str">
        <f t="shared" si="127"/>
        <v/>
      </c>
      <c r="AK375" s="70" t="str">
        <f t="shared" si="128"/>
        <v/>
      </c>
      <c r="AM375" s="166" t="str">
        <f t="shared" si="129"/>
        <v>SHD10-4W</v>
      </c>
      <c r="AN375" s="171" t="s">
        <v>1213</v>
      </c>
      <c r="AO375" s="167" t="s">
        <v>1211</v>
      </c>
      <c r="AP375" s="167">
        <v>10</v>
      </c>
      <c r="AQ375" s="45" t="s">
        <v>1049</v>
      </c>
      <c r="AR375" s="45" t="s">
        <v>1047</v>
      </c>
      <c r="AS375" s="45">
        <v>16</v>
      </c>
    </row>
    <row r="376" spans="1:45" ht="20.100000000000001" customHeight="1" thickBot="1">
      <c r="A376" s="45" t="s">
        <v>1214</v>
      </c>
      <c r="B376" s="45" t="s">
        <v>861</v>
      </c>
      <c r="C376" s="45" t="s">
        <v>1204</v>
      </c>
      <c r="E376" s="45">
        <f t="shared" si="115"/>
        <v>5</v>
      </c>
      <c r="F376" s="45">
        <f t="shared" si="116"/>
        <v>3</v>
      </c>
      <c r="G376" s="45" t="str">
        <f t="shared" si="117"/>
        <v>M3</v>
      </c>
      <c r="H376" s="45" t="str">
        <f t="shared" si="118"/>
        <v>1E</v>
      </c>
      <c r="J376" s="45" t="str">
        <f t="shared" si="119"/>
        <v>1E</v>
      </c>
      <c r="K376" s="45" t="s">
        <v>130</v>
      </c>
      <c r="L376" s="45" t="str">
        <f t="shared" si="120"/>
        <v>M3-1E@E</v>
      </c>
      <c r="M376" s="75" t="str">
        <f t="shared" si="113"/>
        <v>302, 305, 307, 306, M1, M2, M3, 329, 328, 325, 318, 317, 316, 311, 303, 305, 302</v>
      </c>
      <c r="N376" s="75" t="str">
        <f t="shared" si="114"/>
        <v>06, 03, 10, 16</v>
      </c>
      <c r="R376" s="70" t="s">
        <v>1142</v>
      </c>
      <c r="S376" s="70" t="s">
        <v>53</v>
      </c>
      <c r="T376" s="70" t="s">
        <v>261</v>
      </c>
      <c r="U376" s="70"/>
      <c r="V376" s="70"/>
      <c r="X376" s="70" t="str">
        <f t="shared" si="130"/>
        <v>M3-E DT@E</v>
      </c>
      <c r="Y376" s="70" t="str">
        <f t="shared" si="131"/>
        <v>E DT-1E@E</v>
      </c>
      <c r="Z376" s="70" t="str">
        <f t="shared" si="132"/>
        <v/>
      </c>
      <c r="AA376" s="70" t="str">
        <f t="shared" si="133"/>
        <v/>
      </c>
      <c r="AC376" s="70" t="str">
        <f t="shared" si="121"/>
        <v>302, 305, 307, 306, M1, M2, M3</v>
      </c>
      <c r="AD376" s="70" t="str">
        <f t="shared" si="122"/>
        <v>329, 328, 325, 318, 317, 316, 311, 303, 305, 302</v>
      </c>
      <c r="AE376" s="70" t="str">
        <f t="shared" si="123"/>
        <v/>
      </c>
      <c r="AF376" s="70" t="str">
        <f t="shared" si="124"/>
        <v/>
      </c>
      <c r="AH376" s="70" t="str">
        <f t="shared" si="125"/>
        <v>06</v>
      </c>
      <c r="AI376" s="70" t="str">
        <f t="shared" si="126"/>
        <v>03, 10, 16</v>
      </c>
      <c r="AJ376" s="70" t="str">
        <f t="shared" si="127"/>
        <v/>
      </c>
      <c r="AK376" s="70" t="str">
        <f t="shared" si="128"/>
        <v/>
      </c>
      <c r="AM376" s="166" t="str">
        <f t="shared" si="129"/>
        <v>SHD10-5E</v>
      </c>
      <c r="AN376" s="171" t="s">
        <v>1215</v>
      </c>
      <c r="AO376" s="167" t="s">
        <v>1211</v>
      </c>
      <c r="AP376" s="167">
        <v>10</v>
      </c>
      <c r="AQ376" s="45" t="s">
        <v>1051</v>
      </c>
      <c r="AR376" s="45" t="s">
        <v>1047</v>
      </c>
      <c r="AS376" s="45">
        <v>16</v>
      </c>
    </row>
    <row r="377" spans="1:45" ht="20.100000000000001" customHeight="1" thickBot="1">
      <c r="A377" s="45" t="s">
        <v>1216</v>
      </c>
      <c r="B377" s="45" t="s">
        <v>266</v>
      </c>
      <c r="C377" s="45" t="s">
        <v>1207</v>
      </c>
      <c r="E377" s="45">
        <f t="shared" si="115"/>
        <v>5</v>
      </c>
      <c r="F377" s="45">
        <f t="shared" si="116"/>
        <v>3</v>
      </c>
      <c r="G377" s="45" t="str">
        <f t="shared" si="117"/>
        <v>1E</v>
      </c>
      <c r="H377" s="45" t="str">
        <f t="shared" si="118"/>
        <v>M3</v>
      </c>
      <c r="J377" s="45" t="str">
        <f t="shared" si="119"/>
        <v>M3</v>
      </c>
      <c r="K377" s="45" t="s">
        <v>130</v>
      </c>
      <c r="L377" s="45" t="str">
        <f t="shared" si="120"/>
        <v>1E-M3@E</v>
      </c>
      <c r="M377" s="75" t="str">
        <f t="shared" si="113"/>
        <v>329, 328, 325, 318, 317, 316, 311, 303, 305, 302, 302, 305, 307, 306, M1, M2, M3</v>
      </c>
      <c r="N377" s="75" t="str">
        <f t="shared" si="114"/>
        <v>29, 04, 03</v>
      </c>
      <c r="R377" s="70" t="s">
        <v>261</v>
      </c>
      <c r="S377" s="70" t="s">
        <v>53</v>
      </c>
      <c r="T377" s="70" t="s">
        <v>1142</v>
      </c>
      <c r="U377" s="70"/>
      <c r="V377" s="70"/>
      <c r="X377" s="70" t="str">
        <f t="shared" si="130"/>
        <v>1E-E DT@E</v>
      </c>
      <c r="Y377" s="70" t="str">
        <f t="shared" si="131"/>
        <v>E DT-M3@E</v>
      </c>
      <c r="Z377" s="70" t="str">
        <f t="shared" si="132"/>
        <v/>
      </c>
      <c r="AA377" s="70" t="str">
        <f t="shared" si="133"/>
        <v/>
      </c>
      <c r="AC377" s="70" t="str">
        <f t="shared" si="121"/>
        <v>329, 328, 325, 318, 317, 316, 311, 303, 305, 302</v>
      </c>
      <c r="AD377" s="70" t="str">
        <f t="shared" si="122"/>
        <v>302, 305, 307, 306, M1, M2, M3</v>
      </c>
      <c r="AE377" s="70" t="str">
        <f t="shared" si="123"/>
        <v/>
      </c>
      <c r="AF377" s="70" t="str">
        <f t="shared" si="124"/>
        <v/>
      </c>
      <c r="AH377" s="70" t="str">
        <f t="shared" si="125"/>
        <v>29, 04</v>
      </c>
      <c r="AI377" s="70" t="str">
        <f t="shared" si="126"/>
        <v>03</v>
      </c>
      <c r="AJ377" s="70" t="str">
        <f t="shared" si="127"/>
        <v/>
      </c>
      <c r="AK377" s="70" t="str">
        <f t="shared" si="128"/>
        <v/>
      </c>
      <c r="AM377" s="166" t="str">
        <f t="shared" si="129"/>
        <v>SHD10-5W</v>
      </c>
      <c r="AN377" s="171" t="s">
        <v>1217</v>
      </c>
      <c r="AO377" s="167" t="s">
        <v>1211</v>
      </c>
      <c r="AP377" s="167">
        <v>10</v>
      </c>
      <c r="AQ377" s="45" t="s">
        <v>1053</v>
      </c>
      <c r="AR377" s="45" t="s">
        <v>1047</v>
      </c>
      <c r="AS377" s="45">
        <v>16</v>
      </c>
    </row>
    <row r="378" spans="1:45" ht="20.100000000000001" customHeight="1" thickBot="1">
      <c r="A378" s="45" t="s">
        <v>1218</v>
      </c>
      <c r="B378" s="45" t="s">
        <v>861</v>
      </c>
      <c r="C378" s="45" t="s">
        <v>1204</v>
      </c>
      <c r="E378" s="45">
        <f t="shared" si="115"/>
        <v>5</v>
      </c>
      <c r="F378" s="45">
        <f t="shared" si="116"/>
        <v>3</v>
      </c>
      <c r="G378" s="45" t="str">
        <f t="shared" si="117"/>
        <v>M3</v>
      </c>
      <c r="H378" s="45" t="str">
        <f t="shared" si="118"/>
        <v>1W</v>
      </c>
      <c r="J378" s="45" t="str">
        <f t="shared" si="119"/>
        <v>1W</v>
      </c>
      <c r="K378" s="45" t="s">
        <v>130</v>
      </c>
      <c r="L378" s="45" t="str">
        <f t="shared" si="120"/>
        <v>M3-1W@E</v>
      </c>
      <c r="M378" s="75" t="str">
        <f t="shared" si="113"/>
        <v>302, 305, 307, 306, M1, M2, M3, 329, 328, 325, 318, 317, 316, 311, 303, 305, 302</v>
      </c>
      <c r="N378" s="75" t="str">
        <f t="shared" si="114"/>
        <v>06, 03, 10, 16</v>
      </c>
      <c r="R378" s="70" t="s">
        <v>1142</v>
      </c>
      <c r="S378" s="70" t="s">
        <v>53</v>
      </c>
      <c r="T378" s="70" t="s">
        <v>269</v>
      </c>
      <c r="U378" s="70"/>
      <c r="V378" s="70"/>
      <c r="X378" s="70" t="str">
        <f t="shared" si="130"/>
        <v>M3-E DT@E</v>
      </c>
      <c r="Y378" s="70" t="str">
        <f t="shared" si="131"/>
        <v>E DT-1W@E</v>
      </c>
      <c r="Z378" s="70" t="str">
        <f t="shared" si="132"/>
        <v/>
      </c>
      <c r="AA378" s="70" t="str">
        <f t="shared" si="133"/>
        <v/>
      </c>
      <c r="AC378" s="70" t="str">
        <f t="shared" si="121"/>
        <v>302, 305, 307, 306, M1, M2, M3</v>
      </c>
      <c r="AD378" s="70" t="str">
        <f t="shared" si="122"/>
        <v>329, 328, 325, 318, 317, 316, 311, 303, 305, 302</v>
      </c>
      <c r="AE378" s="70" t="str">
        <f t="shared" si="123"/>
        <v/>
      </c>
      <c r="AF378" s="70" t="str">
        <f t="shared" si="124"/>
        <v/>
      </c>
      <c r="AH378" s="70" t="str">
        <f t="shared" si="125"/>
        <v>06</v>
      </c>
      <c r="AI378" s="70" t="str">
        <f t="shared" si="126"/>
        <v>03, 10, 16</v>
      </c>
      <c r="AJ378" s="70" t="str">
        <f t="shared" si="127"/>
        <v/>
      </c>
      <c r="AK378" s="70" t="str">
        <f t="shared" si="128"/>
        <v/>
      </c>
      <c r="AM378" s="166" t="str">
        <f t="shared" si="129"/>
        <v>SHD10-6E</v>
      </c>
      <c r="AN378" s="171" t="s">
        <v>1219</v>
      </c>
      <c r="AO378" s="167" t="s">
        <v>1220</v>
      </c>
      <c r="AP378" s="167">
        <v>10</v>
      </c>
      <c r="AQ378" s="45" t="s">
        <v>1056</v>
      </c>
      <c r="AR378" s="45" t="s">
        <v>1057</v>
      </c>
      <c r="AS378" s="45">
        <v>16</v>
      </c>
    </row>
    <row r="379" spans="1:45" ht="20.100000000000001" customHeight="1" thickBot="1">
      <c r="A379" s="45" t="s">
        <v>1221</v>
      </c>
      <c r="B379" s="45" t="s">
        <v>266</v>
      </c>
      <c r="C379" s="45" t="s">
        <v>1207</v>
      </c>
      <c r="E379" s="45">
        <f t="shared" si="115"/>
        <v>5</v>
      </c>
      <c r="F379" s="45">
        <f t="shared" si="116"/>
        <v>3</v>
      </c>
      <c r="G379" s="45" t="str">
        <f t="shared" si="117"/>
        <v>1W</v>
      </c>
      <c r="H379" s="45" t="str">
        <f t="shared" si="118"/>
        <v>M3</v>
      </c>
      <c r="J379" s="45" t="str">
        <f t="shared" si="119"/>
        <v>M3</v>
      </c>
      <c r="K379" s="45" t="s">
        <v>130</v>
      </c>
      <c r="L379" s="45" t="str">
        <f t="shared" si="120"/>
        <v>1W-M3@E</v>
      </c>
      <c r="M379" s="75" t="str">
        <f t="shared" si="113"/>
        <v>329, 328, 325, 318, 317, 316, 311, 303, 305, 302, 302, 305, 307, 306, M1, M2, M3</v>
      </c>
      <c r="N379" s="75" t="str">
        <f t="shared" si="114"/>
        <v>29, 04, 03</v>
      </c>
      <c r="R379" s="70" t="s">
        <v>269</v>
      </c>
      <c r="S379" s="70" t="s">
        <v>53</v>
      </c>
      <c r="T379" s="70" t="s">
        <v>1142</v>
      </c>
      <c r="U379" s="70"/>
      <c r="V379" s="70"/>
      <c r="X379" s="70" t="str">
        <f t="shared" si="130"/>
        <v>1W-E DT@E</v>
      </c>
      <c r="Y379" s="70" t="str">
        <f t="shared" si="131"/>
        <v>E DT-M3@E</v>
      </c>
      <c r="Z379" s="70" t="str">
        <f t="shared" si="132"/>
        <v/>
      </c>
      <c r="AA379" s="70" t="str">
        <f t="shared" si="133"/>
        <v/>
      </c>
      <c r="AC379" s="70" t="str">
        <f t="shared" si="121"/>
        <v>329, 328, 325, 318, 317, 316, 311, 303, 305, 302</v>
      </c>
      <c r="AD379" s="70" t="str">
        <f t="shared" si="122"/>
        <v>302, 305, 307, 306, M1, M2, M3</v>
      </c>
      <c r="AE379" s="70" t="str">
        <f t="shared" si="123"/>
        <v/>
      </c>
      <c r="AF379" s="70" t="str">
        <f t="shared" si="124"/>
        <v/>
      </c>
      <c r="AH379" s="70" t="str">
        <f t="shared" si="125"/>
        <v>29, 04</v>
      </c>
      <c r="AI379" s="70" t="str">
        <f t="shared" si="126"/>
        <v>03</v>
      </c>
      <c r="AJ379" s="70" t="str">
        <f t="shared" si="127"/>
        <v/>
      </c>
      <c r="AK379" s="70" t="str">
        <f t="shared" si="128"/>
        <v/>
      </c>
      <c r="AM379" s="166" t="str">
        <f t="shared" si="129"/>
        <v>SHD10-6W</v>
      </c>
      <c r="AN379" s="171" t="s">
        <v>1222</v>
      </c>
      <c r="AO379" s="167" t="s">
        <v>1220</v>
      </c>
      <c r="AP379" s="167">
        <v>10</v>
      </c>
      <c r="AQ379" s="45" t="s">
        <v>1060</v>
      </c>
      <c r="AR379" s="45" t="s">
        <v>1057</v>
      </c>
      <c r="AS379" s="45">
        <v>16</v>
      </c>
    </row>
    <row r="380" spans="1:45" ht="20.100000000000001" customHeight="1" thickBot="1">
      <c r="A380" s="45" t="s">
        <v>1223</v>
      </c>
      <c r="B380" s="45" t="s">
        <v>861</v>
      </c>
      <c r="C380" s="45" t="s">
        <v>1224</v>
      </c>
      <c r="E380" s="45">
        <f t="shared" si="115"/>
        <v>5</v>
      </c>
      <c r="F380" s="45">
        <f t="shared" si="116"/>
        <v>3</v>
      </c>
      <c r="G380" s="45" t="str">
        <f t="shared" si="117"/>
        <v>M3</v>
      </c>
      <c r="H380" s="45" t="str">
        <f t="shared" si="118"/>
        <v>2E</v>
      </c>
      <c r="J380" s="45" t="str">
        <f t="shared" si="119"/>
        <v>2E</v>
      </c>
      <c r="K380" s="45" t="s">
        <v>130</v>
      </c>
      <c r="L380" s="45" t="str">
        <f t="shared" si="120"/>
        <v>M3-2E@E</v>
      </c>
      <c r="M380" s="75" t="str">
        <f t="shared" si="113"/>
        <v>302, 305, 307, 306, M1, M2, M3, 330, 328, 325, 318, 317, 316, 311, 303, 305, 302</v>
      </c>
      <c r="N380" s="75" t="str">
        <f t="shared" si="114"/>
        <v>06, 03, 10, 16</v>
      </c>
      <c r="R380" s="70" t="s">
        <v>1142</v>
      </c>
      <c r="S380" s="70" t="s">
        <v>53</v>
      </c>
      <c r="T380" s="70" t="s">
        <v>276</v>
      </c>
      <c r="U380" s="70"/>
      <c r="V380" s="70"/>
      <c r="X380" s="70" t="str">
        <f t="shared" si="130"/>
        <v>M3-E DT@E</v>
      </c>
      <c r="Y380" s="70" t="str">
        <f t="shared" si="131"/>
        <v>E DT-2E@E</v>
      </c>
      <c r="Z380" s="70" t="str">
        <f t="shared" si="132"/>
        <v/>
      </c>
      <c r="AA380" s="70" t="str">
        <f t="shared" si="133"/>
        <v/>
      </c>
      <c r="AC380" s="70" t="str">
        <f t="shared" si="121"/>
        <v>302, 305, 307, 306, M1, M2, M3</v>
      </c>
      <c r="AD380" s="70" t="str">
        <f t="shared" si="122"/>
        <v>330, 328, 325, 318, 317, 316, 311, 303, 305, 302</v>
      </c>
      <c r="AE380" s="70" t="str">
        <f t="shared" si="123"/>
        <v/>
      </c>
      <c r="AF380" s="70" t="str">
        <f t="shared" si="124"/>
        <v/>
      </c>
      <c r="AH380" s="70" t="str">
        <f t="shared" si="125"/>
        <v>06</v>
      </c>
      <c r="AI380" s="70" t="str">
        <f t="shared" si="126"/>
        <v>03, 10, 16</v>
      </c>
      <c r="AJ380" s="70" t="str">
        <f t="shared" si="127"/>
        <v/>
      </c>
      <c r="AK380" s="70" t="str">
        <f t="shared" si="128"/>
        <v/>
      </c>
      <c r="AM380" s="166" t="str">
        <f t="shared" si="129"/>
        <v>SHD10-7E</v>
      </c>
      <c r="AN380" s="171" t="s">
        <v>1225</v>
      </c>
      <c r="AO380" s="167" t="s">
        <v>1226</v>
      </c>
      <c r="AP380" s="167">
        <v>10</v>
      </c>
      <c r="AQ380" s="45" t="s">
        <v>1062</v>
      </c>
      <c r="AR380" s="45" t="s">
        <v>1063</v>
      </c>
      <c r="AS380" s="45">
        <v>16</v>
      </c>
    </row>
    <row r="381" spans="1:45" ht="20.100000000000001" customHeight="1" thickBot="1">
      <c r="A381" s="45" t="s">
        <v>1227</v>
      </c>
      <c r="B381" s="45" t="s">
        <v>280</v>
      </c>
      <c r="C381" s="45" t="s">
        <v>1228</v>
      </c>
      <c r="E381" s="45">
        <f t="shared" si="115"/>
        <v>5</v>
      </c>
      <c r="F381" s="45">
        <f t="shared" si="116"/>
        <v>3</v>
      </c>
      <c r="G381" s="45" t="str">
        <f t="shared" si="117"/>
        <v>2E</v>
      </c>
      <c r="H381" s="45" t="str">
        <f t="shared" si="118"/>
        <v>M3</v>
      </c>
      <c r="J381" s="45" t="str">
        <f t="shared" si="119"/>
        <v>M3</v>
      </c>
      <c r="K381" s="45" t="s">
        <v>130</v>
      </c>
      <c r="L381" s="45" t="str">
        <f t="shared" si="120"/>
        <v>2E-M3@E</v>
      </c>
      <c r="M381" s="75" t="str">
        <f t="shared" si="113"/>
        <v>330, 328, 325, 318, 317, 316, 311, 303, 305, 302, 302, 305, 307, 306, M1, M2, M3</v>
      </c>
      <c r="N381" s="75" t="str">
        <f t="shared" si="114"/>
        <v>30, 04, 03</v>
      </c>
      <c r="R381" s="70" t="s">
        <v>276</v>
      </c>
      <c r="S381" s="70" t="s">
        <v>53</v>
      </c>
      <c r="T381" s="70" t="s">
        <v>1142</v>
      </c>
      <c r="U381" s="70"/>
      <c r="V381" s="70"/>
      <c r="X381" s="70" t="str">
        <f t="shared" si="130"/>
        <v>2E-E DT@E</v>
      </c>
      <c r="Y381" s="70" t="str">
        <f t="shared" si="131"/>
        <v>E DT-M3@E</v>
      </c>
      <c r="Z381" s="70" t="str">
        <f t="shared" si="132"/>
        <v/>
      </c>
      <c r="AA381" s="70" t="str">
        <f t="shared" si="133"/>
        <v/>
      </c>
      <c r="AC381" s="70" t="str">
        <f t="shared" si="121"/>
        <v>330, 328, 325, 318, 317, 316, 311, 303, 305, 302</v>
      </c>
      <c r="AD381" s="70" t="str">
        <f t="shared" si="122"/>
        <v>302, 305, 307, 306, M1, M2, M3</v>
      </c>
      <c r="AE381" s="70" t="str">
        <f t="shared" si="123"/>
        <v/>
      </c>
      <c r="AF381" s="70" t="str">
        <f t="shared" si="124"/>
        <v/>
      </c>
      <c r="AH381" s="70" t="str">
        <f t="shared" si="125"/>
        <v>30, 04</v>
      </c>
      <c r="AI381" s="70" t="str">
        <f t="shared" si="126"/>
        <v>03</v>
      </c>
      <c r="AJ381" s="70" t="str">
        <f t="shared" si="127"/>
        <v/>
      </c>
      <c r="AK381" s="70" t="str">
        <f t="shared" si="128"/>
        <v/>
      </c>
      <c r="AM381" s="166" t="str">
        <f t="shared" si="129"/>
        <v>SHD10-7W</v>
      </c>
      <c r="AN381" s="171" t="s">
        <v>1229</v>
      </c>
      <c r="AO381" s="167" t="s">
        <v>1226</v>
      </c>
      <c r="AP381" s="167">
        <v>10</v>
      </c>
      <c r="AQ381" s="45" t="s">
        <v>1065</v>
      </c>
      <c r="AR381" s="45" t="s">
        <v>1063</v>
      </c>
      <c r="AS381" s="45">
        <v>16</v>
      </c>
    </row>
    <row r="382" spans="1:45" ht="20.100000000000001" customHeight="1" thickBot="1">
      <c r="A382" s="45" t="s">
        <v>1230</v>
      </c>
      <c r="B382" s="45" t="s">
        <v>861</v>
      </c>
      <c r="C382" s="45" t="s">
        <v>1224</v>
      </c>
      <c r="E382" s="45">
        <f t="shared" si="115"/>
        <v>5</v>
      </c>
      <c r="F382" s="45">
        <f t="shared" si="116"/>
        <v>3</v>
      </c>
      <c r="G382" s="45" t="str">
        <f t="shared" si="117"/>
        <v>M3</v>
      </c>
      <c r="H382" s="45" t="str">
        <f t="shared" si="118"/>
        <v>2W</v>
      </c>
      <c r="J382" s="45" t="str">
        <f t="shared" si="119"/>
        <v>2W</v>
      </c>
      <c r="K382" s="45" t="s">
        <v>130</v>
      </c>
      <c r="L382" s="45" t="str">
        <f t="shared" si="120"/>
        <v>M3-2W@E</v>
      </c>
      <c r="M382" s="75" t="str">
        <f t="shared" si="113"/>
        <v>302, 305, 307, 306, M1, M2, M3, 330, 328, 325, 318, 317, 316, 311, 303, 305, 302</v>
      </c>
      <c r="N382" s="75" t="str">
        <f t="shared" si="114"/>
        <v>06, 03, 10, 16</v>
      </c>
      <c r="R382" s="70" t="s">
        <v>1142</v>
      </c>
      <c r="S382" s="70" t="s">
        <v>53</v>
      </c>
      <c r="T382" s="70" t="s">
        <v>285</v>
      </c>
      <c r="U382" s="70"/>
      <c r="V382" s="70"/>
      <c r="X382" s="70" t="str">
        <f t="shared" si="130"/>
        <v>M3-E DT@E</v>
      </c>
      <c r="Y382" s="70" t="str">
        <f t="shared" si="131"/>
        <v>E DT-2W@E</v>
      </c>
      <c r="Z382" s="70" t="str">
        <f t="shared" si="132"/>
        <v/>
      </c>
      <c r="AA382" s="70" t="str">
        <f t="shared" si="133"/>
        <v/>
      </c>
      <c r="AC382" s="70" t="str">
        <f t="shared" si="121"/>
        <v>302, 305, 307, 306, M1, M2, M3</v>
      </c>
      <c r="AD382" s="70" t="str">
        <f t="shared" si="122"/>
        <v>330, 328, 325, 318, 317, 316, 311, 303, 305, 302</v>
      </c>
      <c r="AE382" s="70" t="str">
        <f t="shared" si="123"/>
        <v/>
      </c>
      <c r="AF382" s="70" t="str">
        <f t="shared" si="124"/>
        <v/>
      </c>
      <c r="AH382" s="70" t="str">
        <f t="shared" si="125"/>
        <v>06</v>
      </c>
      <c r="AI382" s="70" t="str">
        <f t="shared" si="126"/>
        <v>03, 10, 16</v>
      </c>
      <c r="AJ382" s="70" t="str">
        <f t="shared" si="127"/>
        <v/>
      </c>
      <c r="AK382" s="70" t="str">
        <f t="shared" si="128"/>
        <v/>
      </c>
      <c r="AM382" s="166" t="str">
        <f t="shared" si="129"/>
        <v>SHD10-8E</v>
      </c>
      <c r="AN382" s="171" t="s">
        <v>1231</v>
      </c>
      <c r="AO382" s="167" t="s">
        <v>1226</v>
      </c>
      <c r="AP382" s="167">
        <v>10</v>
      </c>
      <c r="AQ382" s="45" t="s">
        <v>1067</v>
      </c>
      <c r="AR382" s="45" t="s">
        <v>1063</v>
      </c>
      <c r="AS382" s="45">
        <v>16</v>
      </c>
    </row>
    <row r="383" spans="1:45" ht="20.100000000000001" customHeight="1" thickBot="1">
      <c r="A383" s="45" t="s">
        <v>1232</v>
      </c>
      <c r="B383" s="45" t="s">
        <v>280</v>
      </c>
      <c r="C383" s="45" t="s">
        <v>1228</v>
      </c>
      <c r="E383" s="45">
        <f t="shared" si="115"/>
        <v>5</v>
      </c>
      <c r="F383" s="45">
        <f t="shared" si="116"/>
        <v>3</v>
      </c>
      <c r="G383" s="45" t="str">
        <f t="shared" si="117"/>
        <v>2W</v>
      </c>
      <c r="H383" s="45" t="str">
        <f t="shared" si="118"/>
        <v>M3</v>
      </c>
      <c r="J383" s="45" t="str">
        <f t="shared" si="119"/>
        <v>M3</v>
      </c>
      <c r="K383" s="45" t="s">
        <v>130</v>
      </c>
      <c r="L383" s="45" t="str">
        <f t="shared" si="120"/>
        <v>2W-M3@E</v>
      </c>
      <c r="M383" s="75" t="str">
        <f t="shared" si="113"/>
        <v>330, 328, 325, 318, 317, 316, 311, 303, 305, 302, 302, 305, 307, 306, M1, M2, M3</v>
      </c>
      <c r="N383" s="75" t="str">
        <f t="shared" si="114"/>
        <v>30, 04, 03</v>
      </c>
      <c r="R383" s="70" t="s">
        <v>285</v>
      </c>
      <c r="S383" s="70" t="s">
        <v>53</v>
      </c>
      <c r="T383" s="70" t="s">
        <v>1142</v>
      </c>
      <c r="U383" s="70"/>
      <c r="V383" s="70"/>
      <c r="X383" s="70" t="str">
        <f t="shared" si="130"/>
        <v>2W-E DT@E</v>
      </c>
      <c r="Y383" s="70" t="str">
        <f t="shared" si="131"/>
        <v>E DT-M3@E</v>
      </c>
      <c r="Z383" s="70" t="str">
        <f t="shared" si="132"/>
        <v/>
      </c>
      <c r="AA383" s="70" t="str">
        <f t="shared" si="133"/>
        <v/>
      </c>
      <c r="AC383" s="70" t="str">
        <f t="shared" si="121"/>
        <v>330, 328, 325, 318, 317, 316, 311, 303, 305, 302</v>
      </c>
      <c r="AD383" s="70" t="str">
        <f t="shared" si="122"/>
        <v>302, 305, 307, 306, M1, M2, M3</v>
      </c>
      <c r="AE383" s="70" t="str">
        <f t="shared" si="123"/>
        <v/>
      </c>
      <c r="AF383" s="70" t="str">
        <f t="shared" si="124"/>
        <v/>
      </c>
      <c r="AH383" s="70" t="str">
        <f t="shared" si="125"/>
        <v>30, 04</v>
      </c>
      <c r="AI383" s="70" t="str">
        <f t="shared" si="126"/>
        <v>03</v>
      </c>
      <c r="AJ383" s="70" t="str">
        <f t="shared" si="127"/>
        <v/>
      </c>
      <c r="AK383" s="70" t="str">
        <f t="shared" si="128"/>
        <v/>
      </c>
      <c r="AM383" s="166" t="str">
        <f t="shared" si="129"/>
        <v>SHD10-8W</v>
      </c>
      <c r="AN383" s="171" t="s">
        <v>1233</v>
      </c>
      <c r="AO383" s="167" t="s">
        <v>1226</v>
      </c>
      <c r="AP383" s="167">
        <v>10</v>
      </c>
      <c r="AQ383" s="45" t="s">
        <v>1069</v>
      </c>
      <c r="AR383" s="45" t="s">
        <v>1063</v>
      </c>
      <c r="AS383" s="45">
        <v>16</v>
      </c>
    </row>
    <row r="384" spans="1:45" ht="20.100000000000001" customHeight="1" thickBot="1">
      <c r="A384" s="45" t="s">
        <v>1234</v>
      </c>
      <c r="B384" s="45" t="s">
        <v>861</v>
      </c>
      <c r="C384" s="45" t="s">
        <v>1224</v>
      </c>
      <c r="E384" s="45">
        <f t="shared" si="115"/>
        <v>5</v>
      </c>
      <c r="F384" s="45">
        <f t="shared" si="116"/>
        <v>3</v>
      </c>
      <c r="G384" s="45" t="str">
        <f t="shared" si="117"/>
        <v>M3</v>
      </c>
      <c r="H384" s="45" t="str">
        <f t="shared" si="118"/>
        <v>3E</v>
      </c>
      <c r="J384" s="45" t="str">
        <f t="shared" si="119"/>
        <v>3E</v>
      </c>
      <c r="K384" s="45" t="s">
        <v>130</v>
      </c>
      <c r="L384" s="45" t="str">
        <f t="shared" si="120"/>
        <v>M3-3E@E</v>
      </c>
      <c r="M384" s="75" t="str">
        <f t="shared" si="113"/>
        <v>302, 305, 307, 306, M1, M2, M3, 330, 328, 325, 318, 317, 316, 311, 303, 305, 302</v>
      </c>
      <c r="N384" s="75" t="str">
        <f t="shared" si="114"/>
        <v>06, 03, 10, 16</v>
      </c>
      <c r="R384" s="70" t="s">
        <v>1142</v>
      </c>
      <c r="S384" s="70" t="s">
        <v>53</v>
      </c>
      <c r="T384" s="70" t="s">
        <v>293</v>
      </c>
      <c r="U384" s="70"/>
      <c r="V384" s="70"/>
      <c r="X384" s="70" t="str">
        <f t="shared" si="130"/>
        <v>M3-E DT@E</v>
      </c>
      <c r="Y384" s="70" t="str">
        <f t="shared" si="131"/>
        <v>E DT-3E@E</v>
      </c>
      <c r="Z384" s="70" t="str">
        <f t="shared" si="132"/>
        <v/>
      </c>
      <c r="AA384" s="70" t="str">
        <f t="shared" si="133"/>
        <v/>
      </c>
      <c r="AC384" s="70" t="str">
        <f t="shared" si="121"/>
        <v>302, 305, 307, 306, M1, M2, M3</v>
      </c>
      <c r="AD384" s="70" t="str">
        <f t="shared" si="122"/>
        <v>330, 328, 325, 318, 317, 316, 311, 303, 305, 302</v>
      </c>
      <c r="AE384" s="70" t="str">
        <f t="shared" si="123"/>
        <v/>
      </c>
      <c r="AF384" s="70" t="str">
        <f t="shared" si="124"/>
        <v/>
      </c>
      <c r="AH384" s="70" t="str">
        <f t="shared" si="125"/>
        <v>06</v>
      </c>
      <c r="AI384" s="70" t="str">
        <f t="shared" si="126"/>
        <v>03, 10, 16</v>
      </c>
      <c r="AJ384" s="70" t="str">
        <f t="shared" si="127"/>
        <v/>
      </c>
      <c r="AK384" s="70" t="str">
        <f t="shared" si="128"/>
        <v/>
      </c>
      <c r="AM384" s="166" t="str">
        <f t="shared" si="129"/>
        <v>LF4-SHD10</v>
      </c>
      <c r="AN384" s="171" t="s">
        <v>1235</v>
      </c>
      <c r="AO384" s="167" t="s">
        <v>1161</v>
      </c>
      <c r="AP384" s="167">
        <v>21</v>
      </c>
      <c r="AQ384" s="45" t="s">
        <v>1071</v>
      </c>
      <c r="AR384" s="45" t="s">
        <v>990</v>
      </c>
      <c r="AS384" s="45">
        <v>21</v>
      </c>
    </row>
    <row r="385" spans="1:45" ht="20.100000000000001" customHeight="1" thickBot="1">
      <c r="A385" s="45" t="s">
        <v>1236</v>
      </c>
      <c r="B385" s="45" t="s">
        <v>297</v>
      </c>
      <c r="C385" s="45" t="s">
        <v>1228</v>
      </c>
      <c r="E385" s="45">
        <f t="shared" si="115"/>
        <v>5</v>
      </c>
      <c r="F385" s="45">
        <f t="shared" si="116"/>
        <v>3</v>
      </c>
      <c r="G385" s="45" t="str">
        <f t="shared" si="117"/>
        <v>3E</v>
      </c>
      <c r="H385" s="45" t="str">
        <f t="shared" si="118"/>
        <v>M3</v>
      </c>
      <c r="J385" s="45" t="str">
        <f t="shared" si="119"/>
        <v>M3</v>
      </c>
      <c r="K385" s="45" t="s">
        <v>130</v>
      </c>
      <c r="L385" s="45" t="str">
        <f t="shared" si="120"/>
        <v>3E-M3@E</v>
      </c>
      <c r="M385" s="75" t="str">
        <f t="shared" si="113"/>
        <v>330, 328, 325, 318, 317, 316, 311, 303, 305, 302, 302, 305, 307, 306, M1, M2, M3</v>
      </c>
      <c r="N385" s="75" t="str">
        <f t="shared" si="114"/>
        <v>31, 04, 03</v>
      </c>
      <c r="R385" s="70" t="s">
        <v>293</v>
      </c>
      <c r="S385" s="70" t="s">
        <v>53</v>
      </c>
      <c r="T385" s="70" t="s">
        <v>1142</v>
      </c>
      <c r="U385" s="70"/>
      <c r="V385" s="70"/>
      <c r="X385" s="70" t="str">
        <f t="shared" si="130"/>
        <v>3E-E DT@E</v>
      </c>
      <c r="Y385" s="70" t="str">
        <f t="shared" si="131"/>
        <v>E DT-M3@E</v>
      </c>
      <c r="Z385" s="70" t="str">
        <f t="shared" si="132"/>
        <v/>
      </c>
      <c r="AA385" s="70" t="str">
        <f t="shared" si="133"/>
        <v/>
      </c>
      <c r="AC385" s="70" t="str">
        <f t="shared" si="121"/>
        <v>330, 328, 325, 318, 317, 316, 311, 303, 305, 302</v>
      </c>
      <c r="AD385" s="70" t="str">
        <f t="shared" si="122"/>
        <v>302, 305, 307, 306, M1, M2, M3</v>
      </c>
      <c r="AE385" s="70" t="str">
        <f t="shared" si="123"/>
        <v/>
      </c>
      <c r="AF385" s="70" t="str">
        <f t="shared" si="124"/>
        <v/>
      </c>
      <c r="AH385" s="70" t="str">
        <f t="shared" si="125"/>
        <v>31, 04</v>
      </c>
      <c r="AI385" s="70" t="str">
        <f t="shared" si="126"/>
        <v>03</v>
      </c>
      <c r="AJ385" s="70" t="str">
        <f t="shared" si="127"/>
        <v/>
      </c>
      <c r="AK385" s="70" t="str">
        <f t="shared" si="128"/>
        <v/>
      </c>
      <c r="AM385" s="166" t="str">
        <f t="shared" si="129"/>
        <v>HM1-SHD10</v>
      </c>
      <c r="AN385" s="171" t="s">
        <v>1237</v>
      </c>
      <c r="AO385" s="167" t="s">
        <v>1165</v>
      </c>
      <c r="AP385" s="167">
        <v>22</v>
      </c>
      <c r="AQ385" s="45" t="s">
        <v>1073</v>
      </c>
      <c r="AR385" s="45" t="s">
        <v>999</v>
      </c>
      <c r="AS385" s="45">
        <v>22</v>
      </c>
    </row>
    <row r="386" spans="1:45" ht="20.100000000000001" customHeight="1" thickBot="1">
      <c r="A386" s="45" t="s">
        <v>1238</v>
      </c>
      <c r="B386" s="45" t="s">
        <v>861</v>
      </c>
      <c r="C386" s="45" t="s">
        <v>1224</v>
      </c>
      <c r="E386" s="45">
        <f t="shared" si="115"/>
        <v>5</v>
      </c>
      <c r="F386" s="45">
        <f t="shared" si="116"/>
        <v>3</v>
      </c>
      <c r="G386" s="45" t="str">
        <f t="shared" si="117"/>
        <v>M3</v>
      </c>
      <c r="H386" s="45" t="str">
        <f t="shared" si="118"/>
        <v>3W</v>
      </c>
      <c r="J386" s="45" t="str">
        <f t="shared" si="119"/>
        <v>3W</v>
      </c>
      <c r="K386" s="45" t="s">
        <v>130</v>
      </c>
      <c r="L386" s="45" t="str">
        <f t="shared" si="120"/>
        <v>M3-3W@E</v>
      </c>
      <c r="M386" s="75" t="str">
        <f t="shared" ref="M386:M449" si="134">IF(AF386="",IF(AE386="",IF(AD386="",AC386,CONCATENATE(AC386,", ",AD386)),CONCATENATE(AC386,", ",AD386,", ",AE386)),CONCATENATE(AC386,", ",AD386,", ",AE386,", ",AF386))</f>
        <v>302, 305, 307, 306, M1, M2, M3, 330, 328, 325, 318, 317, 316, 311, 303, 305, 302</v>
      </c>
      <c r="N386" s="75" t="str">
        <f t="shared" ref="N386:N449" si="135">IF(AK386="",IF(AJ386="",IF(AI386="",AH386,CONCATENATE(AH386,", ",AI386)),CONCATENATE(AH386,", ",AI386,", ",AJ386)),CONCATENATE(AH386,", ",AI386,", ",AJ386,", ",AK386))</f>
        <v>06, 03, 10, 16</v>
      </c>
      <c r="R386" s="70" t="s">
        <v>1142</v>
      </c>
      <c r="S386" s="70" t="s">
        <v>53</v>
      </c>
      <c r="T386" s="70" t="s">
        <v>301</v>
      </c>
      <c r="U386" s="70"/>
      <c r="V386" s="70"/>
      <c r="X386" s="70" t="str">
        <f t="shared" si="130"/>
        <v>M3-E DT@E</v>
      </c>
      <c r="Y386" s="70" t="str">
        <f t="shared" si="131"/>
        <v>E DT-3W@E</v>
      </c>
      <c r="Z386" s="70" t="str">
        <f t="shared" si="132"/>
        <v/>
      </c>
      <c r="AA386" s="70" t="str">
        <f t="shared" si="133"/>
        <v/>
      </c>
      <c r="AC386" s="70" t="str">
        <f t="shared" si="121"/>
        <v>302, 305, 307, 306, M1, M2, M3</v>
      </c>
      <c r="AD386" s="70" t="str">
        <f t="shared" si="122"/>
        <v>330, 328, 325, 318, 317, 316, 311, 303, 305, 302</v>
      </c>
      <c r="AE386" s="70" t="str">
        <f t="shared" si="123"/>
        <v/>
      </c>
      <c r="AF386" s="70" t="str">
        <f t="shared" si="124"/>
        <v/>
      </c>
      <c r="AH386" s="70" t="str">
        <f t="shared" si="125"/>
        <v>06</v>
      </c>
      <c r="AI386" s="70" t="str">
        <f t="shared" si="126"/>
        <v>03, 10, 16</v>
      </c>
      <c r="AJ386" s="70" t="str">
        <f t="shared" si="127"/>
        <v/>
      </c>
      <c r="AK386" s="70" t="str">
        <f t="shared" si="128"/>
        <v/>
      </c>
      <c r="AM386" s="166" t="str">
        <f t="shared" si="129"/>
        <v>HM2-SHD10</v>
      </c>
      <c r="AN386" s="171" t="s">
        <v>1239</v>
      </c>
      <c r="AO386" s="167" t="s">
        <v>1168</v>
      </c>
      <c r="AP386" s="167">
        <v>23</v>
      </c>
      <c r="AQ386" s="45" t="s">
        <v>1076</v>
      </c>
      <c r="AR386" s="45" t="s">
        <v>1002</v>
      </c>
      <c r="AS386" s="45">
        <v>23</v>
      </c>
    </row>
    <row r="387" spans="1:45" ht="20.100000000000001" customHeight="1" thickBot="1">
      <c r="A387" s="45" t="s">
        <v>1240</v>
      </c>
      <c r="B387" s="45" t="s">
        <v>297</v>
      </c>
      <c r="C387" s="45" t="s">
        <v>1228</v>
      </c>
      <c r="E387" s="45">
        <f t="shared" ref="E387:E450" si="136">LEN(A387)</f>
        <v>5</v>
      </c>
      <c r="F387" s="45">
        <f t="shared" ref="F387:F450" si="137">SEARCH("-",A387)</f>
        <v>3</v>
      </c>
      <c r="G387" s="45" t="str">
        <f t="shared" ref="G387:G450" si="138">LEFT(A387,F387-1)</f>
        <v>3W</v>
      </c>
      <c r="H387" s="45" t="str">
        <f t="shared" ref="H387:H450" si="139">RIGHT(A387,E387-F387)</f>
        <v>M3</v>
      </c>
      <c r="J387" s="45" t="str">
        <f t="shared" ref="J387:J450" si="140">IF(V387="",IF(U387="",IF(T387="",S387,T387),U387),V387)</f>
        <v>M3</v>
      </c>
      <c r="K387" s="45" t="s">
        <v>130</v>
      </c>
      <c r="L387" s="45" t="str">
        <f t="shared" ref="L387:L450" si="141">CONCATENATE(R387,"-",J387,"@",K387)</f>
        <v>3W-M3@E</v>
      </c>
      <c r="M387" s="75" t="str">
        <f t="shared" si="134"/>
        <v>330, 328, 325, 318, 317, 316, 311, 303, 305, 302, 302, 305, 307, 306, M1, M2, M3</v>
      </c>
      <c r="N387" s="75" t="str">
        <f t="shared" si="135"/>
        <v>31, 04, 03</v>
      </c>
      <c r="R387" s="70" t="s">
        <v>301</v>
      </c>
      <c r="S387" s="70" t="s">
        <v>53</v>
      </c>
      <c r="T387" s="70" t="s">
        <v>1142</v>
      </c>
      <c r="U387" s="70"/>
      <c r="V387" s="70"/>
      <c r="X387" s="70" t="str">
        <f t="shared" si="130"/>
        <v>3W-E DT@E</v>
      </c>
      <c r="Y387" s="70" t="str">
        <f t="shared" si="131"/>
        <v>E DT-M3@E</v>
      </c>
      <c r="Z387" s="70" t="str">
        <f t="shared" si="132"/>
        <v/>
      </c>
      <c r="AA387" s="70" t="str">
        <f t="shared" si="133"/>
        <v/>
      </c>
      <c r="AC387" s="70" t="str">
        <f t="shared" ref="AC387:AC450" si="142">IF(X387="","",VLOOKUP(X387,$AN$2:$AP$736,2,0))</f>
        <v>330, 328, 325, 318, 317, 316, 311, 303, 305, 302</v>
      </c>
      <c r="AD387" s="70" t="str">
        <f t="shared" ref="AD387:AD450" si="143">IF(Y387="","",VLOOKUP(Y387,$AN$2:$AP$736,2,0))</f>
        <v>302, 305, 307, 306, M1, M2, M3</v>
      </c>
      <c r="AE387" s="70" t="str">
        <f t="shared" ref="AE387:AE450" si="144">IF(Z387="","",VLOOKUP(Z387,$AN$2:$AP$736,2,0))</f>
        <v/>
      </c>
      <c r="AF387" s="70" t="str">
        <f t="shared" ref="AF387:AF450" si="145">IF(AA387="","",VLOOKUP(AA387,$AN$2:$AP$736,2,0))</f>
        <v/>
      </c>
      <c r="AH387" s="70" t="str">
        <f t="shared" ref="AH387:AH450" si="146">IF(X387="","",VLOOKUP(X387,$AN$2:$AP$162,3,0))</f>
        <v>31, 04</v>
      </c>
      <c r="AI387" s="70" t="str">
        <f t="shared" ref="AI387:AI450" si="147">IF(Y387="","",VLOOKUP(Y387,$AN$2:$AP$162,3,0))</f>
        <v>03</v>
      </c>
      <c r="AJ387" s="70" t="str">
        <f t="shared" ref="AJ387:AJ450" si="148">IF(Z387="","",VLOOKUP(Z387,$AN$2:$AP$162,3,0))</f>
        <v/>
      </c>
      <c r="AK387" s="70" t="str">
        <f t="shared" ref="AK387:AK450" si="149">IF(AA387="","",VLOOKUP(AA387,$AN$2:$AP$162,3,0))</f>
        <v/>
      </c>
      <c r="AM387" s="166" t="str">
        <f t="shared" ref="AM387:AM434" si="150">LEFT(AN387,LEN(AN387)-2)</f>
        <v>HM3-SHD10</v>
      </c>
      <c r="AN387" s="171" t="s">
        <v>1241</v>
      </c>
      <c r="AO387" s="167" t="s">
        <v>1168</v>
      </c>
      <c r="AP387" s="167">
        <v>24</v>
      </c>
      <c r="AQ387" s="45" t="s">
        <v>1079</v>
      </c>
      <c r="AR387" s="45" t="s">
        <v>1002</v>
      </c>
      <c r="AS387" s="45">
        <v>24</v>
      </c>
    </row>
    <row r="388" spans="1:45" ht="20.100000000000001" customHeight="1" thickBot="1">
      <c r="A388" s="45" t="s">
        <v>1242</v>
      </c>
      <c r="B388" s="45" t="s">
        <v>861</v>
      </c>
      <c r="C388" s="45" t="s">
        <v>1243</v>
      </c>
      <c r="E388" s="45">
        <f t="shared" si="136"/>
        <v>5</v>
      </c>
      <c r="F388" s="45">
        <f t="shared" si="137"/>
        <v>3</v>
      </c>
      <c r="G388" s="45" t="str">
        <f t="shared" si="138"/>
        <v>M3</v>
      </c>
      <c r="H388" s="45" t="str">
        <f t="shared" si="139"/>
        <v>4E</v>
      </c>
      <c r="J388" s="45" t="str">
        <f t="shared" si="140"/>
        <v>4E</v>
      </c>
      <c r="K388" s="45" t="s">
        <v>130</v>
      </c>
      <c r="L388" s="45" t="str">
        <f t="shared" si="141"/>
        <v>M3-4E@E</v>
      </c>
      <c r="M388" s="75" t="str">
        <f t="shared" si="134"/>
        <v>302, 305, 307, 306, M1, M2, M3, 333, 331, 318, 317, 316, 311, 303, 305, 302</v>
      </c>
      <c r="N388" s="75" t="str">
        <f t="shared" si="135"/>
        <v>06, 03, 10, 16</v>
      </c>
      <c r="R388" s="70" t="s">
        <v>1142</v>
      </c>
      <c r="S388" s="70" t="s">
        <v>53</v>
      </c>
      <c r="T388" s="70" t="s">
        <v>309</v>
      </c>
      <c r="U388" s="70"/>
      <c r="V388" s="70"/>
      <c r="X388" s="70" t="str">
        <f t="shared" si="130"/>
        <v>M3-E DT@E</v>
      </c>
      <c r="Y388" s="70" t="str">
        <f t="shared" si="131"/>
        <v>E DT-4E@E</v>
      </c>
      <c r="Z388" s="70" t="str">
        <f t="shared" si="132"/>
        <v/>
      </c>
      <c r="AA388" s="70" t="str">
        <f t="shared" si="133"/>
        <v/>
      </c>
      <c r="AC388" s="70" t="str">
        <f t="shared" si="142"/>
        <v>302, 305, 307, 306, M1, M2, M3</v>
      </c>
      <c r="AD388" s="70" t="str">
        <f t="shared" si="143"/>
        <v>333, 331, 318, 317, 316, 311, 303, 305, 302</v>
      </c>
      <c r="AE388" s="70" t="str">
        <f t="shared" si="144"/>
        <v/>
      </c>
      <c r="AF388" s="70" t="str">
        <f t="shared" si="145"/>
        <v/>
      </c>
      <c r="AH388" s="70" t="str">
        <f t="shared" si="146"/>
        <v>06</v>
      </c>
      <c r="AI388" s="70" t="str">
        <f t="shared" si="147"/>
        <v>03, 10, 16</v>
      </c>
      <c r="AJ388" s="70" t="str">
        <f t="shared" si="148"/>
        <v/>
      </c>
      <c r="AK388" s="70" t="str">
        <f t="shared" si="149"/>
        <v/>
      </c>
      <c r="AM388" s="166" t="str">
        <f t="shared" si="150"/>
        <v>RM1E-SHD10</v>
      </c>
      <c r="AN388" s="171" t="s">
        <v>1244</v>
      </c>
      <c r="AO388" s="167" t="s">
        <v>1174</v>
      </c>
      <c r="AP388" s="167">
        <v>25</v>
      </c>
      <c r="AQ388" s="45" t="s">
        <v>1081</v>
      </c>
      <c r="AR388" s="45" t="s">
        <v>1008</v>
      </c>
      <c r="AS388" s="45">
        <v>25</v>
      </c>
    </row>
    <row r="389" spans="1:45" ht="20.100000000000001" customHeight="1" thickBot="1">
      <c r="A389" s="45" t="s">
        <v>1245</v>
      </c>
      <c r="B389" s="45" t="s">
        <v>313</v>
      </c>
      <c r="C389" s="45" t="s">
        <v>1246</v>
      </c>
      <c r="E389" s="45">
        <f t="shared" si="136"/>
        <v>5</v>
      </c>
      <c r="F389" s="45">
        <f t="shared" si="137"/>
        <v>3</v>
      </c>
      <c r="G389" s="45" t="str">
        <f t="shared" si="138"/>
        <v>4E</v>
      </c>
      <c r="H389" s="45" t="str">
        <f t="shared" si="139"/>
        <v>M3</v>
      </c>
      <c r="J389" s="45" t="str">
        <f t="shared" si="140"/>
        <v>M3</v>
      </c>
      <c r="K389" s="45" t="s">
        <v>130</v>
      </c>
      <c r="L389" s="45" t="str">
        <f t="shared" si="141"/>
        <v>4E-M3@E</v>
      </c>
      <c r="M389" s="75" t="str">
        <f t="shared" si="134"/>
        <v>333, 331, 318, 317, 316, 311, 303, 305, 302, 302, 305, 307, 306, M1, M2, M3</v>
      </c>
      <c r="N389" s="75" t="str">
        <f t="shared" si="135"/>
        <v>32, 04, 03</v>
      </c>
      <c r="R389" s="70" t="s">
        <v>309</v>
      </c>
      <c r="S389" s="70" t="s">
        <v>53</v>
      </c>
      <c r="T389" s="70" t="s">
        <v>1142</v>
      </c>
      <c r="U389" s="70"/>
      <c r="V389" s="70"/>
      <c r="X389" s="70" t="str">
        <f t="shared" si="130"/>
        <v>4E-E DT@E</v>
      </c>
      <c r="Y389" s="70" t="str">
        <f t="shared" si="131"/>
        <v>E DT-M3@E</v>
      </c>
      <c r="Z389" s="70" t="str">
        <f t="shared" si="132"/>
        <v/>
      </c>
      <c r="AA389" s="70" t="str">
        <f t="shared" si="133"/>
        <v/>
      </c>
      <c r="AC389" s="70" t="str">
        <f t="shared" si="142"/>
        <v>333, 331, 318, 317, 316, 311, 303, 305, 302</v>
      </c>
      <c r="AD389" s="70" t="str">
        <f t="shared" si="143"/>
        <v>302, 305, 307, 306, M1, M2, M3</v>
      </c>
      <c r="AE389" s="70" t="str">
        <f t="shared" si="144"/>
        <v/>
      </c>
      <c r="AF389" s="70" t="str">
        <f t="shared" si="145"/>
        <v/>
      </c>
      <c r="AH389" s="70" t="str">
        <f t="shared" si="146"/>
        <v>32, 04</v>
      </c>
      <c r="AI389" s="70" t="str">
        <f t="shared" si="147"/>
        <v>03</v>
      </c>
      <c r="AJ389" s="70" t="str">
        <f t="shared" si="148"/>
        <v/>
      </c>
      <c r="AK389" s="70" t="str">
        <f t="shared" si="149"/>
        <v/>
      </c>
      <c r="AM389" s="166" t="str">
        <f t="shared" si="150"/>
        <v>RM1W-SHD10</v>
      </c>
      <c r="AN389" s="171" t="s">
        <v>1247</v>
      </c>
      <c r="AO389" s="167" t="s">
        <v>1174</v>
      </c>
      <c r="AP389" s="167">
        <v>25</v>
      </c>
      <c r="AQ389" s="45" t="s">
        <v>1083</v>
      </c>
      <c r="AR389" s="45" t="s">
        <v>1008</v>
      </c>
      <c r="AS389" s="45">
        <v>25</v>
      </c>
    </row>
    <row r="390" spans="1:45" ht="20.100000000000001" customHeight="1" thickBot="1">
      <c r="A390" s="45" t="s">
        <v>1248</v>
      </c>
      <c r="B390" s="45" t="s">
        <v>861</v>
      </c>
      <c r="C390" s="45" t="s">
        <v>1243</v>
      </c>
      <c r="E390" s="45">
        <f t="shared" si="136"/>
        <v>5</v>
      </c>
      <c r="F390" s="45">
        <f t="shared" si="137"/>
        <v>3</v>
      </c>
      <c r="G390" s="45" t="str">
        <f t="shared" si="138"/>
        <v>M3</v>
      </c>
      <c r="H390" s="45" t="str">
        <f t="shared" si="139"/>
        <v>4W</v>
      </c>
      <c r="J390" s="45" t="str">
        <f t="shared" si="140"/>
        <v>4W</v>
      </c>
      <c r="K390" s="45" t="s">
        <v>130</v>
      </c>
      <c r="L390" s="45" t="str">
        <f t="shared" si="141"/>
        <v>M3-4W@E</v>
      </c>
      <c r="M390" s="75" t="str">
        <f t="shared" si="134"/>
        <v>302, 305, 307, 306, M1, M2, M3, 333, 331, 318, 317, 316, 311, 303, 305, 302</v>
      </c>
      <c r="N390" s="75" t="str">
        <f t="shared" si="135"/>
        <v>06, 03, 10, 16</v>
      </c>
      <c r="R390" s="70" t="s">
        <v>1142</v>
      </c>
      <c r="S390" s="70" t="s">
        <v>53</v>
      </c>
      <c r="T390" s="70" t="s">
        <v>318</v>
      </c>
      <c r="U390" s="70"/>
      <c r="V390" s="70"/>
      <c r="X390" s="70" t="str">
        <f t="shared" si="130"/>
        <v>M3-E DT@E</v>
      </c>
      <c r="Y390" s="70" t="str">
        <f t="shared" si="131"/>
        <v>E DT-4W@E</v>
      </c>
      <c r="Z390" s="70" t="str">
        <f t="shared" si="132"/>
        <v/>
      </c>
      <c r="AA390" s="70" t="str">
        <f t="shared" si="133"/>
        <v/>
      </c>
      <c r="AC390" s="70" t="str">
        <f t="shared" si="142"/>
        <v>302, 305, 307, 306, M1, M2, M3</v>
      </c>
      <c r="AD390" s="70" t="str">
        <f t="shared" si="143"/>
        <v>333, 331, 318, 317, 316, 311, 303, 305, 302</v>
      </c>
      <c r="AE390" s="70" t="str">
        <f t="shared" si="144"/>
        <v/>
      </c>
      <c r="AF390" s="70" t="str">
        <f t="shared" si="145"/>
        <v/>
      </c>
      <c r="AH390" s="70" t="str">
        <f t="shared" si="146"/>
        <v>06</v>
      </c>
      <c r="AI390" s="70" t="str">
        <f t="shared" si="147"/>
        <v>03, 10, 16</v>
      </c>
      <c r="AJ390" s="70" t="str">
        <f t="shared" si="148"/>
        <v/>
      </c>
      <c r="AK390" s="70" t="str">
        <f t="shared" si="149"/>
        <v/>
      </c>
      <c r="AM390" s="166" t="str">
        <f t="shared" si="150"/>
        <v>RM2E-SHD10</v>
      </c>
      <c r="AN390" s="171" t="s">
        <v>1249</v>
      </c>
      <c r="AO390" s="167" t="s">
        <v>1180</v>
      </c>
      <c r="AP390" s="167">
        <v>26</v>
      </c>
      <c r="AQ390" s="45" t="s">
        <v>1085</v>
      </c>
      <c r="AR390" s="45" t="s">
        <v>1015</v>
      </c>
      <c r="AS390" s="45">
        <v>26</v>
      </c>
    </row>
    <row r="391" spans="1:45" ht="20.100000000000001" customHeight="1" thickBot="1">
      <c r="A391" s="45" t="s">
        <v>1250</v>
      </c>
      <c r="B391" s="45" t="s">
        <v>313</v>
      </c>
      <c r="C391" s="45" t="s">
        <v>1246</v>
      </c>
      <c r="E391" s="45">
        <f t="shared" si="136"/>
        <v>5</v>
      </c>
      <c r="F391" s="45">
        <f t="shared" si="137"/>
        <v>3</v>
      </c>
      <c r="G391" s="45" t="str">
        <f t="shared" si="138"/>
        <v>4W</v>
      </c>
      <c r="H391" s="45" t="str">
        <f t="shared" si="139"/>
        <v>M3</v>
      </c>
      <c r="J391" s="45" t="str">
        <f t="shared" si="140"/>
        <v>M3</v>
      </c>
      <c r="K391" s="45" t="s">
        <v>130</v>
      </c>
      <c r="L391" s="45" t="str">
        <f t="shared" si="141"/>
        <v>4W-M3@E</v>
      </c>
      <c r="M391" s="75" t="str">
        <f t="shared" si="134"/>
        <v>333, 331, 318, 317, 316, 311, 303, 305, 302, 302, 305, 307, 306, M1, M2, M3</v>
      </c>
      <c r="N391" s="75" t="str">
        <f t="shared" si="135"/>
        <v>32, 04, 03</v>
      </c>
      <c r="R391" s="70" t="s">
        <v>318</v>
      </c>
      <c r="S391" s="70" t="s">
        <v>53</v>
      </c>
      <c r="T391" s="70" t="s">
        <v>1142</v>
      </c>
      <c r="U391" s="70"/>
      <c r="V391" s="70"/>
      <c r="X391" s="70" t="str">
        <f t="shared" si="130"/>
        <v>4W-E DT@E</v>
      </c>
      <c r="Y391" s="70" t="str">
        <f t="shared" si="131"/>
        <v>E DT-M3@E</v>
      </c>
      <c r="Z391" s="70" t="str">
        <f t="shared" si="132"/>
        <v/>
      </c>
      <c r="AA391" s="70" t="str">
        <f t="shared" si="133"/>
        <v/>
      </c>
      <c r="AC391" s="70" t="str">
        <f t="shared" si="142"/>
        <v>333, 331, 318, 317, 316, 311, 303, 305, 302</v>
      </c>
      <c r="AD391" s="70" t="str">
        <f t="shared" si="143"/>
        <v>302, 305, 307, 306, M1, M2, M3</v>
      </c>
      <c r="AE391" s="70" t="str">
        <f t="shared" si="144"/>
        <v/>
      </c>
      <c r="AF391" s="70" t="str">
        <f t="shared" si="145"/>
        <v/>
      </c>
      <c r="AH391" s="70" t="str">
        <f t="shared" si="146"/>
        <v>32, 04</v>
      </c>
      <c r="AI391" s="70" t="str">
        <f t="shared" si="147"/>
        <v>03</v>
      </c>
      <c r="AJ391" s="70" t="str">
        <f t="shared" si="148"/>
        <v/>
      </c>
      <c r="AK391" s="70" t="str">
        <f t="shared" si="149"/>
        <v/>
      </c>
      <c r="AM391" s="166" t="str">
        <f t="shared" si="150"/>
        <v>RM2W-SHD10</v>
      </c>
      <c r="AN391" s="171" t="s">
        <v>1251</v>
      </c>
      <c r="AO391" s="167" t="s">
        <v>1180</v>
      </c>
      <c r="AP391" s="167">
        <v>26</v>
      </c>
      <c r="AQ391" s="45" t="s">
        <v>1087</v>
      </c>
      <c r="AR391" s="45" t="s">
        <v>1015</v>
      </c>
      <c r="AS391" s="45">
        <v>26</v>
      </c>
    </row>
    <row r="392" spans="1:45" ht="20.100000000000001" customHeight="1" thickBot="1">
      <c r="A392" s="45" t="s">
        <v>1252</v>
      </c>
      <c r="B392" s="45" t="s">
        <v>861</v>
      </c>
      <c r="C392" s="45" t="s">
        <v>1243</v>
      </c>
      <c r="E392" s="45">
        <f t="shared" si="136"/>
        <v>5</v>
      </c>
      <c r="F392" s="45">
        <f t="shared" si="137"/>
        <v>3</v>
      </c>
      <c r="G392" s="45" t="str">
        <f t="shared" si="138"/>
        <v>M3</v>
      </c>
      <c r="H392" s="45" t="str">
        <f t="shared" si="139"/>
        <v>5E</v>
      </c>
      <c r="J392" s="45" t="str">
        <f t="shared" si="140"/>
        <v>5E</v>
      </c>
      <c r="K392" s="45" t="s">
        <v>130</v>
      </c>
      <c r="L392" s="45" t="str">
        <f t="shared" si="141"/>
        <v>M3-5E@E</v>
      </c>
      <c r="M392" s="75" t="str">
        <f t="shared" si="134"/>
        <v>302, 305, 307, 306, M1, M2, M3, 333, 331, 318, 317, 316, 311, 303, 305, 302</v>
      </c>
      <c r="N392" s="75" t="str">
        <f t="shared" si="135"/>
        <v>06, 03, 10, 16</v>
      </c>
      <c r="R392" s="70" t="s">
        <v>1142</v>
      </c>
      <c r="S392" s="70" t="s">
        <v>53</v>
      </c>
      <c r="T392" s="70" t="s">
        <v>325</v>
      </c>
      <c r="U392" s="70"/>
      <c r="V392" s="70"/>
      <c r="X392" s="70" t="str">
        <f t="shared" si="130"/>
        <v>M3-E DT@E</v>
      </c>
      <c r="Y392" s="70" t="str">
        <f t="shared" si="131"/>
        <v>E DT-5E@E</v>
      </c>
      <c r="Z392" s="70" t="str">
        <f t="shared" si="132"/>
        <v/>
      </c>
      <c r="AA392" s="70" t="str">
        <f t="shared" si="133"/>
        <v/>
      </c>
      <c r="AC392" s="70" t="str">
        <f t="shared" si="142"/>
        <v>302, 305, 307, 306, M1, M2, M3</v>
      </c>
      <c r="AD392" s="70" t="str">
        <f t="shared" si="143"/>
        <v>333, 331, 318, 317, 316, 311, 303, 305, 302</v>
      </c>
      <c r="AE392" s="70" t="str">
        <f t="shared" si="144"/>
        <v/>
      </c>
      <c r="AF392" s="70" t="str">
        <f t="shared" si="145"/>
        <v/>
      </c>
      <c r="AH392" s="70" t="str">
        <f t="shared" si="146"/>
        <v>06</v>
      </c>
      <c r="AI392" s="70" t="str">
        <f t="shared" si="147"/>
        <v>03, 10, 16</v>
      </c>
      <c r="AJ392" s="70" t="str">
        <f t="shared" si="148"/>
        <v/>
      </c>
      <c r="AK392" s="70" t="str">
        <f t="shared" si="149"/>
        <v/>
      </c>
      <c r="AM392" s="166" t="str">
        <f t="shared" si="150"/>
        <v>RM3E-SHD10</v>
      </c>
      <c r="AN392" s="171" t="s">
        <v>1253</v>
      </c>
      <c r="AO392" s="167" t="s">
        <v>1180</v>
      </c>
      <c r="AP392" s="167">
        <v>27</v>
      </c>
      <c r="AQ392" s="45" t="s">
        <v>1089</v>
      </c>
      <c r="AR392" s="45" t="s">
        <v>1015</v>
      </c>
      <c r="AS392" s="45">
        <v>27</v>
      </c>
    </row>
    <row r="393" spans="1:45" ht="20.100000000000001" customHeight="1" thickBot="1">
      <c r="A393" s="45" t="s">
        <v>1254</v>
      </c>
      <c r="B393" s="45" t="s">
        <v>329</v>
      </c>
      <c r="C393" s="45" t="s">
        <v>1246</v>
      </c>
      <c r="E393" s="45">
        <f t="shared" si="136"/>
        <v>5</v>
      </c>
      <c r="F393" s="45">
        <f t="shared" si="137"/>
        <v>3</v>
      </c>
      <c r="G393" s="45" t="str">
        <f t="shared" si="138"/>
        <v>5E</v>
      </c>
      <c r="H393" s="45" t="str">
        <f t="shared" si="139"/>
        <v>M3</v>
      </c>
      <c r="J393" s="45" t="str">
        <f t="shared" si="140"/>
        <v>M3</v>
      </c>
      <c r="K393" s="45" t="s">
        <v>130</v>
      </c>
      <c r="L393" s="45" t="str">
        <f t="shared" si="141"/>
        <v>5E-M3@E</v>
      </c>
      <c r="M393" s="75" t="str">
        <f t="shared" si="134"/>
        <v>333, 331, 318, 317, 316, 311, 303, 305, 302, 302, 305, 307, 306, M1, M2, M3</v>
      </c>
      <c r="N393" s="75" t="str">
        <f t="shared" si="135"/>
        <v>33, 04, 03</v>
      </c>
      <c r="R393" s="70" t="s">
        <v>325</v>
      </c>
      <c r="S393" s="70" t="s">
        <v>53</v>
      </c>
      <c r="T393" s="70" t="s">
        <v>1142</v>
      </c>
      <c r="U393" s="70"/>
      <c r="V393" s="70"/>
      <c r="X393" s="70" t="str">
        <f t="shared" si="130"/>
        <v>5E-E DT@E</v>
      </c>
      <c r="Y393" s="70" t="str">
        <f t="shared" si="131"/>
        <v>E DT-M3@E</v>
      </c>
      <c r="Z393" s="70" t="str">
        <f t="shared" si="132"/>
        <v/>
      </c>
      <c r="AA393" s="70" t="str">
        <f t="shared" si="133"/>
        <v/>
      </c>
      <c r="AC393" s="70" t="str">
        <f t="shared" si="142"/>
        <v>333, 331, 318, 317, 316, 311, 303, 305, 302</v>
      </c>
      <c r="AD393" s="70" t="str">
        <f t="shared" si="143"/>
        <v>302, 305, 307, 306, M1, M2, M3</v>
      </c>
      <c r="AE393" s="70" t="str">
        <f t="shared" si="144"/>
        <v/>
      </c>
      <c r="AF393" s="70" t="str">
        <f t="shared" si="145"/>
        <v/>
      </c>
      <c r="AH393" s="70" t="str">
        <f t="shared" si="146"/>
        <v>33, 04</v>
      </c>
      <c r="AI393" s="70" t="str">
        <f t="shared" si="147"/>
        <v>03</v>
      </c>
      <c r="AJ393" s="70" t="str">
        <f t="shared" si="148"/>
        <v/>
      </c>
      <c r="AK393" s="70" t="str">
        <f t="shared" si="149"/>
        <v/>
      </c>
      <c r="AM393" s="166" t="str">
        <f t="shared" si="150"/>
        <v>RM3W-SHD10</v>
      </c>
      <c r="AN393" s="171" t="s">
        <v>1255</v>
      </c>
      <c r="AO393" s="167" t="s">
        <v>1180</v>
      </c>
      <c r="AP393" s="167">
        <v>27</v>
      </c>
      <c r="AQ393" s="45" t="s">
        <v>1091</v>
      </c>
      <c r="AR393" s="45" t="s">
        <v>1015</v>
      </c>
      <c r="AS393" s="45">
        <v>27</v>
      </c>
    </row>
    <row r="394" spans="1:45" ht="20.100000000000001" customHeight="1" thickBot="1">
      <c r="A394" s="45" t="s">
        <v>1256</v>
      </c>
      <c r="B394" s="45" t="s">
        <v>861</v>
      </c>
      <c r="C394" s="45" t="s">
        <v>1243</v>
      </c>
      <c r="E394" s="45">
        <f t="shared" si="136"/>
        <v>5</v>
      </c>
      <c r="F394" s="45">
        <f t="shared" si="137"/>
        <v>3</v>
      </c>
      <c r="G394" s="45" t="str">
        <f t="shared" si="138"/>
        <v>M3</v>
      </c>
      <c r="H394" s="45" t="str">
        <f t="shared" si="139"/>
        <v>5W</v>
      </c>
      <c r="J394" s="45" t="str">
        <f t="shared" si="140"/>
        <v>5W</v>
      </c>
      <c r="K394" s="45" t="s">
        <v>130</v>
      </c>
      <c r="L394" s="45" t="str">
        <f t="shared" si="141"/>
        <v>M3-5W@E</v>
      </c>
      <c r="M394" s="75" t="str">
        <f t="shared" si="134"/>
        <v>302, 305, 307, 306, M1, M2, M3, 333, 331, 318, 317, 316, 311, 303, 305, 302</v>
      </c>
      <c r="N394" s="75" t="str">
        <f t="shared" si="135"/>
        <v>06, 03, 10, 16</v>
      </c>
      <c r="R394" s="70" t="s">
        <v>1142</v>
      </c>
      <c r="S394" s="70" t="s">
        <v>53</v>
      </c>
      <c r="T394" s="70" t="s">
        <v>333</v>
      </c>
      <c r="U394" s="70"/>
      <c r="V394" s="70"/>
      <c r="X394" s="70" t="str">
        <f t="shared" si="130"/>
        <v>M3-E DT@E</v>
      </c>
      <c r="Y394" s="70" t="str">
        <f t="shared" si="131"/>
        <v>E DT-5W@E</v>
      </c>
      <c r="Z394" s="70" t="str">
        <f t="shared" si="132"/>
        <v/>
      </c>
      <c r="AA394" s="70" t="str">
        <f t="shared" si="133"/>
        <v/>
      </c>
      <c r="AC394" s="70" t="str">
        <f t="shared" si="142"/>
        <v>302, 305, 307, 306, M1, M2, M3</v>
      </c>
      <c r="AD394" s="70" t="str">
        <f t="shared" si="143"/>
        <v>333, 331, 318, 317, 316, 311, 303, 305, 302</v>
      </c>
      <c r="AE394" s="70" t="str">
        <f t="shared" si="144"/>
        <v/>
      </c>
      <c r="AF394" s="70" t="str">
        <f t="shared" si="145"/>
        <v/>
      </c>
      <c r="AH394" s="70" t="str">
        <f t="shared" si="146"/>
        <v>06</v>
      </c>
      <c r="AI394" s="70" t="str">
        <f t="shared" si="147"/>
        <v>03, 10, 16</v>
      </c>
      <c r="AJ394" s="70" t="str">
        <f t="shared" si="148"/>
        <v/>
      </c>
      <c r="AK394" s="70" t="str">
        <f t="shared" si="149"/>
        <v/>
      </c>
      <c r="AM394" s="166" t="str">
        <f t="shared" si="150"/>
        <v>HCTE-SHD10</v>
      </c>
      <c r="AN394" s="171" t="s">
        <v>1257</v>
      </c>
      <c r="AO394" s="167" t="s">
        <v>1191</v>
      </c>
      <c r="AP394" s="167">
        <v>28</v>
      </c>
      <c r="AQ394" s="45" t="s">
        <v>1094</v>
      </c>
      <c r="AR394" s="45" t="s">
        <v>1026</v>
      </c>
      <c r="AS394" s="45">
        <v>28</v>
      </c>
    </row>
    <row r="395" spans="1:45" ht="20.100000000000001" customHeight="1" thickBot="1">
      <c r="A395" s="45" t="s">
        <v>1258</v>
      </c>
      <c r="B395" s="45" t="s">
        <v>329</v>
      </c>
      <c r="C395" s="45" t="s">
        <v>1246</v>
      </c>
      <c r="E395" s="45">
        <f t="shared" si="136"/>
        <v>5</v>
      </c>
      <c r="F395" s="45">
        <f t="shared" si="137"/>
        <v>3</v>
      </c>
      <c r="G395" s="45" t="str">
        <f t="shared" si="138"/>
        <v>5W</v>
      </c>
      <c r="H395" s="45" t="str">
        <f t="shared" si="139"/>
        <v>M3</v>
      </c>
      <c r="J395" s="45" t="str">
        <f t="shared" si="140"/>
        <v>M3</v>
      </c>
      <c r="K395" s="45" t="s">
        <v>130</v>
      </c>
      <c r="L395" s="45" t="str">
        <f t="shared" si="141"/>
        <v>5W-M3@E</v>
      </c>
      <c r="M395" s="75" t="str">
        <f t="shared" si="134"/>
        <v>333, 331, 318, 317, 316, 311, 303, 305, 302, 302, 305, 307, 306, M1, M2, M3</v>
      </c>
      <c r="N395" s="75" t="str">
        <f t="shared" si="135"/>
        <v>33, 04, 03</v>
      </c>
      <c r="R395" s="70" t="s">
        <v>333</v>
      </c>
      <c r="S395" s="70" t="s">
        <v>53</v>
      </c>
      <c r="T395" s="70" t="s">
        <v>1142</v>
      </c>
      <c r="U395" s="70"/>
      <c r="V395" s="70"/>
      <c r="X395" s="70" t="str">
        <f t="shared" si="130"/>
        <v>5W-E DT@E</v>
      </c>
      <c r="Y395" s="70" t="str">
        <f t="shared" si="131"/>
        <v>E DT-M3@E</v>
      </c>
      <c r="Z395" s="70" t="str">
        <f t="shared" si="132"/>
        <v/>
      </c>
      <c r="AA395" s="70" t="str">
        <f t="shared" si="133"/>
        <v/>
      </c>
      <c r="AC395" s="70" t="str">
        <f t="shared" si="142"/>
        <v>333, 331, 318, 317, 316, 311, 303, 305, 302</v>
      </c>
      <c r="AD395" s="70" t="str">
        <f t="shared" si="143"/>
        <v>302, 305, 307, 306, M1, M2, M3</v>
      </c>
      <c r="AE395" s="70" t="str">
        <f t="shared" si="144"/>
        <v/>
      </c>
      <c r="AF395" s="70" t="str">
        <f t="shared" si="145"/>
        <v/>
      </c>
      <c r="AH395" s="70" t="str">
        <f t="shared" si="146"/>
        <v>33, 04</v>
      </c>
      <c r="AI395" s="70" t="str">
        <f t="shared" si="147"/>
        <v>03</v>
      </c>
      <c r="AJ395" s="70" t="str">
        <f t="shared" si="148"/>
        <v/>
      </c>
      <c r="AK395" s="70" t="str">
        <f t="shared" si="149"/>
        <v/>
      </c>
      <c r="AM395" s="166" t="str">
        <f t="shared" si="150"/>
        <v>HCTW-SHD10</v>
      </c>
      <c r="AN395" s="171" t="s">
        <v>1259</v>
      </c>
      <c r="AO395" s="167" t="s">
        <v>1191</v>
      </c>
      <c r="AP395" s="167">
        <v>28</v>
      </c>
      <c r="AQ395" s="45" t="s">
        <v>1097</v>
      </c>
      <c r="AR395" s="45" t="s">
        <v>1026</v>
      </c>
      <c r="AS395" s="45">
        <v>28</v>
      </c>
    </row>
    <row r="396" spans="1:45" ht="20.100000000000001" customHeight="1" thickBot="1">
      <c r="A396" s="45" t="s">
        <v>1260</v>
      </c>
      <c r="B396" s="45" t="s">
        <v>861</v>
      </c>
      <c r="C396" s="45" t="s">
        <v>1261</v>
      </c>
      <c r="E396" s="45">
        <f t="shared" si="136"/>
        <v>5</v>
      </c>
      <c r="F396" s="45">
        <f t="shared" si="137"/>
        <v>3</v>
      </c>
      <c r="G396" s="45" t="str">
        <f t="shared" si="138"/>
        <v>M3</v>
      </c>
      <c r="H396" s="45" t="str">
        <f t="shared" si="139"/>
        <v>6E</v>
      </c>
      <c r="J396" s="45" t="str">
        <f t="shared" si="140"/>
        <v>6E</v>
      </c>
      <c r="K396" s="45" t="s">
        <v>130</v>
      </c>
      <c r="L396" s="45" t="str">
        <f t="shared" si="141"/>
        <v>M3-6E@E</v>
      </c>
      <c r="M396" s="75" t="str">
        <f t="shared" si="134"/>
        <v>302, 305, 307, 306, M1, M2, M3, 332, 331, 318, 317, 316, 311, 303, 305, 302</v>
      </c>
      <c r="N396" s="75" t="str">
        <f t="shared" si="135"/>
        <v>06, 03, 10, 16</v>
      </c>
      <c r="R396" s="70" t="s">
        <v>1142</v>
      </c>
      <c r="S396" s="70" t="s">
        <v>53</v>
      </c>
      <c r="T396" s="70" t="s">
        <v>339</v>
      </c>
      <c r="U396" s="70"/>
      <c r="V396" s="70"/>
      <c r="X396" s="70" t="str">
        <f t="shared" si="130"/>
        <v>M3-E DT@E</v>
      </c>
      <c r="Y396" s="70" t="str">
        <f t="shared" si="131"/>
        <v>E DT-6E@E</v>
      </c>
      <c r="Z396" s="70" t="str">
        <f t="shared" si="132"/>
        <v/>
      </c>
      <c r="AA396" s="70" t="str">
        <f t="shared" si="133"/>
        <v/>
      </c>
      <c r="AC396" s="70" t="str">
        <f t="shared" si="142"/>
        <v>302, 305, 307, 306, M1, M2, M3</v>
      </c>
      <c r="AD396" s="70" t="str">
        <f t="shared" si="143"/>
        <v>332, 331, 318, 317, 316, 311, 303, 305, 302</v>
      </c>
      <c r="AE396" s="70" t="str">
        <f t="shared" si="144"/>
        <v/>
      </c>
      <c r="AF396" s="70" t="str">
        <f t="shared" si="145"/>
        <v/>
      </c>
      <c r="AH396" s="70" t="str">
        <f t="shared" si="146"/>
        <v>06</v>
      </c>
      <c r="AI396" s="70" t="str">
        <f t="shared" si="147"/>
        <v>03, 10, 16</v>
      </c>
      <c r="AJ396" s="70" t="str">
        <f t="shared" si="148"/>
        <v/>
      </c>
      <c r="AK396" s="70" t="str">
        <f t="shared" si="149"/>
        <v/>
      </c>
      <c r="AM396" s="166" t="str">
        <f t="shared" si="150"/>
        <v>1E-SHD10</v>
      </c>
      <c r="AN396" s="171" t="s">
        <v>1262</v>
      </c>
      <c r="AO396" s="167" t="s">
        <v>1191</v>
      </c>
      <c r="AP396" s="167">
        <v>29</v>
      </c>
      <c r="AQ396" s="45" t="s">
        <v>1099</v>
      </c>
      <c r="AR396" s="45" t="s">
        <v>1026</v>
      </c>
      <c r="AS396" s="45">
        <v>29</v>
      </c>
    </row>
    <row r="397" spans="1:45" ht="20.100000000000001" customHeight="1" thickBot="1">
      <c r="A397" s="45" t="s">
        <v>1263</v>
      </c>
      <c r="B397" s="45" t="s">
        <v>342</v>
      </c>
      <c r="C397" s="45" t="s">
        <v>1264</v>
      </c>
      <c r="E397" s="45">
        <f t="shared" si="136"/>
        <v>5</v>
      </c>
      <c r="F397" s="45">
        <f t="shared" si="137"/>
        <v>3</v>
      </c>
      <c r="G397" s="45" t="str">
        <f t="shared" si="138"/>
        <v>6E</v>
      </c>
      <c r="H397" s="45" t="str">
        <f t="shared" si="139"/>
        <v>M3</v>
      </c>
      <c r="J397" s="45" t="str">
        <f t="shared" si="140"/>
        <v>M3</v>
      </c>
      <c r="K397" s="45" t="s">
        <v>130</v>
      </c>
      <c r="L397" s="45" t="str">
        <f t="shared" si="141"/>
        <v>6E-M3@E</v>
      </c>
      <c r="M397" s="75" t="str">
        <f t="shared" si="134"/>
        <v>332, 331, 318, 317, 316, 311, 303, 305, 302, 302, 305, 307, 306, M1, M2, M3</v>
      </c>
      <c r="N397" s="75" t="str">
        <f t="shared" si="135"/>
        <v>34, 04, 03</v>
      </c>
      <c r="R397" s="70" t="s">
        <v>339</v>
      </c>
      <c r="S397" s="70" t="s">
        <v>53</v>
      </c>
      <c r="T397" s="70" t="s">
        <v>1142</v>
      </c>
      <c r="U397" s="70"/>
      <c r="V397" s="70"/>
      <c r="X397" s="70" t="str">
        <f t="shared" si="130"/>
        <v>6E-E DT@E</v>
      </c>
      <c r="Y397" s="70" t="str">
        <f t="shared" si="131"/>
        <v>E DT-M3@E</v>
      </c>
      <c r="Z397" s="70" t="str">
        <f t="shared" si="132"/>
        <v/>
      </c>
      <c r="AA397" s="70" t="str">
        <f t="shared" si="133"/>
        <v/>
      </c>
      <c r="AC397" s="70" t="str">
        <f t="shared" si="142"/>
        <v>332, 331, 318, 317, 316, 311, 303, 305, 302</v>
      </c>
      <c r="AD397" s="70" t="str">
        <f t="shared" si="143"/>
        <v>302, 305, 307, 306, M1, M2, M3</v>
      </c>
      <c r="AE397" s="70" t="str">
        <f t="shared" si="144"/>
        <v/>
      </c>
      <c r="AF397" s="70" t="str">
        <f t="shared" si="145"/>
        <v/>
      </c>
      <c r="AH397" s="70" t="str">
        <f t="shared" si="146"/>
        <v>34, 04</v>
      </c>
      <c r="AI397" s="70" t="str">
        <f t="shared" si="147"/>
        <v>03</v>
      </c>
      <c r="AJ397" s="70" t="str">
        <f t="shared" si="148"/>
        <v/>
      </c>
      <c r="AK397" s="70" t="str">
        <f t="shared" si="149"/>
        <v/>
      </c>
      <c r="AM397" s="166" t="str">
        <f t="shared" si="150"/>
        <v>1W-SHD10</v>
      </c>
      <c r="AN397" s="171" t="s">
        <v>1265</v>
      </c>
      <c r="AO397" s="167" t="s">
        <v>1191</v>
      </c>
      <c r="AP397" s="167">
        <v>29</v>
      </c>
      <c r="AQ397" s="45" t="s">
        <v>1101</v>
      </c>
      <c r="AR397" s="45" t="s">
        <v>1026</v>
      </c>
      <c r="AS397" s="45">
        <v>29</v>
      </c>
    </row>
    <row r="398" spans="1:45" ht="20.100000000000001" customHeight="1" thickBot="1">
      <c r="A398" s="45" t="s">
        <v>1266</v>
      </c>
      <c r="B398" s="45" t="s">
        <v>861</v>
      </c>
      <c r="C398" s="45" t="s">
        <v>1261</v>
      </c>
      <c r="E398" s="45">
        <f t="shared" si="136"/>
        <v>5</v>
      </c>
      <c r="F398" s="45">
        <f t="shared" si="137"/>
        <v>3</v>
      </c>
      <c r="G398" s="45" t="str">
        <f t="shared" si="138"/>
        <v>M3</v>
      </c>
      <c r="H398" s="45" t="str">
        <f t="shared" si="139"/>
        <v>6W</v>
      </c>
      <c r="J398" s="45" t="str">
        <f t="shared" si="140"/>
        <v>6W</v>
      </c>
      <c r="K398" s="45" t="s">
        <v>130</v>
      </c>
      <c r="L398" s="45" t="str">
        <f t="shared" si="141"/>
        <v>M3-6W@E</v>
      </c>
      <c r="M398" s="75" t="str">
        <f t="shared" si="134"/>
        <v>302, 305, 307, 306, M1, M2, M3, 332, 331, 318, 317, 316, 311, 303, 305, 302</v>
      </c>
      <c r="N398" s="75" t="str">
        <f t="shared" si="135"/>
        <v>06, 03, 10, 16</v>
      </c>
      <c r="R398" s="70" t="s">
        <v>1142</v>
      </c>
      <c r="S398" s="70" t="s">
        <v>53</v>
      </c>
      <c r="T398" s="70" t="s">
        <v>346</v>
      </c>
      <c r="U398" s="70"/>
      <c r="V398" s="70"/>
      <c r="X398" s="70" t="str">
        <f t="shared" si="130"/>
        <v>M3-E DT@E</v>
      </c>
      <c r="Y398" s="70" t="str">
        <f t="shared" si="131"/>
        <v>E DT-6W@E</v>
      </c>
      <c r="Z398" s="70" t="str">
        <f t="shared" si="132"/>
        <v/>
      </c>
      <c r="AA398" s="70" t="str">
        <f t="shared" si="133"/>
        <v/>
      </c>
      <c r="AC398" s="70" t="str">
        <f t="shared" si="142"/>
        <v>302, 305, 307, 306, M1, M2, M3</v>
      </c>
      <c r="AD398" s="70" t="str">
        <f t="shared" si="143"/>
        <v>332, 331, 318, 317, 316, 311, 303, 305, 302</v>
      </c>
      <c r="AE398" s="70" t="str">
        <f t="shared" si="144"/>
        <v/>
      </c>
      <c r="AF398" s="70" t="str">
        <f t="shared" si="145"/>
        <v/>
      </c>
      <c r="AH398" s="70" t="str">
        <f t="shared" si="146"/>
        <v>06</v>
      </c>
      <c r="AI398" s="70" t="str">
        <f t="shared" si="147"/>
        <v>03, 10, 16</v>
      </c>
      <c r="AJ398" s="70" t="str">
        <f t="shared" si="148"/>
        <v/>
      </c>
      <c r="AK398" s="70" t="str">
        <f t="shared" si="149"/>
        <v/>
      </c>
      <c r="AM398" s="166" t="str">
        <f t="shared" si="150"/>
        <v>2E-SHD10</v>
      </c>
      <c r="AN398" s="171" t="s">
        <v>1267</v>
      </c>
      <c r="AO398" s="167" t="s">
        <v>1200</v>
      </c>
      <c r="AP398" s="167">
        <v>30</v>
      </c>
      <c r="AQ398" s="45" t="s">
        <v>1103</v>
      </c>
      <c r="AR398" s="45" t="s">
        <v>1037</v>
      </c>
      <c r="AS398" s="45">
        <v>30</v>
      </c>
    </row>
    <row r="399" spans="1:45" ht="20.100000000000001" customHeight="1" thickBot="1">
      <c r="A399" s="45" t="s">
        <v>1268</v>
      </c>
      <c r="B399" s="45" t="s">
        <v>342</v>
      </c>
      <c r="C399" s="45" t="s">
        <v>1264</v>
      </c>
      <c r="E399" s="45">
        <f t="shared" si="136"/>
        <v>5</v>
      </c>
      <c r="F399" s="45">
        <f t="shared" si="137"/>
        <v>3</v>
      </c>
      <c r="G399" s="45" t="str">
        <f t="shared" si="138"/>
        <v>6W</v>
      </c>
      <c r="H399" s="45" t="str">
        <f t="shared" si="139"/>
        <v>M3</v>
      </c>
      <c r="J399" s="45" t="str">
        <f t="shared" si="140"/>
        <v>M3</v>
      </c>
      <c r="K399" s="45" t="s">
        <v>130</v>
      </c>
      <c r="L399" s="45" t="str">
        <f t="shared" si="141"/>
        <v>6W-M3@E</v>
      </c>
      <c r="M399" s="75" t="str">
        <f t="shared" si="134"/>
        <v>332, 331, 318, 317, 316, 311, 303, 305, 302, 302, 305, 307, 306, M1, M2, M3</v>
      </c>
      <c r="N399" s="75" t="str">
        <f t="shared" si="135"/>
        <v>34, 04, 03</v>
      </c>
      <c r="R399" s="70" t="s">
        <v>346</v>
      </c>
      <c r="S399" s="70" t="s">
        <v>53</v>
      </c>
      <c r="T399" s="70" t="s">
        <v>1142</v>
      </c>
      <c r="U399" s="70"/>
      <c r="V399" s="70"/>
      <c r="X399" s="70" t="str">
        <f t="shared" si="130"/>
        <v>6W-E DT@E</v>
      </c>
      <c r="Y399" s="70" t="str">
        <f t="shared" si="131"/>
        <v>E DT-M3@E</v>
      </c>
      <c r="Z399" s="70" t="str">
        <f t="shared" si="132"/>
        <v/>
      </c>
      <c r="AA399" s="70" t="str">
        <f t="shared" si="133"/>
        <v/>
      </c>
      <c r="AC399" s="70" t="str">
        <f t="shared" si="142"/>
        <v>332, 331, 318, 317, 316, 311, 303, 305, 302</v>
      </c>
      <c r="AD399" s="70" t="str">
        <f t="shared" si="143"/>
        <v>302, 305, 307, 306, M1, M2, M3</v>
      </c>
      <c r="AE399" s="70" t="str">
        <f t="shared" si="144"/>
        <v/>
      </c>
      <c r="AF399" s="70" t="str">
        <f t="shared" si="145"/>
        <v/>
      </c>
      <c r="AH399" s="70" t="str">
        <f t="shared" si="146"/>
        <v>34, 04</v>
      </c>
      <c r="AI399" s="70" t="str">
        <f t="shared" si="147"/>
        <v>03</v>
      </c>
      <c r="AJ399" s="70" t="str">
        <f t="shared" si="148"/>
        <v/>
      </c>
      <c r="AK399" s="70" t="str">
        <f t="shared" si="149"/>
        <v/>
      </c>
      <c r="AM399" s="166" t="str">
        <f t="shared" si="150"/>
        <v>2W-SHD10</v>
      </c>
      <c r="AN399" s="171" t="s">
        <v>1269</v>
      </c>
      <c r="AO399" s="167" t="s">
        <v>1200</v>
      </c>
      <c r="AP399" s="167">
        <v>30</v>
      </c>
      <c r="AQ399" s="45" t="s">
        <v>1105</v>
      </c>
      <c r="AR399" s="45" t="s">
        <v>1037</v>
      </c>
      <c r="AS399" s="45">
        <v>30</v>
      </c>
    </row>
    <row r="400" spans="1:45" ht="20.100000000000001" customHeight="1" thickBot="1">
      <c r="A400" s="45" t="s">
        <v>1270</v>
      </c>
      <c r="B400" s="45" t="s">
        <v>861</v>
      </c>
      <c r="C400" s="45" t="s">
        <v>1271</v>
      </c>
      <c r="E400" s="45">
        <f t="shared" si="136"/>
        <v>5</v>
      </c>
      <c r="F400" s="45">
        <f t="shared" si="137"/>
        <v>3</v>
      </c>
      <c r="G400" s="45" t="str">
        <f t="shared" si="138"/>
        <v>M3</v>
      </c>
      <c r="H400" s="45" t="str">
        <f t="shared" si="139"/>
        <v>7E</v>
      </c>
      <c r="J400" s="45" t="str">
        <f t="shared" si="140"/>
        <v>7E</v>
      </c>
      <c r="K400" s="45" t="s">
        <v>130</v>
      </c>
      <c r="L400" s="45" t="str">
        <f t="shared" si="141"/>
        <v>M3-7E@E</v>
      </c>
      <c r="M400" s="75" t="str">
        <f t="shared" si="134"/>
        <v>302, 305, 307, 306, M1, M2, M3, 334, 332, 331, 318, 317, 316, 311, 303, 305, 302</v>
      </c>
      <c r="N400" s="75" t="str">
        <f t="shared" si="135"/>
        <v>06, 03, 10, 16</v>
      </c>
      <c r="R400" s="70" t="s">
        <v>1142</v>
      </c>
      <c r="S400" s="70" t="s">
        <v>53</v>
      </c>
      <c r="T400" s="70" t="s">
        <v>354</v>
      </c>
      <c r="U400" s="70"/>
      <c r="V400" s="70"/>
      <c r="X400" s="70" t="str">
        <f t="shared" si="130"/>
        <v>M3-E DT@E</v>
      </c>
      <c r="Y400" s="70" t="str">
        <f t="shared" si="131"/>
        <v>E DT-7E@E</v>
      </c>
      <c r="Z400" s="70" t="str">
        <f t="shared" si="132"/>
        <v/>
      </c>
      <c r="AA400" s="70" t="str">
        <f t="shared" si="133"/>
        <v/>
      </c>
      <c r="AC400" s="70" t="str">
        <f t="shared" si="142"/>
        <v>302, 305, 307, 306, M1, M2, M3</v>
      </c>
      <c r="AD400" s="70" t="str">
        <f t="shared" si="143"/>
        <v>334, 332, 331, 318, 317, 316, 311, 303, 305, 302</v>
      </c>
      <c r="AE400" s="70" t="str">
        <f t="shared" si="144"/>
        <v/>
      </c>
      <c r="AF400" s="70" t="str">
        <f t="shared" si="145"/>
        <v/>
      </c>
      <c r="AH400" s="70" t="str">
        <f t="shared" si="146"/>
        <v>06</v>
      </c>
      <c r="AI400" s="70" t="str">
        <f t="shared" si="147"/>
        <v>03, 10, 16</v>
      </c>
      <c r="AJ400" s="70" t="str">
        <f t="shared" si="148"/>
        <v/>
      </c>
      <c r="AK400" s="70" t="str">
        <f t="shared" si="149"/>
        <v/>
      </c>
      <c r="AM400" s="166" t="str">
        <f t="shared" si="150"/>
        <v>3E-SHD10</v>
      </c>
      <c r="AN400" s="171" t="s">
        <v>1272</v>
      </c>
      <c r="AO400" s="167" t="s">
        <v>1200</v>
      </c>
      <c r="AP400" s="167">
        <v>31</v>
      </c>
      <c r="AQ400" s="45" t="s">
        <v>1107</v>
      </c>
      <c r="AR400" s="45" t="s">
        <v>1037</v>
      </c>
      <c r="AS400" s="45">
        <v>31</v>
      </c>
    </row>
    <row r="401" spans="1:45" ht="20.100000000000001" customHeight="1" thickBot="1">
      <c r="A401" s="45" t="s">
        <v>1273</v>
      </c>
      <c r="B401" s="45" t="s">
        <v>358</v>
      </c>
      <c r="C401" s="45" t="s">
        <v>1274</v>
      </c>
      <c r="E401" s="45">
        <f t="shared" si="136"/>
        <v>5</v>
      </c>
      <c r="F401" s="45">
        <f t="shared" si="137"/>
        <v>3</v>
      </c>
      <c r="G401" s="45" t="str">
        <f t="shared" si="138"/>
        <v>7E</v>
      </c>
      <c r="H401" s="45" t="str">
        <f t="shared" si="139"/>
        <v>M3</v>
      </c>
      <c r="J401" s="45" t="str">
        <f t="shared" si="140"/>
        <v>M3</v>
      </c>
      <c r="K401" s="45" t="s">
        <v>130</v>
      </c>
      <c r="L401" s="45" t="str">
        <f t="shared" si="141"/>
        <v>7E-M3@E</v>
      </c>
      <c r="M401" s="75" t="str">
        <f t="shared" si="134"/>
        <v>334, 332, 331, 318, 317, 316, 311, 303, 305, 302, 302, 305, 307, 306, M1, M2, M3</v>
      </c>
      <c r="N401" s="75" t="str">
        <f t="shared" si="135"/>
        <v>35, 04, 03</v>
      </c>
      <c r="R401" s="70" t="s">
        <v>354</v>
      </c>
      <c r="S401" s="70" t="s">
        <v>53</v>
      </c>
      <c r="T401" s="70" t="s">
        <v>1142</v>
      </c>
      <c r="U401" s="70"/>
      <c r="V401" s="70"/>
      <c r="X401" s="70" t="str">
        <f t="shared" si="130"/>
        <v>7E-E DT@E</v>
      </c>
      <c r="Y401" s="70" t="str">
        <f t="shared" si="131"/>
        <v>E DT-M3@E</v>
      </c>
      <c r="Z401" s="70" t="str">
        <f t="shared" si="132"/>
        <v/>
      </c>
      <c r="AA401" s="70" t="str">
        <f t="shared" si="133"/>
        <v/>
      </c>
      <c r="AC401" s="70" t="str">
        <f t="shared" si="142"/>
        <v>334, 332, 331, 318, 317, 316, 311, 303, 305, 302</v>
      </c>
      <c r="AD401" s="70" t="str">
        <f t="shared" si="143"/>
        <v>302, 305, 307, 306, M1, M2, M3</v>
      </c>
      <c r="AE401" s="70" t="str">
        <f t="shared" si="144"/>
        <v/>
      </c>
      <c r="AF401" s="70" t="str">
        <f t="shared" si="145"/>
        <v/>
      </c>
      <c r="AH401" s="70" t="str">
        <f t="shared" si="146"/>
        <v>35, 04</v>
      </c>
      <c r="AI401" s="70" t="str">
        <f t="shared" si="147"/>
        <v>03</v>
      </c>
      <c r="AJ401" s="70" t="str">
        <f t="shared" si="148"/>
        <v/>
      </c>
      <c r="AK401" s="70" t="str">
        <f t="shared" si="149"/>
        <v/>
      </c>
      <c r="AM401" s="166" t="str">
        <f t="shared" si="150"/>
        <v>3W-SHD10</v>
      </c>
      <c r="AN401" s="171" t="s">
        <v>1275</v>
      </c>
      <c r="AO401" s="167" t="s">
        <v>1200</v>
      </c>
      <c r="AP401" s="167">
        <v>31</v>
      </c>
      <c r="AQ401" s="45" t="s">
        <v>1109</v>
      </c>
      <c r="AR401" s="45" t="s">
        <v>1037</v>
      </c>
      <c r="AS401" s="45">
        <v>31</v>
      </c>
    </row>
    <row r="402" spans="1:45" ht="20.100000000000001" customHeight="1" thickBot="1">
      <c r="A402" s="45" t="s">
        <v>1276</v>
      </c>
      <c r="B402" s="45" t="s">
        <v>861</v>
      </c>
      <c r="C402" s="45" t="s">
        <v>1271</v>
      </c>
      <c r="E402" s="45">
        <f t="shared" si="136"/>
        <v>5</v>
      </c>
      <c r="F402" s="45">
        <f t="shared" si="137"/>
        <v>3</v>
      </c>
      <c r="G402" s="45" t="str">
        <f t="shared" si="138"/>
        <v>M3</v>
      </c>
      <c r="H402" s="45" t="str">
        <f t="shared" si="139"/>
        <v>7W</v>
      </c>
      <c r="J402" s="45" t="str">
        <f t="shared" si="140"/>
        <v>7W</v>
      </c>
      <c r="K402" s="45" t="s">
        <v>130</v>
      </c>
      <c r="L402" s="45" t="str">
        <f t="shared" si="141"/>
        <v>M3-7W@E</v>
      </c>
      <c r="M402" s="75" t="str">
        <f t="shared" si="134"/>
        <v>302, 305, 307, 306, M1, M2, M3, 334, 332, 331, 318, 317, 316, 311, 303, 305, 302</v>
      </c>
      <c r="N402" s="75" t="str">
        <f t="shared" si="135"/>
        <v>06, 03, 10, 16</v>
      </c>
      <c r="R402" s="70" t="s">
        <v>1142</v>
      </c>
      <c r="S402" s="70" t="s">
        <v>53</v>
      </c>
      <c r="T402" s="70" t="s">
        <v>363</v>
      </c>
      <c r="U402" s="70"/>
      <c r="V402" s="70"/>
      <c r="X402" s="70" t="str">
        <f t="shared" si="130"/>
        <v>M3-E DT@E</v>
      </c>
      <c r="Y402" s="70" t="str">
        <f t="shared" si="131"/>
        <v>E DT-7W@E</v>
      </c>
      <c r="Z402" s="70" t="str">
        <f t="shared" si="132"/>
        <v/>
      </c>
      <c r="AA402" s="70" t="str">
        <f t="shared" si="133"/>
        <v/>
      </c>
      <c r="AC402" s="70" t="str">
        <f t="shared" si="142"/>
        <v>302, 305, 307, 306, M1, M2, M3</v>
      </c>
      <c r="AD402" s="70" t="str">
        <f t="shared" si="143"/>
        <v>334, 332, 331, 318, 317, 316, 311, 303, 305, 302</v>
      </c>
      <c r="AE402" s="70" t="str">
        <f t="shared" si="144"/>
        <v/>
      </c>
      <c r="AF402" s="70" t="str">
        <f t="shared" si="145"/>
        <v/>
      </c>
      <c r="AH402" s="70" t="str">
        <f t="shared" si="146"/>
        <v>06</v>
      </c>
      <c r="AI402" s="70" t="str">
        <f t="shared" si="147"/>
        <v>03, 10, 16</v>
      </c>
      <c r="AJ402" s="70" t="str">
        <f t="shared" si="148"/>
        <v/>
      </c>
      <c r="AK402" s="70" t="str">
        <f t="shared" si="149"/>
        <v/>
      </c>
      <c r="AM402" s="166" t="str">
        <f t="shared" si="150"/>
        <v>4E-SHD10</v>
      </c>
      <c r="AN402" s="171" t="s">
        <v>1277</v>
      </c>
      <c r="AO402" s="167" t="s">
        <v>1211</v>
      </c>
      <c r="AP402" s="167">
        <v>32</v>
      </c>
      <c r="AQ402" s="45" t="s">
        <v>1112</v>
      </c>
      <c r="AR402" s="45" t="s">
        <v>1047</v>
      </c>
      <c r="AS402" s="45">
        <v>32</v>
      </c>
    </row>
    <row r="403" spans="1:45" ht="20.100000000000001" customHeight="1" thickBot="1">
      <c r="A403" s="45" t="s">
        <v>1278</v>
      </c>
      <c r="B403" s="45" t="s">
        <v>358</v>
      </c>
      <c r="C403" s="45" t="s">
        <v>1274</v>
      </c>
      <c r="E403" s="45">
        <f t="shared" si="136"/>
        <v>5</v>
      </c>
      <c r="F403" s="45">
        <f t="shared" si="137"/>
        <v>3</v>
      </c>
      <c r="G403" s="45" t="str">
        <f t="shared" si="138"/>
        <v>7W</v>
      </c>
      <c r="H403" s="45" t="str">
        <f t="shared" si="139"/>
        <v>M3</v>
      </c>
      <c r="J403" s="45" t="str">
        <f t="shared" si="140"/>
        <v>M3</v>
      </c>
      <c r="K403" s="45" t="s">
        <v>130</v>
      </c>
      <c r="L403" s="45" t="str">
        <f t="shared" si="141"/>
        <v>7W-M3@E</v>
      </c>
      <c r="M403" s="75" t="str">
        <f t="shared" si="134"/>
        <v>334, 332, 331, 318, 317, 316, 311, 303, 305, 302, 302, 305, 307, 306, M1, M2, M3</v>
      </c>
      <c r="N403" s="75" t="str">
        <f t="shared" si="135"/>
        <v>35, 04, 03</v>
      </c>
      <c r="R403" s="70" t="s">
        <v>363</v>
      </c>
      <c r="S403" s="70" t="s">
        <v>53</v>
      </c>
      <c r="T403" s="70" t="s">
        <v>1142</v>
      </c>
      <c r="U403" s="70"/>
      <c r="V403" s="70"/>
      <c r="X403" s="70" t="str">
        <f t="shared" ref="X403:X466" si="151">IF(S403="","",CONCATENATE(R403,"-",S403,"@",$K403))</f>
        <v>7W-E DT@E</v>
      </c>
      <c r="Y403" s="70" t="str">
        <f t="shared" ref="Y403:Y466" si="152">IF(T403="","",CONCATENATE(S403,"-",T403,"@",$K403))</f>
        <v>E DT-M3@E</v>
      </c>
      <c r="Z403" s="70" t="str">
        <f t="shared" ref="Z403:Z466" si="153">IF(U403="","",CONCATENATE(T403,"-",U403,"@",$K403))</f>
        <v/>
      </c>
      <c r="AA403" s="70" t="str">
        <f t="shared" ref="AA403:AA466" si="154">IF(V403="","",CONCATENATE(U403,"-",V403,"@",$K403))</f>
        <v/>
      </c>
      <c r="AC403" s="70" t="str">
        <f t="shared" si="142"/>
        <v>334, 332, 331, 318, 317, 316, 311, 303, 305, 302</v>
      </c>
      <c r="AD403" s="70" t="str">
        <f t="shared" si="143"/>
        <v>302, 305, 307, 306, M1, M2, M3</v>
      </c>
      <c r="AE403" s="70" t="str">
        <f t="shared" si="144"/>
        <v/>
      </c>
      <c r="AF403" s="70" t="str">
        <f t="shared" si="145"/>
        <v/>
      </c>
      <c r="AH403" s="70" t="str">
        <f t="shared" si="146"/>
        <v>35, 04</v>
      </c>
      <c r="AI403" s="70" t="str">
        <f t="shared" si="147"/>
        <v>03</v>
      </c>
      <c r="AJ403" s="70" t="str">
        <f t="shared" si="148"/>
        <v/>
      </c>
      <c r="AK403" s="70" t="str">
        <f t="shared" si="149"/>
        <v/>
      </c>
      <c r="AM403" s="166" t="str">
        <f t="shared" si="150"/>
        <v>4W-SHD10</v>
      </c>
      <c r="AN403" s="171" t="s">
        <v>1279</v>
      </c>
      <c r="AO403" s="167" t="s">
        <v>1211</v>
      </c>
      <c r="AP403" s="167">
        <v>32</v>
      </c>
      <c r="AQ403" s="45" t="s">
        <v>1115</v>
      </c>
      <c r="AR403" s="45" t="s">
        <v>1047</v>
      </c>
      <c r="AS403" s="45">
        <v>32</v>
      </c>
    </row>
    <row r="404" spans="1:45" ht="20.100000000000001" customHeight="1" thickBot="1">
      <c r="A404" s="45" t="s">
        <v>1280</v>
      </c>
      <c r="B404" s="45" t="s">
        <v>861</v>
      </c>
      <c r="C404" s="45" t="s">
        <v>1271</v>
      </c>
      <c r="E404" s="45">
        <f t="shared" si="136"/>
        <v>5</v>
      </c>
      <c r="F404" s="45">
        <f t="shared" si="137"/>
        <v>3</v>
      </c>
      <c r="G404" s="45" t="str">
        <f t="shared" si="138"/>
        <v>M3</v>
      </c>
      <c r="H404" s="45" t="str">
        <f t="shared" si="139"/>
        <v>8E</v>
      </c>
      <c r="J404" s="45" t="str">
        <f t="shared" si="140"/>
        <v>8E</v>
      </c>
      <c r="K404" s="45" t="s">
        <v>130</v>
      </c>
      <c r="L404" s="45" t="str">
        <f t="shared" si="141"/>
        <v>M3-8E@E</v>
      </c>
      <c r="M404" s="75" t="str">
        <f t="shared" si="134"/>
        <v>302, 305, 307, 306, M1, M2, M3, 334, 332, 331, 318, 317, 316, 311, 303, 305, 302</v>
      </c>
      <c r="N404" s="75" t="str">
        <f t="shared" si="135"/>
        <v>06, 03, 10, 16</v>
      </c>
      <c r="R404" s="70" t="s">
        <v>1142</v>
      </c>
      <c r="S404" s="70" t="s">
        <v>53</v>
      </c>
      <c r="T404" s="70" t="s">
        <v>370</v>
      </c>
      <c r="U404" s="70"/>
      <c r="V404" s="70"/>
      <c r="X404" s="70" t="str">
        <f t="shared" si="151"/>
        <v>M3-E DT@E</v>
      </c>
      <c r="Y404" s="70" t="str">
        <f t="shared" si="152"/>
        <v>E DT-8E@E</v>
      </c>
      <c r="Z404" s="70" t="str">
        <f t="shared" si="153"/>
        <v/>
      </c>
      <c r="AA404" s="70" t="str">
        <f t="shared" si="154"/>
        <v/>
      </c>
      <c r="AC404" s="70" t="str">
        <f t="shared" si="142"/>
        <v>302, 305, 307, 306, M1, M2, M3</v>
      </c>
      <c r="AD404" s="70" t="str">
        <f t="shared" si="143"/>
        <v>334, 332, 331, 318, 317, 316, 311, 303, 305, 302</v>
      </c>
      <c r="AE404" s="70" t="str">
        <f t="shared" si="144"/>
        <v/>
      </c>
      <c r="AF404" s="70" t="str">
        <f t="shared" si="145"/>
        <v/>
      </c>
      <c r="AH404" s="70" t="str">
        <f t="shared" si="146"/>
        <v>06</v>
      </c>
      <c r="AI404" s="70" t="str">
        <f t="shared" si="147"/>
        <v>03, 10, 16</v>
      </c>
      <c r="AJ404" s="70" t="str">
        <f t="shared" si="148"/>
        <v/>
      </c>
      <c r="AK404" s="70" t="str">
        <f t="shared" si="149"/>
        <v/>
      </c>
      <c r="AM404" s="166" t="str">
        <f t="shared" si="150"/>
        <v>5E-SHD10</v>
      </c>
      <c r="AN404" s="171" t="s">
        <v>1281</v>
      </c>
      <c r="AO404" s="167" t="s">
        <v>1211</v>
      </c>
      <c r="AP404" s="167">
        <v>33</v>
      </c>
      <c r="AQ404" s="45" t="s">
        <v>1117</v>
      </c>
      <c r="AR404" s="45" t="s">
        <v>1047</v>
      </c>
      <c r="AS404" s="45">
        <v>33</v>
      </c>
    </row>
    <row r="405" spans="1:45" ht="20.100000000000001" customHeight="1" thickBot="1">
      <c r="A405" s="45" t="s">
        <v>1282</v>
      </c>
      <c r="B405" s="45" t="s">
        <v>374</v>
      </c>
      <c r="C405" s="45" t="s">
        <v>1274</v>
      </c>
      <c r="E405" s="45">
        <f t="shared" si="136"/>
        <v>5</v>
      </c>
      <c r="F405" s="45">
        <f t="shared" si="137"/>
        <v>3</v>
      </c>
      <c r="G405" s="45" t="str">
        <f t="shared" si="138"/>
        <v>8E</v>
      </c>
      <c r="H405" s="45" t="str">
        <f t="shared" si="139"/>
        <v>M3</v>
      </c>
      <c r="J405" s="45" t="str">
        <f t="shared" si="140"/>
        <v>M3</v>
      </c>
      <c r="K405" s="45" t="s">
        <v>130</v>
      </c>
      <c r="L405" s="45" t="str">
        <f t="shared" si="141"/>
        <v>8E-M3@E</v>
      </c>
      <c r="M405" s="75" t="str">
        <f t="shared" si="134"/>
        <v>334, 332, 331, 318, 317, 316, 311, 303, 305, 302, 302, 305, 307, 306, M1, M2, M3</v>
      </c>
      <c r="N405" s="75" t="str">
        <f t="shared" si="135"/>
        <v>36, 04, 03</v>
      </c>
      <c r="R405" s="70" t="s">
        <v>370</v>
      </c>
      <c r="S405" s="70" t="s">
        <v>53</v>
      </c>
      <c r="T405" s="70" t="s">
        <v>1142</v>
      </c>
      <c r="U405" s="70"/>
      <c r="V405" s="70"/>
      <c r="X405" s="70" t="str">
        <f t="shared" si="151"/>
        <v>8E-E DT@E</v>
      </c>
      <c r="Y405" s="70" t="str">
        <f t="shared" si="152"/>
        <v>E DT-M3@E</v>
      </c>
      <c r="Z405" s="70" t="str">
        <f t="shared" si="153"/>
        <v/>
      </c>
      <c r="AA405" s="70" t="str">
        <f t="shared" si="154"/>
        <v/>
      </c>
      <c r="AC405" s="70" t="str">
        <f t="shared" si="142"/>
        <v>334, 332, 331, 318, 317, 316, 311, 303, 305, 302</v>
      </c>
      <c r="AD405" s="70" t="str">
        <f t="shared" si="143"/>
        <v>302, 305, 307, 306, M1, M2, M3</v>
      </c>
      <c r="AE405" s="70" t="str">
        <f t="shared" si="144"/>
        <v/>
      </c>
      <c r="AF405" s="70" t="str">
        <f t="shared" si="145"/>
        <v/>
      </c>
      <c r="AH405" s="70" t="str">
        <f t="shared" si="146"/>
        <v>36, 04</v>
      </c>
      <c r="AI405" s="70" t="str">
        <f t="shared" si="147"/>
        <v>03</v>
      </c>
      <c r="AJ405" s="70" t="str">
        <f t="shared" si="148"/>
        <v/>
      </c>
      <c r="AK405" s="70" t="str">
        <f t="shared" si="149"/>
        <v/>
      </c>
      <c r="AM405" s="166" t="str">
        <f t="shared" si="150"/>
        <v>5W-SHD10</v>
      </c>
      <c r="AN405" s="171" t="s">
        <v>1283</v>
      </c>
      <c r="AO405" s="167" t="s">
        <v>1211</v>
      </c>
      <c r="AP405" s="167">
        <v>33</v>
      </c>
      <c r="AQ405" s="45" t="s">
        <v>1119</v>
      </c>
      <c r="AR405" s="45" t="s">
        <v>1047</v>
      </c>
      <c r="AS405" s="45">
        <v>33</v>
      </c>
    </row>
    <row r="406" spans="1:45" ht="20.100000000000001" customHeight="1" thickBot="1">
      <c r="A406" s="45" t="s">
        <v>1284</v>
      </c>
      <c r="B406" s="45" t="s">
        <v>861</v>
      </c>
      <c r="C406" s="45" t="s">
        <v>1271</v>
      </c>
      <c r="E406" s="45">
        <f t="shared" si="136"/>
        <v>5</v>
      </c>
      <c r="F406" s="45">
        <f t="shared" si="137"/>
        <v>3</v>
      </c>
      <c r="G406" s="45" t="str">
        <f t="shared" si="138"/>
        <v>M3</v>
      </c>
      <c r="H406" s="45" t="str">
        <f t="shared" si="139"/>
        <v>8W</v>
      </c>
      <c r="J406" s="45" t="str">
        <f t="shared" si="140"/>
        <v>8W</v>
      </c>
      <c r="K406" s="45" t="s">
        <v>130</v>
      </c>
      <c r="L406" s="45" t="str">
        <f t="shared" si="141"/>
        <v>M3-8W@E</v>
      </c>
      <c r="M406" s="75" t="str">
        <f t="shared" si="134"/>
        <v>302, 305, 307, 306, M1, M2, M3, 334, 332, 331, 318, 317, 316, 311, 303, 305, 302</v>
      </c>
      <c r="N406" s="75" t="str">
        <f t="shared" si="135"/>
        <v>06, 03, 10, 16</v>
      </c>
      <c r="R406" s="70" t="s">
        <v>1142</v>
      </c>
      <c r="S406" s="70" t="s">
        <v>53</v>
      </c>
      <c r="T406" s="70" t="s">
        <v>377</v>
      </c>
      <c r="U406" s="70"/>
      <c r="V406" s="70"/>
      <c r="X406" s="70" t="str">
        <f t="shared" si="151"/>
        <v>M3-E DT@E</v>
      </c>
      <c r="Y406" s="70" t="str">
        <f t="shared" si="152"/>
        <v>E DT-8W@E</v>
      </c>
      <c r="Z406" s="70" t="str">
        <f t="shared" si="153"/>
        <v/>
      </c>
      <c r="AA406" s="70" t="str">
        <f t="shared" si="154"/>
        <v/>
      </c>
      <c r="AC406" s="70" t="str">
        <f t="shared" si="142"/>
        <v>302, 305, 307, 306, M1, M2, M3</v>
      </c>
      <c r="AD406" s="70" t="str">
        <f t="shared" si="143"/>
        <v>334, 332, 331, 318, 317, 316, 311, 303, 305, 302</v>
      </c>
      <c r="AE406" s="70" t="str">
        <f t="shared" si="144"/>
        <v/>
      </c>
      <c r="AF406" s="70" t="str">
        <f t="shared" si="145"/>
        <v/>
      </c>
      <c r="AH406" s="70" t="str">
        <f t="shared" si="146"/>
        <v>06</v>
      </c>
      <c r="AI406" s="70" t="str">
        <f t="shared" si="147"/>
        <v>03, 10, 16</v>
      </c>
      <c r="AJ406" s="70" t="str">
        <f t="shared" si="148"/>
        <v/>
      </c>
      <c r="AK406" s="70" t="str">
        <f t="shared" si="149"/>
        <v/>
      </c>
      <c r="AM406" s="166" t="str">
        <f t="shared" si="150"/>
        <v>6E-SHD10</v>
      </c>
      <c r="AN406" s="171" t="s">
        <v>1285</v>
      </c>
      <c r="AO406" s="167" t="s">
        <v>1220</v>
      </c>
      <c r="AP406" s="167">
        <v>34</v>
      </c>
      <c r="AQ406" s="45" t="s">
        <v>1122</v>
      </c>
      <c r="AR406" s="45" t="s">
        <v>1057</v>
      </c>
      <c r="AS406" s="45">
        <v>34</v>
      </c>
    </row>
    <row r="407" spans="1:45" ht="20.100000000000001" customHeight="1" thickBot="1">
      <c r="A407" s="45" t="s">
        <v>1286</v>
      </c>
      <c r="B407" s="45" t="s">
        <v>374</v>
      </c>
      <c r="C407" s="45" t="s">
        <v>1274</v>
      </c>
      <c r="E407" s="45">
        <f t="shared" si="136"/>
        <v>5</v>
      </c>
      <c r="F407" s="45">
        <f t="shared" si="137"/>
        <v>3</v>
      </c>
      <c r="G407" s="45" t="str">
        <f t="shared" si="138"/>
        <v>8W</v>
      </c>
      <c r="H407" s="45" t="str">
        <f t="shared" si="139"/>
        <v>M3</v>
      </c>
      <c r="J407" s="45" t="str">
        <f t="shared" si="140"/>
        <v>M3</v>
      </c>
      <c r="K407" s="45" t="s">
        <v>130</v>
      </c>
      <c r="L407" s="45" t="str">
        <f t="shared" si="141"/>
        <v>8W-M3@E</v>
      </c>
      <c r="M407" s="75" t="str">
        <f t="shared" si="134"/>
        <v>334, 332, 331, 318, 317, 316, 311, 303, 305, 302, 302, 305, 307, 306, M1, M2, M3</v>
      </c>
      <c r="N407" s="75" t="str">
        <f t="shared" si="135"/>
        <v>36, 04, 03</v>
      </c>
      <c r="R407" s="70" t="s">
        <v>377</v>
      </c>
      <c r="S407" s="70" t="s">
        <v>53</v>
      </c>
      <c r="T407" s="70" t="s">
        <v>1142</v>
      </c>
      <c r="U407" s="70"/>
      <c r="V407" s="70"/>
      <c r="X407" s="70" t="str">
        <f t="shared" si="151"/>
        <v>8W-E DT@E</v>
      </c>
      <c r="Y407" s="70" t="str">
        <f t="shared" si="152"/>
        <v>E DT-M3@E</v>
      </c>
      <c r="Z407" s="70" t="str">
        <f t="shared" si="153"/>
        <v/>
      </c>
      <c r="AA407" s="70" t="str">
        <f t="shared" si="154"/>
        <v/>
      </c>
      <c r="AC407" s="70" t="str">
        <f t="shared" si="142"/>
        <v>334, 332, 331, 318, 317, 316, 311, 303, 305, 302</v>
      </c>
      <c r="AD407" s="70" t="str">
        <f t="shared" si="143"/>
        <v>302, 305, 307, 306, M1, M2, M3</v>
      </c>
      <c r="AE407" s="70" t="str">
        <f t="shared" si="144"/>
        <v/>
      </c>
      <c r="AF407" s="70" t="str">
        <f t="shared" si="145"/>
        <v/>
      </c>
      <c r="AH407" s="70" t="str">
        <f t="shared" si="146"/>
        <v>36, 04</v>
      </c>
      <c r="AI407" s="70" t="str">
        <f t="shared" si="147"/>
        <v>03</v>
      </c>
      <c r="AJ407" s="70" t="str">
        <f t="shared" si="148"/>
        <v/>
      </c>
      <c r="AK407" s="70" t="str">
        <f t="shared" si="149"/>
        <v/>
      </c>
      <c r="AM407" s="166" t="str">
        <f t="shared" si="150"/>
        <v>6W-SHD10</v>
      </c>
      <c r="AN407" s="171" t="s">
        <v>1287</v>
      </c>
      <c r="AO407" s="167" t="s">
        <v>1220</v>
      </c>
      <c r="AP407" s="167">
        <v>34</v>
      </c>
      <c r="AQ407" s="45" t="s">
        <v>1125</v>
      </c>
      <c r="AR407" s="45" t="s">
        <v>1057</v>
      </c>
      <c r="AS407" s="45">
        <v>34</v>
      </c>
    </row>
    <row r="408" spans="1:45" ht="20.100000000000001" customHeight="1" thickBot="1">
      <c r="A408" s="45" t="s">
        <v>1288</v>
      </c>
      <c r="B408" s="45" t="s">
        <v>861</v>
      </c>
      <c r="C408" s="45" t="s">
        <v>1289</v>
      </c>
      <c r="E408" s="45">
        <f t="shared" si="136"/>
        <v>6</v>
      </c>
      <c r="F408" s="45">
        <f t="shared" si="137"/>
        <v>3</v>
      </c>
      <c r="G408" s="45" t="str">
        <f t="shared" si="138"/>
        <v>M4</v>
      </c>
      <c r="H408" s="45" t="str">
        <f t="shared" si="139"/>
        <v>LF3</v>
      </c>
      <c r="J408" s="45" t="str">
        <f t="shared" si="140"/>
        <v>LF3</v>
      </c>
      <c r="K408" s="45" t="s">
        <v>130</v>
      </c>
      <c r="L408" s="45" t="str">
        <f t="shared" si="141"/>
        <v>M4-LF3@E</v>
      </c>
      <c r="M408" s="75" t="str">
        <f t="shared" si="134"/>
        <v>302, 305, 307, 306, M1, M2, M3, M4, 323, 322, 319, 316, 311, 303, 305, 302</v>
      </c>
      <c r="N408" s="75" t="str">
        <f t="shared" si="135"/>
        <v>06, 03, 10, 16</v>
      </c>
      <c r="R408" s="70" t="s">
        <v>331</v>
      </c>
      <c r="S408" s="70" t="s">
        <v>53</v>
      </c>
      <c r="T408" s="70" t="s">
        <v>82</v>
      </c>
      <c r="U408" s="70"/>
      <c r="V408" s="70"/>
      <c r="X408" s="70" t="str">
        <f t="shared" si="151"/>
        <v>M4-E DT@E</v>
      </c>
      <c r="Y408" s="70" t="str">
        <f t="shared" si="152"/>
        <v>E DT-LF3@E</v>
      </c>
      <c r="Z408" s="70" t="str">
        <f t="shared" si="153"/>
        <v/>
      </c>
      <c r="AA408" s="70" t="str">
        <f t="shared" si="154"/>
        <v/>
      </c>
      <c r="AC408" s="70" t="str">
        <f t="shared" si="142"/>
        <v>302, 305, 307, 306, M1, M2, M3, M4</v>
      </c>
      <c r="AD408" s="70" t="str">
        <f t="shared" si="143"/>
        <v>323, 322, 319, 316, 311, 303, 305, 302</v>
      </c>
      <c r="AE408" s="70" t="str">
        <f t="shared" si="144"/>
        <v/>
      </c>
      <c r="AF408" s="70" t="str">
        <f t="shared" si="145"/>
        <v/>
      </c>
      <c r="AH408" s="70" t="str">
        <f t="shared" si="146"/>
        <v>06</v>
      </c>
      <c r="AI408" s="70" t="str">
        <f t="shared" si="147"/>
        <v>03, 10, 16</v>
      </c>
      <c r="AJ408" s="70" t="str">
        <f t="shared" si="148"/>
        <v/>
      </c>
      <c r="AK408" s="70" t="str">
        <f t="shared" si="149"/>
        <v/>
      </c>
      <c r="AM408" s="166" t="str">
        <f t="shared" si="150"/>
        <v>7E-SHD10</v>
      </c>
      <c r="AN408" s="171" t="s">
        <v>1290</v>
      </c>
      <c r="AO408" s="167" t="s">
        <v>1226</v>
      </c>
      <c r="AP408" s="167">
        <v>35</v>
      </c>
      <c r="AQ408" s="45" t="s">
        <v>1127</v>
      </c>
      <c r="AR408" s="45" t="s">
        <v>1063</v>
      </c>
      <c r="AS408" s="45">
        <v>35</v>
      </c>
    </row>
    <row r="409" spans="1:45" ht="20.100000000000001" customHeight="1" thickBot="1">
      <c r="A409" s="45" t="s">
        <v>1291</v>
      </c>
      <c r="B409" s="45" t="s">
        <v>154</v>
      </c>
      <c r="C409" s="45" t="s">
        <v>1292</v>
      </c>
      <c r="E409" s="45">
        <f t="shared" si="136"/>
        <v>6</v>
      </c>
      <c r="F409" s="45">
        <f t="shared" si="137"/>
        <v>4</v>
      </c>
      <c r="G409" s="45" t="str">
        <f t="shared" si="138"/>
        <v>LF3</v>
      </c>
      <c r="H409" s="45" t="str">
        <f t="shared" si="139"/>
        <v>M4</v>
      </c>
      <c r="J409" s="45" t="str">
        <f t="shared" si="140"/>
        <v>M4</v>
      </c>
      <c r="K409" s="45" t="s">
        <v>130</v>
      </c>
      <c r="L409" s="45" t="str">
        <f t="shared" si="141"/>
        <v>LF3-M4@E</v>
      </c>
      <c r="M409" s="75" t="str">
        <f t="shared" si="134"/>
        <v>323, 322, 319, 316, 311, 303, 305, 302, 302, 305, 307, 306, M1, M2, M3, M4</v>
      </c>
      <c r="N409" s="75" t="str">
        <f t="shared" si="135"/>
        <v>20, 04, 03</v>
      </c>
      <c r="R409" s="70" t="s">
        <v>82</v>
      </c>
      <c r="S409" s="70" t="s">
        <v>53</v>
      </c>
      <c r="T409" s="70" t="s">
        <v>331</v>
      </c>
      <c r="U409" s="70"/>
      <c r="V409" s="70"/>
      <c r="X409" s="70" t="str">
        <f t="shared" si="151"/>
        <v>LF3-E DT@E</v>
      </c>
      <c r="Y409" s="70" t="str">
        <f t="shared" si="152"/>
        <v>E DT-M4@E</v>
      </c>
      <c r="Z409" s="70" t="str">
        <f t="shared" si="153"/>
        <v/>
      </c>
      <c r="AA409" s="70" t="str">
        <f t="shared" si="154"/>
        <v/>
      </c>
      <c r="AC409" s="70" t="str">
        <f t="shared" si="142"/>
        <v>323, 322, 319, 316, 311, 303, 305, 302</v>
      </c>
      <c r="AD409" s="70" t="str">
        <f t="shared" si="143"/>
        <v>302, 305, 307, 306, M1, M2, M3, M4</v>
      </c>
      <c r="AE409" s="70" t="str">
        <f t="shared" si="144"/>
        <v/>
      </c>
      <c r="AF409" s="70" t="str">
        <f t="shared" si="145"/>
        <v/>
      </c>
      <c r="AH409" s="70" t="str">
        <f t="shared" si="146"/>
        <v>20, 04</v>
      </c>
      <c r="AI409" s="70" t="str">
        <f t="shared" si="147"/>
        <v>03</v>
      </c>
      <c r="AJ409" s="70" t="str">
        <f t="shared" si="148"/>
        <v/>
      </c>
      <c r="AK409" s="70" t="str">
        <f t="shared" si="149"/>
        <v/>
      </c>
      <c r="AM409" s="166" t="str">
        <f t="shared" si="150"/>
        <v>7W-SHD10</v>
      </c>
      <c r="AN409" s="171" t="s">
        <v>1293</v>
      </c>
      <c r="AO409" s="167" t="s">
        <v>1226</v>
      </c>
      <c r="AP409" s="167">
        <v>35</v>
      </c>
      <c r="AQ409" s="45" t="s">
        <v>1129</v>
      </c>
      <c r="AR409" s="45" t="s">
        <v>1063</v>
      </c>
      <c r="AS409" s="45">
        <v>35</v>
      </c>
    </row>
    <row r="410" spans="1:45" ht="20.100000000000001" customHeight="1" thickBot="1">
      <c r="A410" s="45" t="s">
        <v>1294</v>
      </c>
      <c r="B410" s="45" t="s">
        <v>861</v>
      </c>
      <c r="C410" s="45" t="s">
        <v>1289</v>
      </c>
      <c r="E410" s="45">
        <f t="shared" si="136"/>
        <v>6</v>
      </c>
      <c r="F410" s="45">
        <f t="shared" si="137"/>
        <v>3</v>
      </c>
      <c r="G410" s="45" t="str">
        <f t="shared" si="138"/>
        <v>M4</v>
      </c>
      <c r="H410" s="45" t="str">
        <f t="shared" si="139"/>
        <v>LF4</v>
      </c>
      <c r="J410" s="45" t="str">
        <f t="shared" si="140"/>
        <v>LF4</v>
      </c>
      <c r="K410" s="45" t="s">
        <v>130</v>
      </c>
      <c r="L410" s="45" t="str">
        <f t="shared" si="141"/>
        <v>M4-LF4@E</v>
      </c>
      <c r="M410" s="75" t="str">
        <f t="shared" si="134"/>
        <v>302, 305, 307, 306, M1, M2, M3, M4, 302, 305, 303, 311, 316, 319, 322, 323</v>
      </c>
      <c r="N410" s="75" t="str">
        <f t="shared" si="135"/>
        <v>06, 03, 10, 16</v>
      </c>
      <c r="R410" s="70" t="s">
        <v>331</v>
      </c>
      <c r="S410" s="70" t="s">
        <v>53</v>
      </c>
      <c r="T410" s="70" t="s">
        <v>83</v>
      </c>
      <c r="U410" s="70"/>
      <c r="V410" s="70"/>
      <c r="X410" s="70" t="str">
        <f t="shared" si="151"/>
        <v>M4-E DT@E</v>
      </c>
      <c r="Y410" s="70" t="str">
        <f t="shared" si="152"/>
        <v>E DT-LF4@E</v>
      </c>
      <c r="Z410" s="70" t="str">
        <f t="shared" si="153"/>
        <v/>
      </c>
      <c r="AA410" s="70" t="str">
        <f t="shared" si="154"/>
        <v/>
      </c>
      <c r="AC410" s="70" t="str">
        <f t="shared" si="142"/>
        <v>302, 305, 307, 306, M1, M2, M3, M4</v>
      </c>
      <c r="AD410" s="70" t="str">
        <f t="shared" si="143"/>
        <v>302, 305, 303, 311, 316, 319, 322, 323</v>
      </c>
      <c r="AE410" s="70" t="str">
        <f t="shared" si="144"/>
        <v/>
      </c>
      <c r="AF410" s="70" t="str">
        <f t="shared" si="145"/>
        <v/>
      </c>
      <c r="AH410" s="70" t="str">
        <f t="shared" si="146"/>
        <v>06</v>
      </c>
      <c r="AI410" s="70" t="str">
        <f t="shared" si="147"/>
        <v>03, 10, 16</v>
      </c>
      <c r="AJ410" s="70" t="str">
        <f t="shared" si="148"/>
        <v/>
      </c>
      <c r="AK410" s="70" t="str">
        <f t="shared" si="149"/>
        <v/>
      </c>
      <c r="AM410" s="166" t="str">
        <f t="shared" si="150"/>
        <v>8E-SHD10</v>
      </c>
      <c r="AN410" s="171" t="s">
        <v>1295</v>
      </c>
      <c r="AO410" s="167" t="s">
        <v>1226</v>
      </c>
      <c r="AP410" s="167">
        <v>36</v>
      </c>
      <c r="AQ410" s="45" t="s">
        <v>1131</v>
      </c>
      <c r="AR410" s="45" t="s">
        <v>1063</v>
      </c>
      <c r="AS410" s="45">
        <v>36</v>
      </c>
    </row>
    <row r="411" spans="1:45" ht="20.100000000000001" customHeight="1" thickBot="1">
      <c r="A411" s="45" t="s">
        <v>1296</v>
      </c>
      <c r="B411" s="45" t="s">
        <v>165</v>
      </c>
      <c r="C411" s="45" t="s">
        <v>1292</v>
      </c>
      <c r="E411" s="45">
        <f t="shared" si="136"/>
        <v>6</v>
      </c>
      <c r="F411" s="45">
        <f t="shared" si="137"/>
        <v>4</v>
      </c>
      <c r="G411" s="45" t="str">
        <f t="shared" si="138"/>
        <v>LF4</v>
      </c>
      <c r="H411" s="45" t="str">
        <f t="shared" si="139"/>
        <v>M4</v>
      </c>
      <c r="J411" s="45" t="str">
        <f t="shared" si="140"/>
        <v>M4</v>
      </c>
      <c r="K411" s="45" t="s">
        <v>130</v>
      </c>
      <c r="L411" s="45" t="str">
        <f t="shared" si="141"/>
        <v>LF4-M4@E</v>
      </c>
      <c r="M411" s="75" t="str">
        <f t="shared" si="134"/>
        <v>302, 305, 303, 311, 316, 319, 322, 323, 302, 305, 307, 306, M1, M2, M3, M4</v>
      </c>
      <c r="N411" s="75" t="str">
        <f t="shared" si="135"/>
        <v>21, 04, 03</v>
      </c>
      <c r="R411" s="70" t="s">
        <v>83</v>
      </c>
      <c r="S411" s="70" t="s">
        <v>53</v>
      </c>
      <c r="T411" s="70" t="s">
        <v>331</v>
      </c>
      <c r="U411" s="70"/>
      <c r="V411" s="70"/>
      <c r="X411" s="70" t="str">
        <f t="shared" si="151"/>
        <v>LF4-E DT@E</v>
      </c>
      <c r="Y411" s="70" t="str">
        <f t="shared" si="152"/>
        <v>E DT-M4@E</v>
      </c>
      <c r="Z411" s="70" t="str">
        <f t="shared" si="153"/>
        <v/>
      </c>
      <c r="AA411" s="70" t="str">
        <f t="shared" si="154"/>
        <v/>
      </c>
      <c r="AC411" s="70" t="str">
        <f t="shared" si="142"/>
        <v>302, 305, 303, 311, 316, 319, 322, 323</v>
      </c>
      <c r="AD411" s="70" t="str">
        <f t="shared" si="143"/>
        <v>302, 305, 307, 306, M1, M2, M3, M4</v>
      </c>
      <c r="AE411" s="70" t="str">
        <f t="shared" si="144"/>
        <v/>
      </c>
      <c r="AF411" s="70" t="str">
        <f t="shared" si="145"/>
        <v/>
      </c>
      <c r="AH411" s="70" t="str">
        <f t="shared" si="146"/>
        <v>21, 04</v>
      </c>
      <c r="AI411" s="70" t="str">
        <f t="shared" si="147"/>
        <v>03</v>
      </c>
      <c r="AJ411" s="70" t="str">
        <f t="shared" si="148"/>
        <v/>
      </c>
      <c r="AK411" s="70" t="str">
        <f t="shared" si="149"/>
        <v/>
      </c>
      <c r="AM411" s="166" t="str">
        <f t="shared" si="150"/>
        <v>8W-SHD10</v>
      </c>
      <c r="AN411" s="171" t="s">
        <v>1297</v>
      </c>
      <c r="AO411" s="167" t="s">
        <v>1226</v>
      </c>
      <c r="AP411" s="167">
        <v>36</v>
      </c>
      <c r="AQ411" s="45" t="s">
        <v>1133</v>
      </c>
      <c r="AR411" s="45" t="s">
        <v>1063</v>
      </c>
      <c r="AS411" s="45">
        <v>36</v>
      </c>
    </row>
    <row r="412" spans="1:45" ht="20.100000000000001" customHeight="1" thickBot="1">
      <c r="A412" s="45" t="s">
        <v>1298</v>
      </c>
      <c r="B412" s="45" t="s">
        <v>861</v>
      </c>
      <c r="C412" s="45" t="s">
        <v>1299</v>
      </c>
      <c r="E412" s="45">
        <f t="shared" si="136"/>
        <v>6</v>
      </c>
      <c r="F412" s="45">
        <f t="shared" si="137"/>
        <v>3</v>
      </c>
      <c r="G412" s="45" t="str">
        <f t="shared" si="138"/>
        <v>M4</v>
      </c>
      <c r="H412" s="45" t="str">
        <f t="shared" si="139"/>
        <v>HM1</v>
      </c>
      <c r="J412" s="45" t="str">
        <f t="shared" si="140"/>
        <v>HM1</v>
      </c>
      <c r="K412" s="45" t="s">
        <v>130</v>
      </c>
      <c r="L412" s="45" t="str">
        <f t="shared" si="141"/>
        <v>M4-HM1@E</v>
      </c>
      <c r="M412" s="75" t="str">
        <f t="shared" si="134"/>
        <v>302, 305, 307, 306, M1, M2, M3, M4, 322, 319, 316, 311, 303, 305, 302</v>
      </c>
      <c r="N412" s="75" t="str">
        <f t="shared" si="135"/>
        <v>06, 03, 10, 16</v>
      </c>
      <c r="R412" s="70" t="s">
        <v>331</v>
      </c>
      <c r="S412" s="70" t="s">
        <v>53</v>
      </c>
      <c r="T412" s="70" t="s">
        <v>171</v>
      </c>
      <c r="U412" s="70"/>
      <c r="V412" s="70"/>
      <c r="X412" s="70" t="str">
        <f t="shared" si="151"/>
        <v>M4-E DT@E</v>
      </c>
      <c r="Y412" s="70" t="str">
        <f t="shared" si="152"/>
        <v>E DT-HM1@E</v>
      </c>
      <c r="Z412" s="70" t="str">
        <f t="shared" si="153"/>
        <v/>
      </c>
      <c r="AA412" s="70" t="str">
        <f t="shared" si="154"/>
        <v/>
      </c>
      <c r="AC412" s="70" t="str">
        <f t="shared" si="142"/>
        <v>302, 305, 307, 306, M1, M2, M3, M4</v>
      </c>
      <c r="AD412" s="70" t="str">
        <f t="shared" si="143"/>
        <v>322, 319, 316, 311, 303, 305, 302</v>
      </c>
      <c r="AE412" s="70" t="str">
        <f t="shared" si="144"/>
        <v/>
      </c>
      <c r="AF412" s="70" t="str">
        <f t="shared" si="145"/>
        <v/>
      </c>
      <c r="AH412" s="70" t="str">
        <f t="shared" si="146"/>
        <v>06</v>
      </c>
      <c r="AI412" s="70" t="str">
        <f t="shared" si="147"/>
        <v>03, 10, 16</v>
      </c>
      <c r="AJ412" s="70" t="str">
        <f t="shared" si="148"/>
        <v/>
      </c>
      <c r="AK412" s="70" t="str">
        <f t="shared" si="149"/>
        <v/>
      </c>
      <c r="AM412" s="166" t="str">
        <f t="shared" si="150"/>
        <v>LF3-SHD10</v>
      </c>
      <c r="AN412" s="171" t="s">
        <v>1300</v>
      </c>
      <c r="AO412" s="167" t="s">
        <v>1136</v>
      </c>
      <c r="AP412" s="167">
        <v>20</v>
      </c>
      <c r="AQ412" s="45" t="s">
        <v>1135</v>
      </c>
      <c r="AR412" s="45" t="s">
        <v>1136</v>
      </c>
      <c r="AS412" s="45">
        <v>20</v>
      </c>
    </row>
    <row r="413" spans="1:45" ht="20.100000000000001" customHeight="1" thickBot="1">
      <c r="A413" s="45" t="s">
        <v>1301</v>
      </c>
      <c r="B413" s="45" t="s">
        <v>176</v>
      </c>
      <c r="C413" s="45" t="s">
        <v>1302</v>
      </c>
      <c r="E413" s="45">
        <f t="shared" si="136"/>
        <v>6</v>
      </c>
      <c r="F413" s="45">
        <f t="shared" si="137"/>
        <v>4</v>
      </c>
      <c r="G413" s="45" t="str">
        <f t="shared" si="138"/>
        <v>HM1</v>
      </c>
      <c r="H413" s="45" t="str">
        <f t="shared" si="139"/>
        <v>M4</v>
      </c>
      <c r="J413" s="45" t="str">
        <f t="shared" si="140"/>
        <v>M4</v>
      </c>
      <c r="K413" s="45" t="s">
        <v>130</v>
      </c>
      <c r="L413" s="45" t="str">
        <f t="shared" si="141"/>
        <v>HM1-M4@E</v>
      </c>
      <c r="M413" s="75" t="str">
        <f t="shared" si="134"/>
        <v>322, 319, 316, 311, 303, 305, 302, 302, 305, 307, 306, M1, M2, M3, M4</v>
      </c>
      <c r="N413" s="75" t="str">
        <f t="shared" si="135"/>
        <v>22, 04, 03</v>
      </c>
      <c r="R413" s="70" t="s">
        <v>171</v>
      </c>
      <c r="S413" s="70" t="s">
        <v>53</v>
      </c>
      <c r="T413" s="70" t="s">
        <v>331</v>
      </c>
      <c r="U413" s="70"/>
      <c r="V413" s="70"/>
      <c r="X413" s="70" t="str">
        <f t="shared" si="151"/>
        <v>HM1-E DT@E</v>
      </c>
      <c r="Y413" s="70" t="str">
        <f t="shared" si="152"/>
        <v>E DT-M4@E</v>
      </c>
      <c r="Z413" s="70" t="str">
        <f t="shared" si="153"/>
        <v/>
      </c>
      <c r="AA413" s="70" t="str">
        <f t="shared" si="154"/>
        <v/>
      </c>
      <c r="AC413" s="70" t="str">
        <f t="shared" si="142"/>
        <v>322, 319, 316, 311, 303, 305, 302</v>
      </c>
      <c r="AD413" s="70" t="str">
        <f t="shared" si="143"/>
        <v>302, 305, 307, 306, M1, M2, M3, M4</v>
      </c>
      <c r="AE413" s="70" t="str">
        <f t="shared" si="144"/>
        <v/>
      </c>
      <c r="AF413" s="70" t="str">
        <f t="shared" si="145"/>
        <v/>
      </c>
      <c r="AH413" s="70" t="str">
        <f t="shared" si="146"/>
        <v>22, 04</v>
      </c>
      <c r="AI413" s="70" t="str">
        <f t="shared" si="147"/>
        <v>03</v>
      </c>
      <c r="AJ413" s="70" t="str">
        <f t="shared" si="148"/>
        <v/>
      </c>
      <c r="AK413" s="70" t="str">
        <f t="shared" si="149"/>
        <v/>
      </c>
      <c r="AM413" s="166" t="str">
        <f t="shared" si="150"/>
        <v>E AV-SHD10</v>
      </c>
      <c r="AN413" s="171" t="s">
        <v>1303</v>
      </c>
      <c r="AO413" s="167" t="s">
        <v>1304</v>
      </c>
      <c r="AP413" s="168" t="s">
        <v>718</v>
      </c>
      <c r="AQ413" s="45" t="s">
        <v>1138</v>
      </c>
      <c r="AR413" s="45" t="s">
        <v>1139</v>
      </c>
      <c r="AS413" s="45" t="s">
        <v>718</v>
      </c>
    </row>
    <row r="414" spans="1:45" ht="20.100000000000001" customHeight="1" thickBot="1">
      <c r="A414" s="45" t="s">
        <v>1305</v>
      </c>
      <c r="B414" s="45" t="s">
        <v>861</v>
      </c>
      <c r="C414" s="45" t="s">
        <v>1306</v>
      </c>
      <c r="E414" s="45">
        <f t="shared" si="136"/>
        <v>6</v>
      </c>
      <c r="F414" s="45">
        <f t="shared" si="137"/>
        <v>3</v>
      </c>
      <c r="G414" s="45" t="str">
        <f t="shared" si="138"/>
        <v>M4</v>
      </c>
      <c r="H414" s="45" t="str">
        <f t="shared" si="139"/>
        <v>HM2</v>
      </c>
      <c r="J414" s="45" t="str">
        <f t="shared" si="140"/>
        <v>HM2</v>
      </c>
      <c r="K414" s="45" t="s">
        <v>130</v>
      </c>
      <c r="L414" s="45" t="str">
        <f t="shared" si="141"/>
        <v>M4-HM2@E</v>
      </c>
      <c r="M414" s="75" t="str">
        <f t="shared" si="134"/>
        <v>302, 305, 307, 306, M1, M2, M3, M4, 324, 319, 316, 311, 303, 305, 302</v>
      </c>
      <c r="N414" s="75" t="str">
        <f t="shared" si="135"/>
        <v>06, 03, 10, 16</v>
      </c>
      <c r="R414" s="70" t="s">
        <v>331</v>
      </c>
      <c r="S414" s="70" t="s">
        <v>53</v>
      </c>
      <c r="T414" s="70" t="s">
        <v>182</v>
      </c>
      <c r="U414" s="70"/>
      <c r="V414" s="70"/>
      <c r="X414" s="70" t="str">
        <f t="shared" si="151"/>
        <v>M4-E DT@E</v>
      </c>
      <c r="Y414" s="70" t="str">
        <f t="shared" si="152"/>
        <v>E DT-HM2@E</v>
      </c>
      <c r="Z414" s="70" t="str">
        <f t="shared" si="153"/>
        <v/>
      </c>
      <c r="AA414" s="70" t="str">
        <f t="shared" si="154"/>
        <v/>
      </c>
      <c r="AC414" s="70" t="str">
        <f t="shared" si="142"/>
        <v>302, 305, 307, 306, M1, M2, M3, M4</v>
      </c>
      <c r="AD414" s="70" t="str">
        <f t="shared" si="143"/>
        <v>324, 319, 316, 311, 303, 305, 302</v>
      </c>
      <c r="AE414" s="70" t="str">
        <f t="shared" si="144"/>
        <v/>
      </c>
      <c r="AF414" s="70" t="str">
        <f t="shared" si="145"/>
        <v/>
      </c>
      <c r="AH414" s="70" t="str">
        <f t="shared" si="146"/>
        <v>06</v>
      </c>
      <c r="AI414" s="70" t="str">
        <f t="shared" si="147"/>
        <v>03, 10, 16</v>
      </c>
      <c r="AJ414" s="70" t="str">
        <f t="shared" si="148"/>
        <v/>
      </c>
      <c r="AK414" s="70" t="str">
        <f t="shared" si="149"/>
        <v/>
      </c>
      <c r="AM414" s="166" t="str">
        <f t="shared" si="150"/>
        <v>SHD10-E AV</v>
      </c>
      <c r="AN414" s="171" t="s">
        <v>1307</v>
      </c>
      <c r="AO414" s="167" t="s">
        <v>1304</v>
      </c>
      <c r="AP414" s="168" t="s">
        <v>987</v>
      </c>
      <c r="AQ414" s="45" t="s">
        <v>1143</v>
      </c>
      <c r="AR414" s="45" t="s">
        <v>1139</v>
      </c>
      <c r="AS414" s="45" t="s">
        <v>987</v>
      </c>
    </row>
    <row r="415" spans="1:45" ht="20.100000000000001" customHeight="1" thickBot="1">
      <c r="A415" s="45" t="s">
        <v>1308</v>
      </c>
      <c r="B415" s="45" t="s">
        <v>187</v>
      </c>
      <c r="C415" s="45" t="s">
        <v>1309</v>
      </c>
      <c r="E415" s="45">
        <f t="shared" si="136"/>
        <v>6</v>
      </c>
      <c r="F415" s="45">
        <f t="shared" si="137"/>
        <v>4</v>
      </c>
      <c r="G415" s="45" t="str">
        <f t="shared" si="138"/>
        <v>HM2</v>
      </c>
      <c r="H415" s="45" t="str">
        <f t="shared" si="139"/>
        <v>M4</v>
      </c>
      <c r="J415" s="45" t="str">
        <f t="shared" si="140"/>
        <v>M4</v>
      </c>
      <c r="K415" s="45" t="s">
        <v>130</v>
      </c>
      <c r="L415" s="45" t="str">
        <f t="shared" si="141"/>
        <v>HM2-M4@E</v>
      </c>
      <c r="M415" s="75" t="str">
        <f t="shared" si="134"/>
        <v>324, 319, 316, 311, 303, 305, 302, 302, 305, 307, 306, M1, M2, M3, M4</v>
      </c>
      <c r="N415" s="75" t="str">
        <f t="shared" si="135"/>
        <v>23, 04, 03</v>
      </c>
      <c r="R415" s="70" t="s">
        <v>182</v>
      </c>
      <c r="S415" s="70" t="s">
        <v>53</v>
      </c>
      <c r="T415" s="70" t="s">
        <v>331</v>
      </c>
      <c r="U415" s="70"/>
      <c r="V415" s="70"/>
      <c r="X415" s="70" t="str">
        <f t="shared" si="151"/>
        <v>HM2-E DT@E</v>
      </c>
      <c r="Y415" s="70" t="str">
        <f t="shared" si="152"/>
        <v>E DT-M4@E</v>
      </c>
      <c r="Z415" s="70" t="str">
        <f t="shared" si="153"/>
        <v/>
      </c>
      <c r="AA415" s="70" t="str">
        <f t="shared" si="154"/>
        <v/>
      </c>
      <c r="AC415" s="70" t="str">
        <f t="shared" si="142"/>
        <v>324, 319, 316, 311, 303, 305, 302</v>
      </c>
      <c r="AD415" s="70" t="str">
        <f t="shared" si="143"/>
        <v>302, 305, 307, 306, M1, M2, M3, M4</v>
      </c>
      <c r="AE415" s="70" t="str">
        <f t="shared" si="144"/>
        <v/>
      </c>
      <c r="AF415" s="70" t="str">
        <f t="shared" si="145"/>
        <v/>
      </c>
      <c r="AH415" s="70" t="str">
        <f t="shared" si="146"/>
        <v>23, 04</v>
      </c>
      <c r="AI415" s="70" t="str">
        <f t="shared" si="147"/>
        <v>03</v>
      </c>
      <c r="AJ415" s="70" t="str">
        <f t="shared" si="148"/>
        <v/>
      </c>
      <c r="AK415" s="70" t="str">
        <f t="shared" si="149"/>
        <v/>
      </c>
      <c r="AM415" s="166" t="str">
        <f t="shared" si="150"/>
        <v>E DT-SHD10</v>
      </c>
      <c r="AN415" s="171" t="s">
        <v>1147</v>
      </c>
      <c r="AO415" s="167" t="s">
        <v>1148</v>
      </c>
      <c r="AP415" s="168" t="s">
        <v>524</v>
      </c>
      <c r="AQ415" s="45" t="s">
        <v>983</v>
      </c>
      <c r="AR415" s="45" t="s">
        <v>984</v>
      </c>
      <c r="AS415" s="45" t="s">
        <v>524</v>
      </c>
    </row>
    <row r="416" spans="1:45" ht="20.100000000000001" customHeight="1" thickBot="1">
      <c r="A416" s="45" t="s">
        <v>1310</v>
      </c>
      <c r="B416" s="45" t="s">
        <v>861</v>
      </c>
      <c r="C416" s="45" t="s">
        <v>1306</v>
      </c>
      <c r="E416" s="45">
        <f t="shared" si="136"/>
        <v>6</v>
      </c>
      <c r="F416" s="45">
        <f t="shared" si="137"/>
        <v>3</v>
      </c>
      <c r="G416" s="45" t="str">
        <f t="shared" si="138"/>
        <v>M4</v>
      </c>
      <c r="H416" s="45" t="str">
        <f t="shared" si="139"/>
        <v>HM3</v>
      </c>
      <c r="J416" s="45" t="str">
        <f t="shared" si="140"/>
        <v>HM3</v>
      </c>
      <c r="K416" s="45" t="s">
        <v>130</v>
      </c>
      <c r="L416" s="45" t="str">
        <f t="shared" si="141"/>
        <v>M4-HM3@E</v>
      </c>
      <c r="M416" s="75" t="str">
        <f t="shared" si="134"/>
        <v>302, 305, 307, 306, M1, M2, M3, M4, 324, 319, 316, 311, 303, 305, 302</v>
      </c>
      <c r="N416" s="75" t="str">
        <f t="shared" si="135"/>
        <v>06, 03, 10, 16</v>
      </c>
      <c r="R416" s="70" t="s">
        <v>331</v>
      </c>
      <c r="S416" s="70" t="s">
        <v>53</v>
      </c>
      <c r="T416" s="70" t="s">
        <v>191</v>
      </c>
      <c r="U416" s="70"/>
      <c r="V416" s="70"/>
      <c r="X416" s="70" t="str">
        <f t="shared" si="151"/>
        <v>M4-E DT@E</v>
      </c>
      <c r="Y416" s="70" t="str">
        <f t="shared" si="152"/>
        <v>E DT-HM3@E</v>
      </c>
      <c r="Z416" s="70" t="str">
        <f t="shared" si="153"/>
        <v/>
      </c>
      <c r="AA416" s="70" t="str">
        <f t="shared" si="154"/>
        <v/>
      </c>
      <c r="AC416" s="70" t="str">
        <f t="shared" si="142"/>
        <v>302, 305, 307, 306, M1, M2, M3, M4</v>
      </c>
      <c r="AD416" s="70" t="str">
        <f t="shared" si="143"/>
        <v>324, 319, 316, 311, 303, 305, 302</v>
      </c>
      <c r="AE416" s="70" t="str">
        <f t="shared" si="144"/>
        <v/>
      </c>
      <c r="AF416" s="70" t="str">
        <f t="shared" si="145"/>
        <v/>
      </c>
      <c r="AH416" s="70" t="str">
        <f t="shared" si="146"/>
        <v>06</v>
      </c>
      <c r="AI416" s="70" t="str">
        <f t="shared" si="147"/>
        <v>03, 10, 16</v>
      </c>
      <c r="AJ416" s="70" t="str">
        <f t="shared" si="148"/>
        <v/>
      </c>
      <c r="AK416" s="70" t="str">
        <f t="shared" si="149"/>
        <v/>
      </c>
      <c r="AM416" s="166" t="str">
        <f t="shared" si="150"/>
        <v>SHD10-PS1</v>
      </c>
      <c r="AN416" s="170" t="s">
        <v>1311</v>
      </c>
      <c r="AO416" s="172" t="s">
        <v>1154</v>
      </c>
      <c r="AP416" s="168" t="s">
        <v>1155</v>
      </c>
    </row>
    <row r="417" spans="1:42" ht="20.100000000000001" customHeight="1" thickBot="1">
      <c r="A417" s="45" t="s">
        <v>1312</v>
      </c>
      <c r="B417" s="45" t="s">
        <v>196</v>
      </c>
      <c r="C417" s="45" t="s">
        <v>1309</v>
      </c>
      <c r="E417" s="45">
        <f t="shared" si="136"/>
        <v>6</v>
      </c>
      <c r="F417" s="45">
        <f t="shared" si="137"/>
        <v>4</v>
      </c>
      <c r="G417" s="45" t="str">
        <f t="shared" si="138"/>
        <v>HM3</v>
      </c>
      <c r="H417" s="45" t="str">
        <f t="shared" si="139"/>
        <v>M4</v>
      </c>
      <c r="J417" s="45" t="str">
        <f t="shared" si="140"/>
        <v>M4</v>
      </c>
      <c r="K417" s="45" t="s">
        <v>130</v>
      </c>
      <c r="L417" s="45" t="str">
        <f t="shared" si="141"/>
        <v>HM3-M4@E</v>
      </c>
      <c r="M417" s="75" t="str">
        <f t="shared" si="134"/>
        <v>324, 319, 316, 311, 303, 305, 302, 302, 305, 307, 306, M1, M2, M3, M4</v>
      </c>
      <c r="N417" s="75" t="str">
        <f t="shared" si="135"/>
        <v>24,04, 03</v>
      </c>
      <c r="R417" s="70" t="s">
        <v>191</v>
      </c>
      <c r="S417" s="70" t="s">
        <v>53</v>
      </c>
      <c r="T417" s="70" t="s">
        <v>331</v>
      </c>
      <c r="U417" s="70"/>
      <c r="V417" s="70"/>
      <c r="X417" s="70" t="str">
        <f t="shared" si="151"/>
        <v>HM3-E DT@E</v>
      </c>
      <c r="Y417" s="70" t="str">
        <f t="shared" si="152"/>
        <v>E DT-M4@E</v>
      </c>
      <c r="Z417" s="70" t="str">
        <f t="shared" si="153"/>
        <v/>
      </c>
      <c r="AA417" s="70" t="str">
        <f t="shared" si="154"/>
        <v/>
      </c>
      <c r="AC417" s="70" t="str">
        <f t="shared" si="142"/>
        <v>324, 319, 316, 311, 303, 305, 302</v>
      </c>
      <c r="AD417" s="70" t="str">
        <f t="shared" si="143"/>
        <v>302, 305, 307, 306, M1, M2, M3, M4</v>
      </c>
      <c r="AE417" s="70" t="str">
        <f t="shared" si="144"/>
        <v/>
      </c>
      <c r="AF417" s="70" t="str">
        <f t="shared" si="145"/>
        <v/>
      </c>
      <c r="AH417" s="70" t="str">
        <f t="shared" si="146"/>
        <v>24,04</v>
      </c>
      <c r="AI417" s="70" t="str">
        <f t="shared" si="147"/>
        <v>03</v>
      </c>
      <c r="AJ417" s="70" t="str">
        <f t="shared" si="148"/>
        <v/>
      </c>
      <c r="AK417" s="70" t="str">
        <f t="shared" si="149"/>
        <v/>
      </c>
      <c r="AM417" s="166" t="str">
        <f t="shared" si="150"/>
        <v>PS1-SHD10</v>
      </c>
      <c r="AN417" s="170" t="s">
        <v>1313</v>
      </c>
      <c r="AO417" s="167" t="s">
        <v>1154</v>
      </c>
      <c r="AP417" s="167">
        <v>11</v>
      </c>
    </row>
    <row r="418" spans="1:42" ht="20.100000000000001" customHeight="1" thickBot="1">
      <c r="A418" s="45" t="s">
        <v>1314</v>
      </c>
      <c r="B418" s="45" t="s">
        <v>861</v>
      </c>
      <c r="C418" s="45" t="s">
        <v>1315</v>
      </c>
      <c r="E418" s="45">
        <f t="shared" si="136"/>
        <v>7</v>
      </c>
      <c r="F418" s="45">
        <f t="shared" si="137"/>
        <v>3</v>
      </c>
      <c r="G418" s="45" t="str">
        <f t="shared" si="138"/>
        <v>M4</v>
      </c>
      <c r="H418" s="45" t="str">
        <f t="shared" si="139"/>
        <v>RM1E</v>
      </c>
      <c r="J418" s="45" t="str">
        <f t="shared" si="140"/>
        <v>RM1E</v>
      </c>
      <c r="K418" s="45" t="s">
        <v>130</v>
      </c>
      <c r="L418" s="45" t="str">
        <f t="shared" si="141"/>
        <v>M4-RM1E@E</v>
      </c>
      <c r="M418" s="75" t="str">
        <f t="shared" si="134"/>
        <v>302, 305, 307, 306, M1, M2, M3, M4, 302, 305, 303, 311, 316, 319, 324</v>
      </c>
      <c r="N418" s="75" t="str">
        <f t="shared" si="135"/>
        <v>06, 03, 10, 16</v>
      </c>
      <c r="R418" s="70" t="s">
        <v>331</v>
      </c>
      <c r="S418" s="70" t="s">
        <v>53</v>
      </c>
      <c r="T418" s="70" t="s">
        <v>200</v>
      </c>
      <c r="U418" s="70"/>
      <c r="V418" s="70"/>
      <c r="X418" s="70" t="str">
        <f t="shared" si="151"/>
        <v>M4-E DT@E</v>
      </c>
      <c r="Y418" s="70" t="str">
        <f t="shared" si="152"/>
        <v>E DT-RM1E@E</v>
      </c>
      <c r="Z418" s="70" t="str">
        <f t="shared" si="153"/>
        <v/>
      </c>
      <c r="AA418" s="70" t="str">
        <f t="shared" si="154"/>
        <v/>
      </c>
      <c r="AC418" s="70" t="str">
        <f t="shared" si="142"/>
        <v>302, 305, 307, 306, M1, M2, M3, M4</v>
      </c>
      <c r="AD418" s="70" t="str">
        <f t="shared" si="143"/>
        <v>302, 305, 303, 311, 316, 319, 324</v>
      </c>
      <c r="AE418" s="70" t="str">
        <f t="shared" si="144"/>
        <v/>
      </c>
      <c r="AF418" s="70" t="str">
        <f t="shared" si="145"/>
        <v/>
      </c>
      <c r="AH418" s="70" t="str">
        <f t="shared" si="146"/>
        <v>06</v>
      </c>
      <c r="AI418" s="70" t="str">
        <f t="shared" si="147"/>
        <v>03, 10, 16</v>
      </c>
      <c r="AJ418" s="70" t="str">
        <f t="shared" si="148"/>
        <v/>
      </c>
      <c r="AK418" s="70" t="str">
        <f t="shared" si="149"/>
        <v/>
      </c>
      <c r="AM418" s="166" t="str">
        <f t="shared" si="150"/>
        <v>SHD10-LF2</v>
      </c>
      <c r="AN418" s="170" t="s">
        <v>1316</v>
      </c>
      <c r="AO418" s="167" t="s">
        <v>1154</v>
      </c>
      <c r="AP418" s="168" t="s">
        <v>1155</v>
      </c>
    </row>
    <row r="419" spans="1:42" ht="20.100000000000001" customHeight="1" thickBot="1">
      <c r="A419" s="45" t="s">
        <v>1317</v>
      </c>
      <c r="B419" s="45" t="s">
        <v>204</v>
      </c>
      <c r="C419" s="45" t="s">
        <v>1318</v>
      </c>
      <c r="E419" s="45">
        <f t="shared" si="136"/>
        <v>7</v>
      </c>
      <c r="F419" s="45">
        <f t="shared" si="137"/>
        <v>5</v>
      </c>
      <c r="G419" s="45" t="str">
        <f t="shared" si="138"/>
        <v>RM1E</v>
      </c>
      <c r="H419" s="45" t="str">
        <f t="shared" si="139"/>
        <v>M4</v>
      </c>
      <c r="J419" s="45" t="str">
        <f t="shared" si="140"/>
        <v>M4</v>
      </c>
      <c r="K419" s="45" t="s">
        <v>130</v>
      </c>
      <c r="L419" s="45" t="str">
        <f t="shared" si="141"/>
        <v>RM1E-M4@E</v>
      </c>
      <c r="M419" s="75" t="str">
        <f t="shared" si="134"/>
        <v>302, 305, 303, 311, 316, 319, 324, 302, 305, 307, 306, M1, M2, M3, M4</v>
      </c>
      <c r="N419" s="75" t="str">
        <f t="shared" si="135"/>
        <v>25, 04, 03</v>
      </c>
      <c r="R419" s="70" t="s">
        <v>200</v>
      </c>
      <c r="S419" s="70" t="s">
        <v>53</v>
      </c>
      <c r="T419" s="70" t="s">
        <v>331</v>
      </c>
      <c r="U419" s="70"/>
      <c r="V419" s="70"/>
      <c r="X419" s="70" t="str">
        <f t="shared" si="151"/>
        <v>RM1E-E DT@E</v>
      </c>
      <c r="Y419" s="70" t="str">
        <f t="shared" si="152"/>
        <v>E DT-M4@E</v>
      </c>
      <c r="Z419" s="70" t="str">
        <f t="shared" si="153"/>
        <v/>
      </c>
      <c r="AA419" s="70" t="str">
        <f t="shared" si="154"/>
        <v/>
      </c>
      <c r="AC419" s="70" t="str">
        <f t="shared" si="142"/>
        <v>302, 305, 303, 311, 316, 319, 324</v>
      </c>
      <c r="AD419" s="70" t="str">
        <f t="shared" si="143"/>
        <v>302, 305, 307, 306, M1, M2, M3, M4</v>
      </c>
      <c r="AE419" s="70" t="str">
        <f t="shared" si="144"/>
        <v/>
      </c>
      <c r="AF419" s="70" t="str">
        <f t="shared" si="145"/>
        <v/>
      </c>
      <c r="AH419" s="70" t="str">
        <f t="shared" si="146"/>
        <v>25, 04</v>
      </c>
      <c r="AI419" s="70" t="str">
        <f t="shared" si="147"/>
        <v>03</v>
      </c>
      <c r="AJ419" s="70" t="str">
        <f t="shared" si="148"/>
        <v/>
      </c>
      <c r="AK419" s="70" t="str">
        <f t="shared" si="149"/>
        <v/>
      </c>
      <c r="AM419" s="166" t="str">
        <f t="shared" si="150"/>
        <v>LF2-SHD10</v>
      </c>
      <c r="AN419" s="170" t="s">
        <v>1319</v>
      </c>
      <c r="AO419" s="167" t="s">
        <v>1154</v>
      </c>
      <c r="AP419" s="167">
        <v>12</v>
      </c>
    </row>
    <row r="420" spans="1:42" ht="20.100000000000001" customHeight="1" thickBot="1">
      <c r="A420" s="45" t="s">
        <v>1320</v>
      </c>
      <c r="B420" s="45" t="s">
        <v>861</v>
      </c>
      <c r="C420" s="45" t="s">
        <v>1315</v>
      </c>
      <c r="E420" s="45">
        <f t="shared" si="136"/>
        <v>7</v>
      </c>
      <c r="F420" s="45">
        <f t="shared" si="137"/>
        <v>3</v>
      </c>
      <c r="G420" s="45" t="str">
        <f t="shared" si="138"/>
        <v>M4</v>
      </c>
      <c r="H420" s="45" t="str">
        <f t="shared" si="139"/>
        <v>RM1W</v>
      </c>
      <c r="J420" s="45" t="str">
        <f t="shared" si="140"/>
        <v>RM1W</v>
      </c>
      <c r="K420" s="45" t="s">
        <v>130</v>
      </c>
      <c r="L420" s="45" t="str">
        <f t="shared" si="141"/>
        <v>M4-RM1W@E</v>
      </c>
      <c r="M420" s="75" t="str">
        <f t="shared" si="134"/>
        <v>302, 305, 307, 306, M1, M2, M3, M4, 302, 305, 303, 311, 316, 319, 324</v>
      </c>
      <c r="N420" s="75" t="str">
        <f t="shared" si="135"/>
        <v>06, 03, 10, 16</v>
      </c>
      <c r="R420" s="70" t="s">
        <v>331</v>
      </c>
      <c r="S420" s="70" t="s">
        <v>53</v>
      </c>
      <c r="T420" s="70" t="s">
        <v>208</v>
      </c>
      <c r="U420" s="70"/>
      <c r="V420" s="70"/>
      <c r="X420" s="70" t="str">
        <f t="shared" si="151"/>
        <v>M4-E DT@E</v>
      </c>
      <c r="Y420" s="70" t="str">
        <f t="shared" si="152"/>
        <v>E DT-RM1W@E</v>
      </c>
      <c r="Z420" s="70" t="str">
        <f t="shared" si="153"/>
        <v/>
      </c>
      <c r="AA420" s="70" t="str">
        <f t="shared" si="154"/>
        <v/>
      </c>
      <c r="AC420" s="70" t="str">
        <f t="shared" si="142"/>
        <v>302, 305, 307, 306, M1, M2, M3, M4</v>
      </c>
      <c r="AD420" s="70" t="str">
        <f t="shared" si="143"/>
        <v>302, 305, 303, 311, 316, 319, 324</v>
      </c>
      <c r="AE420" s="70" t="str">
        <f t="shared" si="144"/>
        <v/>
      </c>
      <c r="AF420" s="70" t="str">
        <f t="shared" si="145"/>
        <v/>
      </c>
      <c r="AH420" s="70" t="str">
        <f t="shared" si="146"/>
        <v>06</v>
      </c>
      <c r="AI420" s="70" t="str">
        <f t="shared" si="147"/>
        <v>03, 10, 16</v>
      </c>
      <c r="AJ420" s="70" t="str">
        <f t="shared" si="148"/>
        <v/>
      </c>
      <c r="AK420" s="70" t="str">
        <f t="shared" si="149"/>
        <v/>
      </c>
      <c r="AM420" s="166" t="str">
        <f t="shared" si="150"/>
        <v>AB9-LS1</v>
      </c>
      <c r="AN420" s="170" t="s">
        <v>1321</v>
      </c>
      <c r="AO420" s="167" t="s">
        <v>1322</v>
      </c>
      <c r="AP420" s="167"/>
    </row>
    <row r="421" spans="1:42" ht="20.100000000000001" customHeight="1" thickBot="1">
      <c r="A421" s="45" t="s">
        <v>1323</v>
      </c>
      <c r="B421" s="45" t="s">
        <v>204</v>
      </c>
      <c r="C421" s="45" t="s">
        <v>1318</v>
      </c>
      <c r="E421" s="45">
        <f t="shared" si="136"/>
        <v>7</v>
      </c>
      <c r="F421" s="45">
        <f t="shared" si="137"/>
        <v>5</v>
      </c>
      <c r="G421" s="45" t="str">
        <f t="shared" si="138"/>
        <v>RM1W</v>
      </c>
      <c r="H421" s="45" t="str">
        <f t="shared" si="139"/>
        <v>M4</v>
      </c>
      <c r="J421" s="45" t="str">
        <f t="shared" si="140"/>
        <v>M4</v>
      </c>
      <c r="K421" s="45" t="s">
        <v>130</v>
      </c>
      <c r="L421" s="45" t="str">
        <f t="shared" si="141"/>
        <v>RM1W-M4@E</v>
      </c>
      <c r="M421" s="75" t="str">
        <f t="shared" si="134"/>
        <v>302, 305, 303, 311, 316, 319, 324, 302, 305, 307, 306, M1, M2, M3, M4</v>
      </c>
      <c r="N421" s="75" t="str">
        <f t="shared" si="135"/>
        <v>25, 04, 03</v>
      </c>
      <c r="R421" s="70" t="s">
        <v>208</v>
      </c>
      <c r="S421" s="70" t="s">
        <v>53</v>
      </c>
      <c r="T421" s="70" t="s">
        <v>331</v>
      </c>
      <c r="U421" s="70"/>
      <c r="V421" s="70"/>
      <c r="X421" s="70" t="str">
        <f t="shared" si="151"/>
        <v>RM1W-E DT@E</v>
      </c>
      <c r="Y421" s="70" t="str">
        <f t="shared" si="152"/>
        <v>E DT-M4@E</v>
      </c>
      <c r="Z421" s="70" t="str">
        <f t="shared" si="153"/>
        <v/>
      </c>
      <c r="AA421" s="70" t="str">
        <f t="shared" si="154"/>
        <v/>
      </c>
      <c r="AC421" s="70" t="str">
        <f t="shared" si="142"/>
        <v>302, 305, 303, 311, 316, 319, 324</v>
      </c>
      <c r="AD421" s="70" t="str">
        <f t="shared" si="143"/>
        <v>302, 305, 307, 306, M1, M2, M3, M4</v>
      </c>
      <c r="AE421" s="70" t="str">
        <f t="shared" si="144"/>
        <v/>
      </c>
      <c r="AF421" s="70" t="str">
        <f t="shared" si="145"/>
        <v/>
      </c>
      <c r="AH421" s="70" t="str">
        <f t="shared" si="146"/>
        <v>25, 04</v>
      </c>
      <c r="AI421" s="70" t="str">
        <f t="shared" si="147"/>
        <v>03</v>
      </c>
      <c r="AJ421" s="70" t="str">
        <f t="shared" si="148"/>
        <v/>
      </c>
      <c r="AK421" s="70" t="str">
        <f t="shared" si="149"/>
        <v/>
      </c>
      <c r="AM421" s="166" t="str">
        <f t="shared" si="150"/>
        <v>AB9-LS2</v>
      </c>
      <c r="AN421" s="170" t="s">
        <v>1324</v>
      </c>
      <c r="AO421" s="167" t="s">
        <v>1322</v>
      </c>
      <c r="AP421" s="167"/>
    </row>
    <row r="422" spans="1:42" ht="20.100000000000001" customHeight="1" thickBot="1">
      <c r="A422" s="45" t="s">
        <v>1325</v>
      </c>
      <c r="B422" s="45" t="s">
        <v>861</v>
      </c>
      <c r="C422" s="45" t="s">
        <v>1326</v>
      </c>
      <c r="E422" s="45">
        <f t="shared" si="136"/>
        <v>7</v>
      </c>
      <c r="F422" s="45">
        <f t="shared" si="137"/>
        <v>3</v>
      </c>
      <c r="G422" s="45" t="str">
        <f t="shared" si="138"/>
        <v>M4</v>
      </c>
      <c r="H422" s="45" t="str">
        <f t="shared" si="139"/>
        <v>RM2E</v>
      </c>
      <c r="J422" s="45" t="str">
        <f t="shared" si="140"/>
        <v>RM2E</v>
      </c>
      <c r="K422" s="45" t="s">
        <v>130</v>
      </c>
      <c r="L422" s="45" t="str">
        <f t="shared" si="141"/>
        <v>M4-RM2E@E</v>
      </c>
      <c r="M422" s="75" t="str">
        <f t="shared" si="134"/>
        <v>302, 305, 307, 306, M1, M2, M3, M4, 327, 326, 325, 318, 317, 316, 311, 303, 305, 302</v>
      </c>
      <c r="N422" s="75" t="str">
        <f t="shared" si="135"/>
        <v>06, 03, 10, 16</v>
      </c>
      <c r="R422" s="70" t="s">
        <v>331</v>
      </c>
      <c r="S422" s="70" t="s">
        <v>53</v>
      </c>
      <c r="T422" s="70" t="s">
        <v>216</v>
      </c>
      <c r="U422" s="70"/>
      <c r="V422" s="70"/>
      <c r="X422" s="70" t="str">
        <f t="shared" si="151"/>
        <v>M4-E DT@E</v>
      </c>
      <c r="Y422" s="70" t="str">
        <f t="shared" si="152"/>
        <v>E DT-RM2E@E</v>
      </c>
      <c r="Z422" s="70" t="str">
        <f t="shared" si="153"/>
        <v/>
      </c>
      <c r="AA422" s="70" t="str">
        <f t="shared" si="154"/>
        <v/>
      </c>
      <c r="AC422" s="70" t="str">
        <f t="shared" si="142"/>
        <v>302, 305, 307, 306, M1, M2, M3, M4</v>
      </c>
      <c r="AD422" s="70" t="str">
        <f t="shared" si="143"/>
        <v>327, 326, 325, 318, 317, 316, 311, 303, 305, 302</v>
      </c>
      <c r="AE422" s="70" t="str">
        <f t="shared" si="144"/>
        <v/>
      </c>
      <c r="AF422" s="70" t="str">
        <f t="shared" si="145"/>
        <v/>
      </c>
      <c r="AH422" s="70" t="str">
        <f t="shared" si="146"/>
        <v>06</v>
      </c>
      <c r="AI422" s="70" t="str">
        <f t="shared" si="147"/>
        <v>03, 10, 16</v>
      </c>
      <c r="AJ422" s="70" t="str">
        <f t="shared" si="148"/>
        <v/>
      </c>
      <c r="AK422" s="70" t="str">
        <f t="shared" si="149"/>
        <v/>
      </c>
      <c r="AM422" s="166" t="str">
        <f t="shared" si="150"/>
        <v>AB9-LS3</v>
      </c>
      <c r="AN422" s="170" t="s">
        <v>1327</v>
      </c>
      <c r="AO422" s="167" t="s">
        <v>1328</v>
      </c>
      <c r="AP422" s="167"/>
    </row>
    <row r="423" spans="1:42" ht="20.100000000000001" customHeight="1" thickBot="1">
      <c r="A423" s="45" t="s">
        <v>1329</v>
      </c>
      <c r="B423" s="45" t="s">
        <v>220</v>
      </c>
      <c r="C423" s="45" t="s">
        <v>1330</v>
      </c>
      <c r="E423" s="45">
        <f t="shared" si="136"/>
        <v>7</v>
      </c>
      <c r="F423" s="45">
        <f t="shared" si="137"/>
        <v>5</v>
      </c>
      <c r="G423" s="45" t="str">
        <f t="shared" si="138"/>
        <v>RM2E</v>
      </c>
      <c r="H423" s="45" t="str">
        <f t="shared" si="139"/>
        <v>M4</v>
      </c>
      <c r="J423" s="45" t="str">
        <f t="shared" si="140"/>
        <v>M4</v>
      </c>
      <c r="K423" s="45" t="s">
        <v>130</v>
      </c>
      <c r="L423" s="45" t="str">
        <f t="shared" si="141"/>
        <v>RM2E-M4@E</v>
      </c>
      <c r="M423" s="75" t="str">
        <f t="shared" si="134"/>
        <v>327, 326, 325, 318, 317, 316, 311, 303, 305, 302, 302, 305, 307, 306, M1, M2, M3, M4</v>
      </c>
      <c r="N423" s="75" t="str">
        <f t="shared" si="135"/>
        <v>26, 04, 03</v>
      </c>
      <c r="R423" s="70" t="s">
        <v>216</v>
      </c>
      <c r="S423" s="70" t="s">
        <v>53</v>
      </c>
      <c r="T423" s="70" t="s">
        <v>331</v>
      </c>
      <c r="U423" s="70"/>
      <c r="V423" s="70"/>
      <c r="X423" s="70" t="str">
        <f t="shared" si="151"/>
        <v>RM2E-E DT@E</v>
      </c>
      <c r="Y423" s="70" t="str">
        <f t="shared" si="152"/>
        <v>E DT-M4@E</v>
      </c>
      <c r="Z423" s="70" t="str">
        <f t="shared" si="153"/>
        <v/>
      </c>
      <c r="AA423" s="70" t="str">
        <f t="shared" si="154"/>
        <v/>
      </c>
      <c r="AC423" s="70" t="str">
        <f t="shared" si="142"/>
        <v>327, 326, 325, 318, 317, 316, 311, 303, 305, 302</v>
      </c>
      <c r="AD423" s="70" t="str">
        <f t="shared" si="143"/>
        <v>302, 305, 307, 306, M1, M2, M3, M4</v>
      </c>
      <c r="AE423" s="70" t="str">
        <f t="shared" si="144"/>
        <v/>
      </c>
      <c r="AF423" s="70" t="str">
        <f t="shared" si="145"/>
        <v/>
      </c>
      <c r="AH423" s="70" t="str">
        <f t="shared" si="146"/>
        <v>26, 04</v>
      </c>
      <c r="AI423" s="70" t="str">
        <f t="shared" si="147"/>
        <v>03</v>
      </c>
      <c r="AJ423" s="70" t="str">
        <f t="shared" si="148"/>
        <v/>
      </c>
      <c r="AK423" s="70" t="str">
        <f t="shared" si="149"/>
        <v/>
      </c>
      <c r="AM423" s="166" t="str">
        <f t="shared" si="150"/>
        <v>AB9-E AV</v>
      </c>
      <c r="AN423" s="171" t="s">
        <v>1331</v>
      </c>
      <c r="AO423" s="167" t="s">
        <v>1332</v>
      </c>
      <c r="AP423" s="168" t="s">
        <v>152</v>
      </c>
    </row>
    <row r="424" spans="1:42" ht="20.100000000000001" customHeight="1" thickBot="1">
      <c r="A424" s="45" t="s">
        <v>1333</v>
      </c>
      <c r="B424" s="45" t="s">
        <v>861</v>
      </c>
      <c r="C424" s="45" t="s">
        <v>1326</v>
      </c>
      <c r="E424" s="45">
        <f t="shared" si="136"/>
        <v>7</v>
      </c>
      <c r="F424" s="45">
        <f t="shared" si="137"/>
        <v>3</v>
      </c>
      <c r="G424" s="45" t="str">
        <f t="shared" si="138"/>
        <v>M4</v>
      </c>
      <c r="H424" s="45" t="str">
        <f t="shared" si="139"/>
        <v>RM2W</v>
      </c>
      <c r="J424" s="45" t="str">
        <f t="shared" si="140"/>
        <v>RM2W</v>
      </c>
      <c r="K424" s="45" t="s">
        <v>130</v>
      </c>
      <c r="L424" s="45" t="str">
        <f t="shared" si="141"/>
        <v>M4-RM2W@E</v>
      </c>
      <c r="M424" s="75" t="str">
        <f t="shared" si="134"/>
        <v>302, 305, 307, 306, M1, M2, M3, M4, 327, 326, 325, 318, 317, 316, 311, 303, 305, 302</v>
      </c>
      <c r="N424" s="75" t="str">
        <f t="shared" si="135"/>
        <v>06, 03, 10, 16</v>
      </c>
      <c r="R424" s="70" t="s">
        <v>331</v>
      </c>
      <c r="S424" s="70" t="s">
        <v>53</v>
      </c>
      <c r="T424" s="70" t="s">
        <v>224</v>
      </c>
      <c r="U424" s="70"/>
      <c r="V424" s="70"/>
      <c r="X424" s="70" t="str">
        <f t="shared" si="151"/>
        <v>M4-E DT@E</v>
      </c>
      <c r="Y424" s="70" t="str">
        <f t="shared" si="152"/>
        <v>E DT-RM2W@E</v>
      </c>
      <c r="Z424" s="70" t="str">
        <f t="shared" si="153"/>
        <v/>
      </c>
      <c r="AA424" s="70" t="str">
        <f t="shared" si="154"/>
        <v/>
      </c>
      <c r="AC424" s="70" t="str">
        <f t="shared" si="142"/>
        <v>302, 305, 307, 306, M1, M2, M3, M4</v>
      </c>
      <c r="AD424" s="70" t="str">
        <f t="shared" si="143"/>
        <v>327, 326, 325, 318, 317, 316, 311, 303, 305, 302</v>
      </c>
      <c r="AE424" s="70" t="str">
        <f t="shared" si="144"/>
        <v/>
      </c>
      <c r="AF424" s="70" t="str">
        <f t="shared" si="145"/>
        <v/>
      </c>
      <c r="AH424" s="70" t="str">
        <f t="shared" si="146"/>
        <v>06</v>
      </c>
      <c r="AI424" s="70" t="str">
        <f t="shared" si="147"/>
        <v>03, 10, 16</v>
      </c>
      <c r="AJ424" s="70" t="str">
        <f t="shared" si="148"/>
        <v/>
      </c>
      <c r="AK424" s="70" t="str">
        <f t="shared" si="149"/>
        <v/>
      </c>
      <c r="AM424" s="166" t="str">
        <f t="shared" si="150"/>
        <v>AB9-E DT</v>
      </c>
      <c r="AN424" s="171" t="s">
        <v>1334</v>
      </c>
      <c r="AO424" s="167" t="s">
        <v>1335</v>
      </c>
      <c r="AP424" s="168" t="s">
        <v>152</v>
      </c>
    </row>
    <row r="425" spans="1:42" ht="20.100000000000001" customHeight="1" thickBot="1">
      <c r="A425" s="45" t="s">
        <v>1336</v>
      </c>
      <c r="B425" s="45" t="s">
        <v>220</v>
      </c>
      <c r="C425" s="45" t="s">
        <v>1330</v>
      </c>
      <c r="E425" s="45">
        <f t="shared" si="136"/>
        <v>7</v>
      </c>
      <c r="F425" s="45">
        <f t="shared" si="137"/>
        <v>5</v>
      </c>
      <c r="G425" s="45" t="str">
        <f t="shared" si="138"/>
        <v>RM2W</v>
      </c>
      <c r="H425" s="45" t="str">
        <f t="shared" si="139"/>
        <v>M4</v>
      </c>
      <c r="J425" s="45" t="str">
        <f t="shared" si="140"/>
        <v>M4</v>
      </c>
      <c r="K425" s="45" t="s">
        <v>130</v>
      </c>
      <c r="L425" s="45" t="str">
        <f t="shared" si="141"/>
        <v>RM2W-M4@E</v>
      </c>
      <c r="M425" s="75" t="str">
        <f t="shared" si="134"/>
        <v>327, 326, 325, 318, 317, 316, 311, 303, 305, 302, 302, 305, 307, 306, M1, M2, M3, M4</v>
      </c>
      <c r="N425" s="75" t="str">
        <f t="shared" si="135"/>
        <v>26, 04, 03</v>
      </c>
      <c r="R425" s="70" t="s">
        <v>224</v>
      </c>
      <c r="S425" s="70" t="s">
        <v>53</v>
      </c>
      <c r="T425" s="70" t="s">
        <v>331</v>
      </c>
      <c r="U425" s="70"/>
      <c r="V425" s="70"/>
      <c r="X425" s="70" t="str">
        <f t="shared" si="151"/>
        <v>RM2W-E DT@E</v>
      </c>
      <c r="Y425" s="70" t="str">
        <f t="shared" si="152"/>
        <v>E DT-M4@E</v>
      </c>
      <c r="Z425" s="70" t="str">
        <f t="shared" si="153"/>
        <v/>
      </c>
      <c r="AA425" s="70" t="str">
        <f t="shared" si="154"/>
        <v/>
      </c>
      <c r="AC425" s="70" t="str">
        <f t="shared" si="142"/>
        <v>327, 326, 325, 318, 317, 316, 311, 303, 305, 302</v>
      </c>
      <c r="AD425" s="70" t="str">
        <f t="shared" si="143"/>
        <v>302, 305, 307, 306, M1, M2, M3, M4</v>
      </c>
      <c r="AE425" s="70" t="str">
        <f t="shared" si="144"/>
        <v/>
      </c>
      <c r="AF425" s="70" t="str">
        <f t="shared" si="145"/>
        <v/>
      </c>
      <c r="AH425" s="70" t="str">
        <f t="shared" si="146"/>
        <v>26, 04</v>
      </c>
      <c r="AI425" s="70" t="str">
        <f t="shared" si="147"/>
        <v>03</v>
      </c>
      <c r="AJ425" s="70" t="str">
        <f t="shared" si="148"/>
        <v/>
      </c>
      <c r="AK425" s="70" t="str">
        <f t="shared" si="149"/>
        <v/>
      </c>
      <c r="AM425" s="166" t="str">
        <f t="shared" si="150"/>
        <v>LS1-AB9</v>
      </c>
      <c r="AN425" s="171" t="s">
        <v>1337</v>
      </c>
      <c r="AO425" s="167" t="s">
        <v>1322</v>
      </c>
      <c r="AP425" s="167"/>
    </row>
    <row r="426" spans="1:42" ht="20.100000000000001" customHeight="1" thickBot="1">
      <c r="A426" s="45" t="s">
        <v>1338</v>
      </c>
      <c r="B426" s="45" t="s">
        <v>861</v>
      </c>
      <c r="C426" s="45" t="s">
        <v>1326</v>
      </c>
      <c r="E426" s="45">
        <f t="shared" si="136"/>
        <v>7</v>
      </c>
      <c r="F426" s="45">
        <f t="shared" si="137"/>
        <v>3</v>
      </c>
      <c r="G426" s="45" t="str">
        <f t="shared" si="138"/>
        <v>M4</v>
      </c>
      <c r="H426" s="45" t="str">
        <f t="shared" si="139"/>
        <v>RM3E</v>
      </c>
      <c r="J426" s="45" t="str">
        <f t="shared" si="140"/>
        <v>RM3E</v>
      </c>
      <c r="K426" s="45" t="s">
        <v>130</v>
      </c>
      <c r="L426" s="45" t="str">
        <f t="shared" si="141"/>
        <v>M4-RM3E@E</v>
      </c>
      <c r="M426" s="75" t="str">
        <f t="shared" si="134"/>
        <v>302, 305, 307, 306, M1, M2, M3, M4, 327, 326, 325, 318, 317, 316, 311, 303, 305, 302</v>
      </c>
      <c r="N426" s="75" t="str">
        <f t="shared" si="135"/>
        <v>06, 03, 10, 16</v>
      </c>
      <c r="R426" s="70" t="s">
        <v>331</v>
      </c>
      <c r="S426" s="70" t="s">
        <v>53</v>
      </c>
      <c r="T426" s="70" t="s">
        <v>231</v>
      </c>
      <c r="U426" s="70"/>
      <c r="V426" s="70"/>
      <c r="X426" s="70" t="str">
        <f t="shared" si="151"/>
        <v>M4-E DT@E</v>
      </c>
      <c r="Y426" s="70" t="str">
        <f t="shared" si="152"/>
        <v>E DT-RM3E@E</v>
      </c>
      <c r="Z426" s="70" t="str">
        <f t="shared" si="153"/>
        <v/>
      </c>
      <c r="AA426" s="70" t="str">
        <f t="shared" si="154"/>
        <v/>
      </c>
      <c r="AC426" s="70" t="str">
        <f t="shared" si="142"/>
        <v>302, 305, 307, 306, M1, M2, M3, M4</v>
      </c>
      <c r="AD426" s="70" t="str">
        <f t="shared" si="143"/>
        <v>327, 326, 325, 318, 317, 316, 311, 303, 305, 302</v>
      </c>
      <c r="AE426" s="70" t="str">
        <f t="shared" si="144"/>
        <v/>
      </c>
      <c r="AF426" s="70" t="str">
        <f t="shared" si="145"/>
        <v/>
      </c>
      <c r="AH426" s="70" t="str">
        <f t="shared" si="146"/>
        <v>06</v>
      </c>
      <c r="AI426" s="70" t="str">
        <f t="shared" si="147"/>
        <v>03, 10, 16</v>
      </c>
      <c r="AJ426" s="70" t="str">
        <f t="shared" si="148"/>
        <v/>
      </c>
      <c r="AK426" s="70" t="str">
        <f t="shared" si="149"/>
        <v/>
      </c>
      <c r="AM426" s="166" t="str">
        <f t="shared" si="150"/>
        <v>LS2-AB9</v>
      </c>
      <c r="AN426" s="171" t="s">
        <v>1339</v>
      </c>
      <c r="AO426" s="167" t="s">
        <v>1322</v>
      </c>
      <c r="AP426" s="167"/>
    </row>
    <row r="427" spans="1:42" ht="20.100000000000001" customHeight="1" thickBot="1">
      <c r="A427" s="45" t="s">
        <v>1340</v>
      </c>
      <c r="B427" s="45" t="s">
        <v>235</v>
      </c>
      <c r="C427" s="45" t="s">
        <v>1330</v>
      </c>
      <c r="E427" s="45">
        <f t="shared" si="136"/>
        <v>7</v>
      </c>
      <c r="F427" s="45">
        <f t="shared" si="137"/>
        <v>5</v>
      </c>
      <c r="G427" s="45" t="str">
        <f t="shared" si="138"/>
        <v>RM3E</v>
      </c>
      <c r="H427" s="45" t="str">
        <f t="shared" si="139"/>
        <v>M4</v>
      </c>
      <c r="J427" s="45" t="str">
        <f t="shared" si="140"/>
        <v>M4</v>
      </c>
      <c r="K427" s="45" t="s">
        <v>130</v>
      </c>
      <c r="L427" s="45" t="str">
        <f t="shared" si="141"/>
        <v>RM3E-M4@E</v>
      </c>
      <c r="M427" s="75" t="str">
        <f t="shared" si="134"/>
        <v>327, 326, 325, 318, 317, 316, 311, 303, 305, 302, 302, 305, 307, 306, M1, M2, M3, M4</v>
      </c>
      <c r="N427" s="75" t="str">
        <f t="shared" si="135"/>
        <v>27, 04, 03</v>
      </c>
      <c r="R427" s="70" t="s">
        <v>231</v>
      </c>
      <c r="S427" s="70" t="s">
        <v>53</v>
      </c>
      <c r="T427" s="70" t="s">
        <v>331</v>
      </c>
      <c r="U427" s="70"/>
      <c r="V427" s="70"/>
      <c r="X427" s="70" t="str">
        <f t="shared" si="151"/>
        <v>RM3E-E DT@E</v>
      </c>
      <c r="Y427" s="70" t="str">
        <f t="shared" si="152"/>
        <v>E DT-M4@E</v>
      </c>
      <c r="Z427" s="70" t="str">
        <f t="shared" si="153"/>
        <v/>
      </c>
      <c r="AA427" s="70" t="str">
        <f t="shared" si="154"/>
        <v/>
      </c>
      <c r="AC427" s="70" t="str">
        <f t="shared" si="142"/>
        <v>327, 326, 325, 318, 317, 316, 311, 303, 305, 302</v>
      </c>
      <c r="AD427" s="70" t="str">
        <f t="shared" si="143"/>
        <v>302, 305, 307, 306, M1, M2, M3, M4</v>
      </c>
      <c r="AE427" s="70" t="str">
        <f t="shared" si="144"/>
        <v/>
      </c>
      <c r="AF427" s="70" t="str">
        <f t="shared" si="145"/>
        <v/>
      </c>
      <c r="AH427" s="70" t="str">
        <f t="shared" si="146"/>
        <v>27, 04</v>
      </c>
      <c r="AI427" s="70" t="str">
        <f t="shared" si="147"/>
        <v>03</v>
      </c>
      <c r="AJ427" s="70" t="str">
        <f t="shared" si="148"/>
        <v/>
      </c>
      <c r="AK427" s="70" t="str">
        <f t="shared" si="149"/>
        <v/>
      </c>
      <c r="AM427" s="166" t="str">
        <f t="shared" si="150"/>
        <v>LS3-AB9</v>
      </c>
      <c r="AN427" s="171" t="s">
        <v>1341</v>
      </c>
      <c r="AO427" s="167" t="s">
        <v>1328</v>
      </c>
      <c r="AP427" s="167"/>
    </row>
    <row r="428" spans="1:42" ht="20.100000000000001" customHeight="1" thickBot="1">
      <c r="A428" s="45" t="s">
        <v>1342</v>
      </c>
      <c r="B428" s="45" t="s">
        <v>861</v>
      </c>
      <c r="C428" s="45" t="s">
        <v>1326</v>
      </c>
      <c r="E428" s="45">
        <f t="shared" si="136"/>
        <v>7</v>
      </c>
      <c r="F428" s="45">
        <f t="shared" si="137"/>
        <v>3</v>
      </c>
      <c r="G428" s="45" t="str">
        <f t="shared" si="138"/>
        <v>M4</v>
      </c>
      <c r="H428" s="45" t="str">
        <f t="shared" si="139"/>
        <v>RM3W</v>
      </c>
      <c r="J428" s="45" t="str">
        <f t="shared" si="140"/>
        <v>RM3W</v>
      </c>
      <c r="K428" s="45" t="s">
        <v>130</v>
      </c>
      <c r="L428" s="45" t="str">
        <f t="shared" si="141"/>
        <v>M4-RM3W@E</v>
      </c>
      <c r="M428" s="75" t="str">
        <f t="shared" si="134"/>
        <v>302, 305, 307, 306, M1, M2, M3, M4, 327, 326, 325, 318, 317, 316, 311, 303, 305, 302</v>
      </c>
      <c r="N428" s="75" t="str">
        <f t="shared" si="135"/>
        <v>06, 03, 10, 16</v>
      </c>
      <c r="R428" s="70" t="s">
        <v>331</v>
      </c>
      <c r="S428" s="70" t="s">
        <v>53</v>
      </c>
      <c r="T428" s="70" t="s">
        <v>238</v>
      </c>
      <c r="U428" s="70"/>
      <c r="V428" s="70"/>
      <c r="X428" s="70" t="str">
        <f t="shared" si="151"/>
        <v>M4-E DT@E</v>
      </c>
      <c r="Y428" s="70" t="str">
        <f t="shared" si="152"/>
        <v>E DT-RM3W@E</v>
      </c>
      <c r="Z428" s="70" t="str">
        <f t="shared" si="153"/>
        <v/>
      </c>
      <c r="AA428" s="70" t="str">
        <f t="shared" si="154"/>
        <v/>
      </c>
      <c r="AC428" s="70" t="str">
        <f t="shared" si="142"/>
        <v>302, 305, 307, 306, M1, M2, M3, M4</v>
      </c>
      <c r="AD428" s="70" t="str">
        <f t="shared" si="143"/>
        <v>327, 326, 325, 318, 317, 316, 311, 303, 305, 302</v>
      </c>
      <c r="AE428" s="70" t="str">
        <f t="shared" si="144"/>
        <v/>
      </c>
      <c r="AF428" s="70" t="str">
        <f t="shared" si="145"/>
        <v/>
      </c>
      <c r="AH428" s="70" t="str">
        <f t="shared" si="146"/>
        <v>06</v>
      </c>
      <c r="AI428" s="70" t="str">
        <f t="shared" si="147"/>
        <v>03, 10, 16</v>
      </c>
      <c r="AJ428" s="70" t="str">
        <f t="shared" si="148"/>
        <v/>
      </c>
      <c r="AK428" s="70" t="str">
        <f t="shared" si="149"/>
        <v/>
      </c>
      <c r="AM428" s="166" t="str">
        <f t="shared" si="150"/>
        <v>E AV-AB9</v>
      </c>
      <c r="AN428" s="171" t="s">
        <v>1343</v>
      </c>
      <c r="AO428" s="167" t="s">
        <v>1332</v>
      </c>
      <c r="AP428" s="168" t="s">
        <v>718</v>
      </c>
    </row>
    <row r="429" spans="1:42" ht="20.100000000000001" customHeight="1" thickBot="1">
      <c r="A429" s="45" t="s">
        <v>1344</v>
      </c>
      <c r="B429" s="45" t="s">
        <v>235</v>
      </c>
      <c r="C429" s="45" t="s">
        <v>1330</v>
      </c>
      <c r="E429" s="45">
        <f t="shared" si="136"/>
        <v>7</v>
      </c>
      <c r="F429" s="45">
        <f t="shared" si="137"/>
        <v>5</v>
      </c>
      <c r="G429" s="45" t="str">
        <f t="shared" si="138"/>
        <v>RM3W</v>
      </c>
      <c r="H429" s="45" t="str">
        <f t="shared" si="139"/>
        <v>M4</v>
      </c>
      <c r="J429" s="45" t="str">
        <f t="shared" si="140"/>
        <v>M4</v>
      </c>
      <c r="K429" s="45" t="s">
        <v>130</v>
      </c>
      <c r="L429" s="45" t="str">
        <f t="shared" si="141"/>
        <v>RM3W-M4@E</v>
      </c>
      <c r="M429" s="75" t="str">
        <f t="shared" si="134"/>
        <v>327, 326, 325, 318, 317, 316, 311, 303, 305, 302, 302, 305, 307, 306, M1, M2, M3, M4</v>
      </c>
      <c r="N429" s="75" t="str">
        <f t="shared" si="135"/>
        <v>27, 04, 03</v>
      </c>
      <c r="R429" s="70" t="s">
        <v>238</v>
      </c>
      <c r="S429" s="70" t="s">
        <v>53</v>
      </c>
      <c r="T429" s="70" t="s">
        <v>331</v>
      </c>
      <c r="U429" s="70"/>
      <c r="V429" s="70"/>
      <c r="X429" s="70" t="str">
        <f t="shared" si="151"/>
        <v>RM3W-E DT@E</v>
      </c>
      <c r="Y429" s="70" t="str">
        <f t="shared" si="152"/>
        <v>E DT-M4@E</v>
      </c>
      <c r="Z429" s="70" t="str">
        <f t="shared" si="153"/>
        <v/>
      </c>
      <c r="AA429" s="70" t="str">
        <f t="shared" si="154"/>
        <v/>
      </c>
      <c r="AC429" s="70" t="str">
        <f t="shared" si="142"/>
        <v>327, 326, 325, 318, 317, 316, 311, 303, 305, 302</v>
      </c>
      <c r="AD429" s="70" t="str">
        <f t="shared" si="143"/>
        <v>302, 305, 307, 306, M1, M2, M3, M4</v>
      </c>
      <c r="AE429" s="70" t="str">
        <f t="shared" si="144"/>
        <v/>
      </c>
      <c r="AF429" s="70" t="str">
        <f t="shared" si="145"/>
        <v/>
      </c>
      <c r="AH429" s="70" t="str">
        <f t="shared" si="146"/>
        <v>27, 04</v>
      </c>
      <c r="AI429" s="70" t="str">
        <f t="shared" si="147"/>
        <v>03</v>
      </c>
      <c r="AJ429" s="70" t="str">
        <f t="shared" si="148"/>
        <v/>
      </c>
      <c r="AK429" s="70" t="str">
        <f t="shared" si="149"/>
        <v/>
      </c>
      <c r="AM429" s="166" t="str">
        <f t="shared" si="150"/>
        <v>E DT-AB9</v>
      </c>
      <c r="AN429" s="171" t="s">
        <v>1345</v>
      </c>
      <c r="AO429" s="167" t="s">
        <v>1335</v>
      </c>
      <c r="AP429" s="168" t="s">
        <v>524</v>
      </c>
    </row>
    <row r="430" spans="1:42" ht="20.100000000000001" customHeight="1" thickBot="1">
      <c r="A430" s="45" t="s">
        <v>1346</v>
      </c>
      <c r="B430" s="45" t="s">
        <v>861</v>
      </c>
      <c r="C430" s="45" t="s">
        <v>1347</v>
      </c>
      <c r="E430" s="45">
        <f t="shared" si="136"/>
        <v>7</v>
      </c>
      <c r="F430" s="45">
        <f t="shared" si="137"/>
        <v>3</v>
      </c>
      <c r="G430" s="45" t="str">
        <f t="shared" si="138"/>
        <v>M4</v>
      </c>
      <c r="H430" s="45" t="str">
        <f t="shared" si="139"/>
        <v>HCTE</v>
      </c>
      <c r="J430" s="45" t="str">
        <f t="shared" si="140"/>
        <v>HCTE</v>
      </c>
      <c r="K430" s="45" t="s">
        <v>130</v>
      </c>
      <c r="L430" s="45" t="str">
        <f t="shared" si="141"/>
        <v>M4-HCTE@E</v>
      </c>
      <c r="M430" s="75" t="str">
        <f t="shared" si="134"/>
        <v>302, 305, 307, 306, M1, M2, M3, M4, 329, 328, 325, 318, 317, 316, 311, 303, 305, 302</v>
      </c>
      <c r="N430" s="75" t="str">
        <f t="shared" si="135"/>
        <v>06, 03, 10, 16</v>
      </c>
      <c r="R430" s="70" t="s">
        <v>331</v>
      </c>
      <c r="S430" s="70" t="s">
        <v>53</v>
      </c>
      <c r="T430" s="70" t="s">
        <v>246</v>
      </c>
      <c r="U430" s="70"/>
      <c r="V430" s="70"/>
      <c r="X430" s="70" t="str">
        <f t="shared" si="151"/>
        <v>M4-E DT@E</v>
      </c>
      <c r="Y430" s="70" t="str">
        <f t="shared" si="152"/>
        <v>E DT-HCTE@E</v>
      </c>
      <c r="Z430" s="70" t="str">
        <f t="shared" si="153"/>
        <v/>
      </c>
      <c r="AA430" s="70" t="str">
        <f t="shared" si="154"/>
        <v/>
      </c>
      <c r="AC430" s="70" t="str">
        <f t="shared" si="142"/>
        <v>302, 305, 307, 306, M1, M2, M3, M4</v>
      </c>
      <c r="AD430" s="70" t="str">
        <f t="shared" si="143"/>
        <v>329, 328, 325, 318, 317, 316, 311, 303, 305, 302</v>
      </c>
      <c r="AE430" s="70" t="str">
        <f t="shared" si="144"/>
        <v/>
      </c>
      <c r="AF430" s="70" t="str">
        <f t="shared" si="145"/>
        <v/>
      </c>
      <c r="AH430" s="70" t="str">
        <f t="shared" si="146"/>
        <v>06</v>
      </c>
      <c r="AI430" s="70" t="str">
        <f t="shared" si="147"/>
        <v>03, 10, 16</v>
      </c>
      <c r="AJ430" s="70" t="str">
        <f t="shared" si="148"/>
        <v/>
      </c>
      <c r="AK430" s="70" t="str">
        <f t="shared" si="149"/>
        <v/>
      </c>
      <c r="AM430" s="166" t="str">
        <f t="shared" si="150"/>
        <v>E AV-LS1</v>
      </c>
      <c r="AN430" s="171" t="s">
        <v>1348</v>
      </c>
      <c r="AO430" s="167" t="s">
        <v>1349</v>
      </c>
      <c r="AP430" s="167" t="s">
        <v>718</v>
      </c>
    </row>
    <row r="431" spans="1:42" ht="20.100000000000001" customHeight="1" thickBot="1">
      <c r="A431" s="45" t="s">
        <v>1350</v>
      </c>
      <c r="B431" s="45" t="s">
        <v>250</v>
      </c>
      <c r="C431" s="45" t="s">
        <v>1351</v>
      </c>
      <c r="E431" s="45">
        <f t="shared" si="136"/>
        <v>7</v>
      </c>
      <c r="F431" s="45">
        <f t="shared" si="137"/>
        <v>5</v>
      </c>
      <c r="G431" s="45" t="str">
        <f t="shared" si="138"/>
        <v>HCTE</v>
      </c>
      <c r="H431" s="45" t="str">
        <f t="shared" si="139"/>
        <v>M4</v>
      </c>
      <c r="J431" s="45" t="str">
        <f t="shared" si="140"/>
        <v>M4</v>
      </c>
      <c r="K431" s="45" t="s">
        <v>130</v>
      </c>
      <c r="L431" s="45" t="str">
        <f t="shared" si="141"/>
        <v>HCTE-M4@E</v>
      </c>
      <c r="M431" s="75" t="str">
        <f t="shared" si="134"/>
        <v>329, 328, 325, 318, 317, 316, 311, 303, 305, 302, 302, 305, 307, 306, M1, M2, M3, M4</v>
      </c>
      <c r="N431" s="75" t="str">
        <f t="shared" si="135"/>
        <v>28, 04, 03</v>
      </c>
      <c r="R431" s="70" t="s">
        <v>246</v>
      </c>
      <c r="S431" s="70" t="s">
        <v>53</v>
      </c>
      <c r="T431" s="70" t="s">
        <v>331</v>
      </c>
      <c r="U431" s="70"/>
      <c r="V431" s="70"/>
      <c r="X431" s="70" t="str">
        <f t="shared" si="151"/>
        <v>HCTE-E DT@E</v>
      </c>
      <c r="Y431" s="70" t="str">
        <f t="shared" si="152"/>
        <v>E DT-M4@E</v>
      </c>
      <c r="Z431" s="70" t="str">
        <f t="shared" si="153"/>
        <v/>
      </c>
      <c r="AA431" s="70" t="str">
        <f t="shared" si="154"/>
        <v/>
      </c>
      <c r="AC431" s="70" t="str">
        <f t="shared" si="142"/>
        <v>329, 328, 325, 318, 317, 316, 311, 303, 305, 302</v>
      </c>
      <c r="AD431" s="70" t="str">
        <f t="shared" si="143"/>
        <v>302, 305, 307, 306, M1, M2, M3, M4</v>
      </c>
      <c r="AE431" s="70" t="str">
        <f t="shared" si="144"/>
        <v/>
      </c>
      <c r="AF431" s="70" t="str">
        <f t="shared" si="145"/>
        <v/>
      </c>
      <c r="AH431" s="70" t="str">
        <f t="shared" si="146"/>
        <v>28, 04</v>
      </c>
      <c r="AI431" s="70" t="str">
        <f t="shared" si="147"/>
        <v>03</v>
      </c>
      <c r="AJ431" s="70" t="str">
        <f t="shared" si="148"/>
        <v/>
      </c>
      <c r="AK431" s="70" t="str">
        <f t="shared" si="149"/>
        <v/>
      </c>
      <c r="AM431" s="166" t="str">
        <f t="shared" si="150"/>
        <v>E DT-EM1</v>
      </c>
      <c r="AN431" s="171" t="s">
        <v>1352</v>
      </c>
      <c r="AO431" s="167" t="s">
        <v>1353</v>
      </c>
      <c r="AP431" s="167" t="s">
        <v>1354</v>
      </c>
    </row>
    <row r="432" spans="1:42" ht="20.100000000000001" customHeight="1" thickBot="1">
      <c r="A432" s="45" t="s">
        <v>1355</v>
      </c>
      <c r="B432" s="45" t="s">
        <v>861</v>
      </c>
      <c r="C432" s="45" t="s">
        <v>1347</v>
      </c>
      <c r="E432" s="45">
        <f t="shared" si="136"/>
        <v>7</v>
      </c>
      <c r="F432" s="45">
        <f t="shared" si="137"/>
        <v>3</v>
      </c>
      <c r="G432" s="45" t="str">
        <f t="shared" si="138"/>
        <v>M4</v>
      </c>
      <c r="H432" s="45" t="str">
        <f t="shared" si="139"/>
        <v>HCTW</v>
      </c>
      <c r="J432" s="45" t="str">
        <f t="shared" si="140"/>
        <v>HCTW</v>
      </c>
      <c r="K432" s="45" t="s">
        <v>130</v>
      </c>
      <c r="L432" s="45" t="str">
        <f t="shared" si="141"/>
        <v>M4-HCTW@E</v>
      </c>
      <c r="M432" s="75" t="str">
        <f t="shared" si="134"/>
        <v>302, 305, 307, 306, M1, M2, M3, M4, 329, 328, 325, 318, 317, 316, 311, 303, 305, 302</v>
      </c>
      <c r="N432" s="75" t="str">
        <f t="shared" si="135"/>
        <v>06, 03, 10, 16</v>
      </c>
      <c r="R432" s="70" t="s">
        <v>331</v>
      </c>
      <c r="S432" s="70" t="s">
        <v>53</v>
      </c>
      <c r="T432" s="70" t="s">
        <v>254</v>
      </c>
      <c r="U432" s="70"/>
      <c r="V432" s="70"/>
      <c r="X432" s="70" t="str">
        <f t="shared" si="151"/>
        <v>M4-E DT@E</v>
      </c>
      <c r="Y432" s="70" t="str">
        <f t="shared" si="152"/>
        <v>E DT-HCTW@E</v>
      </c>
      <c r="Z432" s="70" t="str">
        <f t="shared" si="153"/>
        <v/>
      </c>
      <c r="AA432" s="70" t="str">
        <f t="shared" si="154"/>
        <v/>
      </c>
      <c r="AC432" s="70" t="str">
        <f t="shared" si="142"/>
        <v>302, 305, 307, 306, M1, M2, M3, M4</v>
      </c>
      <c r="AD432" s="70" t="str">
        <f t="shared" si="143"/>
        <v>329, 328, 325, 318, 317, 316, 311, 303, 305, 302</v>
      </c>
      <c r="AE432" s="70" t="str">
        <f t="shared" si="144"/>
        <v/>
      </c>
      <c r="AF432" s="70" t="str">
        <f t="shared" si="145"/>
        <v/>
      </c>
      <c r="AH432" s="70" t="str">
        <f t="shared" si="146"/>
        <v>06</v>
      </c>
      <c r="AI432" s="70" t="str">
        <f t="shared" si="147"/>
        <v>03, 10, 16</v>
      </c>
      <c r="AJ432" s="70" t="str">
        <f t="shared" si="148"/>
        <v/>
      </c>
      <c r="AK432" s="70" t="str">
        <f t="shared" si="149"/>
        <v/>
      </c>
      <c r="AM432" s="166" t="str">
        <f t="shared" si="150"/>
        <v>E AV-EM1</v>
      </c>
      <c r="AN432" s="171" t="s">
        <v>1356</v>
      </c>
      <c r="AO432" s="167" t="s">
        <v>1357</v>
      </c>
      <c r="AP432" s="167" t="s">
        <v>1358</v>
      </c>
    </row>
    <row r="433" spans="1:45" ht="20.100000000000001" customHeight="1" thickBot="1">
      <c r="A433" s="45" t="s">
        <v>1359</v>
      </c>
      <c r="B433" s="45" t="s">
        <v>250</v>
      </c>
      <c r="C433" s="45" t="s">
        <v>1351</v>
      </c>
      <c r="E433" s="45">
        <f t="shared" si="136"/>
        <v>7</v>
      </c>
      <c r="F433" s="45">
        <f t="shared" si="137"/>
        <v>5</v>
      </c>
      <c r="G433" s="45" t="str">
        <f t="shared" si="138"/>
        <v>HCTW</v>
      </c>
      <c r="H433" s="45" t="str">
        <f t="shared" si="139"/>
        <v>M4</v>
      </c>
      <c r="J433" s="45" t="str">
        <f t="shared" si="140"/>
        <v>M4</v>
      </c>
      <c r="K433" s="45" t="s">
        <v>130</v>
      </c>
      <c r="L433" s="45" t="str">
        <f t="shared" si="141"/>
        <v>HCTW-M4@E</v>
      </c>
      <c r="M433" s="75" t="str">
        <f t="shared" si="134"/>
        <v>329, 328, 325, 318, 317, 316, 311, 303, 305, 302, 302, 305, 307, 306, M1, M2, M3, M4</v>
      </c>
      <c r="N433" s="75" t="str">
        <f t="shared" si="135"/>
        <v>28, 04, 03</v>
      </c>
      <c r="R433" s="70" t="s">
        <v>254</v>
      </c>
      <c r="S433" s="70" t="s">
        <v>53</v>
      </c>
      <c r="T433" s="70" t="s">
        <v>331</v>
      </c>
      <c r="U433" s="70"/>
      <c r="V433" s="70"/>
      <c r="X433" s="70" t="str">
        <f t="shared" si="151"/>
        <v>HCTW-E DT@E</v>
      </c>
      <c r="Y433" s="70" t="str">
        <f t="shared" si="152"/>
        <v>E DT-M4@E</v>
      </c>
      <c r="Z433" s="70" t="str">
        <f t="shared" si="153"/>
        <v/>
      </c>
      <c r="AA433" s="70" t="str">
        <f t="shared" si="154"/>
        <v/>
      </c>
      <c r="AC433" s="70" t="str">
        <f t="shared" si="142"/>
        <v>329, 328, 325, 318, 317, 316, 311, 303, 305, 302</v>
      </c>
      <c r="AD433" s="70" t="str">
        <f t="shared" si="143"/>
        <v>302, 305, 307, 306, M1, M2, M3, M4</v>
      </c>
      <c r="AE433" s="70" t="str">
        <f t="shared" si="144"/>
        <v/>
      </c>
      <c r="AF433" s="70" t="str">
        <f t="shared" si="145"/>
        <v/>
      </c>
      <c r="AH433" s="70" t="str">
        <f t="shared" si="146"/>
        <v>28, 04</v>
      </c>
      <c r="AI433" s="70" t="str">
        <f t="shared" si="147"/>
        <v>03</v>
      </c>
      <c r="AJ433" s="70" t="str">
        <f t="shared" si="148"/>
        <v/>
      </c>
      <c r="AK433" s="70" t="str">
        <f t="shared" si="149"/>
        <v/>
      </c>
      <c r="AM433" s="166" t="str">
        <f t="shared" si="150"/>
        <v>EM1-E DT</v>
      </c>
      <c r="AN433" s="171" t="s">
        <v>1360</v>
      </c>
      <c r="AO433" s="167" t="s">
        <v>1353</v>
      </c>
      <c r="AP433" s="168" t="s">
        <v>1361</v>
      </c>
    </row>
    <row r="434" spans="1:45" ht="20.100000000000001" customHeight="1" thickBot="1">
      <c r="A434" s="45" t="s">
        <v>1362</v>
      </c>
      <c r="B434" s="45" t="s">
        <v>861</v>
      </c>
      <c r="C434" s="45" t="s">
        <v>1347</v>
      </c>
      <c r="E434" s="45">
        <f t="shared" si="136"/>
        <v>5</v>
      </c>
      <c r="F434" s="45">
        <f t="shared" si="137"/>
        <v>3</v>
      </c>
      <c r="G434" s="45" t="str">
        <f t="shared" si="138"/>
        <v>M4</v>
      </c>
      <c r="H434" s="45" t="str">
        <f t="shared" si="139"/>
        <v>1E</v>
      </c>
      <c r="J434" s="45" t="str">
        <f t="shared" si="140"/>
        <v>1E</v>
      </c>
      <c r="K434" s="45" t="s">
        <v>130</v>
      </c>
      <c r="L434" s="45" t="str">
        <f t="shared" si="141"/>
        <v>M4-1E@E</v>
      </c>
      <c r="M434" s="75" t="str">
        <f t="shared" si="134"/>
        <v>302, 305, 307, 306, M1, M2, M3, M4, 329, 328, 325, 318, 317, 316, 311, 303, 305, 302</v>
      </c>
      <c r="N434" s="75" t="str">
        <f t="shared" si="135"/>
        <v>06, 03, 10, 16</v>
      </c>
      <c r="R434" s="70" t="s">
        <v>331</v>
      </c>
      <c r="S434" s="70" t="s">
        <v>53</v>
      </c>
      <c r="T434" s="70" t="s">
        <v>261</v>
      </c>
      <c r="U434" s="70"/>
      <c r="V434" s="70"/>
      <c r="X434" s="70" t="str">
        <f t="shared" si="151"/>
        <v>M4-E DT@E</v>
      </c>
      <c r="Y434" s="70" t="str">
        <f t="shared" si="152"/>
        <v>E DT-1E@E</v>
      </c>
      <c r="Z434" s="70" t="str">
        <f t="shared" si="153"/>
        <v/>
      </c>
      <c r="AA434" s="70" t="str">
        <f t="shared" si="154"/>
        <v/>
      </c>
      <c r="AC434" s="70" t="str">
        <f t="shared" si="142"/>
        <v>302, 305, 307, 306, M1, M2, M3, M4</v>
      </c>
      <c r="AD434" s="70" t="str">
        <f t="shared" si="143"/>
        <v>329, 328, 325, 318, 317, 316, 311, 303, 305, 302</v>
      </c>
      <c r="AE434" s="70" t="str">
        <f t="shared" si="144"/>
        <v/>
      </c>
      <c r="AF434" s="70" t="str">
        <f t="shared" si="145"/>
        <v/>
      </c>
      <c r="AH434" s="70" t="str">
        <f t="shared" si="146"/>
        <v>06</v>
      </c>
      <c r="AI434" s="70" t="str">
        <f t="shared" si="147"/>
        <v>03, 10, 16</v>
      </c>
      <c r="AJ434" s="70" t="str">
        <f t="shared" si="148"/>
        <v/>
      </c>
      <c r="AK434" s="70" t="str">
        <f t="shared" si="149"/>
        <v/>
      </c>
      <c r="AM434" s="166" t="str">
        <f t="shared" si="150"/>
        <v>EM1-E AV</v>
      </c>
      <c r="AN434" s="171" t="s">
        <v>1363</v>
      </c>
      <c r="AO434" s="167" t="s">
        <v>1357</v>
      </c>
      <c r="AP434" s="167" t="s">
        <v>1361</v>
      </c>
    </row>
    <row r="435" spans="1:45" ht="20.100000000000001" customHeight="1" thickBot="1">
      <c r="A435" s="45" t="s">
        <v>1364</v>
      </c>
      <c r="B435" s="45" t="s">
        <v>266</v>
      </c>
      <c r="C435" s="45" t="s">
        <v>1351</v>
      </c>
      <c r="E435" s="45">
        <f t="shared" si="136"/>
        <v>5</v>
      </c>
      <c r="F435" s="45">
        <f t="shared" si="137"/>
        <v>3</v>
      </c>
      <c r="G435" s="45" t="str">
        <f t="shared" si="138"/>
        <v>1E</v>
      </c>
      <c r="H435" s="45" t="str">
        <f t="shared" si="139"/>
        <v>M4</v>
      </c>
      <c r="J435" s="45" t="str">
        <f t="shared" si="140"/>
        <v>M4</v>
      </c>
      <c r="K435" s="45" t="s">
        <v>130</v>
      </c>
      <c r="L435" s="45" t="str">
        <f t="shared" si="141"/>
        <v>1E-M4@E</v>
      </c>
      <c r="M435" s="75" t="str">
        <f t="shared" si="134"/>
        <v>329, 328, 325, 318, 317, 316, 311, 303, 305, 302, 302, 305, 307, 306, M1, M2, M3, M4</v>
      </c>
      <c r="N435" s="75" t="str">
        <f t="shared" si="135"/>
        <v>29, 04, 03</v>
      </c>
      <c r="R435" s="70" t="s">
        <v>261</v>
      </c>
      <c r="S435" s="70" t="s">
        <v>53</v>
      </c>
      <c r="T435" s="70" t="s">
        <v>331</v>
      </c>
      <c r="U435" s="70"/>
      <c r="V435" s="70"/>
      <c r="X435" s="70" t="str">
        <f t="shared" si="151"/>
        <v>1E-E DT@E</v>
      </c>
      <c r="Y435" s="70" t="str">
        <f t="shared" si="152"/>
        <v>E DT-M4@E</v>
      </c>
      <c r="Z435" s="70" t="str">
        <f t="shared" si="153"/>
        <v/>
      </c>
      <c r="AA435" s="70" t="str">
        <f t="shared" si="154"/>
        <v/>
      </c>
      <c r="AC435" s="70" t="str">
        <f t="shared" si="142"/>
        <v>329, 328, 325, 318, 317, 316, 311, 303, 305, 302</v>
      </c>
      <c r="AD435" s="70" t="str">
        <f t="shared" si="143"/>
        <v>302, 305, 307, 306, M1, M2, M3, M4</v>
      </c>
      <c r="AE435" s="70" t="str">
        <f t="shared" si="144"/>
        <v/>
      </c>
      <c r="AF435" s="70" t="str">
        <f t="shared" si="145"/>
        <v/>
      </c>
      <c r="AH435" s="70" t="str">
        <f t="shared" si="146"/>
        <v>29, 04</v>
      </c>
      <c r="AI435" s="70" t="str">
        <f t="shared" si="147"/>
        <v>03</v>
      </c>
      <c r="AJ435" s="70" t="str">
        <f t="shared" si="148"/>
        <v/>
      </c>
      <c r="AK435" s="70" t="str">
        <f t="shared" si="149"/>
        <v/>
      </c>
      <c r="AM435" s="166" t="str">
        <f>LEFT(AN435,LEN(AN435)-2)</f>
        <v>M2-M5</v>
      </c>
      <c r="AN435" s="170" t="s">
        <v>1365</v>
      </c>
      <c r="AO435" s="167" t="s">
        <v>316</v>
      </c>
      <c r="AP435" s="167"/>
      <c r="AS435" s="45" t="str">
        <f>CONCATENATE(AQ435,"-",AR435,"@E")</f>
        <v>-@E</v>
      </c>
    </row>
    <row r="436" spans="1:45" ht="20.100000000000001" customHeight="1" thickBot="1">
      <c r="A436" s="45" t="s">
        <v>1366</v>
      </c>
      <c r="B436" s="45" t="s">
        <v>861</v>
      </c>
      <c r="C436" s="45" t="s">
        <v>1347</v>
      </c>
      <c r="E436" s="45">
        <f t="shared" si="136"/>
        <v>5</v>
      </c>
      <c r="F436" s="45">
        <f t="shared" si="137"/>
        <v>3</v>
      </c>
      <c r="G436" s="45" t="str">
        <f t="shared" si="138"/>
        <v>M4</v>
      </c>
      <c r="H436" s="45" t="str">
        <f t="shared" si="139"/>
        <v>1W</v>
      </c>
      <c r="J436" s="45" t="str">
        <f t="shared" si="140"/>
        <v>1W</v>
      </c>
      <c r="K436" s="45" t="s">
        <v>130</v>
      </c>
      <c r="L436" s="45" t="str">
        <f t="shared" si="141"/>
        <v>M4-1W@E</v>
      </c>
      <c r="M436" s="75" t="str">
        <f t="shared" si="134"/>
        <v>302, 305, 307, 306, M1, M2, M3, M4, 329, 328, 325, 318, 317, 316, 311, 303, 305, 302</v>
      </c>
      <c r="N436" s="75" t="str">
        <f t="shared" si="135"/>
        <v>06, 03, 10, 16</v>
      </c>
      <c r="R436" s="70" t="s">
        <v>331</v>
      </c>
      <c r="S436" s="70" t="s">
        <v>53</v>
      </c>
      <c r="T436" s="70" t="s">
        <v>269</v>
      </c>
      <c r="U436" s="70"/>
      <c r="V436" s="70"/>
      <c r="X436" s="70" t="str">
        <f t="shared" si="151"/>
        <v>M4-E DT@E</v>
      </c>
      <c r="Y436" s="70" t="str">
        <f t="shared" si="152"/>
        <v>E DT-1W@E</v>
      </c>
      <c r="Z436" s="70" t="str">
        <f t="shared" si="153"/>
        <v/>
      </c>
      <c r="AA436" s="70" t="str">
        <f t="shared" si="154"/>
        <v/>
      </c>
      <c r="AC436" s="70" t="str">
        <f t="shared" si="142"/>
        <v>302, 305, 307, 306, M1, M2, M3, M4</v>
      </c>
      <c r="AD436" s="70" t="str">
        <f t="shared" si="143"/>
        <v>329, 328, 325, 318, 317, 316, 311, 303, 305, 302</v>
      </c>
      <c r="AE436" s="70" t="str">
        <f t="shared" si="144"/>
        <v/>
      </c>
      <c r="AF436" s="70" t="str">
        <f t="shared" si="145"/>
        <v/>
      </c>
      <c r="AH436" s="70" t="str">
        <f t="shared" si="146"/>
        <v>06</v>
      </c>
      <c r="AI436" s="70" t="str">
        <f t="shared" si="147"/>
        <v>03, 10, 16</v>
      </c>
      <c r="AJ436" s="70" t="str">
        <f t="shared" si="148"/>
        <v/>
      </c>
      <c r="AK436" s="70" t="str">
        <f t="shared" si="149"/>
        <v/>
      </c>
      <c r="AM436" s="166" t="str">
        <f t="shared" ref="AM436:AM477" si="155">LEFT(AN436,LEN(AN436)-2)</f>
        <v>M1-SHD6</v>
      </c>
      <c r="AN436" s="171" t="s">
        <v>1367</v>
      </c>
      <c r="AO436" s="167" t="s">
        <v>863</v>
      </c>
      <c r="AP436" s="167"/>
      <c r="AQ436" s="45" t="s">
        <v>76</v>
      </c>
      <c r="AR436" s="45" t="s">
        <v>863</v>
      </c>
      <c r="AS436" s="45" t="str">
        <f t="shared" ref="AS436:AS449" si="156">CONCATENATE(AQ436,"-",AR436,"@E")</f>
        <v>SHD6-M1@E</v>
      </c>
    </row>
    <row r="437" spans="1:45" ht="20.100000000000001" customHeight="1" thickBot="1">
      <c r="A437" s="45" t="s">
        <v>1368</v>
      </c>
      <c r="B437" s="45" t="s">
        <v>266</v>
      </c>
      <c r="C437" s="45" t="s">
        <v>1351</v>
      </c>
      <c r="E437" s="45">
        <f t="shared" si="136"/>
        <v>5</v>
      </c>
      <c r="F437" s="45">
        <f t="shared" si="137"/>
        <v>3</v>
      </c>
      <c r="G437" s="45" t="str">
        <f t="shared" si="138"/>
        <v>1W</v>
      </c>
      <c r="H437" s="45" t="str">
        <f t="shared" si="139"/>
        <v>M4</v>
      </c>
      <c r="J437" s="45" t="str">
        <f t="shared" si="140"/>
        <v>M4</v>
      </c>
      <c r="K437" s="45" t="s">
        <v>130</v>
      </c>
      <c r="L437" s="45" t="str">
        <f t="shared" si="141"/>
        <v>1W-M4@E</v>
      </c>
      <c r="M437" s="75" t="str">
        <f t="shared" si="134"/>
        <v>329, 328, 325, 318, 317, 316, 311, 303, 305, 302, 302, 305, 307, 306, M1, M2, M3, M4</v>
      </c>
      <c r="N437" s="75" t="str">
        <f t="shared" si="135"/>
        <v>29, 04, 03</v>
      </c>
      <c r="R437" s="70" t="s">
        <v>269</v>
      </c>
      <c r="S437" s="70" t="s">
        <v>53</v>
      </c>
      <c r="T437" s="70" t="s">
        <v>331</v>
      </c>
      <c r="U437" s="70"/>
      <c r="V437" s="70"/>
      <c r="X437" s="70" t="str">
        <f t="shared" si="151"/>
        <v>1W-E DT@E</v>
      </c>
      <c r="Y437" s="70" t="str">
        <f t="shared" si="152"/>
        <v>E DT-M4@E</v>
      </c>
      <c r="Z437" s="70" t="str">
        <f t="shared" si="153"/>
        <v/>
      </c>
      <c r="AA437" s="70" t="str">
        <f t="shared" si="154"/>
        <v/>
      </c>
      <c r="AC437" s="70" t="str">
        <f t="shared" si="142"/>
        <v>329, 328, 325, 318, 317, 316, 311, 303, 305, 302</v>
      </c>
      <c r="AD437" s="70" t="str">
        <f t="shared" si="143"/>
        <v>302, 305, 307, 306, M1, M2, M3, M4</v>
      </c>
      <c r="AE437" s="70" t="str">
        <f t="shared" si="144"/>
        <v/>
      </c>
      <c r="AF437" s="70" t="str">
        <f t="shared" si="145"/>
        <v/>
      </c>
      <c r="AH437" s="70" t="str">
        <f t="shared" si="146"/>
        <v>29, 04</v>
      </c>
      <c r="AI437" s="70" t="str">
        <f t="shared" si="147"/>
        <v>03</v>
      </c>
      <c r="AJ437" s="70" t="str">
        <f t="shared" si="148"/>
        <v/>
      </c>
      <c r="AK437" s="70" t="str">
        <f t="shared" si="149"/>
        <v/>
      </c>
      <c r="AM437" s="166" t="str">
        <f t="shared" si="155"/>
        <v>M2-SHD6</v>
      </c>
      <c r="AN437" s="171" t="s">
        <v>1369</v>
      </c>
      <c r="AO437" s="167" t="s">
        <v>1370</v>
      </c>
      <c r="AP437" s="167"/>
      <c r="AQ437" s="45" t="s">
        <v>76</v>
      </c>
      <c r="AR437" s="45" t="s">
        <v>994</v>
      </c>
      <c r="AS437" s="45" t="str">
        <f t="shared" si="156"/>
        <v>SHD6-M2@E</v>
      </c>
    </row>
    <row r="438" spans="1:45" ht="20.100000000000001" customHeight="1" thickBot="1">
      <c r="A438" s="45" t="s">
        <v>1371</v>
      </c>
      <c r="B438" s="45" t="s">
        <v>861</v>
      </c>
      <c r="C438" s="45" t="s">
        <v>1372</v>
      </c>
      <c r="E438" s="45">
        <f t="shared" si="136"/>
        <v>5</v>
      </c>
      <c r="F438" s="45">
        <f t="shared" si="137"/>
        <v>3</v>
      </c>
      <c r="G438" s="45" t="str">
        <f t="shared" si="138"/>
        <v>M4</v>
      </c>
      <c r="H438" s="45" t="str">
        <f t="shared" si="139"/>
        <v>2E</v>
      </c>
      <c r="J438" s="45" t="str">
        <f t="shared" si="140"/>
        <v>2E</v>
      </c>
      <c r="K438" s="45" t="s">
        <v>130</v>
      </c>
      <c r="L438" s="45" t="str">
        <f t="shared" si="141"/>
        <v>M4-2E@E</v>
      </c>
      <c r="M438" s="75" t="str">
        <f t="shared" si="134"/>
        <v>302, 305, 307, 306, M1, M2, M3, M4, 330, 328, 325, 318, 317, 316, 311, 303, 305, 302</v>
      </c>
      <c r="N438" s="75" t="str">
        <f t="shared" si="135"/>
        <v>06, 03, 10, 16</v>
      </c>
      <c r="R438" s="70" t="s">
        <v>331</v>
      </c>
      <c r="S438" s="70" t="s">
        <v>53</v>
      </c>
      <c r="T438" s="70" t="s">
        <v>276</v>
      </c>
      <c r="U438" s="70"/>
      <c r="V438" s="70"/>
      <c r="X438" s="70" t="str">
        <f t="shared" si="151"/>
        <v>M4-E DT@E</v>
      </c>
      <c r="Y438" s="70" t="str">
        <f t="shared" si="152"/>
        <v>E DT-2E@E</v>
      </c>
      <c r="Z438" s="70" t="str">
        <f t="shared" si="153"/>
        <v/>
      </c>
      <c r="AA438" s="70" t="str">
        <f t="shared" si="154"/>
        <v/>
      </c>
      <c r="AC438" s="70" t="str">
        <f t="shared" si="142"/>
        <v>302, 305, 307, 306, M1, M2, M3, M4</v>
      </c>
      <c r="AD438" s="70" t="str">
        <f t="shared" si="143"/>
        <v>330, 328, 325, 318, 317, 316, 311, 303, 305, 302</v>
      </c>
      <c r="AE438" s="70" t="str">
        <f t="shared" si="144"/>
        <v/>
      </c>
      <c r="AF438" s="70" t="str">
        <f t="shared" si="145"/>
        <v/>
      </c>
      <c r="AH438" s="70" t="str">
        <f t="shared" si="146"/>
        <v>06</v>
      </c>
      <c r="AI438" s="70" t="str">
        <f t="shared" si="147"/>
        <v>03, 10, 16</v>
      </c>
      <c r="AJ438" s="70" t="str">
        <f t="shared" si="148"/>
        <v/>
      </c>
      <c r="AK438" s="70" t="str">
        <f t="shared" si="149"/>
        <v/>
      </c>
      <c r="AM438" s="166" t="str">
        <f t="shared" si="155"/>
        <v>M3-SHD6</v>
      </c>
      <c r="AN438" s="171" t="s">
        <v>1373</v>
      </c>
      <c r="AO438" s="167" t="s">
        <v>1374</v>
      </c>
      <c r="AP438" s="167"/>
      <c r="AQ438" s="45" t="s">
        <v>76</v>
      </c>
      <c r="AR438" s="45" t="s">
        <v>1142</v>
      </c>
      <c r="AS438" s="45" t="str">
        <f t="shared" si="156"/>
        <v>SHD6-M3@E</v>
      </c>
    </row>
    <row r="439" spans="1:45" ht="20.100000000000001" customHeight="1" thickBot="1">
      <c r="A439" s="45" t="s">
        <v>1375</v>
      </c>
      <c r="B439" s="45" t="s">
        <v>280</v>
      </c>
      <c r="C439" s="45" t="s">
        <v>1376</v>
      </c>
      <c r="E439" s="45">
        <f t="shared" si="136"/>
        <v>5</v>
      </c>
      <c r="F439" s="45">
        <f t="shared" si="137"/>
        <v>3</v>
      </c>
      <c r="G439" s="45" t="str">
        <f t="shared" si="138"/>
        <v>2E</v>
      </c>
      <c r="H439" s="45" t="str">
        <f t="shared" si="139"/>
        <v>M4</v>
      </c>
      <c r="J439" s="45" t="str">
        <f t="shared" si="140"/>
        <v>M4</v>
      </c>
      <c r="K439" s="45" t="s">
        <v>130</v>
      </c>
      <c r="L439" s="45" t="str">
        <f t="shared" si="141"/>
        <v>2E-M4@E</v>
      </c>
      <c r="M439" s="75" t="str">
        <f t="shared" si="134"/>
        <v>330, 328, 325, 318, 317, 316, 311, 303, 305, 302, 302, 305, 307, 306, M1, M2, M3, M4</v>
      </c>
      <c r="N439" s="75" t="str">
        <f t="shared" si="135"/>
        <v>30, 04, 03</v>
      </c>
      <c r="R439" s="70" t="s">
        <v>276</v>
      </c>
      <c r="S439" s="70" t="s">
        <v>53</v>
      </c>
      <c r="T439" s="70" t="s">
        <v>331</v>
      </c>
      <c r="U439" s="70"/>
      <c r="V439" s="70"/>
      <c r="X439" s="70" t="str">
        <f t="shared" si="151"/>
        <v>2E-E DT@E</v>
      </c>
      <c r="Y439" s="70" t="str">
        <f t="shared" si="152"/>
        <v>E DT-M4@E</v>
      </c>
      <c r="Z439" s="70" t="str">
        <f t="shared" si="153"/>
        <v/>
      </c>
      <c r="AA439" s="70" t="str">
        <f t="shared" si="154"/>
        <v/>
      </c>
      <c r="AC439" s="70" t="str">
        <f t="shared" si="142"/>
        <v>330, 328, 325, 318, 317, 316, 311, 303, 305, 302</v>
      </c>
      <c r="AD439" s="70" t="str">
        <f t="shared" si="143"/>
        <v>302, 305, 307, 306, M1, M2, M3, M4</v>
      </c>
      <c r="AE439" s="70" t="str">
        <f t="shared" si="144"/>
        <v/>
      </c>
      <c r="AF439" s="70" t="str">
        <f t="shared" si="145"/>
        <v/>
      </c>
      <c r="AH439" s="70" t="str">
        <f t="shared" si="146"/>
        <v>30, 04</v>
      </c>
      <c r="AI439" s="70" t="str">
        <f t="shared" si="147"/>
        <v>03</v>
      </c>
      <c r="AJ439" s="70" t="str">
        <f t="shared" si="148"/>
        <v/>
      </c>
      <c r="AK439" s="70" t="str">
        <f t="shared" si="149"/>
        <v/>
      </c>
      <c r="AM439" s="166" t="str">
        <f t="shared" si="155"/>
        <v>M4-SHD6</v>
      </c>
      <c r="AN439" s="171" t="s">
        <v>1377</v>
      </c>
      <c r="AO439" s="167" t="s">
        <v>1378</v>
      </c>
      <c r="AP439" s="167"/>
      <c r="AQ439" s="45" t="s">
        <v>76</v>
      </c>
      <c r="AR439" s="45" t="s">
        <v>331</v>
      </c>
      <c r="AS439" s="45" t="str">
        <f t="shared" si="156"/>
        <v>SHD6-M4@E</v>
      </c>
    </row>
    <row r="440" spans="1:45" ht="20.100000000000001" customHeight="1" thickBot="1">
      <c r="A440" s="45" t="s">
        <v>1379</v>
      </c>
      <c r="B440" s="45" t="s">
        <v>861</v>
      </c>
      <c r="C440" s="45" t="s">
        <v>1372</v>
      </c>
      <c r="E440" s="45">
        <f t="shared" si="136"/>
        <v>5</v>
      </c>
      <c r="F440" s="45">
        <f t="shared" si="137"/>
        <v>3</v>
      </c>
      <c r="G440" s="45" t="str">
        <f t="shared" si="138"/>
        <v>M4</v>
      </c>
      <c r="H440" s="45" t="str">
        <f t="shared" si="139"/>
        <v>2W</v>
      </c>
      <c r="J440" s="45" t="str">
        <f t="shared" si="140"/>
        <v>2W</v>
      </c>
      <c r="K440" s="45" t="s">
        <v>130</v>
      </c>
      <c r="L440" s="45" t="str">
        <f t="shared" si="141"/>
        <v>M4-2W@E</v>
      </c>
      <c r="M440" s="75" t="str">
        <f t="shared" si="134"/>
        <v>302, 305, 307, 306, M1, M2, M3, M4, 330, 328, 325, 318, 317, 316, 311, 303, 305, 302</v>
      </c>
      <c r="N440" s="75" t="str">
        <f t="shared" si="135"/>
        <v>06, 03, 10, 16</v>
      </c>
      <c r="R440" s="70" t="s">
        <v>331</v>
      </c>
      <c r="S440" s="70" t="s">
        <v>53</v>
      </c>
      <c r="T440" s="70" t="s">
        <v>285</v>
      </c>
      <c r="U440" s="70"/>
      <c r="V440" s="70"/>
      <c r="X440" s="70" t="str">
        <f t="shared" si="151"/>
        <v>M4-E DT@E</v>
      </c>
      <c r="Y440" s="70" t="str">
        <f t="shared" si="152"/>
        <v>E DT-2W@E</v>
      </c>
      <c r="Z440" s="70" t="str">
        <f t="shared" si="153"/>
        <v/>
      </c>
      <c r="AA440" s="70" t="str">
        <f t="shared" si="154"/>
        <v/>
      </c>
      <c r="AC440" s="70" t="str">
        <f t="shared" si="142"/>
        <v>302, 305, 307, 306, M1, M2, M3, M4</v>
      </c>
      <c r="AD440" s="70" t="str">
        <f t="shared" si="143"/>
        <v>330, 328, 325, 318, 317, 316, 311, 303, 305, 302</v>
      </c>
      <c r="AE440" s="70" t="str">
        <f t="shared" si="144"/>
        <v/>
      </c>
      <c r="AF440" s="70" t="str">
        <f t="shared" si="145"/>
        <v/>
      </c>
      <c r="AH440" s="70" t="str">
        <f t="shared" si="146"/>
        <v>06</v>
      </c>
      <c r="AI440" s="70" t="str">
        <f t="shared" si="147"/>
        <v>03, 10, 16</v>
      </c>
      <c r="AJ440" s="70" t="str">
        <f t="shared" si="148"/>
        <v/>
      </c>
      <c r="AK440" s="70" t="str">
        <f t="shared" si="149"/>
        <v/>
      </c>
      <c r="AM440" s="166" t="str">
        <f t="shared" si="155"/>
        <v>M5-SHD6</v>
      </c>
      <c r="AN440" s="171" t="s">
        <v>1380</v>
      </c>
      <c r="AO440" s="167" t="s">
        <v>1378</v>
      </c>
      <c r="AP440" s="167"/>
      <c r="AQ440" s="45" t="s">
        <v>76</v>
      </c>
      <c r="AR440" s="45" t="s">
        <v>1381</v>
      </c>
      <c r="AS440" s="45" t="str">
        <f t="shared" si="156"/>
        <v>SHD6-M5@E</v>
      </c>
    </row>
    <row r="441" spans="1:45" ht="20.100000000000001" customHeight="1" thickBot="1">
      <c r="A441" s="45" t="s">
        <v>1382</v>
      </c>
      <c r="B441" s="45" t="s">
        <v>280</v>
      </c>
      <c r="C441" s="45" t="s">
        <v>1376</v>
      </c>
      <c r="E441" s="45">
        <f t="shared" si="136"/>
        <v>5</v>
      </c>
      <c r="F441" s="45">
        <f t="shared" si="137"/>
        <v>3</v>
      </c>
      <c r="G441" s="45" t="str">
        <f t="shared" si="138"/>
        <v>2W</v>
      </c>
      <c r="H441" s="45" t="str">
        <f t="shared" si="139"/>
        <v>M4</v>
      </c>
      <c r="J441" s="45" t="str">
        <f t="shared" si="140"/>
        <v>M4</v>
      </c>
      <c r="K441" s="45" t="s">
        <v>130</v>
      </c>
      <c r="L441" s="45" t="str">
        <f t="shared" si="141"/>
        <v>2W-M4@E</v>
      </c>
      <c r="M441" s="75" t="str">
        <f t="shared" si="134"/>
        <v>330, 328, 325, 318, 317, 316, 311, 303, 305, 302, 302, 305, 307, 306, M1, M2, M3, M4</v>
      </c>
      <c r="N441" s="75" t="str">
        <f t="shared" si="135"/>
        <v>30, 04, 03</v>
      </c>
      <c r="R441" s="70" t="s">
        <v>285</v>
      </c>
      <c r="S441" s="70" t="s">
        <v>53</v>
      </c>
      <c r="T441" s="70" t="s">
        <v>331</v>
      </c>
      <c r="U441" s="70"/>
      <c r="V441" s="70"/>
      <c r="X441" s="70" t="str">
        <f t="shared" si="151"/>
        <v>2W-E DT@E</v>
      </c>
      <c r="Y441" s="70" t="str">
        <f t="shared" si="152"/>
        <v>E DT-M4@E</v>
      </c>
      <c r="Z441" s="70" t="str">
        <f t="shared" si="153"/>
        <v/>
      </c>
      <c r="AA441" s="70" t="str">
        <f t="shared" si="154"/>
        <v/>
      </c>
      <c r="AC441" s="70" t="str">
        <f t="shared" si="142"/>
        <v>330, 328, 325, 318, 317, 316, 311, 303, 305, 302</v>
      </c>
      <c r="AD441" s="70" t="str">
        <f t="shared" si="143"/>
        <v>302, 305, 307, 306, M1, M2, M3, M4</v>
      </c>
      <c r="AE441" s="70" t="str">
        <f t="shared" si="144"/>
        <v/>
      </c>
      <c r="AF441" s="70" t="str">
        <f t="shared" si="145"/>
        <v/>
      </c>
      <c r="AH441" s="70" t="str">
        <f t="shared" si="146"/>
        <v>30, 04</v>
      </c>
      <c r="AI441" s="70" t="str">
        <f t="shared" si="147"/>
        <v>03</v>
      </c>
      <c r="AJ441" s="70" t="str">
        <f t="shared" si="148"/>
        <v/>
      </c>
      <c r="AK441" s="70" t="str">
        <f t="shared" si="149"/>
        <v/>
      </c>
      <c r="AM441" s="166" t="str">
        <f t="shared" si="155"/>
        <v>LS1-SHD5</v>
      </c>
      <c r="AN441" s="171" t="s">
        <v>1383</v>
      </c>
      <c r="AO441" s="167" t="s">
        <v>1384</v>
      </c>
      <c r="AP441" s="167"/>
      <c r="AQ441" s="45" t="s">
        <v>74</v>
      </c>
      <c r="AR441" s="45" t="s">
        <v>149</v>
      </c>
      <c r="AS441" s="45" t="str">
        <f t="shared" si="156"/>
        <v>SHD5-LS1@E</v>
      </c>
    </row>
    <row r="442" spans="1:45" ht="20.100000000000001" customHeight="1" thickBot="1">
      <c r="A442" s="45" t="s">
        <v>1385</v>
      </c>
      <c r="B442" s="45" t="s">
        <v>861</v>
      </c>
      <c r="C442" s="45" t="s">
        <v>1372</v>
      </c>
      <c r="E442" s="45">
        <f t="shared" si="136"/>
        <v>5</v>
      </c>
      <c r="F442" s="45">
        <f t="shared" si="137"/>
        <v>3</v>
      </c>
      <c r="G442" s="45" t="str">
        <f t="shared" si="138"/>
        <v>M4</v>
      </c>
      <c r="H442" s="45" t="str">
        <f t="shared" si="139"/>
        <v>3E</v>
      </c>
      <c r="J442" s="45" t="str">
        <f t="shared" si="140"/>
        <v>3E</v>
      </c>
      <c r="K442" s="45" t="s">
        <v>130</v>
      </c>
      <c r="L442" s="45" t="str">
        <f t="shared" si="141"/>
        <v>M4-3E@E</v>
      </c>
      <c r="M442" s="75" t="str">
        <f t="shared" si="134"/>
        <v>302, 305, 307, 306, M1, M2, M3, M4, 330, 328, 325, 318, 317, 316, 311, 303, 305, 302</v>
      </c>
      <c r="N442" s="75" t="str">
        <f t="shared" si="135"/>
        <v>06, 03, 10, 16</v>
      </c>
      <c r="R442" s="70" t="s">
        <v>331</v>
      </c>
      <c r="S442" s="70" t="s">
        <v>53</v>
      </c>
      <c r="T442" s="70" t="s">
        <v>293</v>
      </c>
      <c r="U442" s="70"/>
      <c r="V442" s="70"/>
      <c r="X442" s="70" t="str">
        <f t="shared" si="151"/>
        <v>M4-E DT@E</v>
      </c>
      <c r="Y442" s="70" t="str">
        <f t="shared" si="152"/>
        <v>E DT-3E@E</v>
      </c>
      <c r="Z442" s="70" t="str">
        <f t="shared" si="153"/>
        <v/>
      </c>
      <c r="AA442" s="70" t="str">
        <f t="shared" si="154"/>
        <v/>
      </c>
      <c r="AC442" s="70" t="str">
        <f t="shared" si="142"/>
        <v>302, 305, 307, 306, M1, M2, M3, M4</v>
      </c>
      <c r="AD442" s="70" t="str">
        <f t="shared" si="143"/>
        <v>330, 328, 325, 318, 317, 316, 311, 303, 305, 302</v>
      </c>
      <c r="AE442" s="70" t="str">
        <f t="shared" si="144"/>
        <v/>
      </c>
      <c r="AF442" s="70" t="str">
        <f t="shared" si="145"/>
        <v/>
      </c>
      <c r="AH442" s="70" t="str">
        <f t="shared" si="146"/>
        <v>06</v>
      </c>
      <c r="AI442" s="70" t="str">
        <f t="shared" si="147"/>
        <v>03, 10, 16</v>
      </c>
      <c r="AJ442" s="70" t="str">
        <f t="shared" si="148"/>
        <v/>
      </c>
      <c r="AK442" s="70" t="str">
        <f t="shared" si="149"/>
        <v/>
      </c>
      <c r="AM442" s="166" t="str">
        <f t="shared" si="155"/>
        <v>LS2-SHD5</v>
      </c>
      <c r="AN442" s="171" t="s">
        <v>1386</v>
      </c>
      <c r="AO442" s="167" t="s">
        <v>1384</v>
      </c>
      <c r="AP442" s="167"/>
      <c r="AQ442" s="45" t="s">
        <v>74</v>
      </c>
      <c r="AR442" s="45" t="s">
        <v>383</v>
      </c>
      <c r="AS442" s="45" t="str">
        <f t="shared" si="156"/>
        <v>SHD5-LS2@E</v>
      </c>
    </row>
    <row r="443" spans="1:45" ht="20.100000000000001" customHeight="1" thickBot="1">
      <c r="A443" s="45" t="s">
        <v>1387</v>
      </c>
      <c r="B443" s="45" t="s">
        <v>297</v>
      </c>
      <c r="C443" s="45" t="s">
        <v>1376</v>
      </c>
      <c r="E443" s="45">
        <f t="shared" si="136"/>
        <v>5</v>
      </c>
      <c r="F443" s="45">
        <f t="shared" si="137"/>
        <v>3</v>
      </c>
      <c r="G443" s="45" t="str">
        <f t="shared" si="138"/>
        <v>3E</v>
      </c>
      <c r="H443" s="45" t="str">
        <f t="shared" si="139"/>
        <v>M4</v>
      </c>
      <c r="J443" s="45" t="str">
        <f t="shared" si="140"/>
        <v>M4</v>
      </c>
      <c r="K443" s="45" t="s">
        <v>130</v>
      </c>
      <c r="L443" s="45" t="str">
        <f t="shared" si="141"/>
        <v>3E-M4@E</v>
      </c>
      <c r="M443" s="75" t="str">
        <f t="shared" si="134"/>
        <v>330, 328, 325, 318, 317, 316, 311, 303, 305, 302, 302, 305, 307, 306, M1, M2, M3, M4</v>
      </c>
      <c r="N443" s="75" t="str">
        <f t="shared" si="135"/>
        <v>31, 04, 03</v>
      </c>
      <c r="R443" s="70" t="s">
        <v>293</v>
      </c>
      <c r="S443" s="70" t="s">
        <v>53</v>
      </c>
      <c r="T443" s="70" t="s">
        <v>331</v>
      </c>
      <c r="U443" s="70"/>
      <c r="V443" s="70"/>
      <c r="X443" s="70" t="str">
        <f t="shared" si="151"/>
        <v>3E-E DT@E</v>
      </c>
      <c r="Y443" s="70" t="str">
        <f t="shared" si="152"/>
        <v>E DT-M4@E</v>
      </c>
      <c r="Z443" s="70" t="str">
        <f t="shared" si="153"/>
        <v/>
      </c>
      <c r="AA443" s="70" t="str">
        <f t="shared" si="154"/>
        <v/>
      </c>
      <c r="AC443" s="70" t="str">
        <f t="shared" si="142"/>
        <v>330, 328, 325, 318, 317, 316, 311, 303, 305, 302</v>
      </c>
      <c r="AD443" s="70" t="str">
        <f t="shared" si="143"/>
        <v>302, 305, 307, 306, M1, M2, M3, M4</v>
      </c>
      <c r="AE443" s="70" t="str">
        <f t="shared" si="144"/>
        <v/>
      </c>
      <c r="AF443" s="70" t="str">
        <f t="shared" si="145"/>
        <v/>
      </c>
      <c r="AH443" s="70" t="str">
        <f t="shared" si="146"/>
        <v>31, 04</v>
      </c>
      <c r="AI443" s="70" t="str">
        <f t="shared" si="147"/>
        <v>03</v>
      </c>
      <c r="AJ443" s="70" t="str">
        <f t="shared" si="148"/>
        <v/>
      </c>
      <c r="AK443" s="70" t="str">
        <f t="shared" si="149"/>
        <v/>
      </c>
      <c r="AM443" s="166" t="str">
        <f t="shared" si="155"/>
        <v>LS3-SHD5</v>
      </c>
      <c r="AN443" s="171" t="s">
        <v>1388</v>
      </c>
      <c r="AO443" s="167" t="s">
        <v>1389</v>
      </c>
      <c r="AP443" s="167"/>
      <c r="AQ443" s="45" t="s">
        <v>74</v>
      </c>
      <c r="AR443" s="45" t="s">
        <v>531</v>
      </c>
      <c r="AS443" s="45" t="str">
        <f t="shared" si="156"/>
        <v>SHD5-LS3@E</v>
      </c>
    </row>
    <row r="444" spans="1:45" ht="20.100000000000001" customHeight="1" thickBot="1">
      <c r="A444" s="45" t="s">
        <v>1390</v>
      </c>
      <c r="B444" s="45" t="s">
        <v>861</v>
      </c>
      <c r="C444" s="45" t="s">
        <v>1372</v>
      </c>
      <c r="E444" s="45">
        <f t="shared" si="136"/>
        <v>5</v>
      </c>
      <c r="F444" s="45">
        <f t="shared" si="137"/>
        <v>3</v>
      </c>
      <c r="G444" s="45" t="str">
        <f t="shared" si="138"/>
        <v>M4</v>
      </c>
      <c r="H444" s="45" t="str">
        <f t="shared" si="139"/>
        <v>3W</v>
      </c>
      <c r="J444" s="45" t="str">
        <f t="shared" si="140"/>
        <v>3W</v>
      </c>
      <c r="K444" s="45" t="s">
        <v>130</v>
      </c>
      <c r="L444" s="45" t="str">
        <f t="shared" si="141"/>
        <v>M4-3W@E</v>
      </c>
      <c r="M444" s="75" t="str">
        <f t="shared" si="134"/>
        <v>302, 305, 307, 306, M1, M2, M3, M4, 330, 328, 325, 318, 317, 316, 311, 303, 305, 302</v>
      </c>
      <c r="N444" s="75" t="str">
        <f t="shared" si="135"/>
        <v>06, 03, 10, 16</v>
      </c>
      <c r="R444" s="70" t="s">
        <v>331</v>
      </c>
      <c r="S444" s="70" t="s">
        <v>53</v>
      </c>
      <c r="T444" s="70" t="s">
        <v>301</v>
      </c>
      <c r="U444" s="70"/>
      <c r="V444" s="70"/>
      <c r="X444" s="70" t="str">
        <f t="shared" si="151"/>
        <v>M4-E DT@E</v>
      </c>
      <c r="Y444" s="70" t="str">
        <f t="shared" si="152"/>
        <v>E DT-3W@E</v>
      </c>
      <c r="Z444" s="70" t="str">
        <f t="shared" si="153"/>
        <v/>
      </c>
      <c r="AA444" s="70" t="str">
        <f t="shared" si="154"/>
        <v/>
      </c>
      <c r="AC444" s="70" t="str">
        <f t="shared" si="142"/>
        <v>302, 305, 307, 306, M1, M2, M3, M4</v>
      </c>
      <c r="AD444" s="70" t="str">
        <f t="shared" si="143"/>
        <v>330, 328, 325, 318, 317, 316, 311, 303, 305, 302</v>
      </c>
      <c r="AE444" s="70" t="str">
        <f t="shared" si="144"/>
        <v/>
      </c>
      <c r="AF444" s="70" t="str">
        <f t="shared" si="145"/>
        <v/>
      </c>
      <c r="AH444" s="70" t="str">
        <f t="shared" si="146"/>
        <v>06</v>
      </c>
      <c r="AI444" s="70" t="str">
        <f t="shared" si="147"/>
        <v>03, 10, 16</v>
      </c>
      <c r="AJ444" s="70" t="str">
        <f t="shared" si="148"/>
        <v/>
      </c>
      <c r="AK444" s="70" t="str">
        <f t="shared" si="149"/>
        <v/>
      </c>
      <c r="AM444" s="166" t="str">
        <f t="shared" si="155"/>
        <v>LB-SHD5</v>
      </c>
      <c r="AN444" s="171" t="s">
        <v>1391</v>
      </c>
      <c r="AO444" s="167" t="s">
        <v>1381</v>
      </c>
      <c r="AP444" s="167"/>
      <c r="AQ444" s="45" t="s">
        <v>74</v>
      </c>
      <c r="AR444" s="45" t="s">
        <v>672</v>
      </c>
      <c r="AS444" s="45" t="str">
        <f t="shared" si="156"/>
        <v>SHD5-LB@E</v>
      </c>
    </row>
    <row r="445" spans="1:45" ht="20.100000000000001" customHeight="1" thickBot="1">
      <c r="A445" s="45" t="s">
        <v>1392</v>
      </c>
      <c r="B445" s="45" t="s">
        <v>297</v>
      </c>
      <c r="C445" s="45" t="s">
        <v>1376</v>
      </c>
      <c r="E445" s="45">
        <f t="shared" si="136"/>
        <v>5</v>
      </c>
      <c r="F445" s="45">
        <f t="shared" si="137"/>
        <v>3</v>
      </c>
      <c r="G445" s="45" t="str">
        <f t="shared" si="138"/>
        <v>3W</v>
      </c>
      <c r="H445" s="45" t="str">
        <f t="shared" si="139"/>
        <v>M4</v>
      </c>
      <c r="J445" s="45" t="str">
        <f t="shared" si="140"/>
        <v>M4</v>
      </c>
      <c r="K445" s="45" t="s">
        <v>130</v>
      </c>
      <c r="L445" s="45" t="str">
        <f t="shared" si="141"/>
        <v>3W-M4@E</v>
      </c>
      <c r="M445" s="75" t="str">
        <f t="shared" si="134"/>
        <v>330, 328, 325, 318, 317, 316, 311, 303, 305, 302, 302, 305, 307, 306, M1, M2, M3, M4</v>
      </c>
      <c r="N445" s="75" t="str">
        <f t="shared" si="135"/>
        <v>31, 04, 03</v>
      </c>
      <c r="R445" s="70" t="s">
        <v>301</v>
      </c>
      <c r="S445" s="70" t="s">
        <v>53</v>
      </c>
      <c r="T445" s="70" t="s">
        <v>331</v>
      </c>
      <c r="U445" s="70"/>
      <c r="V445" s="70"/>
      <c r="X445" s="70" t="str">
        <f t="shared" si="151"/>
        <v>3W-E DT@E</v>
      </c>
      <c r="Y445" s="70" t="str">
        <f t="shared" si="152"/>
        <v>E DT-M4@E</v>
      </c>
      <c r="Z445" s="70" t="str">
        <f t="shared" si="153"/>
        <v/>
      </c>
      <c r="AA445" s="70" t="str">
        <f t="shared" si="154"/>
        <v/>
      </c>
      <c r="AC445" s="70" t="str">
        <f t="shared" si="142"/>
        <v>330, 328, 325, 318, 317, 316, 311, 303, 305, 302</v>
      </c>
      <c r="AD445" s="70" t="str">
        <f t="shared" si="143"/>
        <v>302, 305, 307, 306, M1, M2, M3, M4</v>
      </c>
      <c r="AE445" s="70" t="str">
        <f t="shared" si="144"/>
        <v/>
      </c>
      <c r="AF445" s="70" t="str">
        <f t="shared" si="145"/>
        <v/>
      </c>
      <c r="AH445" s="70" t="str">
        <f t="shared" si="146"/>
        <v>31, 04</v>
      </c>
      <c r="AI445" s="70" t="str">
        <f t="shared" si="147"/>
        <v>03</v>
      </c>
      <c r="AJ445" s="70" t="str">
        <f t="shared" si="148"/>
        <v/>
      </c>
      <c r="AK445" s="70" t="str">
        <f t="shared" si="149"/>
        <v/>
      </c>
      <c r="AM445" s="166" t="str">
        <f t="shared" si="155"/>
        <v>AB9-SHD5</v>
      </c>
      <c r="AN445" s="171" t="s">
        <v>1393</v>
      </c>
      <c r="AO445" s="167" t="s">
        <v>1381</v>
      </c>
      <c r="AP445" s="167"/>
      <c r="AQ445" s="45" t="s">
        <v>74</v>
      </c>
      <c r="AR445" s="45" t="s">
        <v>70</v>
      </c>
      <c r="AS445" s="45" t="str">
        <f t="shared" si="156"/>
        <v>SHD5-AB9@E</v>
      </c>
    </row>
    <row r="446" spans="1:45" ht="20.100000000000001" customHeight="1" thickBot="1">
      <c r="A446" s="45" t="s">
        <v>1394</v>
      </c>
      <c r="B446" s="45" t="s">
        <v>861</v>
      </c>
      <c r="C446" s="45" t="s">
        <v>1395</v>
      </c>
      <c r="E446" s="45">
        <f t="shared" si="136"/>
        <v>5</v>
      </c>
      <c r="F446" s="45">
        <f t="shared" si="137"/>
        <v>3</v>
      </c>
      <c r="G446" s="45" t="str">
        <f t="shared" si="138"/>
        <v>M4</v>
      </c>
      <c r="H446" s="45" t="str">
        <f t="shared" si="139"/>
        <v>4E</v>
      </c>
      <c r="J446" s="45" t="str">
        <f t="shared" si="140"/>
        <v>4E</v>
      </c>
      <c r="K446" s="45" t="s">
        <v>130</v>
      </c>
      <c r="L446" s="45" t="str">
        <f t="shared" si="141"/>
        <v>M4-4E@E</v>
      </c>
      <c r="M446" s="75" t="str">
        <f t="shared" si="134"/>
        <v>302, 305, 307, 306, M1, M2, M3, M4, 333, 331, 318, 317, 316, 311, 303, 305, 302</v>
      </c>
      <c r="N446" s="75" t="str">
        <f t="shared" si="135"/>
        <v>06, 03, 10, 16</v>
      </c>
      <c r="R446" s="70" t="s">
        <v>331</v>
      </c>
      <c r="S446" s="70" t="s">
        <v>53</v>
      </c>
      <c r="T446" s="70" t="s">
        <v>309</v>
      </c>
      <c r="U446" s="70"/>
      <c r="V446" s="70"/>
      <c r="X446" s="70" t="str">
        <f t="shared" si="151"/>
        <v>M4-E DT@E</v>
      </c>
      <c r="Y446" s="70" t="str">
        <f t="shared" si="152"/>
        <v>E DT-4E@E</v>
      </c>
      <c r="Z446" s="70" t="str">
        <f t="shared" si="153"/>
        <v/>
      </c>
      <c r="AA446" s="70" t="str">
        <f t="shared" si="154"/>
        <v/>
      </c>
      <c r="AC446" s="70" t="str">
        <f t="shared" si="142"/>
        <v>302, 305, 307, 306, M1, M2, M3, M4</v>
      </c>
      <c r="AD446" s="70" t="str">
        <f t="shared" si="143"/>
        <v>333, 331, 318, 317, 316, 311, 303, 305, 302</v>
      </c>
      <c r="AE446" s="70" t="str">
        <f t="shared" si="144"/>
        <v/>
      </c>
      <c r="AF446" s="70" t="str">
        <f t="shared" si="145"/>
        <v/>
      </c>
      <c r="AH446" s="70" t="str">
        <f t="shared" si="146"/>
        <v>06</v>
      </c>
      <c r="AI446" s="70" t="str">
        <f t="shared" si="147"/>
        <v>03, 10, 16</v>
      </c>
      <c r="AJ446" s="70" t="str">
        <f t="shared" si="148"/>
        <v/>
      </c>
      <c r="AK446" s="70" t="str">
        <f t="shared" si="149"/>
        <v/>
      </c>
      <c r="AM446" s="166" t="str">
        <f t="shared" si="155"/>
        <v>E AV-SHD5</v>
      </c>
      <c r="AN446" s="171" t="s">
        <v>1396</v>
      </c>
      <c r="AO446" s="167" t="s">
        <v>1397</v>
      </c>
      <c r="AP446" s="168" t="s">
        <v>718</v>
      </c>
      <c r="AQ446" s="45" t="s">
        <v>74</v>
      </c>
      <c r="AR446" s="45" t="s">
        <v>55</v>
      </c>
      <c r="AS446" s="45" t="str">
        <f t="shared" si="156"/>
        <v>SHD5-E AV@E</v>
      </c>
    </row>
    <row r="447" spans="1:45" ht="20.100000000000001" customHeight="1" thickBot="1">
      <c r="A447" s="45" t="s">
        <v>1398</v>
      </c>
      <c r="B447" s="45" t="s">
        <v>313</v>
      </c>
      <c r="C447" s="45" t="s">
        <v>1399</v>
      </c>
      <c r="E447" s="45">
        <f t="shared" si="136"/>
        <v>5</v>
      </c>
      <c r="F447" s="45">
        <f t="shared" si="137"/>
        <v>3</v>
      </c>
      <c r="G447" s="45" t="str">
        <f t="shared" si="138"/>
        <v>4E</v>
      </c>
      <c r="H447" s="45" t="str">
        <f t="shared" si="139"/>
        <v>M4</v>
      </c>
      <c r="J447" s="45" t="str">
        <f t="shared" si="140"/>
        <v>M4</v>
      </c>
      <c r="K447" s="45" t="s">
        <v>130</v>
      </c>
      <c r="L447" s="45" t="str">
        <f t="shared" si="141"/>
        <v>4E-M4@E</v>
      </c>
      <c r="M447" s="75" t="str">
        <f t="shared" si="134"/>
        <v>333, 331, 318, 317, 316, 311, 303, 305, 302, 302, 305, 307, 306, M1, M2, M3, M4</v>
      </c>
      <c r="N447" s="75" t="str">
        <f t="shared" si="135"/>
        <v>32, 04, 03</v>
      </c>
      <c r="R447" s="70" t="s">
        <v>309</v>
      </c>
      <c r="S447" s="70" t="s">
        <v>53</v>
      </c>
      <c r="T447" s="70" t="s">
        <v>331</v>
      </c>
      <c r="U447" s="70"/>
      <c r="V447" s="70"/>
      <c r="X447" s="70" t="str">
        <f t="shared" si="151"/>
        <v>4E-E DT@E</v>
      </c>
      <c r="Y447" s="70" t="str">
        <f t="shared" si="152"/>
        <v>E DT-M4@E</v>
      </c>
      <c r="Z447" s="70" t="str">
        <f t="shared" si="153"/>
        <v/>
      </c>
      <c r="AA447" s="70" t="str">
        <f t="shared" si="154"/>
        <v/>
      </c>
      <c r="AC447" s="70" t="str">
        <f t="shared" si="142"/>
        <v>333, 331, 318, 317, 316, 311, 303, 305, 302</v>
      </c>
      <c r="AD447" s="70" t="str">
        <f t="shared" si="143"/>
        <v>302, 305, 307, 306, M1, M2, M3, M4</v>
      </c>
      <c r="AE447" s="70" t="str">
        <f t="shared" si="144"/>
        <v/>
      </c>
      <c r="AF447" s="70" t="str">
        <f t="shared" si="145"/>
        <v/>
      </c>
      <c r="AH447" s="70" t="str">
        <f t="shared" si="146"/>
        <v>32, 04</v>
      </c>
      <c r="AI447" s="70" t="str">
        <f t="shared" si="147"/>
        <v>03</v>
      </c>
      <c r="AJ447" s="70" t="str">
        <f t="shared" si="148"/>
        <v/>
      </c>
      <c r="AK447" s="70" t="str">
        <f t="shared" si="149"/>
        <v/>
      </c>
      <c r="AM447" s="166" t="str">
        <f t="shared" si="155"/>
        <v>E AV-SHD6</v>
      </c>
      <c r="AN447" s="171" t="s">
        <v>1400</v>
      </c>
      <c r="AO447" s="167" t="s">
        <v>1401</v>
      </c>
      <c r="AP447" s="168" t="s">
        <v>718</v>
      </c>
      <c r="AQ447" s="45" t="s">
        <v>76</v>
      </c>
      <c r="AR447" s="45" t="s">
        <v>55</v>
      </c>
      <c r="AS447" s="45" t="str">
        <f t="shared" si="156"/>
        <v>SHD6-E AV@E</v>
      </c>
    </row>
    <row r="448" spans="1:45" ht="20.100000000000001" customHeight="1" thickBot="1">
      <c r="A448" s="45" t="s">
        <v>1402</v>
      </c>
      <c r="B448" s="45" t="s">
        <v>861</v>
      </c>
      <c r="C448" s="45" t="s">
        <v>1395</v>
      </c>
      <c r="E448" s="45">
        <f t="shared" si="136"/>
        <v>5</v>
      </c>
      <c r="F448" s="45">
        <f t="shared" si="137"/>
        <v>3</v>
      </c>
      <c r="G448" s="45" t="str">
        <f t="shared" si="138"/>
        <v>M4</v>
      </c>
      <c r="H448" s="45" t="str">
        <f t="shared" si="139"/>
        <v>4W</v>
      </c>
      <c r="J448" s="45" t="str">
        <f t="shared" si="140"/>
        <v>4W</v>
      </c>
      <c r="K448" s="45" t="s">
        <v>130</v>
      </c>
      <c r="L448" s="45" t="str">
        <f t="shared" si="141"/>
        <v>M4-4W@E</v>
      </c>
      <c r="M448" s="75" t="str">
        <f t="shared" si="134"/>
        <v>302, 305, 307, 306, M1, M2, M3, M4, 333, 331, 318, 317, 316, 311, 303, 305, 302</v>
      </c>
      <c r="N448" s="75" t="str">
        <f t="shared" si="135"/>
        <v>06, 03, 10, 16</v>
      </c>
      <c r="R448" s="70" t="s">
        <v>331</v>
      </c>
      <c r="S448" s="70" t="s">
        <v>53</v>
      </c>
      <c r="T448" s="70" t="s">
        <v>318</v>
      </c>
      <c r="U448" s="70"/>
      <c r="V448" s="70"/>
      <c r="X448" s="70" t="str">
        <f t="shared" si="151"/>
        <v>M4-E DT@E</v>
      </c>
      <c r="Y448" s="70" t="str">
        <f t="shared" si="152"/>
        <v>E DT-4W@E</v>
      </c>
      <c r="Z448" s="70" t="str">
        <f t="shared" si="153"/>
        <v/>
      </c>
      <c r="AA448" s="70" t="str">
        <f t="shared" si="154"/>
        <v/>
      </c>
      <c r="AC448" s="70" t="str">
        <f t="shared" si="142"/>
        <v>302, 305, 307, 306, M1, M2, M3, M4</v>
      </c>
      <c r="AD448" s="70" t="str">
        <f t="shared" si="143"/>
        <v>333, 331, 318, 317, 316, 311, 303, 305, 302</v>
      </c>
      <c r="AE448" s="70" t="str">
        <f t="shared" si="144"/>
        <v/>
      </c>
      <c r="AF448" s="70" t="str">
        <f t="shared" si="145"/>
        <v/>
      </c>
      <c r="AH448" s="70" t="str">
        <f t="shared" si="146"/>
        <v>06</v>
      </c>
      <c r="AI448" s="70" t="str">
        <f t="shared" si="147"/>
        <v>03, 10, 16</v>
      </c>
      <c r="AJ448" s="70" t="str">
        <f t="shared" si="148"/>
        <v/>
      </c>
      <c r="AK448" s="70" t="str">
        <f t="shared" si="149"/>
        <v/>
      </c>
      <c r="AM448" s="166" t="str">
        <f t="shared" si="155"/>
        <v>E DT-SHD5</v>
      </c>
      <c r="AN448" s="171" t="s">
        <v>1403</v>
      </c>
      <c r="AO448" s="167" t="s">
        <v>1397</v>
      </c>
      <c r="AP448" s="168" t="s">
        <v>524</v>
      </c>
      <c r="AQ448" s="45" t="s">
        <v>74</v>
      </c>
      <c r="AR448" s="45" t="s">
        <v>53</v>
      </c>
      <c r="AS448" s="45" t="str">
        <f t="shared" si="156"/>
        <v>SHD5-E DT@E</v>
      </c>
    </row>
    <row r="449" spans="1:45" ht="20.100000000000001" customHeight="1" thickBot="1">
      <c r="A449" s="45" t="s">
        <v>1404</v>
      </c>
      <c r="B449" s="45" t="s">
        <v>313</v>
      </c>
      <c r="C449" s="45" t="s">
        <v>1399</v>
      </c>
      <c r="E449" s="45">
        <f t="shared" si="136"/>
        <v>5</v>
      </c>
      <c r="F449" s="45">
        <f t="shared" si="137"/>
        <v>3</v>
      </c>
      <c r="G449" s="45" t="str">
        <f t="shared" si="138"/>
        <v>4W</v>
      </c>
      <c r="H449" s="45" t="str">
        <f t="shared" si="139"/>
        <v>M4</v>
      </c>
      <c r="J449" s="45" t="str">
        <f t="shared" si="140"/>
        <v>M4</v>
      </c>
      <c r="K449" s="45" t="s">
        <v>130</v>
      </c>
      <c r="L449" s="45" t="str">
        <f t="shared" si="141"/>
        <v>4W-M4@E</v>
      </c>
      <c r="M449" s="75" t="str">
        <f t="shared" si="134"/>
        <v>333, 331, 318, 317, 316, 311, 303, 305, 302, 302, 305, 307, 306, M1, M2, M3, M4</v>
      </c>
      <c r="N449" s="75" t="str">
        <f t="shared" si="135"/>
        <v>32, 04, 03</v>
      </c>
      <c r="R449" s="70" t="s">
        <v>318</v>
      </c>
      <c r="S449" s="70" t="s">
        <v>53</v>
      </c>
      <c r="T449" s="70" t="s">
        <v>331</v>
      </c>
      <c r="U449" s="70"/>
      <c r="V449" s="70"/>
      <c r="X449" s="70" t="str">
        <f t="shared" si="151"/>
        <v>4W-E DT@E</v>
      </c>
      <c r="Y449" s="70" t="str">
        <f t="shared" si="152"/>
        <v>E DT-M4@E</v>
      </c>
      <c r="Z449" s="70" t="str">
        <f t="shared" si="153"/>
        <v/>
      </c>
      <c r="AA449" s="70" t="str">
        <f t="shared" si="154"/>
        <v/>
      </c>
      <c r="AC449" s="70" t="str">
        <f t="shared" si="142"/>
        <v>333, 331, 318, 317, 316, 311, 303, 305, 302</v>
      </c>
      <c r="AD449" s="70" t="str">
        <f t="shared" si="143"/>
        <v>302, 305, 307, 306, M1, M2, M3, M4</v>
      </c>
      <c r="AE449" s="70" t="str">
        <f t="shared" si="144"/>
        <v/>
      </c>
      <c r="AF449" s="70" t="str">
        <f t="shared" si="145"/>
        <v/>
      </c>
      <c r="AH449" s="70" t="str">
        <f t="shared" si="146"/>
        <v>32, 04</v>
      </c>
      <c r="AI449" s="70" t="str">
        <f t="shared" si="147"/>
        <v>03</v>
      </c>
      <c r="AJ449" s="70" t="str">
        <f t="shared" si="148"/>
        <v/>
      </c>
      <c r="AK449" s="70" t="str">
        <f t="shared" si="149"/>
        <v/>
      </c>
      <c r="AM449" s="166" t="str">
        <f t="shared" si="155"/>
        <v>E DT-SHD6</v>
      </c>
      <c r="AN449" s="171" t="s">
        <v>1405</v>
      </c>
      <c r="AO449" s="167" t="s">
        <v>1401</v>
      </c>
      <c r="AP449" s="168" t="s">
        <v>524</v>
      </c>
      <c r="AQ449" s="45" t="s">
        <v>76</v>
      </c>
      <c r="AR449" s="45" t="s">
        <v>53</v>
      </c>
      <c r="AS449" s="45" t="str">
        <f t="shared" si="156"/>
        <v>SHD6-E DT@E</v>
      </c>
    </row>
    <row r="450" spans="1:45" ht="20.100000000000001" customHeight="1" thickBot="1">
      <c r="A450" s="45" t="s">
        <v>1406</v>
      </c>
      <c r="B450" s="45" t="s">
        <v>861</v>
      </c>
      <c r="C450" s="45" t="s">
        <v>1395</v>
      </c>
      <c r="E450" s="45">
        <f t="shared" si="136"/>
        <v>5</v>
      </c>
      <c r="F450" s="45">
        <f t="shared" si="137"/>
        <v>3</v>
      </c>
      <c r="G450" s="45" t="str">
        <f t="shared" si="138"/>
        <v>M4</v>
      </c>
      <c r="H450" s="45" t="str">
        <f t="shared" si="139"/>
        <v>5E</v>
      </c>
      <c r="J450" s="45" t="str">
        <f t="shared" si="140"/>
        <v>5E</v>
      </c>
      <c r="K450" s="45" t="s">
        <v>130</v>
      </c>
      <c r="L450" s="45" t="str">
        <f t="shared" si="141"/>
        <v>M4-5E@E</v>
      </c>
      <c r="M450" s="75" t="str">
        <f t="shared" ref="M450:M513" si="157">IF(AF450="",IF(AE450="",IF(AD450="",AC450,CONCATENATE(AC450,", ",AD450)),CONCATENATE(AC450,", ",AD450,", ",AE450)),CONCATENATE(AC450,", ",AD450,", ",AE450,", ",AF450))</f>
        <v>302, 305, 307, 306, M1, M2, M3, M4, 333, 331, 318, 317, 316, 311, 303, 305, 302</v>
      </c>
      <c r="N450" s="75" t="str">
        <f t="shared" ref="N450:N513" si="158">IF(AK450="",IF(AJ450="",IF(AI450="",AH450,CONCATENATE(AH450,", ",AI450)),CONCATENATE(AH450,", ",AI450,", ",AJ450)),CONCATENATE(AH450,", ",AI450,", ",AJ450,", ",AK450))</f>
        <v>06, 03, 10, 16</v>
      </c>
      <c r="R450" s="70" t="s">
        <v>331</v>
      </c>
      <c r="S450" s="70" t="s">
        <v>53</v>
      </c>
      <c r="T450" s="70" t="s">
        <v>325</v>
      </c>
      <c r="U450" s="70"/>
      <c r="V450" s="70"/>
      <c r="X450" s="70" t="str">
        <f t="shared" si="151"/>
        <v>M4-E DT@E</v>
      </c>
      <c r="Y450" s="70" t="str">
        <f t="shared" si="152"/>
        <v>E DT-5E@E</v>
      </c>
      <c r="Z450" s="70" t="str">
        <f t="shared" si="153"/>
        <v/>
      </c>
      <c r="AA450" s="70" t="str">
        <f t="shared" si="154"/>
        <v/>
      </c>
      <c r="AC450" s="70" t="str">
        <f t="shared" si="142"/>
        <v>302, 305, 307, 306, M1, M2, M3, M4</v>
      </c>
      <c r="AD450" s="70" t="str">
        <f t="shared" si="143"/>
        <v>333, 331, 318, 317, 316, 311, 303, 305, 302</v>
      </c>
      <c r="AE450" s="70" t="str">
        <f t="shared" si="144"/>
        <v/>
      </c>
      <c r="AF450" s="70" t="str">
        <f t="shared" si="145"/>
        <v/>
      </c>
      <c r="AH450" s="70" t="str">
        <f t="shared" si="146"/>
        <v>06</v>
      </c>
      <c r="AI450" s="70" t="str">
        <f t="shared" si="147"/>
        <v>03, 10, 16</v>
      </c>
      <c r="AJ450" s="70" t="str">
        <f t="shared" si="148"/>
        <v/>
      </c>
      <c r="AK450" s="70" t="str">
        <f t="shared" si="149"/>
        <v/>
      </c>
      <c r="AM450" s="166" t="str">
        <f t="shared" si="155"/>
        <v>SHD6-M1</v>
      </c>
      <c r="AN450" s="171" t="s">
        <v>1407</v>
      </c>
      <c r="AO450" s="167" t="s">
        <v>863</v>
      </c>
      <c r="AP450" s="167"/>
    </row>
    <row r="451" spans="1:45" ht="20.100000000000001" customHeight="1" thickBot="1">
      <c r="A451" s="45" t="s">
        <v>1408</v>
      </c>
      <c r="B451" s="45" t="s">
        <v>329</v>
      </c>
      <c r="C451" s="45" t="s">
        <v>1399</v>
      </c>
      <c r="E451" s="45">
        <f t="shared" ref="E451:E514" si="159">LEN(A451)</f>
        <v>5</v>
      </c>
      <c r="F451" s="45">
        <f t="shared" ref="F451:F514" si="160">SEARCH("-",A451)</f>
        <v>3</v>
      </c>
      <c r="G451" s="45" t="str">
        <f t="shared" ref="G451:G514" si="161">LEFT(A451,F451-1)</f>
        <v>5E</v>
      </c>
      <c r="H451" s="45" t="str">
        <f t="shared" ref="H451:H514" si="162">RIGHT(A451,E451-F451)</f>
        <v>M4</v>
      </c>
      <c r="J451" s="45" t="str">
        <f t="shared" ref="J451:J514" si="163">IF(V451="",IF(U451="",IF(T451="",S451,T451),U451),V451)</f>
        <v>M4</v>
      </c>
      <c r="K451" s="45" t="s">
        <v>130</v>
      </c>
      <c r="L451" s="45" t="str">
        <f t="shared" ref="L451:L514" si="164">CONCATENATE(R451,"-",J451,"@",K451)</f>
        <v>5E-M4@E</v>
      </c>
      <c r="M451" s="75" t="str">
        <f t="shared" si="157"/>
        <v>333, 331, 318, 317, 316, 311, 303, 305, 302, 302, 305, 307, 306, M1, M2, M3, M4</v>
      </c>
      <c r="N451" s="75" t="str">
        <f t="shared" si="158"/>
        <v>33, 04, 03</v>
      </c>
      <c r="R451" s="70" t="s">
        <v>325</v>
      </c>
      <c r="S451" s="70" t="s">
        <v>53</v>
      </c>
      <c r="T451" s="70" t="s">
        <v>331</v>
      </c>
      <c r="U451" s="70"/>
      <c r="V451" s="70"/>
      <c r="X451" s="70" t="str">
        <f t="shared" si="151"/>
        <v>5E-E DT@E</v>
      </c>
      <c r="Y451" s="70" t="str">
        <f t="shared" si="152"/>
        <v>E DT-M4@E</v>
      </c>
      <c r="Z451" s="70" t="str">
        <f t="shared" si="153"/>
        <v/>
      </c>
      <c r="AA451" s="70" t="str">
        <f t="shared" si="154"/>
        <v/>
      </c>
      <c r="AC451" s="70" t="str">
        <f t="shared" ref="AC451:AC514" si="165">IF(X451="","",VLOOKUP(X451,$AN$2:$AP$736,2,0))</f>
        <v>333, 331, 318, 317, 316, 311, 303, 305, 302</v>
      </c>
      <c r="AD451" s="70" t="str">
        <f t="shared" ref="AD451:AD514" si="166">IF(Y451="","",VLOOKUP(Y451,$AN$2:$AP$736,2,0))</f>
        <v>302, 305, 307, 306, M1, M2, M3, M4</v>
      </c>
      <c r="AE451" s="70" t="str">
        <f t="shared" ref="AE451:AE514" si="167">IF(Z451="","",VLOOKUP(Z451,$AN$2:$AP$736,2,0))</f>
        <v/>
      </c>
      <c r="AF451" s="70" t="str">
        <f t="shared" ref="AF451:AF514" si="168">IF(AA451="","",VLOOKUP(AA451,$AN$2:$AP$736,2,0))</f>
        <v/>
      </c>
      <c r="AH451" s="70" t="str">
        <f t="shared" ref="AH451:AH514" si="169">IF(X451="","",VLOOKUP(X451,$AN$2:$AP$162,3,0))</f>
        <v>33, 04</v>
      </c>
      <c r="AI451" s="70" t="str">
        <f t="shared" ref="AI451:AI514" si="170">IF(Y451="","",VLOOKUP(Y451,$AN$2:$AP$162,3,0))</f>
        <v>03</v>
      </c>
      <c r="AJ451" s="70" t="str">
        <f t="shared" ref="AJ451:AJ514" si="171">IF(Z451="","",VLOOKUP(Z451,$AN$2:$AP$162,3,0))</f>
        <v/>
      </c>
      <c r="AK451" s="70" t="str">
        <f t="shared" ref="AK451:AK514" si="172">IF(AA451="","",VLOOKUP(AA451,$AN$2:$AP$162,3,0))</f>
        <v/>
      </c>
      <c r="AM451" s="166" t="str">
        <f t="shared" si="155"/>
        <v>SHD6-M2</v>
      </c>
      <c r="AN451" s="171" t="s">
        <v>1409</v>
      </c>
      <c r="AO451" s="167" t="s">
        <v>1370</v>
      </c>
      <c r="AP451" s="167"/>
    </row>
    <row r="452" spans="1:45" ht="20.100000000000001" customHeight="1" thickBot="1">
      <c r="A452" s="45" t="s">
        <v>1410</v>
      </c>
      <c r="B452" s="45" t="s">
        <v>861</v>
      </c>
      <c r="C452" s="45" t="s">
        <v>1395</v>
      </c>
      <c r="E452" s="45">
        <f t="shared" si="159"/>
        <v>5</v>
      </c>
      <c r="F452" s="45">
        <f t="shared" si="160"/>
        <v>3</v>
      </c>
      <c r="G452" s="45" t="str">
        <f t="shared" si="161"/>
        <v>M4</v>
      </c>
      <c r="H452" s="45" t="str">
        <f t="shared" si="162"/>
        <v>5W</v>
      </c>
      <c r="J452" s="45" t="str">
        <f t="shared" si="163"/>
        <v>5W</v>
      </c>
      <c r="K452" s="45" t="s">
        <v>130</v>
      </c>
      <c r="L452" s="45" t="str">
        <f t="shared" si="164"/>
        <v>M4-5W@E</v>
      </c>
      <c r="M452" s="75" t="str">
        <f t="shared" si="157"/>
        <v>302, 305, 307, 306, M1, M2, M3, M4, 333, 331, 318, 317, 316, 311, 303, 305, 302</v>
      </c>
      <c r="N452" s="75" t="str">
        <f t="shared" si="158"/>
        <v>06, 03, 10, 16</v>
      </c>
      <c r="R452" s="70" t="s">
        <v>331</v>
      </c>
      <c r="S452" s="70" t="s">
        <v>53</v>
      </c>
      <c r="T452" s="70" t="s">
        <v>333</v>
      </c>
      <c r="U452" s="70"/>
      <c r="V452" s="70"/>
      <c r="X452" s="70" t="str">
        <f t="shared" si="151"/>
        <v>M4-E DT@E</v>
      </c>
      <c r="Y452" s="70" t="str">
        <f t="shared" si="152"/>
        <v>E DT-5W@E</v>
      </c>
      <c r="Z452" s="70" t="str">
        <f t="shared" si="153"/>
        <v/>
      </c>
      <c r="AA452" s="70" t="str">
        <f t="shared" si="154"/>
        <v/>
      </c>
      <c r="AC452" s="70" t="str">
        <f t="shared" si="165"/>
        <v>302, 305, 307, 306, M1, M2, M3, M4</v>
      </c>
      <c r="AD452" s="70" t="str">
        <f t="shared" si="166"/>
        <v>333, 331, 318, 317, 316, 311, 303, 305, 302</v>
      </c>
      <c r="AE452" s="70" t="str">
        <f t="shared" si="167"/>
        <v/>
      </c>
      <c r="AF452" s="70" t="str">
        <f t="shared" si="168"/>
        <v/>
      </c>
      <c r="AH452" s="70" t="str">
        <f t="shared" si="169"/>
        <v>06</v>
      </c>
      <c r="AI452" s="70" t="str">
        <f t="shared" si="170"/>
        <v>03, 10, 16</v>
      </c>
      <c r="AJ452" s="70" t="str">
        <f t="shared" si="171"/>
        <v/>
      </c>
      <c r="AK452" s="70" t="str">
        <f t="shared" si="172"/>
        <v/>
      </c>
      <c r="AM452" s="166" t="str">
        <f t="shared" si="155"/>
        <v>SHD6-M3</v>
      </c>
      <c r="AN452" s="171" t="s">
        <v>1411</v>
      </c>
      <c r="AO452" s="167" t="s">
        <v>1374</v>
      </c>
      <c r="AP452" s="167"/>
    </row>
    <row r="453" spans="1:45" ht="20.100000000000001" customHeight="1" thickBot="1">
      <c r="A453" s="45" t="s">
        <v>1412</v>
      </c>
      <c r="B453" s="45" t="s">
        <v>329</v>
      </c>
      <c r="C453" s="45" t="s">
        <v>1399</v>
      </c>
      <c r="E453" s="45">
        <f t="shared" si="159"/>
        <v>5</v>
      </c>
      <c r="F453" s="45">
        <f t="shared" si="160"/>
        <v>3</v>
      </c>
      <c r="G453" s="45" t="str">
        <f t="shared" si="161"/>
        <v>5W</v>
      </c>
      <c r="H453" s="45" t="str">
        <f t="shared" si="162"/>
        <v>M4</v>
      </c>
      <c r="J453" s="45" t="str">
        <f t="shared" si="163"/>
        <v>M4</v>
      </c>
      <c r="K453" s="45" t="s">
        <v>130</v>
      </c>
      <c r="L453" s="45" t="str">
        <f t="shared" si="164"/>
        <v>5W-M4@E</v>
      </c>
      <c r="M453" s="75" t="str">
        <f t="shared" si="157"/>
        <v>333, 331, 318, 317, 316, 311, 303, 305, 302, 302, 305, 307, 306, M1, M2, M3, M4</v>
      </c>
      <c r="N453" s="75" t="str">
        <f t="shared" si="158"/>
        <v>33, 04, 03</v>
      </c>
      <c r="R453" s="70" t="s">
        <v>333</v>
      </c>
      <c r="S453" s="70" t="s">
        <v>53</v>
      </c>
      <c r="T453" s="70" t="s">
        <v>331</v>
      </c>
      <c r="U453" s="70"/>
      <c r="V453" s="70"/>
      <c r="X453" s="70" t="str">
        <f t="shared" si="151"/>
        <v>5W-E DT@E</v>
      </c>
      <c r="Y453" s="70" t="str">
        <f t="shared" si="152"/>
        <v>E DT-M4@E</v>
      </c>
      <c r="Z453" s="70" t="str">
        <f t="shared" si="153"/>
        <v/>
      </c>
      <c r="AA453" s="70" t="str">
        <f t="shared" si="154"/>
        <v/>
      </c>
      <c r="AC453" s="70" t="str">
        <f t="shared" si="165"/>
        <v>333, 331, 318, 317, 316, 311, 303, 305, 302</v>
      </c>
      <c r="AD453" s="70" t="str">
        <f t="shared" si="166"/>
        <v>302, 305, 307, 306, M1, M2, M3, M4</v>
      </c>
      <c r="AE453" s="70" t="str">
        <f t="shared" si="167"/>
        <v/>
      </c>
      <c r="AF453" s="70" t="str">
        <f t="shared" si="168"/>
        <v/>
      </c>
      <c r="AH453" s="70" t="str">
        <f t="shared" si="169"/>
        <v>33, 04</v>
      </c>
      <c r="AI453" s="70" t="str">
        <f t="shared" si="170"/>
        <v>03</v>
      </c>
      <c r="AJ453" s="70" t="str">
        <f t="shared" si="171"/>
        <v/>
      </c>
      <c r="AK453" s="70" t="str">
        <f t="shared" si="172"/>
        <v/>
      </c>
      <c r="AM453" s="166" t="str">
        <f t="shared" si="155"/>
        <v>SHD6-M4</v>
      </c>
      <c r="AN453" s="171" t="s">
        <v>1413</v>
      </c>
      <c r="AO453" s="167" t="s">
        <v>1378</v>
      </c>
      <c r="AP453" s="167"/>
    </row>
    <row r="454" spans="1:45" ht="20.100000000000001" customHeight="1" thickBot="1">
      <c r="A454" s="45" t="s">
        <v>1414</v>
      </c>
      <c r="B454" s="45" t="s">
        <v>861</v>
      </c>
      <c r="C454" s="45" t="s">
        <v>1415</v>
      </c>
      <c r="E454" s="45">
        <f t="shared" si="159"/>
        <v>5</v>
      </c>
      <c r="F454" s="45">
        <f t="shared" si="160"/>
        <v>3</v>
      </c>
      <c r="G454" s="45" t="str">
        <f t="shared" si="161"/>
        <v>M4</v>
      </c>
      <c r="H454" s="45" t="str">
        <f t="shared" si="162"/>
        <v>6E</v>
      </c>
      <c r="J454" s="45" t="str">
        <f t="shared" si="163"/>
        <v>6E</v>
      </c>
      <c r="K454" s="45" t="s">
        <v>130</v>
      </c>
      <c r="L454" s="45" t="str">
        <f t="shared" si="164"/>
        <v>M4-6E@E</v>
      </c>
      <c r="M454" s="75" t="str">
        <f t="shared" si="157"/>
        <v>302, 305, 307, 306, M1, M2, M3, M4, 332, 331, 318, 317, 316, 311, 303, 305, 302</v>
      </c>
      <c r="N454" s="75" t="str">
        <f t="shared" si="158"/>
        <v>06, 03, 10, 16</v>
      </c>
      <c r="R454" s="70" t="s">
        <v>331</v>
      </c>
      <c r="S454" s="70" t="s">
        <v>53</v>
      </c>
      <c r="T454" s="70" t="s">
        <v>339</v>
      </c>
      <c r="U454" s="70"/>
      <c r="V454" s="70"/>
      <c r="X454" s="70" t="str">
        <f t="shared" si="151"/>
        <v>M4-E DT@E</v>
      </c>
      <c r="Y454" s="70" t="str">
        <f t="shared" si="152"/>
        <v>E DT-6E@E</v>
      </c>
      <c r="Z454" s="70" t="str">
        <f t="shared" si="153"/>
        <v/>
      </c>
      <c r="AA454" s="70" t="str">
        <f t="shared" si="154"/>
        <v/>
      </c>
      <c r="AC454" s="70" t="str">
        <f t="shared" si="165"/>
        <v>302, 305, 307, 306, M1, M2, M3, M4</v>
      </c>
      <c r="AD454" s="70" t="str">
        <f t="shared" si="166"/>
        <v>332, 331, 318, 317, 316, 311, 303, 305, 302</v>
      </c>
      <c r="AE454" s="70" t="str">
        <f t="shared" si="167"/>
        <v/>
      </c>
      <c r="AF454" s="70" t="str">
        <f t="shared" si="168"/>
        <v/>
      </c>
      <c r="AH454" s="70" t="str">
        <f t="shared" si="169"/>
        <v>06</v>
      </c>
      <c r="AI454" s="70" t="str">
        <f t="shared" si="170"/>
        <v>03, 10, 16</v>
      </c>
      <c r="AJ454" s="70" t="str">
        <f t="shared" si="171"/>
        <v/>
      </c>
      <c r="AK454" s="70" t="str">
        <f t="shared" si="172"/>
        <v/>
      </c>
      <c r="AM454" s="166" t="str">
        <f t="shared" si="155"/>
        <v>SHD6-M5</v>
      </c>
      <c r="AN454" s="171" t="s">
        <v>1416</v>
      </c>
      <c r="AO454" s="167" t="s">
        <v>1378</v>
      </c>
      <c r="AP454" s="167"/>
    </row>
    <row r="455" spans="1:45" ht="20.100000000000001" customHeight="1" thickBot="1">
      <c r="A455" s="45" t="s">
        <v>1417</v>
      </c>
      <c r="B455" s="45" t="s">
        <v>342</v>
      </c>
      <c r="C455" s="45" t="s">
        <v>1418</v>
      </c>
      <c r="E455" s="45">
        <f t="shared" si="159"/>
        <v>5</v>
      </c>
      <c r="F455" s="45">
        <f t="shared" si="160"/>
        <v>3</v>
      </c>
      <c r="G455" s="45" t="str">
        <f t="shared" si="161"/>
        <v>6E</v>
      </c>
      <c r="H455" s="45" t="str">
        <f t="shared" si="162"/>
        <v>M4</v>
      </c>
      <c r="J455" s="45" t="str">
        <f t="shared" si="163"/>
        <v>M4</v>
      </c>
      <c r="K455" s="45" t="s">
        <v>130</v>
      </c>
      <c r="L455" s="45" t="str">
        <f t="shared" si="164"/>
        <v>6E-M4@E</v>
      </c>
      <c r="M455" s="75" t="str">
        <f t="shared" si="157"/>
        <v>332, 331, 318, 317, 316, 311, 303, 305, 302, 302, 305, 307, 306, M1, M2, M3, M4</v>
      </c>
      <c r="N455" s="75" t="str">
        <f t="shared" si="158"/>
        <v>34, 04, 03</v>
      </c>
      <c r="R455" s="70" t="s">
        <v>339</v>
      </c>
      <c r="S455" s="70" t="s">
        <v>53</v>
      </c>
      <c r="T455" s="70" t="s">
        <v>331</v>
      </c>
      <c r="U455" s="70"/>
      <c r="V455" s="70"/>
      <c r="X455" s="70" t="str">
        <f t="shared" si="151"/>
        <v>6E-E DT@E</v>
      </c>
      <c r="Y455" s="70" t="str">
        <f t="shared" si="152"/>
        <v>E DT-M4@E</v>
      </c>
      <c r="Z455" s="70" t="str">
        <f t="shared" si="153"/>
        <v/>
      </c>
      <c r="AA455" s="70" t="str">
        <f t="shared" si="154"/>
        <v/>
      </c>
      <c r="AC455" s="70" t="str">
        <f t="shared" si="165"/>
        <v>332, 331, 318, 317, 316, 311, 303, 305, 302</v>
      </c>
      <c r="AD455" s="70" t="str">
        <f t="shared" si="166"/>
        <v>302, 305, 307, 306, M1, M2, M3, M4</v>
      </c>
      <c r="AE455" s="70" t="str">
        <f t="shared" si="167"/>
        <v/>
      </c>
      <c r="AF455" s="70" t="str">
        <f t="shared" si="168"/>
        <v/>
      </c>
      <c r="AH455" s="70" t="str">
        <f t="shared" si="169"/>
        <v>34, 04</v>
      </c>
      <c r="AI455" s="70" t="str">
        <f t="shared" si="170"/>
        <v>03</v>
      </c>
      <c r="AJ455" s="70" t="str">
        <f t="shared" si="171"/>
        <v/>
      </c>
      <c r="AK455" s="70" t="str">
        <f t="shared" si="172"/>
        <v/>
      </c>
      <c r="AM455" s="166" t="str">
        <f t="shared" si="155"/>
        <v>SHD5-LS1</v>
      </c>
      <c r="AN455" s="171" t="s">
        <v>1419</v>
      </c>
      <c r="AO455" s="167" t="s">
        <v>1384</v>
      </c>
      <c r="AP455" s="167"/>
    </row>
    <row r="456" spans="1:45" ht="20.100000000000001" customHeight="1" thickBot="1">
      <c r="A456" s="45" t="s">
        <v>1420</v>
      </c>
      <c r="B456" s="45" t="s">
        <v>861</v>
      </c>
      <c r="C456" s="45" t="s">
        <v>1415</v>
      </c>
      <c r="E456" s="45">
        <f t="shared" si="159"/>
        <v>5</v>
      </c>
      <c r="F456" s="45">
        <f t="shared" si="160"/>
        <v>3</v>
      </c>
      <c r="G456" s="45" t="str">
        <f t="shared" si="161"/>
        <v>M4</v>
      </c>
      <c r="H456" s="45" t="str">
        <f t="shared" si="162"/>
        <v>6W</v>
      </c>
      <c r="J456" s="45" t="str">
        <f t="shared" si="163"/>
        <v>6W</v>
      </c>
      <c r="K456" s="45" t="s">
        <v>130</v>
      </c>
      <c r="L456" s="45" t="str">
        <f t="shared" si="164"/>
        <v>M4-6W@E</v>
      </c>
      <c r="M456" s="75" t="str">
        <f t="shared" si="157"/>
        <v>302, 305, 307, 306, M1, M2, M3, M4, 332, 331, 318, 317, 316, 311, 303, 305, 302</v>
      </c>
      <c r="N456" s="75" t="str">
        <f t="shared" si="158"/>
        <v>06, 03, 10, 16</v>
      </c>
      <c r="R456" s="70" t="s">
        <v>331</v>
      </c>
      <c r="S456" s="70" t="s">
        <v>53</v>
      </c>
      <c r="T456" s="70" t="s">
        <v>346</v>
      </c>
      <c r="U456" s="70"/>
      <c r="V456" s="70"/>
      <c r="X456" s="70" t="str">
        <f t="shared" si="151"/>
        <v>M4-E DT@E</v>
      </c>
      <c r="Y456" s="70" t="str">
        <f t="shared" si="152"/>
        <v>E DT-6W@E</v>
      </c>
      <c r="Z456" s="70" t="str">
        <f t="shared" si="153"/>
        <v/>
      </c>
      <c r="AA456" s="70" t="str">
        <f t="shared" si="154"/>
        <v/>
      </c>
      <c r="AC456" s="70" t="str">
        <f t="shared" si="165"/>
        <v>302, 305, 307, 306, M1, M2, M3, M4</v>
      </c>
      <c r="AD456" s="70" t="str">
        <f t="shared" si="166"/>
        <v>332, 331, 318, 317, 316, 311, 303, 305, 302</v>
      </c>
      <c r="AE456" s="70" t="str">
        <f t="shared" si="167"/>
        <v/>
      </c>
      <c r="AF456" s="70" t="str">
        <f t="shared" si="168"/>
        <v/>
      </c>
      <c r="AH456" s="70" t="str">
        <f t="shared" si="169"/>
        <v>06</v>
      </c>
      <c r="AI456" s="70" t="str">
        <f t="shared" si="170"/>
        <v>03, 10, 16</v>
      </c>
      <c r="AJ456" s="70" t="str">
        <f t="shared" si="171"/>
        <v/>
      </c>
      <c r="AK456" s="70" t="str">
        <f t="shared" si="172"/>
        <v/>
      </c>
      <c r="AM456" s="166" t="str">
        <f t="shared" si="155"/>
        <v>SHD5-LS2</v>
      </c>
      <c r="AN456" s="171" t="s">
        <v>1421</v>
      </c>
      <c r="AO456" s="167" t="s">
        <v>1384</v>
      </c>
      <c r="AP456" s="167"/>
    </row>
    <row r="457" spans="1:45" ht="20.100000000000001" customHeight="1" thickBot="1">
      <c r="A457" s="45" t="s">
        <v>1422</v>
      </c>
      <c r="B457" s="45" t="s">
        <v>342</v>
      </c>
      <c r="C457" s="45" t="s">
        <v>1418</v>
      </c>
      <c r="E457" s="45">
        <f t="shared" si="159"/>
        <v>5</v>
      </c>
      <c r="F457" s="45">
        <f t="shared" si="160"/>
        <v>3</v>
      </c>
      <c r="G457" s="45" t="str">
        <f t="shared" si="161"/>
        <v>6W</v>
      </c>
      <c r="H457" s="45" t="str">
        <f t="shared" si="162"/>
        <v>M4</v>
      </c>
      <c r="J457" s="45" t="str">
        <f t="shared" si="163"/>
        <v>M4</v>
      </c>
      <c r="K457" s="45" t="s">
        <v>130</v>
      </c>
      <c r="L457" s="45" t="str">
        <f t="shared" si="164"/>
        <v>6W-M4@E</v>
      </c>
      <c r="M457" s="75" t="str">
        <f t="shared" si="157"/>
        <v>332, 331, 318, 317, 316, 311, 303, 305, 302, 302, 305, 307, 306, M1, M2, M3, M4</v>
      </c>
      <c r="N457" s="75" t="str">
        <f t="shared" si="158"/>
        <v>34, 04, 03</v>
      </c>
      <c r="R457" s="70" t="s">
        <v>346</v>
      </c>
      <c r="S457" s="70" t="s">
        <v>53</v>
      </c>
      <c r="T457" s="70" t="s">
        <v>331</v>
      </c>
      <c r="U457" s="70"/>
      <c r="V457" s="70"/>
      <c r="X457" s="70" t="str">
        <f t="shared" si="151"/>
        <v>6W-E DT@E</v>
      </c>
      <c r="Y457" s="70" t="str">
        <f t="shared" si="152"/>
        <v>E DT-M4@E</v>
      </c>
      <c r="Z457" s="70" t="str">
        <f t="shared" si="153"/>
        <v/>
      </c>
      <c r="AA457" s="70" t="str">
        <f t="shared" si="154"/>
        <v/>
      </c>
      <c r="AC457" s="70" t="str">
        <f t="shared" si="165"/>
        <v>332, 331, 318, 317, 316, 311, 303, 305, 302</v>
      </c>
      <c r="AD457" s="70" t="str">
        <f t="shared" si="166"/>
        <v>302, 305, 307, 306, M1, M2, M3, M4</v>
      </c>
      <c r="AE457" s="70" t="str">
        <f t="shared" si="167"/>
        <v/>
      </c>
      <c r="AF457" s="70" t="str">
        <f t="shared" si="168"/>
        <v/>
      </c>
      <c r="AH457" s="70" t="str">
        <f t="shared" si="169"/>
        <v>34, 04</v>
      </c>
      <c r="AI457" s="70" t="str">
        <f t="shared" si="170"/>
        <v>03</v>
      </c>
      <c r="AJ457" s="70" t="str">
        <f t="shared" si="171"/>
        <v/>
      </c>
      <c r="AK457" s="70" t="str">
        <f t="shared" si="172"/>
        <v/>
      </c>
      <c r="AM457" s="166" t="str">
        <f t="shared" si="155"/>
        <v>SHD5-LS3</v>
      </c>
      <c r="AN457" s="171" t="s">
        <v>1423</v>
      </c>
      <c r="AO457" s="167" t="s">
        <v>1389</v>
      </c>
      <c r="AP457" s="167"/>
    </row>
    <row r="458" spans="1:45" ht="20.100000000000001" customHeight="1" thickBot="1">
      <c r="A458" s="45" t="s">
        <v>1424</v>
      </c>
      <c r="B458" s="45" t="s">
        <v>861</v>
      </c>
      <c r="C458" s="45" t="s">
        <v>1425</v>
      </c>
      <c r="E458" s="45">
        <f t="shared" si="159"/>
        <v>5</v>
      </c>
      <c r="F458" s="45">
        <f t="shared" si="160"/>
        <v>3</v>
      </c>
      <c r="G458" s="45" t="str">
        <f t="shared" si="161"/>
        <v>M4</v>
      </c>
      <c r="H458" s="45" t="str">
        <f t="shared" si="162"/>
        <v>7E</v>
      </c>
      <c r="J458" s="45" t="str">
        <f t="shared" si="163"/>
        <v>7E</v>
      </c>
      <c r="K458" s="45" t="s">
        <v>130</v>
      </c>
      <c r="L458" s="45" t="str">
        <f t="shared" si="164"/>
        <v>M4-7E@E</v>
      </c>
      <c r="M458" s="75" t="str">
        <f t="shared" si="157"/>
        <v>302, 305, 307, 306, M1, M2, M3, M4, 334, 332, 331, 318, 317, 316, 311, 303, 305, 302</v>
      </c>
      <c r="N458" s="75" t="str">
        <f t="shared" si="158"/>
        <v>06, 03, 10, 16</v>
      </c>
      <c r="R458" s="70" t="s">
        <v>331</v>
      </c>
      <c r="S458" s="70" t="s">
        <v>53</v>
      </c>
      <c r="T458" s="70" t="s">
        <v>354</v>
      </c>
      <c r="U458" s="70"/>
      <c r="V458" s="70"/>
      <c r="X458" s="70" t="str">
        <f t="shared" si="151"/>
        <v>M4-E DT@E</v>
      </c>
      <c r="Y458" s="70" t="str">
        <f t="shared" si="152"/>
        <v>E DT-7E@E</v>
      </c>
      <c r="Z458" s="70" t="str">
        <f t="shared" si="153"/>
        <v/>
      </c>
      <c r="AA458" s="70" t="str">
        <f t="shared" si="154"/>
        <v/>
      </c>
      <c r="AC458" s="70" t="str">
        <f t="shared" si="165"/>
        <v>302, 305, 307, 306, M1, M2, M3, M4</v>
      </c>
      <c r="AD458" s="70" t="str">
        <f t="shared" si="166"/>
        <v>334, 332, 331, 318, 317, 316, 311, 303, 305, 302</v>
      </c>
      <c r="AE458" s="70" t="str">
        <f t="shared" si="167"/>
        <v/>
      </c>
      <c r="AF458" s="70" t="str">
        <f t="shared" si="168"/>
        <v/>
      </c>
      <c r="AH458" s="70" t="str">
        <f t="shared" si="169"/>
        <v>06</v>
      </c>
      <c r="AI458" s="70" t="str">
        <f t="shared" si="170"/>
        <v>03, 10, 16</v>
      </c>
      <c r="AJ458" s="70" t="str">
        <f t="shared" si="171"/>
        <v/>
      </c>
      <c r="AK458" s="70" t="str">
        <f t="shared" si="172"/>
        <v/>
      </c>
      <c r="AM458" s="166" t="str">
        <f t="shared" si="155"/>
        <v>SHD5-LB</v>
      </c>
      <c r="AN458" s="171" t="s">
        <v>1426</v>
      </c>
      <c r="AO458" s="167" t="s">
        <v>1381</v>
      </c>
      <c r="AP458" s="167"/>
    </row>
    <row r="459" spans="1:45" ht="20.100000000000001" customHeight="1" thickBot="1">
      <c r="A459" s="45" t="s">
        <v>1427</v>
      </c>
      <c r="B459" s="45" t="s">
        <v>358</v>
      </c>
      <c r="C459" s="45" t="s">
        <v>1428</v>
      </c>
      <c r="E459" s="45">
        <f t="shared" si="159"/>
        <v>5</v>
      </c>
      <c r="F459" s="45">
        <f t="shared" si="160"/>
        <v>3</v>
      </c>
      <c r="G459" s="45" t="str">
        <f t="shared" si="161"/>
        <v>7E</v>
      </c>
      <c r="H459" s="45" t="str">
        <f t="shared" si="162"/>
        <v>M4</v>
      </c>
      <c r="J459" s="45" t="str">
        <f t="shared" si="163"/>
        <v>M4</v>
      </c>
      <c r="K459" s="45" t="s">
        <v>130</v>
      </c>
      <c r="L459" s="45" t="str">
        <f t="shared" si="164"/>
        <v>7E-M4@E</v>
      </c>
      <c r="M459" s="75" t="str">
        <f t="shared" si="157"/>
        <v>334, 332, 331, 318, 317, 316, 311, 303, 305, 302, 302, 305, 307, 306, M1, M2, M3, M4</v>
      </c>
      <c r="N459" s="75" t="str">
        <f t="shared" si="158"/>
        <v>35, 04, 03</v>
      </c>
      <c r="R459" s="70" t="s">
        <v>354</v>
      </c>
      <c r="S459" s="70" t="s">
        <v>53</v>
      </c>
      <c r="T459" s="70" t="s">
        <v>331</v>
      </c>
      <c r="U459" s="70"/>
      <c r="V459" s="70"/>
      <c r="X459" s="70" t="str">
        <f t="shared" si="151"/>
        <v>7E-E DT@E</v>
      </c>
      <c r="Y459" s="70" t="str">
        <f t="shared" si="152"/>
        <v>E DT-M4@E</v>
      </c>
      <c r="Z459" s="70" t="str">
        <f t="shared" si="153"/>
        <v/>
      </c>
      <c r="AA459" s="70" t="str">
        <f t="shared" si="154"/>
        <v/>
      </c>
      <c r="AC459" s="70" t="str">
        <f t="shared" si="165"/>
        <v>334, 332, 331, 318, 317, 316, 311, 303, 305, 302</v>
      </c>
      <c r="AD459" s="70" t="str">
        <f t="shared" si="166"/>
        <v>302, 305, 307, 306, M1, M2, M3, M4</v>
      </c>
      <c r="AE459" s="70" t="str">
        <f t="shared" si="167"/>
        <v/>
      </c>
      <c r="AF459" s="70" t="str">
        <f t="shared" si="168"/>
        <v/>
      </c>
      <c r="AH459" s="70" t="str">
        <f t="shared" si="169"/>
        <v>35, 04</v>
      </c>
      <c r="AI459" s="70" t="str">
        <f t="shared" si="170"/>
        <v>03</v>
      </c>
      <c r="AJ459" s="70" t="str">
        <f t="shared" si="171"/>
        <v/>
      </c>
      <c r="AK459" s="70" t="str">
        <f t="shared" si="172"/>
        <v/>
      </c>
      <c r="AM459" s="166" t="str">
        <f t="shared" si="155"/>
        <v>SHD5-AB9</v>
      </c>
      <c r="AN459" s="171" t="s">
        <v>1429</v>
      </c>
      <c r="AO459" s="167" t="s">
        <v>1381</v>
      </c>
      <c r="AP459" s="167"/>
    </row>
    <row r="460" spans="1:45" ht="20.100000000000001" customHeight="1" thickBot="1">
      <c r="A460" s="45" t="s">
        <v>1430</v>
      </c>
      <c r="B460" s="45" t="s">
        <v>861</v>
      </c>
      <c r="C460" s="45" t="s">
        <v>1425</v>
      </c>
      <c r="E460" s="45">
        <f t="shared" si="159"/>
        <v>5</v>
      </c>
      <c r="F460" s="45">
        <f t="shared" si="160"/>
        <v>3</v>
      </c>
      <c r="G460" s="45" t="str">
        <f t="shared" si="161"/>
        <v>M4</v>
      </c>
      <c r="H460" s="45" t="str">
        <f t="shared" si="162"/>
        <v>7W</v>
      </c>
      <c r="J460" s="45" t="str">
        <f t="shared" si="163"/>
        <v>7W</v>
      </c>
      <c r="K460" s="45" t="s">
        <v>130</v>
      </c>
      <c r="L460" s="45" t="str">
        <f t="shared" si="164"/>
        <v>M4-7W@E</v>
      </c>
      <c r="M460" s="75" t="str">
        <f t="shared" si="157"/>
        <v>302, 305, 307, 306, M1, M2, M3, M4, 334, 332, 331, 318, 317, 316, 311, 303, 305, 302</v>
      </c>
      <c r="N460" s="75" t="str">
        <f t="shared" si="158"/>
        <v>06, 03, 10, 16</v>
      </c>
      <c r="R460" s="70" t="s">
        <v>331</v>
      </c>
      <c r="S460" s="70" t="s">
        <v>53</v>
      </c>
      <c r="T460" s="70" t="s">
        <v>363</v>
      </c>
      <c r="U460" s="70"/>
      <c r="V460" s="70"/>
      <c r="X460" s="70" t="str">
        <f t="shared" si="151"/>
        <v>M4-E DT@E</v>
      </c>
      <c r="Y460" s="70" t="str">
        <f t="shared" si="152"/>
        <v>E DT-7W@E</v>
      </c>
      <c r="Z460" s="70" t="str">
        <f t="shared" si="153"/>
        <v/>
      </c>
      <c r="AA460" s="70" t="str">
        <f t="shared" si="154"/>
        <v/>
      </c>
      <c r="AC460" s="70" t="str">
        <f t="shared" si="165"/>
        <v>302, 305, 307, 306, M1, M2, M3, M4</v>
      </c>
      <c r="AD460" s="70" t="str">
        <f t="shared" si="166"/>
        <v>334, 332, 331, 318, 317, 316, 311, 303, 305, 302</v>
      </c>
      <c r="AE460" s="70" t="str">
        <f t="shared" si="167"/>
        <v/>
      </c>
      <c r="AF460" s="70" t="str">
        <f t="shared" si="168"/>
        <v/>
      </c>
      <c r="AH460" s="70" t="str">
        <f t="shared" si="169"/>
        <v>06</v>
      </c>
      <c r="AI460" s="70" t="str">
        <f t="shared" si="170"/>
        <v>03, 10, 16</v>
      </c>
      <c r="AJ460" s="70" t="str">
        <f t="shared" si="171"/>
        <v/>
      </c>
      <c r="AK460" s="70" t="str">
        <f t="shared" si="172"/>
        <v/>
      </c>
      <c r="AM460" s="166" t="str">
        <f t="shared" si="155"/>
        <v>SHD5-E AV</v>
      </c>
      <c r="AN460" s="171" t="s">
        <v>1431</v>
      </c>
      <c r="AO460" s="167" t="s">
        <v>1397</v>
      </c>
      <c r="AP460" s="168" t="s">
        <v>152</v>
      </c>
    </row>
    <row r="461" spans="1:45" ht="20.100000000000001" customHeight="1" thickBot="1">
      <c r="A461" s="45" t="s">
        <v>1432</v>
      </c>
      <c r="B461" s="45" t="s">
        <v>358</v>
      </c>
      <c r="C461" s="45" t="s">
        <v>1428</v>
      </c>
      <c r="E461" s="45">
        <f t="shared" si="159"/>
        <v>5</v>
      </c>
      <c r="F461" s="45">
        <f t="shared" si="160"/>
        <v>3</v>
      </c>
      <c r="G461" s="45" t="str">
        <f t="shared" si="161"/>
        <v>7W</v>
      </c>
      <c r="H461" s="45" t="str">
        <f t="shared" si="162"/>
        <v>M4</v>
      </c>
      <c r="J461" s="45" t="str">
        <f t="shared" si="163"/>
        <v>M4</v>
      </c>
      <c r="K461" s="45" t="s">
        <v>130</v>
      </c>
      <c r="L461" s="45" t="str">
        <f t="shared" si="164"/>
        <v>7W-M4@E</v>
      </c>
      <c r="M461" s="75" t="str">
        <f t="shared" si="157"/>
        <v>334, 332, 331, 318, 317, 316, 311, 303, 305, 302, 302, 305, 307, 306, M1, M2, M3, M4</v>
      </c>
      <c r="N461" s="75" t="str">
        <f t="shared" si="158"/>
        <v>35, 04, 03</v>
      </c>
      <c r="R461" s="70" t="s">
        <v>363</v>
      </c>
      <c r="S461" s="70" t="s">
        <v>53</v>
      </c>
      <c r="T461" s="70" t="s">
        <v>331</v>
      </c>
      <c r="U461" s="70"/>
      <c r="V461" s="70"/>
      <c r="X461" s="70" t="str">
        <f t="shared" si="151"/>
        <v>7W-E DT@E</v>
      </c>
      <c r="Y461" s="70" t="str">
        <f t="shared" si="152"/>
        <v>E DT-M4@E</v>
      </c>
      <c r="Z461" s="70" t="str">
        <f t="shared" si="153"/>
        <v/>
      </c>
      <c r="AA461" s="70" t="str">
        <f t="shared" si="154"/>
        <v/>
      </c>
      <c r="AC461" s="70" t="str">
        <f t="shared" si="165"/>
        <v>334, 332, 331, 318, 317, 316, 311, 303, 305, 302</v>
      </c>
      <c r="AD461" s="70" t="str">
        <f t="shared" si="166"/>
        <v>302, 305, 307, 306, M1, M2, M3, M4</v>
      </c>
      <c r="AE461" s="70" t="str">
        <f t="shared" si="167"/>
        <v/>
      </c>
      <c r="AF461" s="70" t="str">
        <f t="shared" si="168"/>
        <v/>
      </c>
      <c r="AH461" s="70" t="str">
        <f t="shared" si="169"/>
        <v>35, 04</v>
      </c>
      <c r="AI461" s="70" t="str">
        <f t="shared" si="170"/>
        <v>03</v>
      </c>
      <c r="AJ461" s="70" t="str">
        <f t="shared" si="171"/>
        <v/>
      </c>
      <c r="AK461" s="70" t="str">
        <f t="shared" si="172"/>
        <v/>
      </c>
      <c r="AM461" s="166" t="str">
        <f t="shared" si="155"/>
        <v>SHD6-E AV</v>
      </c>
      <c r="AN461" s="171" t="s">
        <v>1433</v>
      </c>
      <c r="AO461" s="167" t="s">
        <v>1401</v>
      </c>
      <c r="AP461" s="168" t="s">
        <v>291</v>
      </c>
    </row>
    <row r="462" spans="1:45" ht="20.100000000000001" customHeight="1" thickBot="1">
      <c r="A462" s="45" t="s">
        <v>1434</v>
      </c>
      <c r="B462" s="45" t="s">
        <v>861</v>
      </c>
      <c r="C462" s="45" t="s">
        <v>1425</v>
      </c>
      <c r="E462" s="45">
        <f t="shared" si="159"/>
        <v>5</v>
      </c>
      <c r="F462" s="45">
        <f t="shared" si="160"/>
        <v>3</v>
      </c>
      <c r="G462" s="45" t="str">
        <f t="shared" si="161"/>
        <v>M4</v>
      </c>
      <c r="H462" s="45" t="str">
        <f t="shared" si="162"/>
        <v>8E</v>
      </c>
      <c r="J462" s="45" t="str">
        <f t="shared" si="163"/>
        <v>8E</v>
      </c>
      <c r="K462" s="45" t="s">
        <v>130</v>
      </c>
      <c r="L462" s="45" t="str">
        <f t="shared" si="164"/>
        <v>M4-8E@E</v>
      </c>
      <c r="M462" s="75" t="str">
        <f t="shared" si="157"/>
        <v>302, 305, 307, 306, M1, M2, M3, M4, 334, 332, 331, 318, 317, 316, 311, 303, 305, 302</v>
      </c>
      <c r="N462" s="75" t="str">
        <f t="shared" si="158"/>
        <v>06, 03, 10, 16</v>
      </c>
      <c r="R462" s="70" t="s">
        <v>331</v>
      </c>
      <c r="S462" s="70" t="s">
        <v>53</v>
      </c>
      <c r="T462" s="70" t="s">
        <v>370</v>
      </c>
      <c r="U462" s="70"/>
      <c r="V462" s="70"/>
      <c r="X462" s="70" t="str">
        <f t="shared" si="151"/>
        <v>M4-E DT@E</v>
      </c>
      <c r="Y462" s="70" t="str">
        <f t="shared" si="152"/>
        <v>E DT-8E@E</v>
      </c>
      <c r="Z462" s="70" t="str">
        <f t="shared" si="153"/>
        <v/>
      </c>
      <c r="AA462" s="70" t="str">
        <f t="shared" si="154"/>
        <v/>
      </c>
      <c r="AC462" s="70" t="str">
        <f t="shared" si="165"/>
        <v>302, 305, 307, 306, M1, M2, M3, M4</v>
      </c>
      <c r="AD462" s="70" t="str">
        <f t="shared" si="166"/>
        <v>334, 332, 331, 318, 317, 316, 311, 303, 305, 302</v>
      </c>
      <c r="AE462" s="70" t="str">
        <f t="shared" si="167"/>
        <v/>
      </c>
      <c r="AF462" s="70" t="str">
        <f t="shared" si="168"/>
        <v/>
      </c>
      <c r="AH462" s="70" t="str">
        <f t="shared" si="169"/>
        <v>06</v>
      </c>
      <c r="AI462" s="70" t="str">
        <f t="shared" si="170"/>
        <v>03, 10, 16</v>
      </c>
      <c r="AJ462" s="70" t="str">
        <f t="shared" si="171"/>
        <v/>
      </c>
      <c r="AK462" s="70" t="str">
        <f t="shared" si="172"/>
        <v/>
      </c>
      <c r="AM462" s="166" t="str">
        <f t="shared" si="155"/>
        <v>SHD5-E DT</v>
      </c>
      <c r="AN462" s="171" t="s">
        <v>1435</v>
      </c>
      <c r="AO462" s="167" t="s">
        <v>1397</v>
      </c>
      <c r="AP462" s="168" t="s">
        <v>152</v>
      </c>
    </row>
    <row r="463" spans="1:45" ht="20.100000000000001" customHeight="1" thickBot="1">
      <c r="A463" s="45" t="s">
        <v>1436</v>
      </c>
      <c r="B463" s="45" t="s">
        <v>374</v>
      </c>
      <c r="C463" s="45" t="s">
        <v>1428</v>
      </c>
      <c r="E463" s="45">
        <f t="shared" si="159"/>
        <v>5</v>
      </c>
      <c r="F463" s="45">
        <f t="shared" si="160"/>
        <v>3</v>
      </c>
      <c r="G463" s="45" t="str">
        <f t="shared" si="161"/>
        <v>8E</v>
      </c>
      <c r="H463" s="45" t="str">
        <f t="shared" si="162"/>
        <v>M4</v>
      </c>
      <c r="J463" s="45" t="str">
        <f t="shared" si="163"/>
        <v>M4</v>
      </c>
      <c r="K463" s="45" t="s">
        <v>130</v>
      </c>
      <c r="L463" s="45" t="str">
        <f t="shared" si="164"/>
        <v>8E-M4@E</v>
      </c>
      <c r="M463" s="75" t="str">
        <f t="shared" si="157"/>
        <v>334, 332, 331, 318, 317, 316, 311, 303, 305, 302, 302, 305, 307, 306, M1, M2, M3, M4</v>
      </c>
      <c r="N463" s="75" t="str">
        <f t="shared" si="158"/>
        <v>36, 04, 03</v>
      </c>
      <c r="R463" s="70" t="s">
        <v>370</v>
      </c>
      <c r="S463" s="70" t="s">
        <v>53</v>
      </c>
      <c r="T463" s="70" t="s">
        <v>331</v>
      </c>
      <c r="U463" s="70"/>
      <c r="V463" s="70"/>
      <c r="X463" s="70" t="str">
        <f t="shared" si="151"/>
        <v>8E-E DT@E</v>
      </c>
      <c r="Y463" s="70" t="str">
        <f t="shared" si="152"/>
        <v>E DT-M4@E</v>
      </c>
      <c r="Z463" s="70" t="str">
        <f t="shared" si="153"/>
        <v/>
      </c>
      <c r="AA463" s="70" t="str">
        <f t="shared" si="154"/>
        <v/>
      </c>
      <c r="AC463" s="70" t="str">
        <f t="shared" si="165"/>
        <v>334, 332, 331, 318, 317, 316, 311, 303, 305, 302</v>
      </c>
      <c r="AD463" s="70" t="str">
        <f t="shared" si="166"/>
        <v>302, 305, 307, 306, M1, M2, M3, M4</v>
      </c>
      <c r="AE463" s="70" t="str">
        <f t="shared" si="167"/>
        <v/>
      </c>
      <c r="AF463" s="70" t="str">
        <f t="shared" si="168"/>
        <v/>
      </c>
      <c r="AH463" s="70" t="str">
        <f t="shared" si="169"/>
        <v>36, 04</v>
      </c>
      <c r="AI463" s="70" t="str">
        <f t="shared" si="170"/>
        <v>03</v>
      </c>
      <c r="AJ463" s="70" t="str">
        <f t="shared" si="171"/>
        <v/>
      </c>
      <c r="AK463" s="70" t="str">
        <f t="shared" si="172"/>
        <v/>
      </c>
      <c r="AM463" s="166" t="str">
        <f t="shared" si="155"/>
        <v>SHD6-E DT</v>
      </c>
      <c r="AN463" s="171" t="s">
        <v>1437</v>
      </c>
      <c r="AO463" s="167" t="s">
        <v>1401</v>
      </c>
      <c r="AP463" s="168" t="s">
        <v>291</v>
      </c>
    </row>
    <row r="464" spans="1:45" ht="20.100000000000001" customHeight="1" thickBot="1">
      <c r="A464" s="45" t="s">
        <v>1438</v>
      </c>
      <c r="B464" s="45" t="s">
        <v>861</v>
      </c>
      <c r="C464" s="45" t="s">
        <v>1425</v>
      </c>
      <c r="E464" s="45">
        <f t="shared" si="159"/>
        <v>5</v>
      </c>
      <c r="F464" s="45">
        <f t="shared" si="160"/>
        <v>3</v>
      </c>
      <c r="G464" s="45" t="str">
        <f t="shared" si="161"/>
        <v>M4</v>
      </c>
      <c r="H464" s="45" t="str">
        <f t="shared" si="162"/>
        <v>8W</v>
      </c>
      <c r="J464" s="45" t="str">
        <f t="shared" si="163"/>
        <v>8W</v>
      </c>
      <c r="K464" s="45" t="s">
        <v>130</v>
      </c>
      <c r="L464" s="45" t="str">
        <f t="shared" si="164"/>
        <v>M4-8W@E</v>
      </c>
      <c r="M464" s="75" t="str">
        <f t="shared" si="157"/>
        <v>302, 305, 307, 306, M1, M2, M3, M4, 334, 332, 331, 318, 317, 316, 311, 303, 305, 302</v>
      </c>
      <c r="N464" s="75" t="str">
        <f t="shared" si="158"/>
        <v>06, 03, 10, 16</v>
      </c>
      <c r="R464" s="70" t="s">
        <v>331</v>
      </c>
      <c r="S464" s="70" t="s">
        <v>53</v>
      </c>
      <c r="T464" s="70" t="s">
        <v>377</v>
      </c>
      <c r="U464" s="70"/>
      <c r="V464" s="70"/>
      <c r="X464" s="70" t="str">
        <f t="shared" si="151"/>
        <v>M4-E DT@E</v>
      </c>
      <c r="Y464" s="70" t="str">
        <f t="shared" si="152"/>
        <v>E DT-8W@E</v>
      </c>
      <c r="Z464" s="70" t="str">
        <f t="shared" si="153"/>
        <v/>
      </c>
      <c r="AA464" s="70" t="str">
        <f t="shared" si="154"/>
        <v/>
      </c>
      <c r="AC464" s="70" t="str">
        <f t="shared" si="165"/>
        <v>302, 305, 307, 306, M1, M2, M3, M4</v>
      </c>
      <c r="AD464" s="70" t="str">
        <f t="shared" si="166"/>
        <v>334, 332, 331, 318, 317, 316, 311, 303, 305, 302</v>
      </c>
      <c r="AE464" s="70" t="str">
        <f t="shared" si="167"/>
        <v/>
      </c>
      <c r="AF464" s="70" t="str">
        <f t="shared" si="168"/>
        <v/>
      </c>
      <c r="AH464" s="70" t="str">
        <f t="shared" si="169"/>
        <v>06</v>
      </c>
      <c r="AI464" s="70" t="str">
        <f t="shared" si="170"/>
        <v>03, 10, 16</v>
      </c>
      <c r="AJ464" s="70" t="str">
        <f t="shared" si="171"/>
        <v/>
      </c>
      <c r="AK464" s="70" t="str">
        <f t="shared" si="172"/>
        <v/>
      </c>
      <c r="AM464" s="166" t="str">
        <f t="shared" si="155"/>
        <v>SHD17-EM1</v>
      </c>
      <c r="AN464" s="170" t="s">
        <v>1439</v>
      </c>
      <c r="AO464" s="167" t="s">
        <v>1440</v>
      </c>
      <c r="AP464" s="167">
        <v>17</v>
      </c>
    </row>
    <row r="465" spans="1:42" ht="20.100000000000001" customHeight="1" thickBot="1">
      <c r="A465" s="45" t="s">
        <v>1441</v>
      </c>
      <c r="B465" s="45" t="s">
        <v>374</v>
      </c>
      <c r="C465" s="45" t="s">
        <v>1428</v>
      </c>
      <c r="E465" s="45">
        <f t="shared" si="159"/>
        <v>5</v>
      </c>
      <c r="F465" s="45">
        <f t="shared" si="160"/>
        <v>3</v>
      </c>
      <c r="G465" s="45" t="str">
        <f t="shared" si="161"/>
        <v>8W</v>
      </c>
      <c r="H465" s="45" t="str">
        <f t="shared" si="162"/>
        <v>M4</v>
      </c>
      <c r="J465" s="45" t="str">
        <f t="shared" si="163"/>
        <v>M4</v>
      </c>
      <c r="K465" s="45" t="s">
        <v>130</v>
      </c>
      <c r="L465" s="45" t="str">
        <f t="shared" si="164"/>
        <v>8W-M4@E</v>
      </c>
      <c r="M465" s="75" t="str">
        <f t="shared" si="157"/>
        <v>334, 332, 331, 318, 317, 316, 311, 303, 305, 302, 302, 305, 307, 306, M1, M2, M3, M4</v>
      </c>
      <c r="N465" s="75" t="str">
        <f t="shared" si="158"/>
        <v>36, 04, 03</v>
      </c>
      <c r="R465" s="70" t="s">
        <v>377</v>
      </c>
      <c r="S465" s="70" t="s">
        <v>53</v>
      </c>
      <c r="T465" s="70" t="s">
        <v>331</v>
      </c>
      <c r="U465" s="70"/>
      <c r="V465" s="70"/>
      <c r="X465" s="70" t="str">
        <f t="shared" si="151"/>
        <v>8W-E DT@E</v>
      </c>
      <c r="Y465" s="70" t="str">
        <f t="shared" si="152"/>
        <v>E DT-M4@E</v>
      </c>
      <c r="Z465" s="70" t="str">
        <f t="shared" si="153"/>
        <v/>
      </c>
      <c r="AA465" s="70" t="str">
        <f t="shared" si="154"/>
        <v/>
      </c>
      <c r="AC465" s="70" t="str">
        <f t="shared" si="165"/>
        <v>334, 332, 331, 318, 317, 316, 311, 303, 305, 302</v>
      </c>
      <c r="AD465" s="70" t="str">
        <f t="shared" si="166"/>
        <v>302, 305, 307, 306, M1, M2, M3, M4</v>
      </c>
      <c r="AE465" s="70" t="str">
        <f t="shared" si="167"/>
        <v/>
      </c>
      <c r="AF465" s="70" t="str">
        <f t="shared" si="168"/>
        <v/>
      </c>
      <c r="AH465" s="70" t="str">
        <f t="shared" si="169"/>
        <v>36, 04</v>
      </c>
      <c r="AI465" s="70" t="str">
        <f t="shared" si="170"/>
        <v>03</v>
      </c>
      <c r="AJ465" s="70" t="str">
        <f t="shared" si="171"/>
        <v/>
      </c>
      <c r="AK465" s="70" t="str">
        <f t="shared" si="172"/>
        <v/>
      </c>
      <c r="AM465" s="166" t="str">
        <f t="shared" si="155"/>
        <v>SHD7-EM1</v>
      </c>
      <c r="AN465" s="171" t="s">
        <v>1442</v>
      </c>
      <c r="AO465" s="167" t="s">
        <v>1443</v>
      </c>
      <c r="AP465" s="168" t="s">
        <v>1444</v>
      </c>
    </row>
    <row r="466" spans="1:42" ht="20.100000000000001" customHeight="1" thickBot="1">
      <c r="A466" s="69" t="s">
        <v>1445</v>
      </c>
      <c r="B466" s="69"/>
      <c r="C466" s="69" t="s">
        <v>948</v>
      </c>
      <c r="E466" s="45">
        <f t="shared" si="159"/>
        <v>7</v>
      </c>
      <c r="F466" s="45">
        <f t="shared" si="160"/>
        <v>4</v>
      </c>
      <c r="G466" s="45" t="str">
        <f t="shared" si="161"/>
        <v>LS1</v>
      </c>
      <c r="H466" s="45" t="str">
        <f t="shared" si="162"/>
        <v>LS2</v>
      </c>
      <c r="J466" s="45" t="str">
        <f t="shared" si="163"/>
        <v>LS2</v>
      </c>
      <c r="K466" s="45" t="s">
        <v>130</v>
      </c>
      <c r="L466" s="45" t="str">
        <f t="shared" si="164"/>
        <v>LS1-LS2@E</v>
      </c>
      <c r="M466" s="75" t="str">
        <f t="shared" si="157"/>
        <v>M8, M7, M6, M5, 306, 307, 305, 302, 302, 305, 307, 306, M5, M6, M7, M8</v>
      </c>
      <c r="N466" s="75" t="str">
        <f t="shared" si="158"/>
        <v>05, 03</v>
      </c>
      <c r="R466" s="70" t="s">
        <v>149</v>
      </c>
      <c r="S466" s="70" t="s">
        <v>53</v>
      </c>
      <c r="T466" s="70" t="s">
        <v>383</v>
      </c>
      <c r="U466" s="70"/>
      <c r="V466" s="70"/>
      <c r="X466" s="70" t="str">
        <f t="shared" si="151"/>
        <v>LS1-E DT@E</v>
      </c>
      <c r="Y466" s="70" t="str">
        <f t="shared" si="152"/>
        <v>E DT-LS2@E</v>
      </c>
      <c r="Z466" s="70" t="str">
        <f t="shared" si="153"/>
        <v/>
      </c>
      <c r="AA466" s="70" t="str">
        <f t="shared" si="154"/>
        <v/>
      </c>
      <c r="AC466" s="70" t="str">
        <f t="shared" si="165"/>
        <v>M8, M7, M6, M5, 306, 307, 305, 302</v>
      </c>
      <c r="AD466" s="70" t="str">
        <f t="shared" si="166"/>
        <v>302, 305, 307, 306, M5, M6, M7, M8</v>
      </c>
      <c r="AE466" s="70" t="str">
        <f t="shared" si="167"/>
        <v/>
      </c>
      <c r="AF466" s="70" t="str">
        <f t="shared" si="168"/>
        <v/>
      </c>
      <c r="AH466" s="70" t="str">
        <f t="shared" si="169"/>
        <v>05</v>
      </c>
      <c r="AI466" s="70" t="str">
        <f t="shared" si="170"/>
        <v>03</v>
      </c>
      <c r="AJ466" s="70" t="str">
        <f t="shared" si="171"/>
        <v/>
      </c>
      <c r="AK466" s="70" t="str">
        <f t="shared" si="172"/>
        <v/>
      </c>
      <c r="AM466" s="166" t="str">
        <f t="shared" si="155"/>
        <v>EM1-SHD17</v>
      </c>
      <c r="AN466" s="171" t="s">
        <v>1446</v>
      </c>
      <c r="AO466" s="167" t="s">
        <v>1440</v>
      </c>
      <c r="AP466" s="167"/>
    </row>
    <row r="467" spans="1:42" ht="20.100000000000001" customHeight="1" thickBot="1">
      <c r="A467" s="69" t="s">
        <v>1447</v>
      </c>
      <c r="B467" s="69"/>
      <c r="C467" s="69" t="s">
        <v>951</v>
      </c>
      <c r="E467" s="45">
        <f t="shared" si="159"/>
        <v>7</v>
      </c>
      <c r="F467" s="45">
        <f t="shared" si="160"/>
        <v>4</v>
      </c>
      <c r="G467" s="45" t="str">
        <f t="shared" si="161"/>
        <v>LS1</v>
      </c>
      <c r="H467" s="45" t="str">
        <f t="shared" si="162"/>
        <v>LS3</v>
      </c>
      <c r="J467" s="45" t="str">
        <f t="shared" si="163"/>
        <v>LS3</v>
      </c>
      <c r="K467" s="45" t="s">
        <v>130</v>
      </c>
      <c r="L467" s="45" t="str">
        <f t="shared" si="164"/>
        <v>LS1-LS3@E</v>
      </c>
      <c r="M467" s="75" t="str">
        <f t="shared" si="157"/>
        <v>M8, M7, M6, M5, 306, 307, 305, 302, 302, 305, 307, 306, M5, M6</v>
      </c>
      <c r="N467" s="75" t="str">
        <f t="shared" si="158"/>
        <v>05, 03</v>
      </c>
      <c r="R467" s="70" t="s">
        <v>149</v>
      </c>
      <c r="S467" s="70" t="s">
        <v>53</v>
      </c>
      <c r="T467" s="70" t="s">
        <v>531</v>
      </c>
      <c r="U467" s="70"/>
      <c r="V467" s="70"/>
      <c r="X467" s="70" t="str">
        <f t="shared" ref="X467:X530" si="173">IF(S467="","",CONCATENATE(R467,"-",S467,"@",$K467))</f>
        <v>LS1-E DT@E</v>
      </c>
      <c r="Y467" s="70" t="str">
        <f t="shared" ref="Y467:Y530" si="174">IF(T467="","",CONCATENATE(S467,"-",T467,"@",$K467))</f>
        <v>E DT-LS3@E</v>
      </c>
      <c r="Z467" s="70" t="str">
        <f t="shared" ref="Z467:Z530" si="175">IF(U467="","",CONCATENATE(T467,"-",U467,"@",$K467))</f>
        <v/>
      </c>
      <c r="AA467" s="70" t="str">
        <f t="shared" ref="AA467:AA530" si="176">IF(V467="","",CONCATENATE(U467,"-",V467,"@",$K467))</f>
        <v/>
      </c>
      <c r="AC467" s="70" t="str">
        <f t="shared" si="165"/>
        <v>M8, M7, M6, M5, 306, 307, 305, 302</v>
      </c>
      <c r="AD467" s="70" t="str">
        <f t="shared" si="166"/>
        <v>302, 305, 307, 306, M5, M6</v>
      </c>
      <c r="AE467" s="70" t="str">
        <f t="shared" si="167"/>
        <v/>
      </c>
      <c r="AF467" s="70" t="str">
        <f t="shared" si="168"/>
        <v/>
      </c>
      <c r="AH467" s="70" t="str">
        <f t="shared" si="169"/>
        <v>05</v>
      </c>
      <c r="AI467" s="70" t="str">
        <f t="shared" si="170"/>
        <v>03</v>
      </c>
      <c r="AJ467" s="70" t="str">
        <f t="shared" si="171"/>
        <v/>
      </c>
      <c r="AK467" s="70" t="str">
        <f t="shared" si="172"/>
        <v/>
      </c>
      <c r="AM467" s="166" t="str">
        <f t="shared" si="155"/>
        <v>EM1-SHD7</v>
      </c>
      <c r="AN467" s="171" t="s">
        <v>1448</v>
      </c>
      <c r="AO467" s="167" t="s">
        <v>1443</v>
      </c>
      <c r="AP467" s="167"/>
    </row>
    <row r="468" spans="1:42" ht="20.100000000000001" customHeight="1" thickBot="1">
      <c r="A468" s="69" t="s">
        <v>1449</v>
      </c>
      <c r="B468" s="69"/>
      <c r="C468" s="69" t="s">
        <v>948</v>
      </c>
      <c r="E468" s="45">
        <f t="shared" si="159"/>
        <v>7</v>
      </c>
      <c r="F468" s="45">
        <f t="shared" si="160"/>
        <v>4</v>
      </c>
      <c r="G468" s="45" t="str">
        <f t="shared" si="161"/>
        <v>LS2</v>
      </c>
      <c r="H468" s="45" t="str">
        <f t="shared" si="162"/>
        <v>LS1</v>
      </c>
      <c r="J468" s="45" t="str">
        <f t="shared" si="163"/>
        <v>LS1</v>
      </c>
      <c r="K468" s="45" t="s">
        <v>130</v>
      </c>
      <c r="L468" s="45" t="str">
        <f t="shared" si="164"/>
        <v>LS2-LS1@E</v>
      </c>
      <c r="M468" s="75" t="str">
        <f t="shared" si="157"/>
        <v>302, 305, 307, 306, M5, M6, M7, M8, M8, M7, M6, M5, 306, 307, 305, 302</v>
      </c>
      <c r="N468" s="75" t="str">
        <f t="shared" si="158"/>
        <v>05, 03</v>
      </c>
      <c r="R468" s="70" t="s">
        <v>383</v>
      </c>
      <c r="S468" s="70" t="s">
        <v>53</v>
      </c>
      <c r="T468" s="70" t="s">
        <v>149</v>
      </c>
      <c r="U468" s="70"/>
      <c r="V468" s="70"/>
      <c r="X468" s="70" t="str">
        <f t="shared" si="173"/>
        <v>LS2-E DT@E</v>
      </c>
      <c r="Y468" s="70" t="str">
        <f t="shared" si="174"/>
        <v>E DT-LS1@E</v>
      </c>
      <c r="Z468" s="70" t="str">
        <f t="shared" si="175"/>
        <v/>
      </c>
      <c r="AA468" s="70" t="str">
        <f t="shared" si="176"/>
        <v/>
      </c>
      <c r="AC468" s="70" t="str">
        <f t="shared" si="165"/>
        <v>302, 305, 307, 306, M5, M6, M7, M8</v>
      </c>
      <c r="AD468" s="70" t="str">
        <f t="shared" si="166"/>
        <v>M8, M7, M6, M5, 306, 307, 305, 302</v>
      </c>
      <c r="AE468" s="70" t="str">
        <f t="shared" si="167"/>
        <v/>
      </c>
      <c r="AF468" s="70" t="str">
        <f t="shared" si="168"/>
        <v/>
      </c>
      <c r="AH468" s="70" t="str">
        <f t="shared" si="169"/>
        <v>05</v>
      </c>
      <c r="AI468" s="70" t="str">
        <f t="shared" si="170"/>
        <v>03</v>
      </c>
      <c r="AJ468" s="70" t="str">
        <f t="shared" si="171"/>
        <v/>
      </c>
      <c r="AK468" s="70" t="str">
        <f t="shared" si="172"/>
        <v/>
      </c>
      <c r="AM468" s="166" t="str">
        <f t="shared" si="155"/>
        <v>E AV-LF3</v>
      </c>
      <c r="AN468" s="171" t="s">
        <v>1450</v>
      </c>
      <c r="AO468" s="167" t="s">
        <v>361</v>
      </c>
      <c r="AP468" s="168" t="s">
        <v>650</v>
      </c>
    </row>
    <row r="469" spans="1:42" ht="20.100000000000001" customHeight="1" thickBot="1">
      <c r="A469" s="69" t="s">
        <v>1451</v>
      </c>
      <c r="B469" s="69"/>
      <c r="C469" s="69" t="s">
        <v>951</v>
      </c>
      <c r="E469" s="45">
        <f t="shared" si="159"/>
        <v>7</v>
      </c>
      <c r="F469" s="45">
        <f t="shared" si="160"/>
        <v>4</v>
      </c>
      <c r="G469" s="45" t="str">
        <f t="shared" si="161"/>
        <v>LS2</v>
      </c>
      <c r="H469" s="45" t="str">
        <f t="shared" si="162"/>
        <v>LS3</v>
      </c>
      <c r="J469" s="45" t="str">
        <f t="shared" si="163"/>
        <v>LS3</v>
      </c>
      <c r="K469" s="45" t="s">
        <v>130</v>
      </c>
      <c r="L469" s="45" t="str">
        <f t="shared" si="164"/>
        <v>LS2-LS3@E</v>
      </c>
      <c r="M469" s="75" t="str">
        <f t="shared" si="157"/>
        <v>302, 305, 307, 306, M5, M6, M7, M8, 302, 305, 307, 306, M5, M6</v>
      </c>
      <c r="N469" s="75" t="str">
        <f t="shared" si="158"/>
        <v>05, 03</v>
      </c>
      <c r="R469" s="70" t="s">
        <v>383</v>
      </c>
      <c r="S469" s="70" t="s">
        <v>53</v>
      </c>
      <c r="T469" s="70" t="s">
        <v>531</v>
      </c>
      <c r="U469" s="70"/>
      <c r="V469" s="70"/>
      <c r="X469" s="70" t="str">
        <f t="shared" si="173"/>
        <v>LS2-E DT@E</v>
      </c>
      <c r="Y469" s="70" t="str">
        <f t="shared" si="174"/>
        <v>E DT-LS3@E</v>
      </c>
      <c r="Z469" s="70" t="str">
        <f t="shared" si="175"/>
        <v/>
      </c>
      <c r="AA469" s="70" t="str">
        <f t="shared" si="176"/>
        <v/>
      </c>
      <c r="AC469" s="70" t="str">
        <f t="shared" si="165"/>
        <v>302, 305, 307, 306, M5, M6, M7, M8</v>
      </c>
      <c r="AD469" s="70" t="str">
        <f t="shared" si="166"/>
        <v>302, 305, 307, 306, M5, M6</v>
      </c>
      <c r="AE469" s="70" t="str">
        <f t="shared" si="167"/>
        <v/>
      </c>
      <c r="AF469" s="70" t="str">
        <f t="shared" si="168"/>
        <v/>
      </c>
      <c r="AH469" s="70" t="str">
        <f t="shared" si="169"/>
        <v>05</v>
      </c>
      <c r="AI469" s="70" t="str">
        <f t="shared" si="170"/>
        <v>03</v>
      </c>
      <c r="AJ469" s="70" t="str">
        <f t="shared" si="171"/>
        <v/>
      </c>
      <c r="AK469" s="70" t="str">
        <f t="shared" si="172"/>
        <v/>
      </c>
      <c r="AM469" s="166" t="str">
        <f t="shared" si="155"/>
        <v>E AV-LF4</v>
      </c>
      <c r="AN469" s="171" t="s">
        <v>1452</v>
      </c>
      <c r="AO469" s="167" t="s">
        <v>365</v>
      </c>
      <c r="AP469" s="167" t="s">
        <v>650</v>
      </c>
    </row>
    <row r="470" spans="1:42" ht="20.100000000000001" customHeight="1" thickBot="1">
      <c r="A470" s="69" t="s">
        <v>1453</v>
      </c>
      <c r="B470" s="69"/>
      <c r="C470" s="69" t="s">
        <v>958</v>
      </c>
      <c r="E470" s="45">
        <f t="shared" si="159"/>
        <v>7</v>
      </c>
      <c r="F470" s="45">
        <f t="shared" si="160"/>
        <v>4</v>
      </c>
      <c r="G470" s="45" t="str">
        <f t="shared" si="161"/>
        <v>LS3</v>
      </c>
      <c r="H470" s="45" t="str">
        <f t="shared" si="162"/>
        <v>LS2</v>
      </c>
      <c r="J470" s="45" t="str">
        <f t="shared" si="163"/>
        <v>LS2</v>
      </c>
      <c r="K470" s="45" t="s">
        <v>130</v>
      </c>
      <c r="L470" s="45" t="str">
        <f t="shared" si="164"/>
        <v>LS3-LS2@E</v>
      </c>
      <c r="M470" s="75" t="str">
        <f t="shared" si="157"/>
        <v>302, 305, 307, 306, M5, M6, 302, 305, 307, 306, M5, M6, M7, M8</v>
      </c>
      <c r="N470" s="75" t="str">
        <f t="shared" si="158"/>
        <v>05, 03</v>
      </c>
      <c r="R470" s="70" t="s">
        <v>531</v>
      </c>
      <c r="S470" s="70" t="s">
        <v>53</v>
      </c>
      <c r="T470" s="70" t="s">
        <v>383</v>
      </c>
      <c r="U470" s="70"/>
      <c r="V470" s="70"/>
      <c r="X470" s="70" t="str">
        <f t="shared" si="173"/>
        <v>LS3-E DT@E</v>
      </c>
      <c r="Y470" s="70" t="str">
        <f t="shared" si="174"/>
        <v>E DT-LS2@E</v>
      </c>
      <c r="Z470" s="70" t="str">
        <f t="shared" si="175"/>
        <v/>
      </c>
      <c r="AA470" s="70" t="str">
        <f t="shared" si="176"/>
        <v/>
      </c>
      <c r="AC470" s="70" t="str">
        <f t="shared" si="165"/>
        <v>302, 305, 307, 306, M5, M6</v>
      </c>
      <c r="AD470" s="70" t="str">
        <f t="shared" si="166"/>
        <v>302, 305, 307, 306, M5, M6, M7, M8</v>
      </c>
      <c r="AE470" s="70" t="str">
        <f t="shared" si="167"/>
        <v/>
      </c>
      <c r="AF470" s="70" t="str">
        <f t="shared" si="168"/>
        <v/>
      </c>
      <c r="AH470" s="70" t="str">
        <f t="shared" si="169"/>
        <v>05</v>
      </c>
      <c r="AI470" s="70" t="str">
        <f t="shared" si="170"/>
        <v>03</v>
      </c>
      <c r="AJ470" s="70" t="str">
        <f t="shared" si="171"/>
        <v/>
      </c>
      <c r="AK470" s="70" t="str">
        <f t="shared" si="172"/>
        <v/>
      </c>
      <c r="AM470" s="166" t="str">
        <f t="shared" si="155"/>
        <v>E AV-LF2</v>
      </c>
      <c r="AN470" s="171" t="s">
        <v>1454</v>
      </c>
      <c r="AO470" s="167" t="s">
        <v>1455</v>
      </c>
      <c r="AP470" s="167" t="s">
        <v>1456</v>
      </c>
    </row>
    <row r="471" spans="1:42" ht="20.100000000000001" customHeight="1" thickBot="1">
      <c r="A471" s="69" t="s">
        <v>1457</v>
      </c>
      <c r="B471" s="69"/>
      <c r="C471" s="69" t="s">
        <v>958</v>
      </c>
      <c r="E471" s="45">
        <f t="shared" si="159"/>
        <v>7</v>
      </c>
      <c r="F471" s="45">
        <f t="shared" si="160"/>
        <v>4</v>
      </c>
      <c r="G471" s="45" t="str">
        <f t="shared" si="161"/>
        <v>LS3</v>
      </c>
      <c r="H471" s="45" t="str">
        <f t="shared" si="162"/>
        <v>LS1</v>
      </c>
      <c r="J471" s="45" t="str">
        <f t="shared" si="163"/>
        <v>LS1</v>
      </c>
      <c r="K471" s="45" t="s">
        <v>130</v>
      </c>
      <c r="L471" s="45" t="str">
        <f t="shared" si="164"/>
        <v>LS3-LS1@E</v>
      </c>
      <c r="M471" s="75" t="str">
        <f t="shared" si="157"/>
        <v>302, 305, 307, 306, M5, M6, M8, M7, M6, M5, 306, 307, 305, 302</v>
      </c>
      <c r="N471" s="75" t="str">
        <f t="shared" si="158"/>
        <v>05, 03</v>
      </c>
      <c r="R471" s="70" t="s">
        <v>531</v>
      </c>
      <c r="S471" s="70" t="s">
        <v>53</v>
      </c>
      <c r="T471" s="70" t="s">
        <v>149</v>
      </c>
      <c r="U471" s="70"/>
      <c r="V471" s="70"/>
      <c r="X471" s="70" t="str">
        <f t="shared" si="173"/>
        <v>LS3-E DT@E</v>
      </c>
      <c r="Y471" s="70" t="str">
        <f t="shared" si="174"/>
        <v>E DT-LS1@E</v>
      </c>
      <c r="Z471" s="70" t="str">
        <f t="shared" si="175"/>
        <v/>
      </c>
      <c r="AA471" s="70" t="str">
        <f t="shared" si="176"/>
        <v/>
      </c>
      <c r="AC471" s="70" t="str">
        <f t="shared" si="165"/>
        <v>302, 305, 307, 306, M5, M6</v>
      </c>
      <c r="AD471" s="70" t="str">
        <f t="shared" si="166"/>
        <v>M8, M7, M6, M5, 306, 307, 305, 302</v>
      </c>
      <c r="AE471" s="70" t="str">
        <f t="shared" si="167"/>
        <v/>
      </c>
      <c r="AF471" s="70" t="str">
        <f t="shared" si="168"/>
        <v/>
      </c>
      <c r="AH471" s="70" t="str">
        <f t="shared" si="169"/>
        <v>05</v>
      </c>
      <c r="AI471" s="70" t="str">
        <f t="shared" si="170"/>
        <v>03</v>
      </c>
      <c r="AJ471" s="70" t="str">
        <f t="shared" si="171"/>
        <v/>
      </c>
      <c r="AK471" s="70" t="str">
        <f t="shared" si="172"/>
        <v/>
      </c>
      <c r="AM471" s="166" t="str">
        <f t="shared" si="155"/>
        <v>E DT-LF2</v>
      </c>
      <c r="AN471" s="171" t="s">
        <v>1458</v>
      </c>
      <c r="AO471" s="167" t="s">
        <v>1459</v>
      </c>
      <c r="AP471" s="167" t="s">
        <v>1460</v>
      </c>
    </row>
    <row r="472" spans="1:42" ht="20.100000000000001" customHeight="1" thickBot="1">
      <c r="A472" s="45" t="s">
        <v>1461</v>
      </c>
      <c r="B472" s="45" t="s">
        <v>1462</v>
      </c>
      <c r="C472" s="45" t="s">
        <v>1463</v>
      </c>
      <c r="E472" s="45">
        <f t="shared" si="159"/>
        <v>6</v>
      </c>
      <c r="F472" s="45">
        <f t="shared" si="160"/>
        <v>4</v>
      </c>
      <c r="G472" s="45" t="str">
        <f t="shared" si="161"/>
        <v>LS1</v>
      </c>
      <c r="H472" s="45" t="str">
        <f t="shared" si="162"/>
        <v>M1</v>
      </c>
      <c r="J472" s="45" t="str">
        <f t="shared" si="163"/>
        <v>M1</v>
      </c>
      <c r="K472" s="45" t="s">
        <v>130</v>
      </c>
      <c r="L472" s="45" t="str">
        <f t="shared" si="164"/>
        <v>LS1-M1@E</v>
      </c>
      <c r="M472" s="75" t="str">
        <f t="shared" si="157"/>
        <v>M8, M7, M6, M5, 306, 307, 305, 302, 302, 305, 307, 306, M1</v>
      </c>
      <c r="N472" s="75" t="str">
        <f t="shared" si="158"/>
        <v>05, 03</v>
      </c>
      <c r="R472" s="70" t="s">
        <v>149</v>
      </c>
      <c r="S472" s="70" t="s">
        <v>53</v>
      </c>
      <c r="T472" s="70" t="s">
        <v>863</v>
      </c>
      <c r="U472" s="70"/>
      <c r="V472" s="70"/>
      <c r="X472" s="70" t="str">
        <f t="shared" si="173"/>
        <v>LS1-E DT@E</v>
      </c>
      <c r="Y472" s="70" t="str">
        <f t="shared" si="174"/>
        <v>E DT-M1@E</v>
      </c>
      <c r="Z472" s="70" t="str">
        <f t="shared" si="175"/>
        <v/>
      </c>
      <c r="AA472" s="70" t="str">
        <f t="shared" si="176"/>
        <v/>
      </c>
      <c r="AC472" s="70" t="str">
        <f t="shared" si="165"/>
        <v>M8, M7, M6, M5, 306, 307, 305, 302</v>
      </c>
      <c r="AD472" s="70" t="str">
        <f t="shared" si="166"/>
        <v>302, 305, 307, 306, M1</v>
      </c>
      <c r="AE472" s="70" t="str">
        <f t="shared" si="167"/>
        <v/>
      </c>
      <c r="AF472" s="70" t="str">
        <f t="shared" si="168"/>
        <v/>
      </c>
      <c r="AH472" s="70" t="str">
        <f t="shared" si="169"/>
        <v>05</v>
      </c>
      <c r="AI472" s="70" t="str">
        <f t="shared" si="170"/>
        <v>03</v>
      </c>
      <c r="AJ472" s="70" t="str">
        <f t="shared" si="171"/>
        <v/>
      </c>
      <c r="AK472" s="70" t="str">
        <f t="shared" si="172"/>
        <v/>
      </c>
      <c r="AM472" s="166" t="str">
        <f t="shared" si="155"/>
        <v>LF2-E AV</v>
      </c>
      <c r="AN472" s="171" t="s">
        <v>1464</v>
      </c>
      <c r="AO472" s="167" t="s">
        <v>1455</v>
      </c>
      <c r="AP472" s="167">
        <v>12</v>
      </c>
    </row>
    <row r="473" spans="1:42" ht="20.100000000000001" customHeight="1" thickBot="1">
      <c r="A473" s="45" t="s">
        <v>1465</v>
      </c>
      <c r="B473" s="45" t="s">
        <v>1462</v>
      </c>
      <c r="C473" s="45" t="s">
        <v>1466</v>
      </c>
      <c r="E473" s="45">
        <f t="shared" si="159"/>
        <v>6</v>
      </c>
      <c r="F473" s="45">
        <f t="shared" si="160"/>
        <v>4</v>
      </c>
      <c r="G473" s="45" t="str">
        <f t="shared" si="161"/>
        <v>LS1</v>
      </c>
      <c r="H473" s="45" t="str">
        <f t="shared" si="162"/>
        <v>M2</v>
      </c>
      <c r="J473" s="45" t="str">
        <f t="shared" si="163"/>
        <v>M2</v>
      </c>
      <c r="K473" s="45" t="s">
        <v>130</v>
      </c>
      <c r="L473" s="45" t="str">
        <f t="shared" si="164"/>
        <v>LS1-M2@E</v>
      </c>
      <c r="M473" s="75" t="str">
        <f t="shared" si="157"/>
        <v>M8, M7, M6, M5, 306, 307, 305, 302, 302, 305, 307, 306, M1, M2</v>
      </c>
      <c r="N473" s="75" t="str">
        <f t="shared" si="158"/>
        <v>05, 03</v>
      </c>
      <c r="R473" s="70" t="s">
        <v>149</v>
      </c>
      <c r="S473" s="70" t="s">
        <v>53</v>
      </c>
      <c r="T473" s="70" t="s">
        <v>994</v>
      </c>
      <c r="U473" s="70"/>
      <c r="V473" s="70"/>
      <c r="X473" s="70" t="str">
        <f t="shared" si="173"/>
        <v>LS1-E DT@E</v>
      </c>
      <c r="Y473" s="70" t="str">
        <f t="shared" si="174"/>
        <v>E DT-M2@E</v>
      </c>
      <c r="Z473" s="70" t="str">
        <f t="shared" si="175"/>
        <v/>
      </c>
      <c r="AA473" s="70" t="str">
        <f t="shared" si="176"/>
        <v/>
      </c>
      <c r="AC473" s="70" t="str">
        <f t="shared" si="165"/>
        <v>M8, M7, M6, M5, 306, 307, 305, 302</v>
      </c>
      <c r="AD473" s="70" t="str">
        <f t="shared" si="166"/>
        <v>302, 305, 307, 306, M1, M2</v>
      </c>
      <c r="AE473" s="70" t="str">
        <f t="shared" si="167"/>
        <v/>
      </c>
      <c r="AF473" s="70" t="str">
        <f t="shared" si="168"/>
        <v/>
      </c>
      <c r="AH473" s="70" t="str">
        <f t="shared" si="169"/>
        <v>05</v>
      </c>
      <c r="AI473" s="70" t="str">
        <f t="shared" si="170"/>
        <v>03</v>
      </c>
      <c r="AJ473" s="70" t="str">
        <f t="shared" si="171"/>
        <v/>
      </c>
      <c r="AK473" s="70" t="str">
        <f t="shared" si="172"/>
        <v/>
      </c>
      <c r="AM473" s="166" t="str">
        <f t="shared" si="155"/>
        <v>LF2-E DT</v>
      </c>
      <c r="AN473" s="171" t="s">
        <v>1467</v>
      </c>
      <c r="AO473" s="167" t="s">
        <v>1459</v>
      </c>
      <c r="AP473" s="168">
        <v>12</v>
      </c>
    </row>
    <row r="474" spans="1:42" ht="20.100000000000001" customHeight="1" thickBot="1">
      <c r="A474" s="45" t="s">
        <v>1468</v>
      </c>
      <c r="B474" s="45" t="s">
        <v>1462</v>
      </c>
      <c r="C474" s="45" t="s">
        <v>1469</v>
      </c>
      <c r="E474" s="45">
        <f t="shared" si="159"/>
        <v>6</v>
      </c>
      <c r="F474" s="45">
        <f t="shared" si="160"/>
        <v>4</v>
      </c>
      <c r="G474" s="45" t="str">
        <f t="shared" si="161"/>
        <v>LS1</v>
      </c>
      <c r="H474" s="45" t="str">
        <f t="shared" si="162"/>
        <v>M3</v>
      </c>
      <c r="J474" s="45" t="str">
        <f t="shared" si="163"/>
        <v>M3</v>
      </c>
      <c r="K474" s="45" t="s">
        <v>130</v>
      </c>
      <c r="L474" s="45" t="str">
        <f t="shared" si="164"/>
        <v>LS1-M3@E</v>
      </c>
      <c r="M474" s="75" t="str">
        <f t="shared" si="157"/>
        <v>M8, M7, M6, M5, 306, 307, 305, 302, 302, 305, 307, 306, M1, M2, M3</v>
      </c>
      <c r="N474" s="75" t="str">
        <f t="shared" si="158"/>
        <v>05, 03</v>
      </c>
      <c r="R474" s="70" t="s">
        <v>149</v>
      </c>
      <c r="S474" s="70" t="s">
        <v>53</v>
      </c>
      <c r="T474" s="70" t="s">
        <v>1142</v>
      </c>
      <c r="U474" s="70"/>
      <c r="V474" s="70"/>
      <c r="X474" s="70" t="str">
        <f t="shared" si="173"/>
        <v>LS1-E DT@E</v>
      </c>
      <c r="Y474" s="70" t="str">
        <f t="shared" si="174"/>
        <v>E DT-M3@E</v>
      </c>
      <c r="Z474" s="70" t="str">
        <f t="shared" si="175"/>
        <v/>
      </c>
      <c r="AA474" s="70" t="str">
        <f t="shared" si="176"/>
        <v/>
      </c>
      <c r="AC474" s="70" t="str">
        <f t="shared" si="165"/>
        <v>M8, M7, M6, M5, 306, 307, 305, 302</v>
      </c>
      <c r="AD474" s="70" t="str">
        <f t="shared" si="166"/>
        <v>302, 305, 307, 306, M1, M2, M3</v>
      </c>
      <c r="AE474" s="70" t="str">
        <f t="shared" si="167"/>
        <v/>
      </c>
      <c r="AF474" s="70" t="str">
        <f t="shared" si="168"/>
        <v/>
      </c>
      <c r="AH474" s="70" t="str">
        <f t="shared" si="169"/>
        <v>05</v>
      </c>
      <c r="AI474" s="70" t="str">
        <f t="shared" si="170"/>
        <v>03</v>
      </c>
      <c r="AJ474" s="70" t="str">
        <f t="shared" si="171"/>
        <v/>
      </c>
      <c r="AK474" s="70" t="str">
        <f t="shared" si="172"/>
        <v/>
      </c>
      <c r="AM474" s="166" t="str">
        <f t="shared" si="155"/>
        <v>SHD4-E DT</v>
      </c>
      <c r="AN474" s="171" t="s">
        <v>1470</v>
      </c>
      <c r="AO474" s="167" t="s">
        <v>1148</v>
      </c>
      <c r="AP474" s="167" t="s">
        <v>987</v>
      </c>
    </row>
    <row r="475" spans="1:42" ht="20.100000000000001" customHeight="1" thickBot="1">
      <c r="A475" s="45" t="s">
        <v>1471</v>
      </c>
      <c r="B475" s="45" t="s">
        <v>1462</v>
      </c>
      <c r="C475" s="45" t="s">
        <v>1472</v>
      </c>
      <c r="E475" s="45">
        <f t="shared" si="159"/>
        <v>6</v>
      </c>
      <c r="F475" s="45">
        <f t="shared" si="160"/>
        <v>4</v>
      </c>
      <c r="G475" s="45" t="str">
        <f t="shared" si="161"/>
        <v>LS1</v>
      </c>
      <c r="H475" s="45" t="str">
        <f t="shared" si="162"/>
        <v>M4</v>
      </c>
      <c r="J475" s="45" t="str">
        <f t="shared" si="163"/>
        <v>M4</v>
      </c>
      <c r="K475" s="45" t="s">
        <v>130</v>
      </c>
      <c r="L475" s="45" t="str">
        <f t="shared" si="164"/>
        <v>LS1-M4@E</v>
      </c>
      <c r="M475" s="75" t="str">
        <f t="shared" si="157"/>
        <v>M8, M7, M6, M5, 306, 307, 305, 302, 302, 305, 307, 306, M1, M2, M3, M4</v>
      </c>
      <c r="N475" s="75" t="str">
        <f t="shared" si="158"/>
        <v>05, 03</v>
      </c>
      <c r="R475" s="70" t="s">
        <v>149</v>
      </c>
      <c r="S475" s="70" t="s">
        <v>53</v>
      </c>
      <c r="T475" s="70" t="s">
        <v>331</v>
      </c>
      <c r="U475" s="70"/>
      <c r="V475" s="70"/>
      <c r="X475" s="70" t="str">
        <f t="shared" si="173"/>
        <v>LS1-E DT@E</v>
      </c>
      <c r="Y475" s="70" t="str">
        <f t="shared" si="174"/>
        <v>E DT-M4@E</v>
      </c>
      <c r="Z475" s="70" t="str">
        <f t="shared" si="175"/>
        <v/>
      </c>
      <c r="AA475" s="70" t="str">
        <f t="shared" si="176"/>
        <v/>
      </c>
      <c r="AC475" s="70" t="str">
        <f t="shared" si="165"/>
        <v>M8, M7, M6, M5, 306, 307, 305, 302</v>
      </c>
      <c r="AD475" s="70" t="str">
        <f t="shared" si="166"/>
        <v>302, 305, 307, 306, M1, M2, M3, M4</v>
      </c>
      <c r="AE475" s="70" t="str">
        <f t="shared" si="167"/>
        <v/>
      </c>
      <c r="AF475" s="70" t="str">
        <f t="shared" si="168"/>
        <v/>
      </c>
      <c r="AH475" s="70" t="str">
        <f t="shared" si="169"/>
        <v>05</v>
      </c>
      <c r="AI475" s="70" t="str">
        <f t="shared" si="170"/>
        <v>03</v>
      </c>
      <c r="AJ475" s="70" t="str">
        <f t="shared" si="171"/>
        <v/>
      </c>
      <c r="AK475" s="70" t="str">
        <f t="shared" si="172"/>
        <v/>
      </c>
      <c r="AM475" s="166" t="str">
        <f t="shared" si="155"/>
        <v>SHD2-E DT</v>
      </c>
      <c r="AN475" s="171" t="s">
        <v>1473</v>
      </c>
      <c r="AO475" s="167" t="s">
        <v>1474</v>
      </c>
      <c r="AP475" s="167" t="s">
        <v>1361</v>
      </c>
    </row>
    <row r="476" spans="1:42" ht="20.100000000000001" customHeight="1" thickBot="1">
      <c r="A476" s="45" t="s">
        <v>1475</v>
      </c>
      <c r="B476" s="45" t="s">
        <v>1462</v>
      </c>
      <c r="C476" s="45" t="s">
        <v>1463</v>
      </c>
      <c r="E476" s="45">
        <f t="shared" si="159"/>
        <v>6</v>
      </c>
      <c r="F476" s="45">
        <f t="shared" si="160"/>
        <v>4</v>
      </c>
      <c r="G476" s="45" t="str">
        <f t="shared" si="161"/>
        <v>LS2</v>
      </c>
      <c r="H476" s="45" t="str">
        <f t="shared" si="162"/>
        <v>M1</v>
      </c>
      <c r="J476" s="45" t="str">
        <f t="shared" si="163"/>
        <v>M1</v>
      </c>
      <c r="K476" s="45" t="s">
        <v>130</v>
      </c>
      <c r="L476" s="45" t="str">
        <f t="shared" si="164"/>
        <v>LS2-M1@E</v>
      </c>
      <c r="M476" s="75" t="str">
        <f t="shared" si="157"/>
        <v>302, 305, 307, 306, M5, M6, M7, M8, 302, 305, 307, 306, M1</v>
      </c>
      <c r="N476" s="75" t="str">
        <f t="shared" si="158"/>
        <v>05, 03</v>
      </c>
      <c r="R476" s="70" t="s">
        <v>383</v>
      </c>
      <c r="S476" s="70" t="s">
        <v>53</v>
      </c>
      <c r="T476" s="70" t="s">
        <v>863</v>
      </c>
      <c r="U476" s="70"/>
      <c r="V476" s="70"/>
      <c r="X476" s="70" t="str">
        <f t="shared" si="173"/>
        <v>LS2-E DT@E</v>
      </c>
      <c r="Y476" s="70" t="str">
        <f t="shared" si="174"/>
        <v>E DT-M1@E</v>
      </c>
      <c r="Z476" s="70" t="str">
        <f t="shared" si="175"/>
        <v/>
      </c>
      <c r="AA476" s="70" t="str">
        <f t="shared" si="176"/>
        <v/>
      </c>
      <c r="AC476" s="70" t="str">
        <f t="shared" si="165"/>
        <v>302, 305, 307, 306, M5, M6, M7, M8</v>
      </c>
      <c r="AD476" s="70" t="str">
        <f t="shared" si="166"/>
        <v>302, 305, 307, 306, M1</v>
      </c>
      <c r="AE476" s="70" t="str">
        <f t="shared" si="167"/>
        <v/>
      </c>
      <c r="AF476" s="70" t="str">
        <f t="shared" si="168"/>
        <v/>
      </c>
      <c r="AH476" s="70" t="str">
        <f t="shared" si="169"/>
        <v>05</v>
      </c>
      <c r="AI476" s="70" t="str">
        <f t="shared" si="170"/>
        <v>03</v>
      </c>
      <c r="AJ476" s="70" t="str">
        <f t="shared" si="171"/>
        <v/>
      </c>
      <c r="AK476" s="70" t="str">
        <f t="shared" si="172"/>
        <v/>
      </c>
      <c r="AM476" s="166" t="str">
        <f t="shared" si="155"/>
        <v>SHD4-E AV</v>
      </c>
      <c r="AN476" s="171" t="s">
        <v>1476</v>
      </c>
      <c r="AO476" s="167" t="s">
        <v>1304</v>
      </c>
      <c r="AP476" s="168" t="s">
        <v>987</v>
      </c>
    </row>
    <row r="477" spans="1:42" ht="20.100000000000001" customHeight="1" thickBot="1">
      <c r="A477" s="45" t="s">
        <v>1477</v>
      </c>
      <c r="B477" s="45" t="s">
        <v>1462</v>
      </c>
      <c r="C477" s="45" t="s">
        <v>1466</v>
      </c>
      <c r="E477" s="45">
        <f t="shared" si="159"/>
        <v>6</v>
      </c>
      <c r="F477" s="45">
        <f t="shared" si="160"/>
        <v>4</v>
      </c>
      <c r="G477" s="45" t="str">
        <f t="shared" si="161"/>
        <v>LS2</v>
      </c>
      <c r="H477" s="45" t="str">
        <f t="shared" si="162"/>
        <v>M2</v>
      </c>
      <c r="J477" s="45" t="str">
        <f t="shared" si="163"/>
        <v>M2</v>
      </c>
      <c r="K477" s="45" t="s">
        <v>130</v>
      </c>
      <c r="L477" s="45" t="str">
        <f t="shared" si="164"/>
        <v>LS2-M2@E</v>
      </c>
      <c r="M477" s="75" t="str">
        <f t="shared" si="157"/>
        <v>302, 305, 307, 306, M5, M6, M7, M8, 302, 305, 307, 306, M1, M2</v>
      </c>
      <c r="N477" s="75" t="str">
        <f t="shared" si="158"/>
        <v>05, 03</v>
      </c>
      <c r="R477" s="70" t="s">
        <v>383</v>
      </c>
      <c r="S477" s="70" t="s">
        <v>53</v>
      </c>
      <c r="T477" s="70" t="s">
        <v>994</v>
      </c>
      <c r="U477" s="70"/>
      <c r="V477" s="70"/>
      <c r="X477" s="70" t="str">
        <f t="shared" si="173"/>
        <v>LS2-E DT@E</v>
      </c>
      <c r="Y477" s="70" t="str">
        <f t="shared" si="174"/>
        <v>E DT-M2@E</v>
      </c>
      <c r="Z477" s="70" t="str">
        <f t="shared" si="175"/>
        <v/>
      </c>
      <c r="AA477" s="70" t="str">
        <f t="shared" si="176"/>
        <v/>
      </c>
      <c r="AC477" s="70" t="str">
        <f t="shared" si="165"/>
        <v>302, 305, 307, 306, M5, M6, M7, M8</v>
      </c>
      <c r="AD477" s="70" t="str">
        <f t="shared" si="166"/>
        <v>302, 305, 307, 306, M1, M2</v>
      </c>
      <c r="AE477" s="70" t="str">
        <f t="shared" si="167"/>
        <v/>
      </c>
      <c r="AF477" s="70" t="str">
        <f t="shared" si="168"/>
        <v/>
      </c>
      <c r="AH477" s="70" t="str">
        <f t="shared" si="169"/>
        <v>05</v>
      </c>
      <c r="AI477" s="70" t="str">
        <f t="shared" si="170"/>
        <v>03</v>
      </c>
      <c r="AJ477" s="70" t="str">
        <f t="shared" si="171"/>
        <v/>
      </c>
      <c r="AK477" s="70" t="str">
        <f t="shared" si="172"/>
        <v/>
      </c>
      <c r="AM477" s="166" t="str">
        <f t="shared" si="155"/>
        <v>SHD2-E AV</v>
      </c>
      <c r="AN477" s="171" t="s">
        <v>1478</v>
      </c>
      <c r="AO477" s="167" t="s">
        <v>1479</v>
      </c>
      <c r="AP477" s="168" t="s">
        <v>1361</v>
      </c>
    </row>
    <row r="478" spans="1:42" ht="20.100000000000001" customHeight="1" thickBot="1">
      <c r="A478" s="45" t="s">
        <v>1480</v>
      </c>
      <c r="B478" s="45" t="s">
        <v>1462</v>
      </c>
      <c r="C478" s="45" t="s">
        <v>1469</v>
      </c>
      <c r="E478" s="45">
        <f t="shared" si="159"/>
        <v>6</v>
      </c>
      <c r="F478" s="45">
        <f t="shared" si="160"/>
        <v>4</v>
      </c>
      <c r="G478" s="45" t="str">
        <f t="shared" si="161"/>
        <v>LS2</v>
      </c>
      <c r="H478" s="45" t="str">
        <f t="shared" si="162"/>
        <v>M3</v>
      </c>
      <c r="J478" s="45" t="str">
        <f t="shared" si="163"/>
        <v>M3</v>
      </c>
      <c r="K478" s="45" t="s">
        <v>130</v>
      </c>
      <c r="L478" s="45" t="str">
        <f t="shared" si="164"/>
        <v>LS2-M3@E</v>
      </c>
      <c r="M478" s="75" t="str">
        <f t="shared" si="157"/>
        <v>302, 305, 307, 306, M5, M6, M7, M8, 302, 305, 307, 306, M1, M2, M3</v>
      </c>
      <c r="N478" s="75" t="str">
        <f t="shared" si="158"/>
        <v>05, 03</v>
      </c>
      <c r="R478" s="70" t="s">
        <v>383</v>
      </c>
      <c r="S478" s="70" t="s">
        <v>53</v>
      </c>
      <c r="T478" s="70" t="s">
        <v>1142</v>
      </c>
      <c r="U478" s="70"/>
      <c r="V478" s="70"/>
      <c r="X478" s="70" t="str">
        <f t="shared" si="173"/>
        <v>LS2-E DT@E</v>
      </c>
      <c r="Y478" s="70" t="str">
        <f t="shared" si="174"/>
        <v>E DT-M3@E</v>
      </c>
      <c r="Z478" s="70" t="str">
        <f t="shared" si="175"/>
        <v/>
      </c>
      <c r="AA478" s="70" t="str">
        <f t="shared" si="176"/>
        <v/>
      </c>
      <c r="AC478" s="70" t="str">
        <f t="shared" si="165"/>
        <v>302, 305, 307, 306, M5, M6, M7, M8</v>
      </c>
      <c r="AD478" s="70" t="str">
        <f t="shared" si="166"/>
        <v>302, 305, 307, 306, M1, M2, M3</v>
      </c>
      <c r="AE478" s="70" t="str">
        <f t="shared" si="167"/>
        <v/>
      </c>
      <c r="AF478" s="70" t="str">
        <f t="shared" si="168"/>
        <v/>
      </c>
      <c r="AH478" s="70" t="str">
        <f t="shared" si="169"/>
        <v>05</v>
      </c>
      <c r="AI478" s="70" t="str">
        <f t="shared" si="170"/>
        <v>03</v>
      </c>
      <c r="AJ478" s="70" t="str">
        <f t="shared" si="171"/>
        <v/>
      </c>
      <c r="AK478" s="70" t="str">
        <f t="shared" si="172"/>
        <v/>
      </c>
      <c r="AN478" s="171"/>
      <c r="AO478" s="167"/>
      <c r="AP478" s="167"/>
    </row>
    <row r="479" spans="1:42" ht="20.100000000000001" customHeight="1" thickBot="1">
      <c r="A479" s="45" t="s">
        <v>1481</v>
      </c>
      <c r="B479" s="45" t="s">
        <v>1462</v>
      </c>
      <c r="C479" s="45" t="s">
        <v>1482</v>
      </c>
      <c r="E479" s="45">
        <f t="shared" si="159"/>
        <v>6</v>
      </c>
      <c r="F479" s="45">
        <f t="shared" si="160"/>
        <v>4</v>
      </c>
      <c r="G479" s="45" t="str">
        <f t="shared" si="161"/>
        <v>LS2</v>
      </c>
      <c r="H479" s="45" t="str">
        <f t="shared" si="162"/>
        <v>M4</v>
      </c>
      <c r="J479" s="45" t="str">
        <f t="shared" si="163"/>
        <v>M4</v>
      </c>
      <c r="K479" s="45" t="s">
        <v>130</v>
      </c>
      <c r="L479" s="45" t="str">
        <f t="shared" si="164"/>
        <v>LS2-M4@E</v>
      </c>
      <c r="M479" s="75" t="str">
        <f t="shared" si="157"/>
        <v>302, 305, 307, 306, M5, M6, M7, M8, 302, 305, 307, 306, M1, M2, M3, M4</v>
      </c>
      <c r="N479" s="75" t="str">
        <f t="shared" si="158"/>
        <v>05, 03</v>
      </c>
      <c r="R479" s="70" t="s">
        <v>383</v>
      </c>
      <c r="S479" s="70" t="s">
        <v>53</v>
      </c>
      <c r="T479" s="70" t="s">
        <v>331</v>
      </c>
      <c r="U479" s="70"/>
      <c r="V479" s="70"/>
      <c r="X479" s="70" t="str">
        <f t="shared" si="173"/>
        <v>LS2-E DT@E</v>
      </c>
      <c r="Y479" s="70" t="str">
        <f t="shared" si="174"/>
        <v>E DT-M4@E</v>
      </c>
      <c r="Z479" s="70" t="str">
        <f t="shared" si="175"/>
        <v/>
      </c>
      <c r="AA479" s="70" t="str">
        <f t="shared" si="176"/>
        <v/>
      </c>
      <c r="AC479" s="70" t="str">
        <f t="shared" si="165"/>
        <v>302, 305, 307, 306, M5, M6, M7, M8</v>
      </c>
      <c r="AD479" s="70" t="str">
        <f t="shared" si="166"/>
        <v>302, 305, 307, 306, M1, M2, M3, M4</v>
      </c>
      <c r="AE479" s="70" t="str">
        <f t="shared" si="167"/>
        <v/>
      </c>
      <c r="AF479" s="70" t="str">
        <f t="shared" si="168"/>
        <v/>
      </c>
      <c r="AH479" s="70" t="str">
        <f t="shared" si="169"/>
        <v>05</v>
      </c>
      <c r="AI479" s="70" t="str">
        <f t="shared" si="170"/>
        <v>03</v>
      </c>
      <c r="AJ479" s="70" t="str">
        <f t="shared" si="171"/>
        <v/>
      </c>
      <c r="AK479" s="70" t="str">
        <f t="shared" si="172"/>
        <v/>
      </c>
      <c r="AN479" s="171"/>
      <c r="AO479" s="167"/>
      <c r="AP479" s="167"/>
    </row>
    <row r="480" spans="1:42" ht="20.100000000000001" customHeight="1" thickBot="1">
      <c r="A480" s="45" t="s">
        <v>1483</v>
      </c>
      <c r="B480" s="45" t="s">
        <v>1462</v>
      </c>
      <c r="C480" s="45" t="s">
        <v>1484</v>
      </c>
      <c r="E480" s="45">
        <f t="shared" si="159"/>
        <v>6</v>
      </c>
      <c r="F480" s="45">
        <f t="shared" si="160"/>
        <v>4</v>
      </c>
      <c r="G480" s="45" t="str">
        <f t="shared" si="161"/>
        <v>LS3</v>
      </c>
      <c r="H480" s="45" t="str">
        <f t="shared" si="162"/>
        <v>M1</v>
      </c>
      <c r="J480" s="45" t="str">
        <f t="shared" si="163"/>
        <v>M1</v>
      </c>
      <c r="K480" s="45" t="s">
        <v>130</v>
      </c>
      <c r="L480" s="45" t="str">
        <f t="shared" si="164"/>
        <v>LS3-M1@E</v>
      </c>
      <c r="M480" s="75" t="str">
        <f t="shared" si="157"/>
        <v>302, 305, 307, 306, M5, M6, 302, 305, 307, 306, M1</v>
      </c>
      <c r="N480" s="75" t="str">
        <f t="shared" si="158"/>
        <v>05, 03</v>
      </c>
      <c r="R480" s="70" t="s">
        <v>531</v>
      </c>
      <c r="S480" s="70" t="s">
        <v>53</v>
      </c>
      <c r="T480" s="70" t="s">
        <v>863</v>
      </c>
      <c r="U480" s="70"/>
      <c r="V480" s="70"/>
      <c r="X480" s="70" t="str">
        <f t="shared" si="173"/>
        <v>LS3-E DT@E</v>
      </c>
      <c r="Y480" s="70" t="str">
        <f t="shared" si="174"/>
        <v>E DT-M1@E</v>
      </c>
      <c r="Z480" s="70" t="str">
        <f t="shared" si="175"/>
        <v/>
      </c>
      <c r="AA480" s="70" t="str">
        <f t="shared" si="176"/>
        <v/>
      </c>
      <c r="AC480" s="70" t="str">
        <f t="shared" si="165"/>
        <v>302, 305, 307, 306, M5, M6</v>
      </c>
      <c r="AD480" s="70" t="str">
        <f t="shared" si="166"/>
        <v>302, 305, 307, 306, M1</v>
      </c>
      <c r="AE480" s="70" t="str">
        <f t="shared" si="167"/>
        <v/>
      </c>
      <c r="AF480" s="70" t="str">
        <f t="shared" si="168"/>
        <v/>
      </c>
      <c r="AH480" s="70" t="str">
        <f t="shared" si="169"/>
        <v>05</v>
      </c>
      <c r="AI480" s="70" t="str">
        <f t="shared" si="170"/>
        <v>03</v>
      </c>
      <c r="AJ480" s="70" t="str">
        <f t="shared" si="171"/>
        <v/>
      </c>
      <c r="AK480" s="70" t="str">
        <f t="shared" si="172"/>
        <v/>
      </c>
      <c r="AN480" s="171"/>
      <c r="AO480" s="167"/>
      <c r="AP480" s="167"/>
    </row>
    <row r="481" spans="1:42" ht="20.100000000000001" customHeight="1" thickBot="1">
      <c r="A481" s="45" t="s">
        <v>1485</v>
      </c>
      <c r="B481" s="45" t="s">
        <v>1462</v>
      </c>
      <c r="C481" s="45" t="s">
        <v>1486</v>
      </c>
      <c r="E481" s="45">
        <f t="shared" si="159"/>
        <v>6</v>
      </c>
      <c r="F481" s="45">
        <f t="shared" si="160"/>
        <v>4</v>
      </c>
      <c r="G481" s="45" t="str">
        <f t="shared" si="161"/>
        <v>LS3</v>
      </c>
      <c r="H481" s="45" t="str">
        <f t="shared" si="162"/>
        <v>M2</v>
      </c>
      <c r="J481" s="45" t="str">
        <f t="shared" si="163"/>
        <v>M2</v>
      </c>
      <c r="K481" s="45" t="s">
        <v>130</v>
      </c>
      <c r="L481" s="45" t="str">
        <f t="shared" si="164"/>
        <v>LS3-M2@E</v>
      </c>
      <c r="M481" s="75" t="str">
        <f t="shared" si="157"/>
        <v>302, 305, 307, 306, M5, M6, 302, 305, 307, 306, M1, M2</v>
      </c>
      <c r="N481" s="75" t="str">
        <f t="shared" si="158"/>
        <v>05, 03</v>
      </c>
      <c r="R481" s="70" t="s">
        <v>531</v>
      </c>
      <c r="S481" s="70" t="s">
        <v>53</v>
      </c>
      <c r="T481" s="70" t="s">
        <v>994</v>
      </c>
      <c r="U481" s="70"/>
      <c r="V481" s="70"/>
      <c r="X481" s="70" t="str">
        <f t="shared" si="173"/>
        <v>LS3-E DT@E</v>
      </c>
      <c r="Y481" s="70" t="str">
        <f t="shared" si="174"/>
        <v>E DT-M2@E</v>
      </c>
      <c r="Z481" s="70" t="str">
        <f t="shared" si="175"/>
        <v/>
      </c>
      <c r="AA481" s="70" t="str">
        <f t="shared" si="176"/>
        <v/>
      </c>
      <c r="AC481" s="70" t="str">
        <f t="shared" si="165"/>
        <v>302, 305, 307, 306, M5, M6</v>
      </c>
      <c r="AD481" s="70" t="str">
        <f t="shared" si="166"/>
        <v>302, 305, 307, 306, M1, M2</v>
      </c>
      <c r="AE481" s="70" t="str">
        <f t="shared" si="167"/>
        <v/>
      </c>
      <c r="AF481" s="70" t="str">
        <f t="shared" si="168"/>
        <v/>
      </c>
      <c r="AH481" s="70" t="str">
        <f t="shared" si="169"/>
        <v>05</v>
      </c>
      <c r="AI481" s="70" t="str">
        <f t="shared" si="170"/>
        <v>03</v>
      </c>
      <c r="AJ481" s="70" t="str">
        <f t="shared" si="171"/>
        <v/>
      </c>
      <c r="AK481" s="70" t="str">
        <f t="shared" si="172"/>
        <v/>
      </c>
      <c r="AN481" s="171"/>
      <c r="AO481" s="167"/>
      <c r="AP481" s="167"/>
    </row>
    <row r="482" spans="1:42" ht="20.100000000000001" customHeight="1" thickBot="1">
      <c r="A482" s="45" t="s">
        <v>1487</v>
      </c>
      <c r="B482" s="45" t="s">
        <v>1462</v>
      </c>
      <c r="C482" s="45" t="s">
        <v>1488</v>
      </c>
      <c r="E482" s="45">
        <f t="shared" si="159"/>
        <v>6</v>
      </c>
      <c r="F482" s="45">
        <f t="shared" si="160"/>
        <v>4</v>
      </c>
      <c r="G482" s="45" t="str">
        <f t="shared" si="161"/>
        <v>LS3</v>
      </c>
      <c r="H482" s="45" t="str">
        <f t="shared" si="162"/>
        <v>M3</v>
      </c>
      <c r="J482" s="45" t="str">
        <f t="shared" si="163"/>
        <v>M3</v>
      </c>
      <c r="K482" s="45" t="s">
        <v>130</v>
      </c>
      <c r="L482" s="45" t="str">
        <f t="shared" si="164"/>
        <v>LS3-M3@E</v>
      </c>
      <c r="M482" s="75" t="str">
        <f t="shared" si="157"/>
        <v>302, 305, 307, 306, M5, M6, 302, 305, 307, 306, M1, M2, M3</v>
      </c>
      <c r="N482" s="75" t="str">
        <f t="shared" si="158"/>
        <v>05, 03</v>
      </c>
      <c r="R482" s="70" t="s">
        <v>531</v>
      </c>
      <c r="S482" s="70" t="s">
        <v>53</v>
      </c>
      <c r="T482" s="70" t="s">
        <v>1142</v>
      </c>
      <c r="U482" s="70"/>
      <c r="V482" s="70"/>
      <c r="X482" s="70" t="str">
        <f t="shared" si="173"/>
        <v>LS3-E DT@E</v>
      </c>
      <c r="Y482" s="70" t="str">
        <f t="shared" si="174"/>
        <v>E DT-M3@E</v>
      </c>
      <c r="Z482" s="70" t="str">
        <f t="shared" si="175"/>
        <v/>
      </c>
      <c r="AA482" s="70" t="str">
        <f t="shared" si="176"/>
        <v/>
      </c>
      <c r="AC482" s="70" t="str">
        <f t="shared" si="165"/>
        <v>302, 305, 307, 306, M5, M6</v>
      </c>
      <c r="AD482" s="70" t="str">
        <f t="shared" si="166"/>
        <v>302, 305, 307, 306, M1, M2, M3</v>
      </c>
      <c r="AE482" s="70" t="str">
        <f t="shared" si="167"/>
        <v/>
      </c>
      <c r="AF482" s="70" t="str">
        <f t="shared" si="168"/>
        <v/>
      </c>
      <c r="AH482" s="70" t="str">
        <f t="shared" si="169"/>
        <v>05</v>
      </c>
      <c r="AI482" s="70" t="str">
        <f t="shared" si="170"/>
        <v>03</v>
      </c>
      <c r="AJ482" s="70" t="str">
        <f t="shared" si="171"/>
        <v/>
      </c>
      <c r="AK482" s="70" t="str">
        <f t="shared" si="172"/>
        <v/>
      </c>
      <c r="AN482" s="171"/>
      <c r="AO482" s="167"/>
      <c r="AP482" s="167"/>
    </row>
    <row r="483" spans="1:42" ht="20.100000000000001" customHeight="1" thickBot="1">
      <c r="A483" s="45" t="s">
        <v>1489</v>
      </c>
      <c r="B483" s="45" t="s">
        <v>1462</v>
      </c>
      <c r="C483" s="45" t="s">
        <v>1490</v>
      </c>
      <c r="E483" s="45">
        <f t="shared" si="159"/>
        <v>6</v>
      </c>
      <c r="F483" s="45">
        <f t="shared" si="160"/>
        <v>4</v>
      </c>
      <c r="G483" s="45" t="str">
        <f t="shared" si="161"/>
        <v>LS3</v>
      </c>
      <c r="H483" s="45" t="str">
        <f t="shared" si="162"/>
        <v>M4</v>
      </c>
      <c r="J483" s="45" t="str">
        <f t="shared" si="163"/>
        <v>M4</v>
      </c>
      <c r="K483" s="45" t="s">
        <v>130</v>
      </c>
      <c r="L483" s="45" t="str">
        <f t="shared" si="164"/>
        <v>LS3-M4@E</v>
      </c>
      <c r="M483" s="75" t="str">
        <f t="shared" si="157"/>
        <v>302, 305, 307, 306, M5, M6, 302, 305, 307, 306, M1, M2, M3, M4</v>
      </c>
      <c r="N483" s="75" t="str">
        <f t="shared" si="158"/>
        <v>05, 03</v>
      </c>
      <c r="R483" s="70" t="s">
        <v>531</v>
      </c>
      <c r="S483" s="70" t="s">
        <v>53</v>
      </c>
      <c r="T483" s="70" t="s">
        <v>331</v>
      </c>
      <c r="U483" s="70"/>
      <c r="V483" s="70"/>
      <c r="X483" s="70" t="str">
        <f t="shared" si="173"/>
        <v>LS3-E DT@E</v>
      </c>
      <c r="Y483" s="70" t="str">
        <f t="shared" si="174"/>
        <v>E DT-M4@E</v>
      </c>
      <c r="Z483" s="70" t="str">
        <f t="shared" si="175"/>
        <v/>
      </c>
      <c r="AA483" s="70" t="str">
        <f t="shared" si="176"/>
        <v/>
      </c>
      <c r="AC483" s="70" t="str">
        <f t="shared" si="165"/>
        <v>302, 305, 307, 306, M5, M6</v>
      </c>
      <c r="AD483" s="70" t="str">
        <f t="shared" si="166"/>
        <v>302, 305, 307, 306, M1, M2, M3, M4</v>
      </c>
      <c r="AE483" s="70" t="str">
        <f t="shared" si="167"/>
        <v/>
      </c>
      <c r="AF483" s="70" t="str">
        <f t="shared" si="168"/>
        <v/>
      </c>
      <c r="AH483" s="70" t="str">
        <f t="shared" si="169"/>
        <v>05</v>
      </c>
      <c r="AI483" s="70" t="str">
        <f t="shared" si="170"/>
        <v>03</v>
      </c>
      <c r="AJ483" s="70" t="str">
        <f t="shared" si="171"/>
        <v/>
      </c>
      <c r="AK483" s="70" t="str">
        <f t="shared" si="172"/>
        <v/>
      </c>
      <c r="AN483" s="171"/>
      <c r="AO483" s="167"/>
      <c r="AP483" s="167"/>
    </row>
    <row r="484" spans="1:42" ht="20.100000000000001" customHeight="1" thickBot="1">
      <c r="A484" s="45" t="s">
        <v>1491</v>
      </c>
      <c r="B484" s="45" t="s">
        <v>1492</v>
      </c>
      <c r="C484" s="45" t="s">
        <v>1493</v>
      </c>
      <c r="E484" s="45">
        <f t="shared" si="159"/>
        <v>6</v>
      </c>
      <c r="F484" s="45">
        <f t="shared" si="160"/>
        <v>3</v>
      </c>
      <c r="G484" s="45" t="str">
        <f t="shared" si="161"/>
        <v>M1</v>
      </c>
      <c r="H484" s="45" t="str">
        <f t="shared" si="162"/>
        <v>LS1</v>
      </c>
      <c r="J484" s="45" t="str">
        <f t="shared" si="163"/>
        <v>LS1</v>
      </c>
      <c r="K484" s="45" t="s">
        <v>130</v>
      </c>
      <c r="L484" s="45" t="str">
        <f t="shared" si="164"/>
        <v>M1-LS1@E</v>
      </c>
      <c r="M484" s="75" t="str">
        <f t="shared" si="157"/>
        <v>302, 305, 307, 306, M1, M8, M7, M6, M5, 306, 307, 305, 302</v>
      </c>
      <c r="N484" s="75" t="str">
        <f t="shared" si="158"/>
        <v>06, 03</v>
      </c>
      <c r="R484" s="70" t="s">
        <v>863</v>
      </c>
      <c r="S484" s="70" t="s">
        <v>53</v>
      </c>
      <c r="T484" s="70" t="s">
        <v>149</v>
      </c>
      <c r="U484" s="70"/>
      <c r="V484" s="70"/>
      <c r="X484" s="70" t="str">
        <f t="shared" si="173"/>
        <v>M1-E DT@E</v>
      </c>
      <c r="Y484" s="70" t="str">
        <f t="shared" si="174"/>
        <v>E DT-LS1@E</v>
      </c>
      <c r="Z484" s="70" t="str">
        <f t="shared" si="175"/>
        <v/>
      </c>
      <c r="AA484" s="70" t="str">
        <f t="shared" si="176"/>
        <v/>
      </c>
      <c r="AC484" s="70" t="str">
        <f t="shared" si="165"/>
        <v>302, 305, 307, 306, M1</v>
      </c>
      <c r="AD484" s="70" t="str">
        <f t="shared" si="166"/>
        <v>M8, M7, M6, M5, 306, 307, 305, 302</v>
      </c>
      <c r="AE484" s="70" t="str">
        <f t="shared" si="167"/>
        <v/>
      </c>
      <c r="AF484" s="70" t="str">
        <f t="shared" si="168"/>
        <v/>
      </c>
      <c r="AH484" s="70" t="str">
        <f t="shared" si="169"/>
        <v>06</v>
      </c>
      <c r="AI484" s="70" t="str">
        <f t="shared" si="170"/>
        <v>03</v>
      </c>
      <c r="AJ484" s="70" t="str">
        <f t="shared" si="171"/>
        <v/>
      </c>
      <c r="AK484" s="70" t="str">
        <f t="shared" si="172"/>
        <v/>
      </c>
      <c r="AN484" s="171"/>
      <c r="AO484" s="167"/>
      <c r="AP484" s="167"/>
    </row>
    <row r="485" spans="1:42" ht="20.100000000000001" customHeight="1" thickBot="1">
      <c r="A485" s="45" t="s">
        <v>1494</v>
      </c>
      <c r="B485" s="45" t="s">
        <v>1492</v>
      </c>
      <c r="C485" s="45" t="s">
        <v>1493</v>
      </c>
      <c r="E485" s="45">
        <f t="shared" si="159"/>
        <v>6</v>
      </c>
      <c r="F485" s="45">
        <f t="shared" si="160"/>
        <v>3</v>
      </c>
      <c r="G485" s="45" t="str">
        <f t="shared" si="161"/>
        <v>M1</v>
      </c>
      <c r="H485" s="45" t="str">
        <f t="shared" si="162"/>
        <v>LS2</v>
      </c>
      <c r="J485" s="45" t="str">
        <f t="shared" si="163"/>
        <v>LS2</v>
      </c>
      <c r="K485" s="45" t="s">
        <v>130</v>
      </c>
      <c r="L485" s="45" t="str">
        <f t="shared" si="164"/>
        <v>M1-LS2@E</v>
      </c>
      <c r="M485" s="75" t="str">
        <f t="shared" si="157"/>
        <v>302, 305, 307, 306, M1, 302, 305, 307, 306, M5, M6, M7, M8</v>
      </c>
      <c r="N485" s="75" t="str">
        <f t="shared" si="158"/>
        <v>06, 03</v>
      </c>
      <c r="R485" s="70" t="s">
        <v>863</v>
      </c>
      <c r="S485" s="70" t="s">
        <v>53</v>
      </c>
      <c r="T485" s="70" t="s">
        <v>383</v>
      </c>
      <c r="U485" s="70"/>
      <c r="V485" s="70"/>
      <c r="X485" s="70" t="str">
        <f t="shared" si="173"/>
        <v>M1-E DT@E</v>
      </c>
      <c r="Y485" s="70" t="str">
        <f t="shared" si="174"/>
        <v>E DT-LS2@E</v>
      </c>
      <c r="Z485" s="70" t="str">
        <f t="shared" si="175"/>
        <v/>
      </c>
      <c r="AA485" s="70" t="str">
        <f t="shared" si="176"/>
        <v/>
      </c>
      <c r="AC485" s="70" t="str">
        <f t="shared" si="165"/>
        <v>302, 305, 307, 306, M1</v>
      </c>
      <c r="AD485" s="70" t="str">
        <f t="shared" si="166"/>
        <v>302, 305, 307, 306, M5, M6, M7, M8</v>
      </c>
      <c r="AE485" s="70" t="str">
        <f t="shared" si="167"/>
        <v/>
      </c>
      <c r="AF485" s="70" t="str">
        <f t="shared" si="168"/>
        <v/>
      </c>
      <c r="AH485" s="70" t="str">
        <f t="shared" si="169"/>
        <v>06</v>
      </c>
      <c r="AI485" s="70" t="str">
        <f t="shared" si="170"/>
        <v>03</v>
      </c>
      <c r="AJ485" s="70" t="str">
        <f t="shared" si="171"/>
        <v/>
      </c>
      <c r="AK485" s="70" t="str">
        <f t="shared" si="172"/>
        <v/>
      </c>
      <c r="AN485" s="171"/>
      <c r="AO485" s="167"/>
      <c r="AP485" s="167"/>
    </row>
    <row r="486" spans="1:42" ht="20.100000000000001" customHeight="1" thickBot="1">
      <c r="A486" s="45" t="s">
        <v>1495</v>
      </c>
      <c r="B486" s="45" t="s">
        <v>1492</v>
      </c>
      <c r="C486" s="45" t="s">
        <v>1496</v>
      </c>
      <c r="E486" s="45">
        <f t="shared" si="159"/>
        <v>6</v>
      </c>
      <c r="F486" s="45">
        <f t="shared" si="160"/>
        <v>3</v>
      </c>
      <c r="G486" s="45" t="str">
        <f t="shared" si="161"/>
        <v>M1</v>
      </c>
      <c r="H486" s="45" t="str">
        <f t="shared" si="162"/>
        <v>LS3</v>
      </c>
      <c r="J486" s="45" t="str">
        <f t="shared" si="163"/>
        <v>LS3</v>
      </c>
      <c r="K486" s="45" t="s">
        <v>130</v>
      </c>
      <c r="L486" s="45" t="str">
        <f t="shared" si="164"/>
        <v>M1-LS3@E</v>
      </c>
      <c r="M486" s="75" t="str">
        <f t="shared" si="157"/>
        <v>302, 305, 307, 306, M1, 302, 305, 307, 306, M5, M6</v>
      </c>
      <c r="N486" s="75" t="str">
        <f t="shared" si="158"/>
        <v>06, 03</v>
      </c>
      <c r="R486" s="70" t="s">
        <v>863</v>
      </c>
      <c r="S486" s="70" t="s">
        <v>53</v>
      </c>
      <c r="T486" s="70" t="s">
        <v>531</v>
      </c>
      <c r="U486" s="70"/>
      <c r="V486" s="70"/>
      <c r="X486" s="70" t="str">
        <f t="shared" si="173"/>
        <v>M1-E DT@E</v>
      </c>
      <c r="Y486" s="70" t="str">
        <f t="shared" si="174"/>
        <v>E DT-LS3@E</v>
      </c>
      <c r="Z486" s="70" t="str">
        <f t="shared" si="175"/>
        <v/>
      </c>
      <c r="AA486" s="70" t="str">
        <f t="shared" si="176"/>
        <v/>
      </c>
      <c r="AC486" s="70" t="str">
        <f t="shared" si="165"/>
        <v>302, 305, 307, 306, M1</v>
      </c>
      <c r="AD486" s="70" t="str">
        <f t="shared" si="166"/>
        <v>302, 305, 307, 306, M5, M6</v>
      </c>
      <c r="AE486" s="70" t="str">
        <f t="shared" si="167"/>
        <v/>
      </c>
      <c r="AF486" s="70" t="str">
        <f t="shared" si="168"/>
        <v/>
      </c>
      <c r="AH486" s="70" t="str">
        <f t="shared" si="169"/>
        <v>06</v>
      </c>
      <c r="AI486" s="70" t="str">
        <f t="shared" si="170"/>
        <v>03</v>
      </c>
      <c r="AJ486" s="70" t="str">
        <f t="shared" si="171"/>
        <v/>
      </c>
      <c r="AK486" s="70" t="str">
        <f t="shared" si="172"/>
        <v/>
      </c>
      <c r="AN486" s="171"/>
      <c r="AO486" s="167"/>
      <c r="AP486" s="167"/>
    </row>
    <row r="487" spans="1:42" ht="20.100000000000001" customHeight="1" thickBot="1">
      <c r="A487" s="45" t="s">
        <v>1497</v>
      </c>
      <c r="B487" s="45" t="s">
        <v>1492</v>
      </c>
      <c r="C487" s="45" t="s">
        <v>1498</v>
      </c>
      <c r="E487" s="45">
        <f t="shared" si="159"/>
        <v>6</v>
      </c>
      <c r="F487" s="45">
        <f t="shared" si="160"/>
        <v>3</v>
      </c>
      <c r="G487" s="45" t="str">
        <f t="shared" si="161"/>
        <v>M2</v>
      </c>
      <c r="H487" s="45" t="str">
        <f t="shared" si="162"/>
        <v>LS1</v>
      </c>
      <c r="J487" s="45" t="str">
        <f t="shared" si="163"/>
        <v>LS1</v>
      </c>
      <c r="K487" s="45" t="s">
        <v>130</v>
      </c>
      <c r="L487" s="45" t="str">
        <f t="shared" si="164"/>
        <v>M2-LS1@E</v>
      </c>
      <c r="M487" s="75" t="str">
        <f t="shared" si="157"/>
        <v>302, 305, 307, 306, M1, M2, M8, M7, M6, M5, 306, 307, 305, 302</v>
      </c>
      <c r="N487" s="75" t="str">
        <f t="shared" si="158"/>
        <v>06, 03</v>
      </c>
      <c r="R487" s="70" t="s">
        <v>994</v>
      </c>
      <c r="S487" s="70" t="s">
        <v>53</v>
      </c>
      <c r="T487" s="70" t="s">
        <v>149</v>
      </c>
      <c r="U487" s="70"/>
      <c r="V487" s="70"/>
      <c r="X487" s="70" t="str">
        <f t="shared" si="173"/>
        <v>M2-E DT@E</v>
      </c>
      <c r="Y487" s="70" t="str">
        <f t="shared" si="174"/>
        <v>E DT-LS1@E</v>
      </c>
      <c r="Z487" s="70" t="str">
        <f t="shared" si="175"/>
        <v/>
      </c>
      <c r="AA487" s="70" t="str">
        <f t="shared" si="176"/>
        <v/>
      </c>
      <c r="AC487" s="70" t="str">
        <f t="shared" si="165"/>
        <v>302, 305, 307, 306, M1, M2</v>
      </c>
      <c r="AD487" s="70" t="str">
        <f t="shared" si="166"/>
        <v>M8, M7, M6, M5, 306, 307, 305, 302</v>
      </c>
      <c r="AE487" s="70" t="str">
        <f t="shared" si="167"/>
        <v/>
      </c>
      <c r="AF487" s="70" t="str">
        <f t="shared" si="168"/>
        <v/>
      </c>
      <c r="AH487" s="70" t="str">
        <f t="shared" si="169"/>
        <v>06</v>
      </c>
      <c r="AI487" s="70" t="str">
        <f t="shared" si="170"/>
        <v>03</v>
      </c>
      <c r="AJ487" s="70" t="str">
        <f t="shared" si="171"/>
        <v/>
      </c>
      <c r="AK487" s="70" t="str">
        <f t="shared" si="172"/>
        <v/>
      </c>
      <c r="AN487" s="171"/>
      <c r="AO487" s="167"/>
      <c r="AP487" s="167"/>
    </row>
    <row r="488" spans="1:42" ht="20.100000000000001" customHeight="1" thickBot="1">
      <c r="A488" s="45" t="s">
        <v>1499</v>
      </c>
      <c r="B488" s="45" t="s">
        <v>1492</v>
      </c>
      <c r="C488" s="45" t="s">
        <v>1498</v>
      </c>
      <c r="E488" s="45">
        <f t="shared" si="159"/>
        <v>6</v>
      </c>
      <c r="F488" s="45">
        <f t="shared" si="160"/>
        <v>3</v>
      </c>
      <c r="G488" s="45" t="str">
        <f t="shared" si="161"/>
        <v>M2</v>
      </c>
      <c r="H488" s="45" t="str">
        <f t="shared" si="162"/>
        <v>LS2</v>
      </c>
      <c r="J488" s="45" t="str">
        <f t="shared" si="163"/>
        <v>LS2</v>
      </c>
      <c r="K488" s="45" t="s">
        <v>130</v>
      </c>
      <c r="L488" s="45" t="str">
        <f t="shared" si="164"/>
        <v>M2-LS2@E</v>
      </c>
      <c r="M488" s="75" t="str">
        <f t="shared" si="157"/>
        <v>302, 305, 307, 306, M1, M2, 302, 305, 307, 306, M5, M6, M7, M8</v>
      </c>
      <c r="N488" s="75" t="str">
        <f t="shared" si="158"/>
        <v>06, 03</v>
      </c>
      <c r="R488" s="70" t="s">
        <v>994</v>
      </c>
      <c r="S488" s="70" t="s">
        <v>53</v>
      </c>
      <c r="T488" s="70" t="s">
        <v>383</v>
      </c>
      <c r="U488" s="70"/>
      <c r="V488" s="70"/>
      <c r="X488" s="70" t="str">
        <f t="shared" si="173"/>
        <v>M2-E DT@E</v>
      </c>
      <c r="Y488" s="70" t="str">
        <f t="shared" si="174"/>
        <v>E DT-LS2@E</v>
      </c>
      <c r="Z488" s="70" t="str">
        <f t="shared" si="175"/>
        <v/>
      </c>
      <c r="AA488" s="70" t="str">
        <f t="shared" si="176"/>
        <v/>
      </c>
      <c r="AC488" s="70" t="str">
        <f t="shared" si="165"/>
        <v>302, 305, 307, 306, M1, M2</v>
      </c>
      <c r="AD488" s="70" t="str">
        <f t="shared" si="166"/>
        <v>302, 305, 307, 306, M5, M6, M7, M8</v>
      </c>
      <c r="AE488" s="70" t="str">
        <f t="shared" si="167"/>
        <v/>
      </c>
      <c r="AF488" s="70" t="str">
        <f t="shared" si="168"/>
        <v/>
      </c>
      <c r="AH488" s="70" t="str">
        <f t="shared" si="169"/>
        <v>06</v>
      </c>
      <c r="AI488" s="70" t="str">
        <f t="shared" si="170"/>
        <v>03</v>
      </c>
      <c r="AJ488" s="70" t="str">
        <f t="shared" si="171"/>
        <v/>
      </c>
      <c r="AK488" s="70" t="str">
        <f t="shared" si="172"/>
        <v/>
      </c>
      <c r="AN488" s="171"/>
      <c r="AO488" s="167"/>
      <c r="AP488" s="167"/>
    </row>
    <row r="489" spans="1:42" ht="20.100000000000001" customHeight="1" thickBot="1">
      <c r="A489" s="45" t="s">
        <v>1500</v>
      </c>
      <c r="B489" s="45" t="s">
        <v>1492</v>
      </c>
      <c r="C489" s="45" t="s">
        <v>1501</v>
      </c>
      <c r="E489" s="45">
        <f t="shared" si="159"/>
        <v>6</v>
      </c>
      <c r="F489" s="45">
        <f t="shared" si="160"/>
        <v>3</v>
      </c>
      <c r="G489" s="45" t="str">
        <f t="shared" si="161"/>
        <v>M2</v>
      </c>
      <c r="H489" s="45" t="str">
        <f t="shared" si="162"/>
        <v>LS3</v>
      </c>
      <c r="J489" s="45" t="str">
        <f t="shared" si="163"/>
        <v>LS3</v>
      </c>
      <c r="K489" s="45" t="s">
        <v>130</v>
      </c>
      <c r="L489" s="45" t="str">
        <f t="shared" si="164"/>
        <v>M2-LS3@E</v>
      </c>
      <c r="M489" s="75" t="str">
        <f t="shared" si="157"/>
        <v>302, 305, 307, 306, M1, M2, 302, 305, 307, 306, M5, M6</v>
      </c>
      <c r="N489" s="75" t="str">
        <f t="shared" si="158"/>
        <v>06, 03</v>
      </c>
      <c r="R489" s="70" t="s">
        <v>994</v>
      </c>
      <c r="S489" s="70" t="s">
        <v>53</v>
      </c>
      <c r="T489" s="70" t="s">
        <v>531</v>
      </c>
      <c r="U489" s="70"/>
      <c r="V489" s="70"/>
      <c r="X489" s="70" t="str">
        <f t="shared" si="173"/>
        <v>M2-E DT@E</v>
      </c>
      <c r="Y489" s="70" t="str">
        <f t="shared" si="174"/>
        <v>E DT-LS3@E</v>
      </c>
      <c r="Z489" s="70" t="str">
        <f t="shared" si="175"/>
        <v/>
      </c>
      <c r="AA489" s="70" t="str">
        <f t="shared" si="176"/>
        <v/>
      </c>
      <c r="AC489" s="70" t="str">
        <f t="shared" si="165"/>
        <v>302, 305, 307, 306, M1, M2</v>
      </c>
      <c r="AD489" s="70" t="str">
        <f t="shared" si="166"/>
        <v>302, 305, 307, 306, M5, M6</v>
      </c>
      <c r="AE489" s="70" t="str">
        <f t="shared" si="167"/>
        <v/>
      </c>
      <c r="AF489" s="70" t="str">
        <f t="shared" si="168"/>
        <v/>
      </c>
      <c r="AH489" s="70" t="str">
        <f t="shared" si="169"/>
        <v>06</v>
      </c>
      <c r="AI489" s="70" t="str">
        <f t="shared" si="170"/>
        <v>03</v>
      </c>
      <c r="AJ489" s="70" t="str">
        <f t="shared" si="171"/>
        <v/>
      </c>
      <c r="AK489" s="70" t="str">
        <f t="shared" si="172"/>
        <v/>
      </c>
      <c r="AN489" s="171"/>
      <c r="AO489" s="167"/>
      <c r="AP489" s="167"/>
    </row>
    <row r="490" spans="1:42" ht="20.100000000000001" customHeight="1" thickBot="1">
      <c r="A490" s="45" t="s">
        <v>1502</v>
      </c>
      <c r="B490" s="45" t="s">
        <v>1492</v>
      </c>
      <c r="C490" s="45" t="s">
        <v>1503</v>
      </c>
      <c r="E490" s="45">
        <f t="shared" si="159"/>
        <v>6</v>
      </c>
      <c r="F490" s="45">
        <f t="shared" si="160"/>
        <v>3</v>
      </c>
      <c r="G490" s="45" t="str">
        <f t="shared" si="161"/>
        <v>M3</v>
      </c>
      <c r="H490" s="45" t="str">
        <f t="shared" si="162"/>
        <v>LS1</v>
      </c>
      <c r="J490" s="45" t="str">
        <f t="shared" si="163"/>
        <v>LS1</v>
      </c>
      <c r="K490" s="45" t="s">
        <v>130</v>
      </c>
      <c r="L490" s="45" t="str">
        <f t="shared" si="164"/>
        <v>M3-LS1@E</v>
      </c>
      <c r="M490" s="75" t="str">
        <f t="shared" si="157"/>
        <v>302, 305, 307, 306, M1, M2, M3, M8, M7, M6, M5, 306, 307, 305, 302</v>
      </c>
      <c r="N490" s="75" t="str">
        <f t="shared" si="158"/>
        <v>06, 03</v>
      </c>
      <c r="R490" s="70" t="s">
        <v>1142</v>
      </c>
      <c r="S490" s="70" t="s">
        <v>53</v>
      </c>
      <c r="T490" s="70" t="s">
        <v>149</v>
      </c>
      <c r="U490" s="70"/>
      <c r="V490" s="70"/>
      <c r="X490" s="70" t="str">
        <f t="shared" si="173"/>
        <v>M3-E DT@E</v>
      </c>
      <c r="Y490" s="70" t="str">
        <f t="shared" si="174"/>
        <v>E DT-LS1@E</v>
      </c>
      <c r="Z490" s="70" t="str">
        <f t="shared" si="175"/>
        <v/>
      </c>
      <c r="AA490" s="70" t="str">
        <f t="shared" si="176"/>
        <v/>
      </c>
      <c r="AC490" s="70" t="str">
        <f t="shared" si="165"/>
        <v>302, 305, 307, 306, M1, M2, M3</v>
      </c>
      <c r="AD490" s="70" t="str">
        <f t="shared" si="166"/>
        <v>M8, M7, M6, M5, 306, 307, 305, 302</v>
      </c>
      <c r="AE490" s="70" t="str">
        <f t="shared" si="167"/>
        <v/>
      </c>
      <c r="AF490" s="70" t="str">
        <f t="shared" si="168"/>
        <v/>
      </c>
      <c r="AH490" s="70" t="str">
        <f t="shared" si="169"/>
        <v>06</v>
      </c>
      <c r="AI490" s="70" t="str">
        <f t="shared" si="170"/>
        <v>03</v>
      </c>
      <c r="AJ490" s="70" t="str">
        <f t="shared" si="171"/>
        <v/>
      </c>
      <c r="AK490" s="70" t="str">
        <f t="shared" si="172"/>
        <v/>
      </c>
      <c r="AN490" s="171"/>
      <c r="AO490" s="167"/>
      <c r="AP490" s="167"/>
    </row>
    <row r="491" spans="1:42" ht="20.100000000000001" customHeight="1" thickBot="1">
      <c r="A491" s="45" t="s">
        <v>1504</v>
      </c>
      <c r="B491" s="45" t="s">
        <v>1492</v>
      </c>
      <c r="C491" s="45" t="s">
        <v>1503</v>
      </c>
      <c r="E491" s="45">
        <f t="shared" si="159"/>
        <v>6</v>
      </c>
      <c r="F491" s="45">
        <f t="shared" si="160"/>
        <v>3</v>
      </c>
      <c r="G491" s="45" t="str">
        <f t="shared" si="161"/>
        <v>M3</v>
      </c>
      <c r="H491" s="45" t="str">
        <f t="shared" si="162"/>
        <v>LS2</v>
      </c>
      <c r="J491" s="45" t="str">
        <f t="shared" si="163"/>
        <v>LS2</v>
      </c>
      <c r="K491" s="45" t="s">
        <v>130</v>
      </c>
      <c r="L491" s="45" t="str">
        <f t="shared" si="164"/>
        <v>M3-LS2@E</v>
      </c>
      <c r="M491" s="75" t="str">
        <f t="shared" si="157"/>
        <v>302, 305, 307, 306, M1, M2, M3, 302, 305, 307, 306, M5, M6, M7, M8</v>
      </c>
      <c r="N491" s="75" t="str">
        <f t="shared" si="158"/>
        <v>06, 03</v>
      </c>
      <c r="R491" s="70" t="s">
        <v>1142</v>
      </c>
      <c r="S491" s="70" t="s">
        <v>53</v>
      </c>
      <c r="T491" s="70" t="s">
        <v>383</v>
      </c>
      <c r="U491" s="70"/>
      <c r="V491" s="70"/>
      <c r="X491" s="70" t="str">
        <f t="shared" si="173"/>
        <v>M3-E DT@E</v>
      </c>
      <c r="Y491" s="70" t="str">
        <f t="shared" si="174"/>
        <v>E DT-LS2@E</v>
      </c>
      <c r="Z491" s="70" t="str">
        <f t="shared" si="175"/>
        <v/>
      </c>
      <c r="AA491" s="70" t="str">
        <f t="shared" si="176"/>
        <v/>
      </c>
      <c r="AC491" s="70" t="str">
        <f t="shared" si="165"/>
        <v>302, 305, 307, 306, M1, M2, M3</v>
      </c>
      <c r="AD491" s="70" t="str">
        <f t="shared" si="166"/>
        <v>302, 305, 307, 306, M5, M6, M7, M8</v>
      </c>
      <c r="AE491" s="70" t="str">
        <f t="shared" si="167"/>
        <v/>
      </c>
      <c r="AF491" s="70" t="str">
        <f t="shared" si="168"/>
        <v/>
      </c>
      <c r="AH491" s="70" t="str">
        <f t="shared" si="169"/>
        <v>06</v>
      </c>
      <c r="AI491" s="70" t="str">
        <f t="shared" si="170"/>
        <v>03</v>
      </c>
      <c r="AJ491" s="70" t="str">
        <f t="shared" si="171"/>
        <v/>
      </c>
      <c r="AK491" s="70" t="str">
        <f t="shared" si="172"/>
        <v/>
      </c>
      <c r="AN491" s="171"/>
      <c r="AO491" s="167"/>
      <c r="AP491" s="167"/>
    </row>
    <row r="492" spans="1:42" ht="20.100000000000001" customHeight="1" thickBot="1">
      <c r="A492" s="45" t="s">
        <v>1505</v>
      </c>
      <c r="B492" s="45" t="s">
        <v>1492</v>
      </c>
      <c r="C492" s="45" t="s">
        <v>1506</v>
      </c>
      <c r="E492" s="45">
        <f t="shared" si="159"/>
        <v>6</v>
      </c>
      <c r="F492" s="45">
        <f t="shared" si="160"/>
        <v>3</v>
      </c>
      <c r="G492" s="45" t="str">
        <f t="shared" si="161"/>
        <v>M3</v>
      </c>
      <c r="H492" s="45" t="str">
        <f t="shared" si="162"/>
        <v>LS3</v>
      </c>
      <c r="J492" s="45" t="str">
        <f t="shared" si="163"/>
        <v>LS3</v>
      </c>
      <c r="K492" s="45" t="s">
        <v>130</v>
      </c>
      <c r="L492" s="45" t="str">
        <f t="shared" si="164"/>
        <v>M3-LS3@E</v>
      </c>
      <c r="M492" s="75" t="str">
        <f t="shared" si="157"/>
        <v>302, 305, 307, 306, M1, M2, M3, 302, 305, 307, 306, M5, M6</v>
      </c>
      <c r="N492" s="75" t="str">
        <f t="shared" si="158"/>
        <v>06, 03</v>
      </c>
      <c r="R492" s="70" t="s">
        <v>1142</v>
      </c>
      <c r="S492" s="70" t="s">
        <v>53</v>
      </c>
      <c r="T492" s="70" t="s">
        <v>531</v>
      </c>
      <c r="U492" s="70"/>
      <c r="V492" s="70"/>
      <c r="X492" s="70" t="str">
        <f t="shared" si="173"/>
        <v>M3-E DT@E</v>
      </c>
      <c r="Y492" s="70" t="str">
        <f t="shared" si="174"/>
        <v>E DT-LS3@E</v>
      </c>
      <c r="Z492" s="70" t="str">
        <f t="shared" si="175"/>
        <v/>
      </c>
      <c r="AA492" s="70" t="str">
        <f t="shared" si="176"/>
        <v/>
      </c>
      <c r="AC492" s="70" t="str">
        <f t="shared" si="165"/>
        <v>302, 305, 307, 306, M1, M2, M3</v>
      </c>
      <c r="AD492" s="70" t="str">
        <f t="shared" si="166"/>
        <v>302, 305, 307, 306, M5, M6</v>
      </c>
      <c r="AE492" s="70" t="str">
        <f t="shared" si="167"/>
        <v/>
      </c>
      <c r="AF492" s="70" t="str">
        <f t="shared" si="168"/>
        <v/>
      </c>
      <c r="AH492" s="70" t="str">
        <f t="shared" si="169"/>
        <v>06</v>
      </c>
      <c r="AI492" s="70" t="str">
        <f t="shared" si="170"/>
        <v>03</v>
      </c>
      <c r="AJ492" s="70" t="str">
        <f t="shared" si="171"/>
        <v/>
      </c>
      <c r="AK492" s="70" t="str">
        <f t="shared" si="172"/>
        <v/>
      </c>
      <c r="AN492" s="171"/>
      <c r="AO492" s="167"/>
      <c r="AP492" s="167"/>
    </row>
    <row r="493" spans="1:42" ht="20.100000000000001" customHeight="1" thickBot="1">
      <c r="A493" s="45" t="s">
        <v>1507</v>
      </c>
      <c r="B493" s="45" t="s">
        <v>1492</v>
      </c>
      <c r="C493" s="45" t="s">
        <v>1508</v>
      </c>
      <c r="E493" s="45">
        <f t="shared" si="159"/>
        <v>6</v>
      </c>
      <c r="F493" s="45">
        <f t="shared" si="160"/>
        <v>3</v>
      </c>
      <c r="G493" s="45" t="str">
        <f t="shared" si="161"/>
        <v>M4</v>
      </c>
      <c r="H493" s="45" t="str">
        <f t="shared" si="162"/>
        <v>LS1</v>
      </c>
      <c r="J493" s="45" t="str">
        <f t="shared" si="163"/>
        <v>LS1</v>
      </c>
      <c r="K493" s="45" t="s">
        <v>130</v>
      </c>
      <c r="L493" s="45" t="str">
        <f t="shared" si="164"/>
        <v>M4-LS1@E</v>
      </c>
      <c r="M493" s="75" t="str">
        <f t="shared" si="157"/>
        <v>302, 305, 307, 306, M1, M2, M3, M4, M8, M7, M6, M5, 306, 307, 305, 302</v>
      </c>
      <c r="N493" s="75" t="str">
        <f t="shared" si="158"/>
        <v>06, 03</v>
      </c>
      <c r="R493" s="70" t="s">
        <v>331</v>
      </c>
      <c r="S493" s="70" t="s">
        <v>53</v>
      </c>
      <c r="T493" s="70" t="s">
        <v>149</v>
      </c>
      <c r="U493" s="70"/>
      <c r="V493" s="70"/>
      <c r="X493" s="70" t="str">
        <f t="shared" si="173"/>
        <v>M4-E DT@E</v>
      </c>
      <c r="Y493" s="70" t="str">
        <f t="shared" si="174"/>
        <v>E DT-LS1@E</v>
      </c>
      <c r="Z493" s="70" t="str">
        <f t="shared" si="175"/>
        <v/>
      </c>
      <c r="AA493" s="70" t="str">
        <f t="shared" si="176"/>
        <v/>
      </c>
      <c r="AC493" s="70" t="str">
        <f t="shared" si="165"/>
        <v>302, 305, 307, 306, M1, M2, M3, M4</v>
      </c>
      <c r="AD493" s="70" t="str">
        <f t="shared" si="166"/>
        <v>M8, M7, M6, M5, 306, 307, 305, 302</v>
      </c>
      <c r="AE493" s="70" t="str">
        <f t="shared" si="167"/>
        <v/>
      </c>
      <c r="AF493" s="70" t="str">
        <f t="shared" si="168"/>
        <v/>
      </c>
      <c r="AH493" s="70" t="str">
        <f t="shared" si="169"/>
        <v>06</v>
      </c>
      <c r="AI493" s="70" t="str">
        <f t="shared" si="170"/>
        <v>03</v>
      </c>
      <c r="AJ493" s="70" t="str">
        <f t="shared" si="171"/>
        <v/>
      </c>
      <c r="AK493" s="70" t="str">
        <f t="shared" si="172"/>
        <v/>
      </c>
      <c r="AN493" s="171"/>
      <c r="AO493" s="167"/>
      <c r="AP493" s="167"/>
    </row>
    <row r="494" spans="1:42" ht="20.100000000000001" customHeight="1" thickBot="1">
      <c r="A494" s="45" t="s">
        <v>1509</v>
      </c>
      <c r="B494" s="45" t="s">
        <v>1492</v>
      </c>
      <c r="C494" s="45" t="s">
        <v>1508</v>
      </c>
      <c r="E494" s="45">
        <f t="shared" si="159"/>
        <v>6</v>
      </c>
      <c r="F494" s="45">
        <f t="shared" si="160"/>
        <v>3</v>
      </c>
      <c r="G494" s="45" t="str">
        <f t="shared" si="161"/>
        <v>M4</v>
      </c>
      <c r="H494" s="45" t="str">
        <f t="shared" si="162"/>
        <v>LS2</v>
      </c>
      <c r="J494" s="45" t="str">
        <f t="shared" si="163"/>
        <v>LS2</v>
      </c>
      <c r="K494" s="45" t="s">
        <v>130</v>
      </c>
      <c r="L494" s="45" t="str">
        <f t="shared" si="164"/>
        <v>M4-LS2@E</v>
      </c>
      <c r="M494" s="75" t="str">
        <f t="shared" si="157"/>
        <v>302, 305, 307, 306, M1, M2, M3, M4, 302, 305, 307, 306, M5, M6, M7, M8</v>
      </c>
      <c r="N494" s="75" t="str">
        <f t="shared" si="158"/>
        <v>06, 03</v>
      </c>
      <c r="R494" s="70" t="s">
        <v>331</v>
      </c>
      <c r="S494" s="70" t="s">
        <v>53</v>
      </c>
      <c r="T494" s="70" t="s">
        <v>383</v>
      </c>
      <c r="U494" s="70"/>
      <c r="V494" s="70"/>
      <c r="X494" s="70" t="str">
        <f t="shared" si="173"/>
        <v>M4-E DT@E</v>
      </c>
      <c r="Y494" s="70" t="str">
        <f t="shared" si="174"/>
        <v>E DT-LS2@E</v>
      </c>
      <c r="Z494" s="70" t="str">
        <f t="shared" si="175"/>
        <v/>
      </c>
      <c r="AA494" s="70" t="str">
        <f t="shared" si="176"/>
        <v/>
      </c>
      <c r="AC494" s="70" t="str">
        <f t="shared" si="165"/>
        <v>302, 305, 307, 306, M1, M2, M3, M4</v>
      </c>
      <c r="AD494" s="70" t="str">
        <f t="shared" si="166"/>
        <v>302, 305, 307, 306, M5, M6, M7, M8</v>
      </c>
      <c r="AE494" s="70" t="str">
        <f t="shared" si="167"/>
        <v/>
      </c>
      <c r="AF494" s="70" t="str">
        <f t="shared" si="168"/>
        <v/>
      </c>
      <c r="AH494" s="70" t="str">
        <f t="shared" si="169"/>
        <v>06</v>
      </c>
      <c r="AI494" s="70" t="str">
        <f t="shared" si="170"/>
        <v>03</v>
      </c>
      <c r="AJ494" s="70" t="str">
        <f t="shared" si="171"/>
        <v/>
      </c>
      <c r="AK494" s="70" t="str">
        <f t="shared" si="172"/>
        <v/>
      </c>
      <c r="AN494" s="171"/>
      <c r="AO494" s="167"/>
      <c r="AP494" s="167"/>
    </row>
    <row r="495" spans="1:42" ht="20.100000000000001" customHeight="1" thickBot="1">
      <c r="A495" s="45" t="s">
        <v>1510</v>
      </c>
      <c r="B495" s="45" t="s">
        <v>1492</v>
      </c>
      <c r="C495" s="45" t="s">
        <v>1511</v>
      </c>
      <c r="E495" s="45">
        <f t="shared" si="159"/>
        <v>6</v>
      </c>
      <c r="F495" s="45">
        <f t="shared" si="160"/>
        <v>3</v>
      </c>
      <c r="G495" s="45" t="str">
        <f t="shared" si="161"/>
        <v>M4</v>
      </c>
      <c r="H495" s="45" t="str">
        <f t="shared" si="162"/>
        <v>LS3</v>
      </c>
      <c r="J495" s="45" t="str">
        <f t="shared" si="163"/>
        <v>LS3</v>
      </c>
      <c r="K495" s="45" t="s">
        <v>130</v>
      </c>
      <c r="L495" s="45" t="str">
        <f t="shared" si="164"/>
        <v>M4-LS3@E</v>
      </c>
      <c r="M495" s="75" t="str">
        <f t="shared" si="157"/>
        <v>302, 305, 307, 306, M1, M2, M3, M4, 302, 305, 307, 306, M5, M6</v>
      </c>
      <c r="N495" s="75" t="str">
        <f t="shared" si="158"/>
        <v>06, 03</v>
      </c>
      <c r="R495" s="70" t="s">
        <v>331</v>
      </c>
      <c r="S495" s="70" t="s">
        <v>53</v>
      </c>
      <c r="T495" s="70" t="s">
        <v>531</v>
      </c>
      <c r="U495" s="70"/>
      <c r="V495" s="70"/>
      <c r="X495" s="70" t="str">
        <f t="shared" si="173"/>
        <v>M4-E DT@E</v>
      </c>
      <c r="Y495" s="70" t="str">
        <f t="shared" si="174"/>
        <v>E DT-LS3@E</v>
      </c>
      <c r="Z495" s="70" t="str">
        <f t="shared" si="175"/>
        <v/>
      </c>
      <c r="AA495" s="70" t="str">
        <f t="shared" si="176"/>
        <v/>
      </c>
      <c r="AC495" s="70" t="str">
        <f t="shared" si="165"/>
        <v>302, 305, 307, 306, M1, M2, M3, M4</v>
      </c>
      <c r="AD495" s="70" t="str">
        <f t="shared" si="166"/>
        <v>302, 305, 307, 306, M5, M6</v>
      </c>
      <c r="AE495" s="70" t="str">
        <f t="shared" si="167"/>
        <v/>
      </c>
      <c r="AF495" s="70" t="str">
        <f t="shared" si="168"/>
        <v/>
      </c>
      <c r="AH495" s="70" t="str">
        <f t="shared" si="169"/>
        <v>06</v>
      </c>
      <c r="AI495" s="70" t="str">
        <f t="shared" si="170"/>
        <v>03</v>
      </c>
      <c r="AJ495" s="70" t="str">
        <f t="shared" si="171"/>
        <v/>
      </c>
      <c r="AK495" s="70" t="str">
        <f t="shared" si="172"/>
        <v/>
      </c>
      <c r="AN495" s="171"/>
      <c r="AO495" s="167"/>
      <c r="AP495" s="167"/>
    </row>
    <row r="496" spans="1:42" ht="20.100000000000001" customHeight="1" thickBot="1">
      <c r="A496" s="45" t="s">
        <v>1512</v>
      </c>
      <c r="B496" s="45" t="s">
        <v>1492</v>
      </c>
      <c r="C496" s="45" t="s">
        <v>1513</v>
      </c>
      <c r="E496" s="45">
        <f t="shared" si="159"/>
        <v>5</v>
      </c>
      <c r="F496" s="45">
        <f t="shared" si="160"/>
        <v>3</v>
      </c>
      <c r="G496" s="45" t="str">
        <f t="shared" si="161"/>
        <v>M1</v>
      </c>
      <c r="H496" s="45" t="str">
        <f t="shared" si="162"/>
        <v>M2</v>
      </c>
      <c r="J496" s="45" t="str">
        <f t="shared" si="163"/>
        <v>M2</v>
      </c>
      <c r="K496" s="45" t="s">
        <v>130</v>
      </c>
      <c r="L496" s="45" t="str">
        <f t="shared" si="164"/>
        <v>M1-M2@E</v>
      </c>
      <c r="M496" s="75" t="str">
        <f t="shared" si="157"/>
        <v>302, 305, 307, 306, M1, 302, 305, 307, 306, M1, M2</v>
      </c>
      <c r="N496" s="75" t="str">
        <f t="shared" si="158"/>
        <v>06, 03</v>
      </c>
      <c r="R496" s="70" t="s">
        <v>863</v>
      </c>
      <c r="S496" s="70" t="s">
        <v>53</v>
      </c>
      <c r="T496" s="70" t="s">
        <v>994</v>
      </c>
      <c r="U496" s="70"/>
      <c r="V496" s="70"/>
      <c r="X496" s="70" t="str">
        <f t="shared" si="173"/>
        <v>M1-E DT@E</v>
      </c>
      <c r="Y496" s="70" t="str">
        <f t="shared" si="174"/>
        <v>E DT-M2@E</v>
      </c>
      <c r="Z496" s="70" t="str">
        <f t="shared" si="175"/>
        <v/>
      </c>
      <c r="AA496" s="70" t="str">
        <f t="shared" si="176"/>
        <v/>
      </c>
      <c r="AC496" s="70" t="str">
        <f t="shared" si="165"/>
        <v>302, 305, 307, 306, M1</v>
      </c>
      <c r="AD496" s="70" t="str">
        <f t="shared" si="166"/>
        <v>302, 305, 307, 306, M1, M2</v>
      </c>
      <c r="AE496" s="70" t="str">
        <f t="shared" si="167"/>
        <v/>
      </c>
      <c r="AF496" s="70" t="str">
        <f t="shared" si="168"/>
        <v/>
      </c>
      <c r="AH496" s="70" t="str">
        <f t="shared" si="169"/>
        <v>06</v>
      </c>
      <c r="AI496" s="70" t="str">
        <f t="shared" si="170"/>
        <v>03</v>
      </c>
      <c r="AJ496" s="70" t="str">
        <f t="shared" si="171"/>
        <v/>
      </c>
      <c r="AK496" s="70" t="str">
        <f t="shared" si="172"/>
        <v/>
      </c>
      <c r="AN496" s="171"/>
      <c r="AO496" s="167"/>
      <c r="AP496" s="167"/>
    </row>
    <row r="497" spans="1:42" ht="20.100000000000001" customHeight="1" thickBot="1">
      <c r="A497" s="45" t="s">
        <v>1514</v>
      </c>
      <c r="B497" s="45" t="s">
        <v>1492</v>
      </c>
      <c r="C497" s="45" t="s">
        <v>1515</v>
      </c>
      <c r="E497" s="45">
        <f t="shared" si="159"/>
        <v>5</v>
      </c>
      <c r="F497" s="45">
        <f t="shared" si="160"/>
        <v>3</v>
      </c>
      <c r="G497" s="45" t="str">
        <f t="shared" si="161"/>
        <v>M2</v>
      </c>
      <c r="H497" s="45" t="str">
        <f t="shared" si="162"/>
        <v>M1</v>
      </c>
      <c r="J497" s="45" t="str">
        <f t="shared" si="163"/>
        <v>M1</v>
      </c>
      <c r="K497" s="45" t="s">
        <v>130</v>
      </c>
      <c r="L497" s="45" t="str">
        <f t="shared" si="164"/>
        <v>M2-M1@E</v>
      </c>
      <c r="M497" s="75" t="str">
        <f t="shared" si="157"/>
        <v>302, 305, 307, 306, M1, M2, 302, 305, 307, 306, M1</v>
      </c>
      <c r="N497" s="75" t="str">
        <f t="shared" si="158"/>
        <v>06, 03</v>
      </c>
      <c r="R497" s="70" t="s">
        <v>994</v>
      </c>
      <c r="S497" s="70" t="s">
        <v>53</v>
      </c>
      <c r="T497" s="70" t="s">
        <v>863</v>
      </c>
      <c r="U497" s="70"/>
      <c r="V497" s="70"/>
      <c r="X497" s="70" t="str">
        <f t="shared" si="173"/>
        <v>M2-E DT@E</v>
      </c>
      <c r="Y497" s="70" t="str">
        <f t="shared" si="174"/>
        <v>E DT-M1@E</v>
      </c>
      <c r="Z497" s="70" t="str">
        <f t="shared" si="175"/>
        <v/>
      </c>
      <c r="AA497" s="70" t="str">
        <f t="shared" si="176"/>
        <v/>
      </c>
      <c r="AC497" s="70" t="str">
        <f t="shared" si="165"/>
        <v>302, 305, 307, 306, M1, M2</v>
      </c>
      <c r="AD497" s="70" t="str">
        <f t="shared" si="166"/>
        <v>302, 305, 307, 306, M1</v>
      </c>
      <c r="AE497" s="70" t="str">
        <f t="shared" si="167"/>
        <v/>
      </c>
      <c r="AF497" s="70" t="str">
        <f t="shared" si="168"/>
        <v/>
      </c>
      <c r="AH497" s="70" t="str">
        <f t="shared" si="169"/>
        <v>06</v>
      </c>
      <c r="AI497" s="70" t="str">
        <f t="shared" si="170"/>
        <v>03</v>
      </c>
      <c r="AJ497" s="70" t="str">
        <f t="shared" si="171"/>
        <v/>
      </c>
      <c r="AK497" s="70" t="str">
        <f t="shared" si="172"/>
        <v/>
      </c>
      <c r="AN497" s="171"/>
      <c r="AO497" s="167"/>
      <c r="AP497" s="167"/>
    </row>
    <row r="498" spans="1:42" ht="20.100000000000001" customHeight="1" thickBot="1">
      <c r="A498" s="45" t="s">
        <v>1516</v>
      </c>
      <c r="B498" s="45" t="s">
        <v>1492</v>
      </c>
      <c r="C498" s="45" t="s">
        <v>1517</v>
      </c>
      <c r="E498" s="45">
        <f t="shared" si="159"/>
        <v>5</v>
      </c>
      <c r="F498" s="45">
        <f t="shared" si="160"/>
        <v>3</v>
      </c>
      <c r="G498" s="45" t="str">
        <f t="shared" si="161"/>
        <v>M1</v>
      </c>
      <c r="H498" s="45" t="str">
        <f t="shared" si="162"/>
        <v>M3</v>
      </c>
      <c r="J498" s="45" t="str">
        <f t="shared" si="163"/>
        <v>M3</v>
      </c>
      <c r="K498" s="45" t="s">
        <v>130</v>
      </c>
      <c r="L498" s="45" t="str">
        <f t="shared" si="164"/>
        <v>M1-M3@E</v>
      </c>
      <c r="M498" s="75" t="str">
        <f t="shared" si="157"/>
        <v>302, 305, 307, 306, M1, 302, 305, 307, 306, M1, M2, M3</v>
      </c>
      <c r="N498" s="75" t="str">
        <f t="shared" si="158"/>
        <v>06, 03</v>
      </c>
      <c r="R498" s="70" t="s">
        <v>863</v>
      </c>
      <c r="S498" s="70" t="s">
        <v>53</v>
      </c>
      <c r="T498" s="70" t="s">
        <v>1142</v>
      </c>
      <c r="U498" s="70"/>
      <c r="V498" s="70"/>
      <c r="X498" s="70" t="str">
        <f t="shared" si="173"/>
        <v>M1-E DT@E</v>
      </c>
      <c r="Y498" s="70" t="str">
        <f t="shared" si="174"/>
        <v>E DT-M3@E</v>
      </c>
      <c r="Z498" s="70" t="str">
        <f t="shared" si="175"/>
        <v/>
      </c>
      <c r="AA498" s="70" t="str">
        <f t="shared" si="176"/>
        <v/>
      </c>
      <c r="AC498" s="70" t="str">
        <f t="shared" si="165"/>
        <v>302, 305, 307, 306, M1</v>
      </c>
      <c r="AD498" s="70" t="str">
        <f t="shared" si="166"/>
        <v>302, 305, 307, 306, M1, M2, M3</v>
      </c>
      <c r="AE498" s="70" t="str">
        <f t="shared" si="167"/>
        <v/>
      </c>
      <c r="AF498" s="70" t="str">
        <f t="shared" si="168"/>
        <v/>
      </c>
      <c r="AH498" s="70" t="str">
        <f t="shared" si="169"/>
        <v>06</v>
      </c>
      <c r="AI498" s="70" t="str">
        <f t="shared" si="170"/>
        <v>03</v>
      </c>
      <c r="AJ498" s="70" t="str">
        <f t="shared" si="171"/>
        <v/>
      </c>
      <c r="AK498" s="70" t="str">
        <f t="shared" si="172"/>
        <v/>
      </c>
      <c r="AN498" s="171"/>
      <c r="AO498" s="167"/>
      <c r="AP498" s="167"/>
    </row>
    <row r="499" spans="1:42" ht="20.100000000000001" customHeight="1" thickBot="1">
      <c r="A499" s="45" t="s">
        <v>1518</v>
      </c>
      <c r="B499" s="45" t="s">
        <v>1492</v>
      </c>
      <c r="C499" s="45" t="s">
        <v>1519</v>
      </c>
      <c r="E499" s="45">
        <f t="shared" si="159"/>
        <v>5</v>
      </c>
      <c r="F499" s="45">
        <f t="shared" si="160"/>
        <v>3</v>
      </c>
      <c r="G499" s="45" t="str">
        <f t="shared" si="161"/>
        <v>M3</v>
      </c>
      <c r="H499" s="45" t="str">
        <f t="shared" si="162"/>
        <v>M1</v>
      </c>
      <c r="J499" s="45" t="str">
        <f t="shared" si="163"/>
        <v>M1</v>
      </c>
      <c r="K499" s="45" t="s">
        <v>130</v>
      </c>
      <c r="L499" s="45" t="str">
        <f t="shared" si="164"/>
        <v>M3-M1@E</v>
      </c>
      <c r="M499" s="75" t="str">
        <f t="shared" si="157"/>
        <v>302, 305, 307, 306, M1, M2, M3, 302, 305, 307, 306, M1</v>
      </c>
      <c r="N499" s="75" t="str">
        <f t="shared" si="158"/>
        <v>06, 03</v>
      </c>
      <c r="R499" s="70" t="s">
        <v>1142</v>
      </c>
      <c r="S499" s="70" t="s">
        <v>53</v>
      </c>
      <c r="T499" s="70" t="s">
        <v>863</v>
      </c>
      <c r="U499" s="70"/>
      <c r="V499" s="70"/>
      <c r="X499" s="70" t="str">
        <f t="shared" si="173"/>
        <v>M3-E DT@E</v>
      </c>
      <c r="Y499" s="70" t="str">
        <f t="shared" si="174"/>
        <v>E DT-M1@E</v>
      </c>
      <c r="Z499" s="70" t="str">
        <f t="shared" si="175"/>
        <v/>
      </c>
      <c r="AA499" s="70" t="str">
        <f t="shared" si="176"/>
        <v/>
      </c>
      <c r="AC499" s="70" t="str">
        <f t="shared" si="165"/>
        <v>302, 305, 307, 306, M1, M2, M3</v>
      </c>
      <c r="AD499" s="70" t="str">
        <f t="shared" si="166"/>
        <v>302, 305, 307, 306, M1</v>
      </c>
      <c r="AE499" s="70" t="str">
        <f t="shared" si="167"/>
        <v/>
      </c>
      <c r="AF499" s="70" t="str">
        <f t="shared" si="168"/>
        <v/>
      </c>
      <c r="AH499" s="70" t="str">
        <f t="shared" si="169"/>
        <v>06</v>
      </c>
      <c r="AI499" s="70" t="str">
        <f t="shared" si="170"/>
        <v>03</v>
      </c>
      <c r="AJ499" s="70" t="str">
        <f t="shared" si="171"/>
        <v/>
      </c>
      <c r="AK499" s="70" t="str">
        <f t="shared" si="172"/>
        <v/>
      </c>
      <c r="AN499" s="171"/>
      <c r="AO499" s="167"/>
      <c r="AP499" s="167"/>
    </row>
    <row r="500" spans="1:42" ht="20.100000000000001" customHeight="1" thickBot="1">
      <c r="A500" s="45" t="s">
        <v>1520</v>
      </c>
      <c r="B500" s="45" t="s">
        <v>1492</v>
      </c>
      <c r="C500" s="45" t="s">
        <v>1521</v>
      </c>
      <c r="E500" s="45">
        <f t="shared" si="159"/>
        <v>5</v>
      </c>
      <c r="F500" s="45">
        <f t="shared" si="160"/>
        <v>3</v>
      </c>
      <c r="G500" s="45" t="str">
        <f t="shared" si="161"/>
        <v>M1</v>
      </c>
      <c r="H500" s="45" t="str">
        <f t="shared" si="162"/>
        <v>M4</v>
      </c>
      <c r="J500" s="45" t="str">
        <f t="shared" si="163"/>
        <v>M4</v>
      </c>
      <c r="K500" s="45" t="s">
        <v>130</v>
      </c>
      <c r="L500" s="45" t="str">
        <f t="shared" si="164"/>
        <v>M1-M4@E</v>
      </c>
      <c r="M500" s="75" t="str">
        <f t="shared" si="157"/>
        <v>302, 305, 307, 306, M1, 302, 305, 307, 306, M1, M2, M3, M4</v>
      </c>
      <c r="N500" s="75" t="str">
        <f t="shared" si="158"/>
        <v>06, 03</v>
      </c>
      <c r="R500" s="70" t="s">
        <v>863</v>
      </c>
      <c r="S500" s="70" t="s">
        <v>53</v>
      </c>
      <c r="T500" s="70" t="s">
        <v>331</v>
      </c>
      <c r="U500" s="70"/>
      <c r="V500" s="70"/>
      <c r="X500" s="70" t="str">
        <f t="shared" si="173"/>
        <v>M1-E DT@E</v>
      </c>
      <c r="Y500" s="70" t="str">
        <f t="shared" si="174"/>
        <v>E DT-M4@E</v>
      </c>
      <c r="Z500" s="70" t="str">
        <f t="shared" si="175"/>
        <v/>
      </c>
      <c r="AA500" s="70" t="str">
        <f t="shared" si="176"/>
        <v/>
      </c>
      <c r="AC500" s="70" t="str">
        <f t="shared" si="165"/>
        <v>302, 305, 307, 306, M1</v>
      </c>
      <c r="AD500" s="70" t="str">
        <f t="shared" si="166"/>
        <v>302, 305, 307, 306, M1, M2, M3, M4</v>
      </c>
      <c r="AE500" s="70" t="str">
        <f t="shared" si="167"/>
        <v/>
      </c>
      <c r="AF500" s="70" t="str">
        <f t="shared" si="168"/>
        <v/>
      </c>
      <c r="AH500" s="70" t="str">
        <f t="shared" si="169"/>
        <v>06</v>
      </c>
      <c r="AI500" s="70" t="str">
        <f t="shared" si="170"/>
        <v>03</v>
      </c>
      <c r="AJ500" s="70" t="str">
        <f t="shared" si="171"/>
        <v/>
      </c>
      <c r="AK500" s="70" t="str">
        <f t="shared" si="172"/>
        <v/>
      </c>
      <c r="AN500" s="171"/>
      <c r="AO500" s="167"/>
      <c r="AP500" s="167"/>
    </row>
    <row r="501" spans="1:42" ht="20.100000000000001" customHeight="1" thickBot="1">
      <c r="A501" s="45" t="s">
        <v>1522</v>
      </c>
      <c r="B501" s="45" t="s">
        <v>1492</v>
      </c>
      <c r="C501" s="45" t="s">
        <v>1521</v>
      </c>
      <c r="E501" s="45">
        <f t="shared" si="159"/>
        <v>5</v>
      </c>
      <c r="F501" s="45">
        <f t="shared" si="160"/>
        <v>3</v>
      </c>
      <c r="G501" s="45" t="str">
        <f t="shared" si="161"/>
        <v>M4</v>
      </c>
      <c r="H501" s="45" t="str">
        <f t="shared" si="162"/>
        <v>M1</v>
      </c>
      <c r="J501" s="45" t="str">
        <f t="shared" si="163"/>
        <v>M1</v>
      </c>
      <c r="K501" s="45" t="s">
        <v>130</v>
      </c>
      <c r="L501" s="45" t="str">
        <f t="shared" si="164"/>
        <v>M4-M1@E</v>
      </c>
      <c r="M501" s="75" t="str">
        <f t="shared" si="157"/>
        <v>302, 305, 307, 306, M1, M2, M3, M4, 302, 305, 307, 306, M1</v>
      </c>
      <c r="N501" s="75" t="str">
        <f t="shared" si="158"/>
        <v>06, 03</v>
      </c>
      <c r="R501" s="70" t="s">
        <v>331</v>
      </c>
      <c r="S501" s="70" t="s">
        <v>53</v>
      </c>
      <c r="T501" s="70" t="s">
        <v>863</v>
      </c>
      <c r="U501" s="70"/>
      <c r="V501" s="70"/>
      <c r="X501" s="70" t="str">
        <f t="shared" si="173"/>
        <v>M4-E DT@E</v>
      </c>
      <c r="Y501" s="70" t="str">
        <f t="shared" si="174"/>
        <v>E DT-M1@E</v>
      </c>
      <c r="Z501" s="70" t="str">
        <f t="shared" si="175"/>
        <v/>
      </c>
      <c r="AA501" s="70" t="str">
        <f t="shared" si="176"/>
        <v/>
      </c>
      <c r="AC501" s="70" t="str">
        <f t="shared" si="165"/>
        <v>302, 305, 307, 306, M1, M2, M3, M4</v>
      </c>
      <c r="AD501" s="70" t="str">
        <f t="shared" si="166"/>
        <v>302, 305, 307, 306, M1</v>
      </c>
      <c r="AE501" s="70" t="str">
        <f t="shared" si="167"/>
        <v/>
      </c>
      <c r="AF501" s="70" t="str">
        <f t="shared" si="168"/>
        <v/>
      </c>
      <c r="AH501" s="70" t="str">
        <f t="shared" si="169"/>
        <v>06</v>
      </c>
      <c r="AI501" s="70" t="str">
        <f t="shared" si="170"/>
        <v>03</v>
      </c>
      <c r="AJ501" s="70" t="str">
        <f t="shared" si="171"/>
        <v/>
      </c>
      <c r="AK501" s="70" t="str">
        <f t="shared" si="172"/>
        <v/>
      </c>
      <c r="AN501" s="171"/>
      <c r="AO501" s="167"/>
      <c r="AP501" s="167"/>
    </row>
    <row r="502" spans="1:42" ht="20.100000000000001" customHeight="1" thickBot="1">
      <c r="A502" s="69" t="s">
        <v>1523</v>
      </c>
      <c r="B502" s="69"/>
      <c r="C502" s="69" t="s">
        <v>306</v>
      </c>
      <c r="E502" s="45">
        <f t="shared" si="159"/>
        <v>5</v>
      </c>
      <c r="F502" s="45">
        <f t="shared" si="160"/>
        <v>3</v>
      </c>
      <c r="G502" s="45" t="str">
        <f t="shared" si="161"/>
        <v>M2</v>
      </c>
      <c r="H502" s="45" t="str">
        <f t="shared" si="162"/>
        <v>M3</v>
      </c>
      <c r="J502" s="45" t="str">
        <f t="shared" si="163"/>
        <v>M3</v>
      </c>
      <c r="K502" s="45" t="s">
        <v>130</v>
      </c>
      <c r="L502" s="45" t="str">
        <f t="shared" si="164"/>
        <v>M2-M3@E</v>
      </c>
      <c r="M502" s="75" t="str">
        <f t="shared" si="157"/>
        <v>M2,M3</v>
      </c>
      <c r="N502" s="75">
        <f t="shared" si="158"/>
        <v>0</v>
      </c>
      <c r="R502" s="70" t="s">
        <v>994</v>
      </c>
      <c r="S502" s="70" t="s">
        <v>1142</v>
      </c>
      <c r="T502" s="70"/>
      <c r="U502" s="70"/>
      <c r="V502" s="70"/>
      <c r="X502" s="70" t="str">
        <f t="shared" si="173"/>
        <v>M2-M3@E</v>
      </c>
      <c r="Y502" s="70" t="str">
        <f t="shared" si="174"/>
        <v/>
      </c>
      <c r="Z502" s="70" t="str">
        <f t="shared" si="175"/>
        <v/>
      </c>
      <c r="AA502" s="70" t="str">
        <f t="shared" si="176"/>
        <v/>
      </c>
      <c r="AC502" s="70" t="str">
        <f t="shared" si="165"/>
        <v>M2,M3</v>
      </c>
      <c r="AD502" s="70" t="str">
        <f t="shared" si="166"/>
        <v/>
      </c>
      <c r="AE502" s="70" t="str">
        <f t="shared" si="167"/>
        <v/>
      </c>
      <c r="AF502" s="70" t="str">
        <f t="shared" si="168"/>
        <v/>
      </c>
      <c r="AH502" s="70">
        <f t="shared" si="169"/>
        <v>0</v>
      </c>
      <c r="AI502" s="70" t="str">
        <f t="shared" si="170"/>
        <v/>
      </c>
      <c r="AJ502" s="70" t="str">
        <f t="shared" si="171"/>
        <v/>
      </c>
      <c r="AK502" s="70" t="str">
        <f t="shared" si="172"/>
        <v/>
      </c>
      <c r="AN502" s="171"/>
      <c r="AO502" s="167"/>
      <c r="AP502" s="167"/>
    </row>
    <row r="503" spans="1:42" ht="20.100000000000001" customHeight="1" thickBot="1">
      <c r="A503" s="69" t="s">
        <v>1524</v>
      </c>
      <c r="B503" s="69"/>
      <c r="C503" s="69" t="s">
        <v>311</v>
      </c>
      <c r="E503" s="45">
        <f t="shared" si="159"/>
        <v>5</v>
      </c>
      <c r="F503" s="45">
        <f t="shared" si="160"/>
        <v>3</v>
      </c>
      <c r="G503" s="45" t="str">
        <f t="shared" si="161"/>
        <v>M3</v>
      </c>
      <c r="H503" s="45" t="str">
        <f t="shared" si="162"/>
        <v>M2</v>
      </c>
      <c r="J503" s="45" t="str">
        <f t="shared" si="163"/>
        <v>M2</v>
      </c>
      <c r="K503" s="45" t="s">
        <v>130</v>
      </c>
      <c r="L503" s="45" t="str">
        <f t="shared" si="164"/>
        <v>M3-M2@E</v>
      </c>
      <c r="M503" s="75" t="str">
        <f t="shared" si="157"/>
        <v>M3,M2</v>
      </c>
      <c r="N503" s="75">
        <f t="shared" si="158"/>
        <v>0</v>
      </c>
      <c r="R503" s="70" t="s">
        <v>1142</v>
      </c>
      <c r="S503" s="70" t="s">
        <v>994</v>
      </c>
      <c r="T503" s="70"/>
      <c r="U503" s="70"/>
      <c r="V503" s="70"/>
      <c r="X503" s="70" t="str">
        <f t="shared" si="173"/>
        <v>M3-M2@E</v>
      </c>
      <c r="Y503" s="70" t="str">
        <f t="shared" si="174"/>
        <v/>
      </c>
      <c r="Z503" s="70" t="str">
        <f t="shared" si="175"/>
        <v/>
      </c>
      <c r="AA503" s="70" t="str">
        <f t="shared" si="176"/>
        <v/>
      </c>
      <c r="AC503" s="70" t="str">
        <f t="shared" si="165"/>
        <v>M3,M2</v>
      </c>
      <c r="AD503" s="70" t="str">
        <f t="shared" si="166"/>
        <v/>
      </c>
      <c r="AE503" s="70" t="str">
        <f t="shared" si="167"/>
        <v/>
      </c>
      <c r="AF503" s="70" t="str">
        <f t="shared" si="168"/>
        <v/>
      </c>
      <c r="AH503" s="70">
        <f t="shared" si="169"/>
        <v>0</v>
      </c>
      <c r="AI503" s="70" t="str">
        <f t="shared" si="170"/>
        <v/>
      </c>
      <c r="AJ503" s="70" t="str">
        <f t="shared" si="171"/>
        <v/>
      </c>
      <c r="AK503" s="70" t="str">
        <f t="shared" si="172"/>
        <v/>
      </c>
      <c r="AN503" s="171"/>
      <c r="AO503" s="167"/>
      <c r="AP503" s="167"/>
    </row>
    <row r="504" spans="1:42" ht="20.100000000000001" customHeight="1" thickBot="1">
      <c r="A504" s="69" t="s">
        <v>1525</v>
      </c>
      <c r="B504" s="69"/>
      <c r="C504" s="69" t="s">
        <v>316</v>
      </c>
      <c r="E504" s="45">
        <f t="shared" si="159"/>
        <v>5</v>
      </c>
      <c r="F504" s="45">
        <f t="shared" si="160"/>
        <v>3</v>
      </c>
      <c r="G504" s="45" t="str">
        <f t="shared" si="161"/>
        <v>M2</v>
      </c>
      <c r="H504" s="45" t="str">
        <f t="shared" si="162"/>
        <v>M4</v>
      </c>
      <c r="J504" s="45" t="str">
        <f t="shared" si="163"/>
        <v>M4</v>
      </c>
      <c r="K504" s="45" t="s">
        <v>130</v>
      </c>
      <c r="L504" s="45" t="str">
        <f t="shared" si="164"/>
        <v>M2-M4@E</v>
      </c>
      <c r="M504" s="75" t="str">
        <f t="shared" si="157"/>
        <v>M2,M3,M4</v>
      </c>
      <c r="N504" s="75">
        <f t="shared" si="158"/>
        <v>0</v>
      </c>
      <c r="R504" s="70" t="s">
        <v>994</v>
      </c>
      <c r="S504" s="70" t="s">
        <v>331</v>
      </c>
      <c r="T504" s="70"/>
      <c r="U504" s="70"/>
      <c r="V504" s="70"/>
      <c r="X504" s="70" t="str">
        <f t="shared" si="173"/>
        <v>M2-M4@E</v>
      </c>
      <c r="Y504" s="70" t="str">
        <f t="shared" si="174"/>
        <v/>
      </c>
      <c r="Z504" s="70" t="str">
        <f t="shared" si="175"/>
        <v/>
      </c>
      <c r="AA504" s="70" t="str">
        <f t="shared" si="176"/>
        <v/>
      </c>
      <c r="AC504" s="70" t="str">
        <f t="shared" si="165"/>
        <v>M2,M3,M4</v>
      </c>
      <c r="AD504" s="70" t="str">
        <f t="shared" si="166"/>
        <v/>
      </c>
      <c r="AE504" s="70" t="str">
        <f t="shared" si="167"/>
        <v/>
      </c>
      <c r="AF504" s="70" t="str">
        <f t="shared" si="168"/>
        <v/>
      </c>
      <c r="AH504" s="70">
        <f t="shared" si="169"/>
        <v>0</v>
      </c>
      <c r="AI504" s="70" t="str">
        <f t="shared" si="170"/>
        <v/>
      </c>
      <c r="AJ504" s="70" t="str">
        <f t="shared" si="171"/>
        <v/>
      </c>
      <c r="AK504" s="70" t="str">
        <f t="shared" si="172"/>
        <v/>
      </c>
      <c r="AN504" s="171"/>
      <c r="AO504" s="167"/>
      <c r="AP504" s="167"/>
    </row>
    <row r="505" spans="1:42" ht="20.100000000000001" customHeight="1" thickBot="1">
      <c r="A505" s="69" t="s">
        <v>1526</v>
      </c>
      <c r="B505" s="69"/>
      <c r="C505" s="69" t="s">
        <v>320</v>
      </c>
      <c r="E505" s="45">
        <f t="shared" si="159"/>
        <v>5</v>
      </c>
      <c r="F505" s="45">
        <f t="shared" si="160"/>
        <v>3</v>
      </c>
      <c r="G505" s="45" t="str">
        <f t="shared" si="161"/>
        <v>M4</v>
      </c>
      <c r="H505" s="45" t="str">
        <f t="shared" si="162"/>
        <v>M2</v>
      </c>
      <c r="J505" s="45" t="str">
        <f t="shared" si="163"/>
        <v>M2</v>
      </c>
      <c r="K505" s="45" t="s">
        <v>130</v>
      </c>
      <c r="L505" s="45" t="str">
        <f t="shared" si="164"/>
        <v>M4-M2@E</v>
      </c>
      <c r="M505" s="75" t="str">
        <f t="shared" si="157"/>
        <v>M4,M3,M2</v>
      </c>
      <c r="N505" s="75">
        <f t="shared" si="158"/>
        <v>0</v>
      </c>
      <c r="R505" s="70" t="s">
        <v>331</v>
      </c>
      <c r="S505" s="70" t="s">
        <v>994</v>
      </c>
      <c r="T505" s="70"/>
      <c r="U505" s="70"/>
      <c r="V505" s="70"/>
      <c r="X505" s="70" t="str">
        <f t="shared" si="173"/>
        <v>M4-M2@E</v>
      </c>
      <c r="Y505" s="70" t="str">
        <f t="shared" si="174"/>
        <v/>
      </c>
      <c r="Z505" s="70" t="str">
        <f t="shared" si="175"/>
        <v/>
      </c>
      <c r="AA505" s="70" t="str">
        <f t="shared" si="176"/>
        <v/>
      </c>
      <c r="AC505" s="70" t="str">
        <f t="shared" si="165"/>
        <v>M4,M3,M2</v>
      </c>
      <c r="AD505" s="70" t="str">
        <f t="shared" si="166"/>
        <v/>
      </c>
      <c r="AE505" s="70" t="str">
        <f t="shared" si="167"/>
        <v/>
      </c>
      <c r="AF505" s="70" t="str">
        <f t="shared" si="168"/>
        <v/>
      </c>
      <c r="AH505" s="70">
        <f t="shared" si="169"/>
        <v>0</v>
      </c>
      <c r="AI505" s="70" t="str">
        <f t="shared" si="170"/>
        <v/>
      </c>
      <c r="AJ505" s="70" t="str">
        <f t="shared" si="171"/>
        <v/>
      </c>
      <c r="AK505" s="70" t="str">
        <f t="shared" si="172"/>
        <v/>
      </c>
      <c r="AN505" s="171"/>
      <c r="AO505" s="167"/>
      <c r="AP505" s="167"/>
    </row>
    <row r="506" spans="1:42" ht="20.100000000000001" customHeight="1" thickBot="1">
      <c r="A506" s="69" t="s">
        <v>1527</v>
      </c>
      <c r="B506" s="69"/>
      <c r="C506" s="69" t="s">
        <v>323</v>
      </c>
      <c r="E506" s="45">
        <f t="shared" si="159"/>
        <v>5</v>
      </c>
      <c r="F506" s="45">
        <f t="shared" si="160"/>
        <v>3</v>
      </c>
      <c r="G506" s="45" t="str">
        <f t="shared" si="161"/>
        <v>M3</v>
      </c>
      <c r="H506" s="45" t="str">
        <f t="shared" si="162"/>
        <v>M4</v>
      </c>
      <c r="J506" s="45" t="str">
        <f t="shared" si="163"/>
        <v>M4</v>
      </c>
      <c r="K506" s="45" t="s">
        <v>130</v>
      </c>
      <c r="L506" s="45" t="str">
        <f t="shared" si="164"/>
        <v>M3-M4@E</v>
      </c>
      <c r="M506" s="75" t="str">
        <f t="shared" si="157"/>
        <v>M3,M4</v>
      </c>
      <c r="N506" s="75">
        <f t="shared" si="158"/>
        <v>0</v>
      </c>
      <c r="R506" s="70" t="s">
        <v>1142</v>
      </c>
      <c r="S506" s="70" t="s">
        <v>331</v>
      </c>
      <c r="T506" s="70"/>
      <c r="U506" s="70"/>
      <c r="V506" s="70"/>
      <c r="X506" s="70" t="str">
        <f t="shared" si="173"/>
        <v>M3-M4@E</v>
      </c>
      <c r="Y506" s="70" t="str">
        <f t="shared" si="174"/>
        <v/>
      </c>
      <c r="Z506" s="70" t="str">
        <f t="shared" si="175"/>
        <v/>
      </c>
      <c r="AA506" s="70" t="str">
        <f t="shared" si="176"/>
        <v/>
      </c>
      <c r="AC506" s="70" t="str">
        <f t="shared" si="165"/>
        <v>M3,M4</v>
      </c>
      <c r="AD506" s="70" t="str">
        <f t="shared" si="166"/>
        <v/>
      </c>
      <c r="AE506" s="70" t="str">
        <f t="shared" si="167"/>
        <v/>
      </c>
      <c r="AF506" s="70" t="str">
        <f t="shared" si="168"/>
        <v/>
      </c>
      <c r="AH506" s="70">
        <f t="shared" si="169"/>
        <v>0</v>
      </c>
      <c r="AI506" s="70" t="str">
        <f t="shared" si="170"/>
        <v/>
      </c>
      <c r="AJ506" s="70" t="str">
        <f t="shared" si="171"/>
        <v/>
      </c>
      <c r="AK506" s="70" t="str">
        <f t="shared" si="172"/>
        <v/>
      </c>
      <c r="AN506" s="171"/>
      <c r="AO506" s="167"/>
      <c r="AP506" s="167"/>
    </row>
    <row r="507" spans="1:42" ht="20.100000000000001" customHeight="1" thickBot="1">
      <c r="A507" s="69" t="s">
        <v>1528</v>
      </c>
      <c r="B507" s="69"/>
      <c r="C507" s="69" t="s">
        <v>327</v>
      </c>
      <c r="E507" s="45">
        <f t="shared" si="159"/>
        <v>5</v>
      </c>
      <c r="F507" s="45">
        <f t="shared" si="160"/>
        <v>3</v>
      </c>
      <c r="G507" s="45" t="str">
        <f t="shared" si="161"/>
        <v>M4</v>
      </c>
      <c r="H507" s="45" t="str">
        <f t="shared" si="162"/>
        <v>M3</v>
      </c>
      <c r="J507" s="45" t="str">
        <f t="shared" si="163"/>
        <v>M3</v>
      </c>
      <c r="K507" s="45" t="s">
        <v>130</v>
      </c>
      <c r="L507" s="45" t="str">
        <f t="shared" si="164"/>
        <v>M4-M3@E</v>
      </c>
      <c r="M507" s="75" t="str">
        <f t="shared" si="157"/>
        <v>M4,M3</v>
      </c>
      <c r="N507" s="75">
        <f t="shared" si="158"/>
        <v>0</v>
      </c>
      <c r="R507" s="70" t="s">
        <v>331</v>
      </c>
      <c r="S507" s="70" t="s">
        <v>1142</v>
      </c>
      <c r="T507" s="70"/>
      <c r="U507" s="70"/>
      <c r="V507" s="70"/>
      <c r="X507" s="70" t="str">
        <f t="shared" si="173"/>
        <v>M4-M3@E</v>
      </c>
      <c r="Y507" s="70" t="str">
        <f t="shared" si="174"/>
        <v/>
      </c>
      <c r="Z507" s="70" t="str">
        <f t="shared" si="175"/>
        <v/>
      </c>
      <c r="AA507" s="70" t="str">
        <f t="shared" si="176"/>
        <v/>
      </c>
      <c r="AC507" s="70" t="str">
        <f t="shared" si="165"/>
        <v>M4,M3</v>
      </c>
      <c r="AD507" s="70" t="str">
        <f t="shared" si="166"/>
        <v/>
      </c>
      <c r="AE507" s="70" t="str">
        <f t="shared" si="167"/>
        <v/>
      </c>
      <c r="AF507" s="70" t="str">
        <f t="shared" si="168"/>
        <v/>
      </c>
      <c r="AH507" s="70">
        <f t="shared" si="169"/>
        <v>0</v>
      </c>
      <c r="AI507" s="70" t="str">
        <f t="shared" si="170"/>
        <v/>
      </c>
      <c r="AJ507" s="70" t="str">
        <f t="shared" si="171"/>
        <v/>
      </c>
      <c r="AK507" s="70" t="str">
        <f t="shared" si="172"/>
        <v/>
      </c>
      <c r="AN507" s="171"/>
      <c r="AO507" s="167"/>
      <c r="AP507" s="167"/>
    </row>
    <row r="508" spans="1:42" ht="20.100000000000001" customHeight="1" thickBot="1">
      <c r="A508" s="45" t="s">
        <v>1529</v>
      </c>
      <c r="B508" s="45" t="s">
        <v>1492</v>
      </c>
      <c r="C508" s="45" t="s">
        <v>1530</v>
      </c>
      <c r="E508" s="45">
        <f t="shared" si="159"/>
        <v>5</v>
      </c>
      <c r="F508" s="45">
        <f t="shared" si="160"/>
        <v>3</v>
      </c>
      <c r="G508" s="45" t="str">
        <f t="shared" si="161"/>
        <v>M1</v>
      </c>
      <c r="H508" s="45" t="str">
        <f t="shared" si="162"/>
        <v>LB</v>
      </c>
      <c r="J508" s="45" t="str">
        <f t="shared" si="163"/>
        <v>LB</v>
      </c>
      <c r="K508" s="45" t="s">
        <v>130</v>
      </c>
      <c r="L508" s="45" t="str">
        <f t="shared" si="164"/>
        <v>M1-LB@E</v>
      </c>
      <c r="M508" s="75" t="str">
        <f t="shared" si="157"/>
        <v>302, 305, 307, 306, M1, 302, 305, 307, 306, M5</v>
      </c>
      <c r="N508" s="75" t="str">
        <f t="shared" si="158"/>
        <v>06, 03</v>
      </c>
      <c r="R508" s="70" t="s">
        <v>863</v>
      </c>
      <c r="S508" s="70" t="s">
        <v>53</v>
      </c>
      <c r="T508" s="70" t="s">
        <v>672</v>
      </c>
      <c r="U508" s="70"/>
      <c r="V508" s="70"/>
      <c r="X508" s="70" t="str">
        <f t="shared" si="173"/>
        <v>M1-E DT@E</v>
      </c>
      <c r="Y508" s="70" t="str">
        <f t="shared" si="174"/>
        <v>E DT-LB@E</v>
      </c>
      <c r="Z508" s="70" t="str">
        <f t="shared" si="175"/>
        <v/>
      </c>
      <c r="AA508" s="70" t="str">
        <f t="shared" si="176"/>
        <v/>
      </c>
      <c r="AC508" s="70" t="str">
        <f t="shared" si="165"/>
        <v>302, 305, 307, 306, M1</v>
      </c>
      <c r="AD508" s="70" t="str">
        <f t="shared" si="166"/>
        <v>302, 305, 307, 306, M5</v>
      </c>
      <c r="AE508" s="70" t="str">
        <f t="shared" si="167"/>
        <v/>
      </c>
      <c r="AF508" s="70" t="str">
        <f t="shared" si="168"/>
        <v/>
      </c>
      <c r="AH508" s="70" t="str">
        <f t="shared" si="169"/>
        <v>06</v>
      </c>
      <c r="AI508" s="70" t="str">
        <f t="shared" si="170"/>
        <v>03</v>
      </c>
      <c r="AJ508" s="70" t="str">
        <f t="shared" si="171"/>
        <v/>
      </c>
      <c r="AK508" s="70" t="str">
        <f t="shared" si="172"/>
        <v/>
      </c>
      <c r="AN508" s="171"/>
      <c r="AO508" s="167"/>
      <c r="AP508" s="167"/>
    </row>
    <row r="509" spans="1:42" ht="20.100000000000001" customHeight="1" thickBot="1">
      <c r="A509" s="45" t="s">
        <v>1531</v>
      </c>
      <c r="B509" s="45" t="s">
        <v>1492</v>
      </c>
      <c r="C509" s="45" t="s">
        <v>1532</v>
      </c>
      <c r="E509" s="45">
        <f t="shared" si="159"/>
        <v>5</v>
      </c>
      <c r="F509" s="45">
        <f t="shared" si="160"/>
        <v>3</v>
      </c>
      <c r="G509" s="45" t="str">
        <f t="shared" si="161"/>
        <v>M2</v>
      </c>
      <c r="H509" s="45" t="str">
        <f t="shared" si="162"/>
        <v>LB</v>
      </c>
      <c r="J509" s="45" t="str">
        <f t="shared" si="163"/>
        <v>LB</v>
      </c>
      <c r="K509" s="45" t="s">
        <v>130</v>
      </c>
      <c r="L509" s="45" t="str">
        <f t="shared" si="164"/>
        <v>M2-LB@E</v>
      </c>
      <c r="M509" s="75" t="str">
        <f t="shared" si="157"/>
        <v>302, 305, 307, 306, M1, M2, 302, 305, 307, 306, M5</v>
      </c>
      <c r="N509" s="75" t="str">
        <f t="shared" si="158"/>
        <v>06, 03</v>
      </c>
      <c r="R509" s="70" t="s">
        <v>994</v>
      </c>
      <c r="S509" s="70" t="s">
        <v>53</v>
      </c>
      <c r="T509" s="70" t="s">
        <v>672</v>
      </c>
      <c r="U509" s="70"/>
      <c r="V509" s="70"/>
      <c r="X509" s="70" t="str">
        <f t="shared" si="173"/>
        <v>M2-E DT@E</v>
      </c>
      <c r="Y509" s="70" t="str">
        <f t="shared" si="174"/>
        <v>E DT-LB@E</v>
      </c>
      <c r="Z509" s="70" t="str">
        <f t="shared" si="175"/>
        <v/>
      </c>
      <c r="AA509" s="70" t="str">
        <f t="shared" si="176"/>
        <v/>
      </c>
      <c r="AC509" s="70" t="str">
        <f t="shared" si="165"/>
        <v>302, 305, 307, 306, M1, M2</v>
      </c>
      <c r="AD509" s="70" t="str">
        <f t="shared" si="166"/>
        <v>302, 305, 307, 306, M5</v>
      </c>
      <c r="AE509" s="70" t="str">
        <f t="shared" si="167"/>
        <v/>
      </c>
      <c r="AF509" s="70" t="str">
        <f t="shared" si="168"/>
        <v/>
      </c>
      <c r="AH509" s="70" t="str">
        <f t="shared" si="169"/>
        <v>06</v>
      </c>
      <c r="AI509" s="70" t="str">
        <f t="shared" si="170"/>
        <v>03</v>
      </c>
      <c r="AJ509" s="70" t="str">
        <f t="shared" si="171"/>
        <v/>
      </c>
      <c r="AK509" s="70" t="str">
        <f t="shared" si="172"/>
        <v/>
      </c>
      <c r="AN509" s="171"/>
      <c r="AO509" s="167"/>
      <c r="AP509" s="167"/>
    </row>
    <row r="510" spans="1:42" ht="20.100000000000001" customHeight="1" thickBot="1">
      <c r="A510" s="45" t="s">
        <v>1533</v>
      </c>
      <c r="B510" s="45" t="s">
        <v>1492</v>
      </c>
      <c r="C510" s="45" t="s">
        <v>1519</v>
      </c>
      <c r="E510" s="45">
        <f t="shared" si="159"/>
        <v>5</v>
      </c>
      <c r="F510" s="45">
        <f t="shared" si="160"/>
        <v>3</v>
      </c>
      <c r="G510" s="45" t="str">
        <f t="shared" si="161"/>
        <v>M3</v>
      </c>
      <c r="H510" s="45" t="str">
        <f t="shared" si="162"/>
        <v>LB</v>
      </c>
      <c r="J510" s="45" t="str">
        <f t="shared" si="163"/>
        <v>LB</v>
      </c>
      <c r="K510" s="45" t="s">
        <v>130</v>
      </c>
      <c r="L510" s="45" t="str">
        <f t="shared" si="164"/>
        <v>M3-LB@E</v>
      </c>
      <c r="M510" s="75" t="str">
        <f t="shared" si="157"/>
        <v>302, 305, 307, 306, M1, M2, M3, 302, 305, 307, 306, M5</v>
      </c>
      <c r="N510" s="75" t="str">
        <f t="shared" si="158"/>
        <v>06, 03</v>
      </c>
      <c r="R510" s="70" t="s">
        <v>1142</v>
      </c>
      <c r="S510" s="70" t="s">
        <v>53</v>
      </c>
      <c r="T510" s="70" t="s">
        <v>672</v>
      </c>
      <c r="U510" s="70"/>
      <c r="V510" s="70"/>
      <c r="X510" s="70" t="str">
        <f t="shared" si="173"/>
        <v>M3-E DT@E</v>
      </c>
      <c r="Y510" s="70" t="str">
        <f t="shared" si="174"/>
        <v>E DT-LB@E</v>
      </c>
      <c r="Z510" s="70" t="str">
        <f t="shared" si="175"/>
        <v/>
      </c>
      <c r="AA510" s="70" t="str">
        <f t="shared" si="176"/>
        <v/>
      </c>
      <c r="AC510" s="70" t="str">
        <f t="shared" si="165"/>
        <v>302, 305, 307, 306, M1, M2, M3</v>
      </c>
      <c r="AD510" s="70" t="str">
        <f t="shared" si="166"/>
        <v>302, 305, 307, 306, M5</v>
      </c>
      <c r="AE510" s="70" t="str">
        <f t="shared" si="167"/>
        <v/>
      </c>
      <c r="AF510" s="70" t="str">
        <f t="shared" si="168"/>
        <v/>
      </c>
      <c r="AH510" s="70" t="str">
        <f t="shared" si="169"/>
        <v>06</v>
      </c>
      <c r="AI510" s="70" t="str">
        <f t="shared" si="170"/>
        <v>03</v>
      </c>
      <c r="AJ510" s="70" t="str">
        <f t="shared" si="171"/>
        <v/>
      </c>
      <c r="AK510" s="70" t="str">
        <f t="shared" si="172"/>
        <v/>
      </c>
      <c r="AN510" s="171"/>
      <c r="AO510" s="167"/>
      <c r="AP510" s="167"/>
    </row>
    <row r="511" spans="1:42" ht="20.100000000000001" customHeight="1" thickBot="1">
      <c r="A511" s="45" t="s">
        <v>1534</v>
      </c>
      <c r="B511" s="45" t="s">
        <v>1492</v>
      </c>
      <c r="C511" s="45" t="s">
        <v>1535</v>
      </c>
      <c r="E511" s="45">
        <f t="shared" si="159"/>
        <v>5</v>
      </c>
      <c r="F511" s="45">
        <f t="shared" si="160"/>
        <v>3</v>
      </c>
      <c r="G511" s="45" t="str">
        <f t="shared" si="161"/>
        <v>M4</v>
      </c>
      <c r="H511" s="45" t="str">
        <f t="shared" si="162"/>
        <v>LB</v>
      </c>
      <c r="J511" s="45" t="str">
        <f t="shared" si="163"/>
        <v>LB</v>
      </c>
      <c r="K511" s="45" t="s">
        <v>130</v>
      </c>
      <c r="L511" s="45" t="str">
        <f t="shared" si="164"/>
        <v>M4-LB@E</v>
      </c>
      <c r="M511" s="75" t="str">
        <f t="shared" si="157"/>
        <v>302, 305, 307, 306, M1, M2, M3, M4, 302, 305, 307, 306, M5</v>
      </c>
      <c r="N511" s="75" t="str">
        <f t="shared" si="158"/>
        <v>06, 03</v>
      </c>
      <c r="R511" s="70" t="s">
        <v>331</v>
      </c>
      <c r="S511" s="70" t="s">
        <v>53</v>
      </c>
      <c r="T511" s="70" t="s">
        <v>672</v>
      </c>
      <c r="U511" s="70"/>
      <c r="V511" s="70"/>
      <c r="X511" s="70" t="str">
        <f t="shared" si="173"/>
        <v>M4-E DT@E</v>
      </c>
      <c r="Y511" s="70" t="str">
        <f t="shared" si="174"/>
        <v>E DT-LB@E</v>
      </c>
      <c r="Z511" s="70" t="str">
        <f t="shared" si="175"/>
        <v/>
      </c>
      <c r="AA511" s="70" t="str">
        <f t="shared" si="176"/>
        <v/>
      </c>
      <c r="AC511" s="70" t="str">
        <f t="shared" si="165"/>
        <v>302, 305, 307, 306, M1, M2, M3, M4</v>
      </c>
      <c r="AD511" s="70" t="str">
        <f t="shared" si="166"/>
        <v>302, 305, 307, 306, M5</v>
      </c>
      <c r="AE511" s="70" t="str">
        <f t="shared" si="167"/>
        <v/>
      </c>
      <c r="AF511" s="70" t="str">
        <f t="shared" si="168"/>
        <v/>
      </c>
      <c r="AH511" s="70" t="str">
        <f t="shared" si="169"/>
        <v>06</v>
      </c>
      <c r="AI511" s="70" t="str">
        <f t="shared" si="170"/>
        <v>03</v>
      </c>
      <c r="AJ511" s="70" t="str">
        <f t="shared" si="171"/>
        <v/>
      </c>
      <c r="AK511" s="70" t="str">
        <f t="shared" si="172"/>
        <v/>
      </c>
      <c r="AN511" s="171"/>
      <c r="AO511" s="167"/>
      <c r="AP511" s="167"/>
    </row>
    <row r="512" spans="1:42" ht="20.100000000000001" customHeight="1" thickBot="1">
      <c r="A512" s="45" t="s">
        <v>1536</v>
      </c>
      <c r="B512" s="45" t="s">
        <v>1462</v>
      </c>
      <c r="C512" s="45" t="s">
        <v>1537</v>
      </c>
      <c r="E512" s="45">
        <f t="shared" si="159"/>
        <v>5</v>
      </c>
      <c r="F512" s="45">
        <f t="shared" si="160"/>
        <v>3</v>
      </c>
      <c r="G512" s="45" t="str">
        <f t="shared" si="161"/>
        <v>LB</v>
      </c>
      <c r="H512" s="45" t="str">
        <f t="shared" si="162"/>
        <v>M1</v>
      </c>
      <c r="J512" s="45" t="str">
        <f t="shared" si="163"/>
        <v>M1</v>
      </c>
      <c r="K512" s="45" t="s">
        <v>130</v>
      </c>
      <c r="L512" s="45" t="str">
        <f t="shared" si="164"/>
        <v>LB-M1@E</v>
      </c>
      <c r="M512" s="75" t="str">
        <f t="shared" si="157"/>
        <v>302, 305, 307, 306, M5, 302, 305, 307, 306, M1</v>
      </c>
      <c r="N512" s="75" t="str">
        <f t="shared" si="158"/>
        <v>05, 03</v>
      </c>
      <c r="R512" s="70" t="s">
        <v>672</v>
      </c>
      <c r="S512" s="70" t="s">
        <v>53</v>
      </c>
      <c r="T512" s="70" t="s">
        <v>863</v>
      </c>
      <c r="U512" s="70"/>
      <c r="V512" s="70"/>
      <c r="X512" s="70" t="str">
        <f t="shared" si="173"/>
        <v>LB-E DT@E</v>
      </c>
      <c r="Y512" s="70" t="str">
        <f t="shared" si="174"/>
        <v>E DT-M1@E</v>
      </c>
      <c r="Z512" s="70" t="str">
        <f t="shared" si="175"/>
        <v/>
      </c>
      <c r="AA512" s="70" t="str">
        <f t="shared" si="176"/>
        <v/>
      </c>
      <c r="AC512" s="70" t="str">
        <f t="shared" si="165"/>
        <v>302, 305, 307, 306, M5</v>
      </c>
      <c r="AD512" s="70" t="str">
        <f t="shared" si="166"/>
        <v>302, 305, 307, 306, M1</v>
      </c>
      <c r="AE512" s="70" t="str">
        <f t="shared" si="167"/>
        <v/>
      </c>
      <c r="AF512" s="70" t="str">
        <f t="shared" si="168"/>
        <v/>
      </c>
      <c r="AH512" s="70" t="str">
        <f t="shared" si="169"/>
        <v>05</v>
      </c>
      <c r="AI512" s="70" t="str">
        <f t="shared" si="170"/>
        <v>03</v>
      </c>
      <c r="AJ512" s="70" t="str">
        <f t="shared" si="171"/>
        <v/>
      </c>
      <c r="AK512" s="70" t="str">
        <f t="shared" si="172"/>
        <v/>
      </c>
      <c r="AN512" s="171"/>
      <c r="AO512" s="167"/>
      <c r="AP512" s="167"/>
    </row>
    <row r="513" spans="1:42" ht="20.100000000000001" customHeight="1" thickBot="1">
      <c r="A513" s="45" t="s">
        <v>1538</v>
      </c>
      <c r="B513" s="45" t="s">
        <v>1462</v>
      </c>
      <c r="C513" s="45" t="s">
        <v>1539</v>
      </c>
      <c r="E513" s="45">
        <f t="shared" si="159"/>
        <v>5</v>
      </c>
      <c r="F513" s="45">
        <f t="shared" si="160"/>
        <v>3</v>
      </c>
      <c r="G513" s="45" t="str">
        <f t="shared" si="161"/>
        <v>LB</v>
      </c>
      <c r="H513" s="45" t="str">
        <f t="shared" si="162"/>
        <v>M2</v>
      </c>
      <c r="J513" s="45" t="str">
        <f t="shared" si="163"/>
        <v>M2</v>
      </c>
      <c r="K513" s="45" t="s">
        <v>130</v>
      </c>
      <c r="L513" s="45" t="str">
        <f t="shared" si="164"/>
        <v>LB-M2@E</v>
      </c>
      <c r="M513" s="75" t="str">
        <f t="shared" si="157"/>
        <v>302, 305, 307, 306, M5, 302, 305, 307, 306, M1, M2</v>
      </c>
      <c r="N513" s="75" t="str">
        <f t="shared" si="158"/>
        <v>05, 03</v>
      </c>
      <c r="R513" s="70" t="s">
        <v>672</v>
      </c>
      <c r="S513" s="70" t="s">
        <v>53</v>
      </c>
      <c r="T513" s="70" t="s">
        <v>994</v>
      </c>
      <c r="U513" s="70"/>
      <c r="V513" s="70"/>
      <c r="X513" s="70" t="str">
        <f t="shared" si="173"/>
        <v>LB-E DT@E</v>
      </c>
      <c r="Y513" s="70" t="str">
        <f t="shared" si="174"/>
        <v>E DT-M2@E</v>
      </c>
      <c r="Z513" s="70" t="str">
        <f t="shared" si="175"/>
        <v/>
      </c>
      <c r="AA513" s="70" t="str">
        <f t="shared" si="176"/>
        <v/>
      </c>
      <c r="AC513" s="70" t="str">
        <f t="shared" si="165"/>
        <v>302, 305, 307, 306, M5</v>
      </c>
      <c r="AD513" s="70" t="str">
        <f t="shared" si="166"/>
        <v>302, 305, 307, 306, M1, M2</v>
      </c>
      <c r="AE513" s="70" t="str">
        <f t="shared" si="167"/>
        <v/>
      </c>
      <c r="AF513" s="70" t="str">
        <f t="shared" si="168"/>
        <v/>
      </c>
      <c r="AH513" s="70" t="str">
        <f t="shared" si="169"/>
        <v>05</v>
      </c>
      <c r="AI513" s="70" t="str">
        <f t="shared" si="170"/>
        <v>03</v>
      </c>
      <c r="AJ513" s="70" t="str">
        <f t="shared" si="171"/>
        <v/>
      </c>
      <c r="AK513" s="70" t="str">
        <f t="shared" si="172"/>
        <v/>
      </c>
      <c r="AN513" s="171"/>
      <c r="AO513" s="167"/>
      <c r="AP513" s="167"/>
    </row>
    <row r="514" spans="1:42" ht="20.100000000000001" customHeight="1" thickBot="1">
      <c r="A514" s="45" t="s">
        <v>1540</v>
      </c>
      <c r="B514" s="45" t="s">
        <v>1462</v>
      </c>
      <c r="C514" s="45" t="s">
        <v>1541</v>
      </c>
      <c r="E514" s="45">
        <f t="shared" si="159"/>
        <v>5</v>
      </c>
      <c r="F514" s="45">
        <f t="shared" si="160"/>
        <v>3</v>
      </c>
      <c r="G514" s="45" t="str">
        <f t="shared" si="161"/>
        <v>LB</v>
      </c>
      <c r="H514" s="45" t="str">
        <f t="shared" si="162"/>
        <v>M3</v>
      </c>
      <c r="J514" s="45" t="str">
        <f t="shared" si="163"/>
        <v>M3</v>
      </c>
      <c r="K514" s="45" t="s">
        <v>130</v>
      </c>
      <c r="L514" s="45" t="str">
        <f t="shared" si="164"/>
        <v>LB-M3@E</v>
      </c>
      <c r="M514" s="75" t="str">
        <f t="shared" ref="M514:M577" si="177">IF(AF514="",IF(AE514="",IF(AD514="",AC514,CONCATENATE(AC514,", ",AD514)),CONCATENATE(AC514,", ",AD514,", ",AE514)),CONCATENATE(AC514,", ",AD514,", ",AE514,", ",AF514))</f>
        <v>302, 305, 307, 306, M5, 302, 305, 307, 306, M1, M2, M3</v>
      </c>
      <c r="N514" s="75" t="str">
        <f t="shared" ref="N514:N577" si="178">IF(AK514="",IF(AJ514="",IF(AI514="",AH514,CONCATENATE(AH514,", ",AI514)),CONCATENATE(AH514,", ",AI514,", ",AJ514)),CONCATENATE(AH514,", ",AI514,", ",AJ514,", ",AK514))</f>
        <v>05, 03</v>
      </c>
      <c r="R514" s="70" t="s">
        <v>672</v>
      </c>
      <c r="S514" s="70" t="s">
        <v>53</v>
      </c>
      <c r="T514" s="70" t="s">
        <v>1142</v>
      </c>
      <c r="U514" s="70"/>
      <c r="V514" s="70"/>
      <c r="X514" s="70" t="str">
        <f t="shared" si="173"/>
        <v>LB-E DT@E</v>
      </c>
      <c r="Y514" s="70" t="str">
        <f t="shared" si="174"/>
        <v>E DT-M3@E</v>
      </c>
      <c r="Z514" s="70" t="str">
        <f t="shared" si="175"/>
        <v/>
      </c>
      <c r="AA514" s="70" t="str">
        <f t="shared" si="176"/>
        <v/>
      </c>
      <c r="AC514" s="70" t="str">
        <f t="shared" si="165"/>
        <v>302, 305, 307, 306, M5</v>
      </c>
      <c r="AD514" s="70" t="str">
        <f t="shared" si="166"/>
        <v>302, 305, 307, 306, M1, M2, M3</v>
      </c>
      <c r="AE514" s="70" t="str">
        <f t="shared" si="167"/>
        <v/>
      </c>
      <c r="AF514" s="70" t="str">
        <f t="shared" si="168"/>
        <v/>
      </c>
      <c r="AH514" s="70" t="str">
        <f t="shared" si="169"/>
        <v>05</v>
      </c>
      <c r="AI514" s="70" t="str">
        <f t="shared" si="170"/>
        <v>03</v>
      </c>
      <c r="AJ514" s="70" t="str">
        <f t="shared" si="171"/>
        <v/>
      </c>
      <c r="AK514" s="70" t="str">
        <f t="shared" si="172"/>
        <v/>
      </c>
      <c r="AN514" s="171"/>
      <c r="AO514" s="167"/>
      <c r="AP514" s="167"/>
    </row>
    <row r="515" spans="1:42" ht="20.100000000000001" customHeight="1" thickBot="1">
      <c r="A515" s="45" t="s">
        <v>1542</v>
      </c>
      <c r="B515" s="45" t="s">
        <v>1462</v>
      </c>
      <c r="C515" s="45" t="s">
        <v>1543</v>
      </c>
      <c r="E515" s="45">
        <f t="shared" ref="E515:E528" si="179">LEN(A515)</f>
        <v>5</v>
      </c>
      <c r="F515" s="45">
        <f t="shared" ref="F515:F528" si="180">SEARCH("-",A515)</f>
        <v>3</v>
      </c>
      <c r="G515" s="45" t="str">
        <f t="shared" ref="G515:G528" si="181">LEFT(A515,F515-1)</f>
        <v>LB</v>
      </c>
      <c r="H515" s="45" t="str">
        <f t="shared" ref="H515:H528" si="182">RIGHT(A515,E515-F515)</f>
        <v>M4</v>
      </c>
      <c r="J515" s="45" t="str">
        <f t="shared" ref="J515:J578" si="183">IF(V515="",IF(U515="",IF(T515="",S515,T515),U515),V515)</f>
        <v>M4</v>
      </c>
      <c r="K515" s="45" t="s">
        <v>130</v>
      </c>
      <c r="L515" s="45" t="str">
        <f t="shared" ref="L515:L578" si="184">CONCATENATE(R515,"-",J515,"@",K515)</f>
        <v>LB-M4@E</v>
      </c>
      <c r="M515" s="75" t="str">
        <f t="shared" si="177"/>
        <v>302, 305, 307, 306, M5, 302, 305, 307, 306, M1, M2, M3, M4</v>
      </c>
      <c r="N515" s="75" t="str">
        <f t="shared" si="178"/>
        <v>05, 03</v>
      </c>
      <c r="R515" s="70" t="s">
        <v>672</v>
      </c>
      <c r="S515" s="70" t="s">
        <v>53</v>
      </c>
      <c r="T515" s="70" t="s">
        <v>331</v>
      </c>
      <c r="U515" s="70"/>
      <c r="V515" s="70"/>
      <c r="X515" s="70" t="str">
        <f t="shared" si="173"/>
        <v>LB-E DT@E</v>
      </c>
      <c r="Y515" s="70" t="str">
        <f t="shared" si="174"/>
        <v>E DT-M4@E</v>
      </c>
      <c r="Z515" s="70" t="str">
        <f t="shared" si="175"/>
        <v/>
      </c>
      <c r="AA515" s="70" t="str">
        <f t="shared" si="176"/>
        <v/>
      </c>
      <c r="AC515" s="70" t="str">
        <f t="shared" ref="AC515:AC578" si="185">IF(X515="","",VLOOKUP(X515,$AN$2:$AP$736,2,0))</f>
        <v>302, 305, 307, 306, M5</v>
      </c>
      <c r="AD515" s="70" t="str">
        <f t="shared" ref="AD515:AD578" si="186">IF(Y515="","",VLOOKUP(Y515,$AN$2:$AP$736,2,0))</f>
        <v>302, 305, 307, 306, M1, M2, M3, M4</v>
      </c>
      <c r="AE515" s="70" t="str">
        <f t="shared" ref="AE515:AE578" si="187">IF(Z515="","",VLOOKUP(Z515,$AN$2:$AP$736,2,0))</f>
        <v/>
      </c>
      <c r="AF515" s="70" t="str">
        <f t="shared" ref="AF515:AF578" si="188">IF(AA515="","",VLOOKUP(AA515,$AN$2:$AP$736,2,0))</f>
        <v/>
      </c>
      <c r="AH515" s="70" t="str">
        <f t="shared" ref="AH515:AH578" si="189">IF(X515="","",VLOOKUP(X515,$AN$2:$AP$162,3,0))</f>
        <v>05</v>
      </c>
      <c r="AI515" s="70" t="str">
        <f t="shared" ref="AI515:AI578" si="190">IF(Y515="","",VLOOKUP(Y515,$AN$2:$AP$162,3,0))</f>
        <v>03</v>
      </c>
      <c r="AJ515" s="70" t="str">
        <f t="shared" ref="AJ515:AJ578" si="191">IF(Z515="","",VLOOKUP(Z515,$AN$2:$AP$162,3,0))</f>
        <v/>
      </c>
      <c r="AK515" s="70" t="str">
        <f t="shared" ref="AK515:AK578" si="192">IF(AA515="","",VLOOKUP(AA515,$AN$2:$AP$162,3,0))</f>
        <v/>
      </c>
      <c r="AN515" s="171"/>
      <c r="AO515" s="167"/>
      <c r="AP515" s="167"/>
    </row>
    <row r="516" spans="1:42" ht="20.100000000000001" customHeight="1" thickBot="1">
      <c r="A516" s="45" t="s">
        <v>1544</v>
      </c>
      <c r="B516" s="45" t="s">
        <v>1462</v>
      </c>
      <c r="C516" s="45" t="s">
        <v>1545</v>
      </c>
      <c r="E516" s="45">
        <f t="shared" si="179"/>
        <v>6</v>
      </c>
      <c r="F516" s="45">
        <f t="shared" si="180"/>
        <v>4</v>
      </c>
      <c r="G516" s="45" t="str">
        <f t="shared" si="181"/>
        <v>LS1</v>
      </c>
      <c r="H516" s="45" t="str">
        <f t="shared" si="182"/>
        <v>LB</v>
      </c>
      <c r="J516" s="45" t="str">
        <f t="shared" si="183"/>
        <v>LB</v>
      </c>
      <c r="K516" s="45" t="s">
        <v>130</v>
      </c>
      <c r="L516" s="45" t="str">
        <f t="shared" si="184"/>
        <v>LS1-LB@E</v>
      </c>
      <c r="M516" s="75" t="str">
        <f t="shared" si="177"/>
        <v>M8, M7, M6, M5, 306, 307, 305, 302, 302, 305, 307, 306, M5</v>
      </c>
      <c r="N516" s="75" t="str">
        <f t="shared" si="178"/>
        <v>05, 03</v>
      </c>
      <c r="R516" s="70" t="s">
        <v>149</v>
      </c>
      <c r="S516" s="70" t="s">
        <v>53</v>
      </c>
      <c r="T516" s="70" t="s">
        <v>672</v>
      </c>
      <c r="U516" s="70"/>
      <c r="V516" s="70"/>
      <c r="X516" s="70" t="str">
        <f t="shared" si="173"/>
        <v>LS1-E DT@E</v>
      </c>
      <c r="Y516" s="70" t="str">
        <f t="shared" si="174"/>
        <v>E DT-LB@E</v>
      </c>
      <c r="Z516" s="70" t="str">
        <f t="shared" si="175"/>
        <v/>
      </c>
      <c r="AA516" s="70" t="str">
        <f t="shared" si="176"/>
        <v/>
      </c>
      <c r="AC516" s="70" t="str">
        <f t="shared" si="185"/>
        <v>M8, M7, M6, M5, 306, 307, 305, 302</v>
      </c>
      <c r="AD516" s="70" t="str">
        <f t="shared" si="186"/>
        <v>302, 305, 307, 306, M5</v>
      </c>
      <c r="AE516" s="70" t="str">
        <f t="shared" si="187"/>
        <v/>
      </c>
      <c r="AF516" s="70" t="str">
        <f t="shared" si="188"/>
        <v/>
      </c>
      <c r="AH516" s="70" t="str">
        <f t="shared" si="189"/>
        <v>05</v>
      </c>
      <c r="AI516" s="70" t="str">
        <f t="shared" si="190"/>
        <v>03</v>
      </c>
      <c r="AJ516" s="70" t="str">
        <f t="shared" si="191"/>
        <v/>
      </c>
      <c r="AK516" s="70" t="str">
        <f t="shared" si="192"/>
        <v/>
      </c>
      <c r="AN516" s="171"/>
      <c r="AO516" s="167"/>
      <c r="AP516" s="167"/>
    </row>
    <row r="517" spans="1:42" ht="20.100000000000001" customHeight="1" thickBot="1">
      <c r="A517" s="45" t="s">
        <v>1546</v>
      </c>
      <c r="B517" s="45" t="s">
        <v>1462</v>
      </c>
      <c r="C517" s="45" t="s">
        <v>1545</v>
      </c>
      <c r="E517" s="45">
        <f t="shared" si="179"/>
        <v>6</v>
      </c>
      <c r="F517" s="45">
        <f t="shared" si="180"/>
        <v>4</v>
      </c>
      <c r="G517" s="45" t="str">
        <f t="shared" si="181"/>
        <v>LS2</v>
      </c>
      <c r="H517" s="45" t="str">
        <f t="shared" si="182"/>
        <v>LB</v>
      </c>
      <c r="J517" s="45" t="str">
        <f t="shared" si="183"/>
        <v>LB</v>
      </c>
      <c r="K517" s="45" t="s">
        <v>130</v>
      </c>
      <c r="L517" s="45" t="str">
        <f t="shared" si="184"/>
        <v>LS2-LB@E</v>
      </c>
      <c r="M517" s="75" t="str">
        <f t="shared" si="177"/>
        <v>302, 305, 307, 306, M5, M6, M7, M8, 302, 305, 307, 306, M5</v>
      </c>
      <c r="N517" s="75" t="str">
        <f t="shared" si="178"/>
        <v>05, 03</v>
      </c>
      <c r="R517" s="70" t="s">
        <v>383</v>
      </c>
      <c r="S517" s="70" t="s">
        <v>53</v>
      </c>
      <c r="T517" s="70" t="s">
        <v>672</v>
      </c>
      <c r="U517" s="70"/>
      <c r="V517" s="70"/>
      <c r="X517" s="70" t="str">
        <f t="shared" si="173"/>
        <v>LS2-E DT@E</v>
      </c>
      <c r="Y517" s="70" t="str">
        <f t="shared" si="174"/>
        <v>E DT-LB@E</v>
      </c>
      <c r="Z517" s="70" t="str">
        <f t="shared" si="175"/>
        <v/>
      </c>
      <c r="AA517" s="70" t="str">
        <f t="shared" si="176"/>
        <v/>
      </c>
      <c r="AC517" s="70" t="str">
        <f t="shared" si="185"/>
        <v>302, 305, 307, 306, M5, M6, M7, M8</v>
      </c>
      <c r="AD517" s="70" t="str">
        <f t="shared" si="186"/>
        <v>302, 305, 307, 306, M5</v>
      </c>
      <c r="AE517" s="70" t="str">
        <f t="shared" si="187"/>
        <v/>
      </c>
      <c r="AF517" s="70" t="str">
        <f t="shared" si="188"/>
        <v/>
      </c>
      <c r="AH517" s="70" t="str">
        <f t="shared" si="189"/>
        <v>05</v>
      </c>
      <c r="AI517" s="70" t="str">
        <f t="shared" si="190"/>
        <v>03</v>
      </c>
      <c r="AJ517" s="70" t="str">
        <f t="shared" si="191"/>
        <v/>
      </c>
      <c r="AK517" s="70" t="str">
        <f t="shared" si="192"/>
        <v/>
      </c>
      <c r="AN517" s="171"/>
      <c r="AO517" s="167"/>
      <c r="AP517" s="167"/>
    </row>
    <row r="518" spans="1:42" ht="20.100000000000001" customHeight="1" thickBot="1">
      <c r="A518" s="45" t="s">
        <v>1547</v>
      </c>
      <c r="B518" s="45" t="s">
        <v>1462</v>
      </c>
      <c r="C518" s="45" t="s">
        <v>1548</v>
      </c>
      <c r="E518" s="45">
        <f t="shared" si="179"/>
        <v>6</v>
      </c>
      <c r="F518" s="45">
        <f t="shared" si="180"/>
        <v>4</v>
      </c>
      <c r="G518" s="45" t="str">
        <f t="shared" si="181"/>
        <v>LS3</v>
      </c>
      <c r="H518" s="45" t="str">
        <f t="shared" si="182"/>
        <v>LB</v>
      </c>
      <c r="J518" s="45" t="str">
        <f t="shared" si="183"/>
        <v>LB</v>
      </c>
      <c r="K518" s="45" t="s">
        <v>130</v>
      </c>
      <c r="L518" s="45" t="str">
        <f t="shared" si="184"/>
        <v>LS3-LB@E</v>
      </c>
      <c r="M518" s="75" t="str">
        <f t="shared" si="177"/>
        <v>302, 305, 307, 306, M5, M6, 302, 305, 307, 306, M5</v>
      </c>
      <c r="N518" s="75" t="str">
        <f t="shared" si="178"/>
        <v>05, 03</v>
      </c>
      <c r="R518" s="70" t="s">
        <v>531</v>
      </c>
      <c r="S518" s="70" t="s">
        <v>53</v>
      </c>
      <c r="T518" s="70" t="s">
        <v>672</v>
      </c>
      <c r="U518" s="70"/>
      <c r="V518" s="70"/>
      <c r="X518" s="70" t="str">
        <f t="shared" si="173"/>
        <v>LS3-E DT@E</v>
      </c>
      <c r="Y518" s="70" t="str">
        <f t="shared" si="174"/>
        <v>E DT-LB@E</v>
      </c>
      <c r="Z518" s="70" t="str">
        <f t="shared" si="175"/>
        <v/>
      </c>
      <c r="AA518" s="70" t="str">
        <f t="shared" si="176"/>
        <v/>
      </c>
      <c r="AC518" s="70" t="str">
        <f t="shared" si="185"/>
        <v>302, 305, 307, 306, M5, M6</v>
      </c>
      <c r="AD518" s="70" t="str">
        <f t="shared" si="186"/>
        <v>302, 305, 307, 306, M5</v>
      </c>
      <c r="AE518" s="70" t="str">
        <f t="shared" si="187"/>
        <v/>
      </c>
      <c r="AF518" s="70" t="str">
        <f t="shared" si="188"/>
        <v/>
      </c>
      <c r="AH518" s="70" t="str">
        <f t="shared" si="189"/>
        <v>05</v>
      </c>
      <c r="AI518" s="70" t="str">
        <f t="shared" si="190"/>
        <v>03</v>
      </c>
      <c r="AJ518" s="70" t="str">
        <f t="shared" si="191"/>
        <v/>
      </c>
      <c r="AK518" s="70" t="str">
        <f t="shared" si="192"/>
        <v/>
      </c>
      <c r="AN518" s="171"/>
      <c r="AO518" s="167"/>
      <c r="AP518" s="167"/>
    </row>
    <row r="519" spans="1:42" ht="20.100000000000001" customHeight="1" thickBot="1">
      <c r="A519" s="45" t="s">
        <v>1549</v>
      </c>
      <c r="B519" s="45" t="s">
        <v>1462</v>
      </c>
      <c r="C519" s="45" t="s">
        <v>1550</v>
      </c>
      <c r="E519" s="45">
        <f t="shared" si="179"/>
        <v>6</v>
      </c>
      <c r="F519" s="45">
        <f t="shared" si="180"/>
        <v>3</v>
      </c>
      <c r="G519" s="45" t="str">
        <f t="shared" si="181"/>
        <v>LB</v>
      </c>
      <c r="H519" s="45" t="str">
        <f t="shared" si="182"/>
        <v>LS1</v>
      </c>
      <c r="J519" s="45" t="str">
        <f t="shared" si="183"/>
        <v>LS1</v>
      </c>
      <c r="K519" s="45" t="s">
        <v>130</v>
      </c>
      <c r="L519" s="45" t="str">
        <f t="shared" si="184"/>
        <v>LB-LS1@E</v>
      </c>
      <c r="M519" s="75" t="str">
        <f t="shared" si="177"/>
        <v>302, 305, 307, 306, M5, M8, M7, M6, M5, 306, 307, 305, 302</v>
      </c>
      <c r="N519" s="75" t="str">
        <f t="shared" si="178"/>
        <v>05, 03</v>
      </c>
      <c r="R519" s="70" t="s">
        <v>672</v>
      </c>
      <c r="S519" s="70" t="s">
        <v>53</v>
      </c>
      <c r="T519" s="70" t="s">
        <v>149</v>
      </c>
      <c r="U519" s="70"/>
      <c r="V519" s="70"/>
      <c r="X519" s="70" t="str">
        <f t="shared" si="173"/>
        <v>LB-E DT@E</v>
      </c>
      <c r="Y519" s="70" t="str">
        <f t="shared" si="174"/>
        <v>E DT-LS1@E</v>
      </c>
      <c r="Z519" s="70" t="str">
        <f t="shared" si="175"/>
        <v/>
      </c>
      <c r="AA519" s="70" t="str">
        <f t="shared" si="176"/>
        <v/>
      </c>
      <c r="AC519" s="70" t="str">
        <f t="shared" si="185"/>
        <v>302, 305, 307, 306, M5</v>
      </c>
      <c r="AD519" s="70" t="str">
        <f t="shared" si="186"/>
        <v>M8, M7, M6, M5, 306, 307, 305, 302</v>
      </c>
      <c r="AE519" s="70" t="str">
        <f t="shared" si="187"/>
        <v/>
      </c>
      <c r="AF519" s="70" t="str">
        <f t="shared" si="188"/>
        <v/>
      </c>
      <c r="AH519" s="70" t="str">
        <f t="shared" si="189"/>
        <v>05</v>
      </c>
      <c r="AI519" s="70" t="str">
        <f t="shared" si="190"/>
        <v>03</v>
      </c>
      <c r="AJ519" s="70" t="str">
        <f t="shared" si="191"/>
        <v/>
      </c>
      <c r="AK519" s="70" t="str">
        <f t="shared" si="192"/>
        <v/>
      </c>
      <c r="AN519" s="171"/>
      <c r="AO519" s="167"/>
      <c r="AP519" s="167"/>
    </row>
    <row r="520" spans="1:42" ht="20.100000000000001" customHeight="1" thickBot="1">
      <c r="A520" s="45" t="s">
        <v>1551</v>
      </c>
      <c r="B520" s="45" t="s">
        <v>1462</v>
      </c>
      <c r="C520" s="45" t="s">
        <v>1550</v>
      </c>
      <c r="E520" s="45">
        <f t="shared" si="179"/>
        <v>6</v>
      </c>
      <c r="F520" s="45">
        <f t="shared" si="180"/>
        <v>3</v>
      </c>
      <c r="G520" s="45" t="str">
        <f t="shared" si="181"/>
        <v>LB</v>
      </c>
      <c r="H520" s="45" t="str">
        <f t="shared" si="182"/>
        <v>LS2</v>
      </c>
      <c r="J520" s="45" t="str">
        <f t="shared" si="183"/>
        <v>LS2</v>
      </c>
      <c r="K520" s="45" t="s">
        <v>130</v>
      </c>
      <c r="L520" s="45" t="str">
        <f t="shared" si="184"/>
        <v>LB-LS2@E</v>
      </c>
      <c r="M520" s="75" t="str">
        <f t="shared" si="177"/>
        <v>302, 305, 307, 306, M5, 302, 305, 307, 306, M5, M6, M7, M8</v>
      </c>
      <c r="N520" s="75" t="str">
        <f t="shared" si="178"/>
        <v>05, 03</v>
      </c>
      <c r="R520" s="70" t="s">
        <v>672</v>
      </c>
      <c r="S520" s="70" t="s">
        <v>53</v>
      </c>
      <c r="T520" s="70" t="s">
        <v>383</v>
      </c>
      <c r="U520" s="70"/>
      <c r="V520" s="70"/>
      <c r="X520" s="70" t="str">
        <f t="shared" si="173"/>
        <v>LB-E DT@E</v>
      </c>
      <c r="Y520" s="70" t="str">
        <f t="shared" si="174"/>
        <v>E DT-LS2@E</v>
      </c>
      <c r="Z520" s="70" t="str">
        <f t="shared" si="175"/>
        <v/>
      </c>
      <c r="AA520" s="70" t="str">
        <f t="shared" si="176"/>
        <v/>
      </c>
      <c r="AC520" s="70" t="str">
        <f t="shared" si="185"/>
        <v>302, 305, 307, 306, M5</v>
      </c>
      <c r="AD520" s="70" t="str">
        <f t="shared" si="186"/>
        <v>302, 305, 307, 306, M5, M6, M7, M8</v>
      </c>
      <c r="AE520" s="70" t="str">
        <f t="shared" si="187"/>
        <v/>
      </c>
      <c r="AF520" s="70" t="str">
        <f t="shared" si="188"/>
        <v/>
      </c>
      <c r="AH520" s="70" t="str">
        <f t="shared" si="189"/>
        <v>05</v>
      </c>
      <c r="AI520" s="70" t="str">
        <f t="shared" si="190"/>
        <v>03</v>
      </c>
      <c r="AJ520" s="70" t="str">
        <f t="shared" si="191"/>
        <v/>
      </c>
      <c r="AK520" s="70" t="str">
        <f t="shared" si="192"/>
        <v/>
      </c>
      <c r="AN520" s="171"/>
      <c r="AO520" s="167"/>
      <c r="AP520" s="167"/>
    </row>
    <row r="521" spans="1:42" ht="20.100000000000001" customHeight="1" thickBot="1">
      <c r="A521" s="45" t="s">
        <v>1552</v>
      </c>
      <c r="B521" s="45" t="s">
        <v>1462</v>
      </c>
      <c r="C521" s="45" t="s">
        <v>1553</v>
      </c>
      <c r="E521" s="45">
        <f t="shared" si="179"/>
        <v>6</v>
      </c>
      <c r="F521" s="45">
        <f t="shared" si="180"/>
        <v>3</v>
      </c>
      <c r="G521" s="45" t="str">
        <f t="shared" si="181"/>
        <v>LB</v>
      </c>
      <c r="H521" s="45" t="str">
        <f t="shared" si="182"/>
        <v>LS3</v>
      </c>
      <c r="J521" s="45" t="str">
        <f t="shared" si="183"/>
        <v>LS3</v>
      </c>
      <c r="K521" s="45" t="s">
        <v>130</v>
      </c>
      <c r="L521" s="45" t="str">
        <f t="shared" si="184"/>
        <v>LB-LS3@E</v>
      </c>
      <c r="M521" s="75" t="str">
        <f t="shared" si="177"/>
        <v>302, 305, 307, 306, M5, 302, 305, 307, 306, M5, M6</v>
      </c>
      <c r="N521" s="75" t="str">
        <f t="shared" si="178"/>
        <v>05, 03</v>
      </c>
      <c r="R521" s="70" t="s">
        <v>672</v>
      </c>
      <c r="S521" s="70" t="s">
        <v>53</v>
      </c>
      <c r="T521" s="70" t="s">
        <v>531</v>
      </c>
      <c r="U521" s="70"/>
      <c r="V521" s="70"/>
      <c r="X521" s="70" t="str">
        <f t="shared" si="173"/>
        <v>LB-E DT@E</v>
      </c>
      <c r="Y521" s="70" t="str">
        <f t="shared" si="174"/>
        <v>E DT-LS3@E</v>
      </c>
      <c r="Z521" s="70" t="str">
        <f t="shared" si="175"/>
        <v/>
      </c>
      <c r="AA521" s="70" t="str">
        <f t="shared" si="176"/>
        <v/>
      </c>
      <c r="AC521" s="70" t="str">
        <f t="shared" si="185"/>
        <v>302, 305, 307, 306, M5</v>
      </c>
      <c r="AD521" s="70" t="str">
        <f t="shared" si="186"/>
        <v>302, 305, 307, 306, M5, M6</v>
      </c>
      <c r="AE521" s="70" t="str">
        <f t="shared" si="187"/>
        <v/>
      </c>
      <c r="AF521" s="70" t="str">
        <f t="shared" si="188"/>
        <v/>
      </c>
      <c r="AH521" s="70" t="str">
        <f t="shared" si="189"/>
        <v>05</v>
      </c>
      <c r="AI521" s="70" t="str">
        <f t="shared" si="190"/>
        <v>03</v>
      </c>
      <c r="AJ521" s="70" t="str">
        <f t="shared" si="191"/>
        <v/>
      </c>
      <c r="AK521" s="70" t="str">
        <f t="shared" si="192"/>
        <v/>
      </c>
      <c r="AN521" s="171"/>
      <c r="AO521" s="167"/>
      <c r="AP521" s="167"/>
    </row>
    <row r="522" spans="1:42" ht="20.100000000000001" customHeight="1" thickBot="1">
      <c r="A522" s="69" t="s">
        <v>1554</v>
      </c>
      <c r="B522" s="69"/>
      <c r="C522" s="69" t="s">
        <v>331</v>
      </c>
      <c r="E522" s="45">
        <f t="shared" si="179"/>
        <v>7</v>
      </c>
      <c r="F522" s="45">
        <f t="shared" si="180"/>
        <v>4</v>
      </c>
      <c r="G522" s="45" t="str">
        <f t="shared" si="181"/>
        <v>M4A</v>
      </c>
      <c r="H522" s="45" t="str">
        <f t="shared" si="182"/>
        <v>M4B</v>
      </c>
      <c r="J522" s="45" t="str">
        <f t="shared" si="183"/>
        <v>M4B</v>
      </c>
      <c r="K522" s="45" t="s">
        <v>130</v>
      </c>
      <c r="L522" s="45" t="str">
        <f t="shared" si="184"/>
        <v>M4A-M4B@E</v>
      </c>
      <c r="M522" s="75" t="str">
        <f t="shared" si="177"/>
        <v>M4</v>
      </c>
      <c r="N522" s="75">
        <f t="shared" si="178"/>
        <v>0</v>
      </c>
      <c r="R522" s="70" t="s">
        <v>1555</v>
      </c>
      <c r="S522" s="70" t="s">
        <v>1556</v>
      </c>
      <c r="T522" s="70"/>
      <c r="U522" s="70"/>
      <c r="V522" s="70"/>
      <c r="X522" s="70" t="str">
        <f t="shared" si="173"/>
        <v>M4A-M4B@E</v>
      </c>
      <c r="Y522" s="70" t="str">
        <f t="shared" si="174"/>
        <v/>
      </c>
      <c r="Z522" s="70" t="str">
        <f t="shared" si="175"/>
        <v/>
      </c>
      <c r="AA522" s="70" t="str">
        <f t="shared" si="176"/>
        <v/>
      </c>
      <c r="AC522" s="70" t="str">
        <f t="shared" si="185"/>
        <v>M4</v>
      </c>
      <c r="AD522" s="70" t="str">
        <f t="shared" si="186"/>
        <v/>
      </c>
      <c r="AE522" s="70" t="str">
        <f t="shared" si="187"/>
        <v/>
      </c>
      <c r="AF522" s="70" t="str">
        <f t="shared" si="188"/>
        <v/>
      </c>
      <c r="AH522" s="70">
        <f t="shared" si="189"/>
        <v>0</v>
      </c>
      <c r="AI522" s="70" t="str">
        <f t="shared" si="190"/>
        <v/>
      </c>
      <c r="AJ522" s="70" t="str">
        <f t="shared" si="191"/>
        <v/>
      </c>
      <c r="AK522" s="70" t="str">
        <f t="shared" si="192"/>
        <v/>
      </c>
      <c r="AN522" s="171"/>
      <c r="AO522" s="167"/>
      <c r="AP522" s="167"/>
    </row>
    <row r="523" spans="1:42" ht="20.100000000000001" customHeight="1" thickBot="1">
      <c r="A523" s="69" t="s">
        <v>1557</v>
      </c>
      <c r="B523" s="69"/>
      <c r="C523" s="69" t="s">
        <v>331</v>
      </c>
      <c r="E523" s="45">
        <f t="shared" si="179"/>
        <v>7</v>
      </c>
      <c r="F523" s="45">
        <f t="shared" si="180"/>
        <v>4</v>
      </c>
      <c r="G523" s="45" t="str">
        <f t="shared" si="181"/>
        <v>M4B</v>
      </c>
      <c r="H523" s="45" t="str">
        <f t="shared" si="182"/>
        <v>M4A</v>
      </c>
      <c r="J523" s="45" t="str">
        <f t="shared" si="183"/>
        <v>M4A</v>
      </c>
      <c r="K523" s="45" t="s">
        <v>130</v>
      </c>
      <c r="L523" s="45" t="str">
        <f t="shared" si="184"/>
        <v>M4B-M4A@E</v>
      </c>
      <c r="M523" s="75" t="str">
        <f t="shared" si="177"/>
        <v>M4</v>
      </c>
      <c r="N523" s="75">
        <f t="shared" si="178"/>
        <v>0</v>
      </c>
      <c r="R523" s="70" t="s">
        <v>1556</v>
      </c>
      <c r="S523" s="70" t="s">
        <v>1555</v>
      </c>
      <c r="T523" s="70"/>
      <c r="U523" s="70"/>
      <c r="V523" s="70"/>
      <c r="X523" s="70" t="str">
        <f t="shared" si="173"/>
        <v>M4B-M4A@E</v>
      </c>
      <c r="Y523" s="70" t="str">
        <f t="shared" si="174"/>
        <v/>
      </c>
      <c r="Z523" s="70" t="str">
        <f t="shared" si="175"/>
        <v/>
      </c>
      <c r="AA523" s="70" t="str">
        <f t="shared" si="176"/>
        <v/>
      </c>
      <c r="AC523" s="70" t="str">
        <f t="shared" si="185"/>
        <v>M4</v>
      </c>
      <c r="AD523" s="70" t="str">
        <f t="shared" si="186"/>
        <v/>
      </c>
      <c r="AE523" s="70" t="str">
        <f t="shared" si="187"/>
        <v/>
      </c>
      <c r="AF523" s="70" t="str">
        <f t="shared" si="188"/>
        <v/>
      </c>
      <c r="AH523" s="70">
        <f t="shared" si="189"/>
        <v>0</v>
      </c>
      <c r="AI523" s="70" t="str">
        <f t="shared" si="190"/>
        <v/>
      </c>
      <c r="AJ523" s="70" t="str">
        <f t="shared" si="191"/>
        <v/>
      </c>
      <c r="AK523" s="70" t="str">
        <f t="shared" si="192"/>
        <v/>
      </c>
      <c r="AN523" s="171"/>
      <c r="AO523" s="167"/>
      <c r="AP523" s="167"/>
    </row>
    <row r="524" spans="1:42" ht="20.100000000000001" customHeight="1" thickBot="1">
      <c r="A524" s="45" t="s">
        <v>1558</v>
      </c>
      <c r="B524" s="45" t="s">
        <v>1492</v>
      </c>
      <c r="C524" s="45" t="s">
        <v>1511</v>
      </c>
      <c r="E524" s="45">
        <f t="shared" si="179"/>
        <v>6</v>
      </c>
      <c r="F524" s="45">
        <f t="shared" si="180"/>
        <v>3</v>
      </c>
      <c r="G524" s="45" t="str">
        <f t="shared" si="181"/>
        <v>M5</v>
      </c>
      <c r="H524" s="45" t="str">
        <f t="shared" si="182"/>
        <v>LS3</v>
      </c>
      <c r="J524" s="45" t="str">
        <f t="shared" si="183"/>
        <v>LS3</v>
      </c>
      <c r="K524" s="45" t="s">
        <v>130</v>
      </c>
      <c r="L524" s="45" t="str">
        <f t="shared" si="184"/>
        <v>M5-LS3@E</v>
      </c>
      <c r="M524" s="75" t="str">
        <f t="shared" si="177"/>
        <v>302, 305, 307, 306, M1, M2, M3, M4, 302, 305, 307, 306, M5, M6</v>
      </c>
      <c r="N524" s="75" t="str">
        <f t="shared" si="178"/>
        <v>06, 03</v>
      </c>
      <c r="R524" s="70" t="s">
        <v>1381</v>
      </c>
      <c r="S524" s="70" t="s">
        <v>53</v>
      </c>
      <c r="T524" s="70" t="s">
        <v>531</v>
      </c>
      <c r="U524" s="70"/>
      <c r="V524" s="70"/>
      <c r="X524" s="70" t="str">
        <f t="shared" si="173"/>
        <v>M5-E DT@E</v>
      </c>
      <c r="Y524" s="70" t="str">
        <f t="shared" si="174"/>
        <v>E DT-LS3@E</v>
      </c>
      <c r="Z524" s="70" t="str">
        <f t="shared" si="175"/>
        <v/>
      </c>
      <c r="AA524" s="70" t="str">
        <f t="shared" si="176"/>
        <v/>
      </c>
      <c r="AC524" s="70" t="str">
        <f t="shared" si="185"/>
        <v>302, 305, 307, 306, M1, M2, M3, M4</v>
      </c>
      <c r="AD524" s="70" t="str">
        <f t="shared" si="186"/>
        <v>302, 305, 307, 306, M5, M6</v>
      </c>
      <c r="AE524" s="70" t="str">
        <f t="shared" si="187"/>
        <v/>
      </c>
      <c r="AF524" s="70" t="str">
        <f t="shared" si="188"/>
        <v/>
      </c>
      <c r="AH524" s="70" t="str">
        <f t="shared" si="189"/>
        <v>06</v>
      </c>
      <c r="AI524" s="70" t="str">
        <f t="shared" si="190"/>
        <v>03</v>
      </c>
      <c r="AJ524" s="70" t="str">
        <f t="shared" si="191"/>
        <v/>
      </c>
      <c r="AK524" s="70" t="str">
        <f t="shared" si="192"/>
        <v/>
      </c>
      <c r="AN524" s="171"/>
      <c r="AO524" s="167"/>
      <c r="AP524" s="167"/>
    </row>
    <row r="525" spans="1:42" ht="20.100000000000001" customHeight="1" thickBot="1">
      <c r="A525" s="69" t="s">
        <v>1559</v>
      </c>
      <c r="B525" s="69"/>
      <c r="C525" s="69" t="s">
        <v>331</v>
      </c>
      <c r="E525" s="45">
        <f t="shared" si="179"/>
        <v>5</v>
      </c>
      <c r="F525" s="45">
        <f t="shared" si="180"/>
        <v>3</v>
      </c>
      <c r="G525" s="45" t="str">
        <f t="shared" si="181"/>
        <v>M4</v>
      </c>
      <c r="H525" s="45" t="str">
        <f t="shared" si="182"/>
        <v>M5</v>
      </c>
      <c r="J525" s="45" t="str">
        <f t="shared" si="183"/>
        <v>M5</v>
      </c>
      <c r="K525" s="45" t="s">
        <v>130</v>
      </c>
      <c r="L525" s="45" t="str">
        <f t="shared" si="184"/>
        <v>M4-M5@E</v>
      </c>
      <c r="M525" s="75" t="str">
        <f t="shared" si="177"/>
        <v>M4</v>
      </c>
      <c r="N525" s="75">
        <f t="shared" si="178"/>
        <v>0</v>
      </c>
      <c r="R525" s="70" t="s">
        <v>331</v>
      </c>
      <c r="S525" s="70" t="s">
        <v>1381</v>
      </c>
      <c r="T525" s="70"/>
      <c r="U525" s="70"/>
      <c r="V525" s="70"/>
      <c r="X525" s="70" t="str">
        <f t="shared" si="173"/>
        <v>M4-M5@E</v>
      </c>
      <c r="Y525" s="70" t="str">
        <f t="shared" si="174"/>
        <v/>
      </c>
      <c r="Z525" s="70" t="str">
        <f t="shared" si="175"/>
        <v/>
      </c>
      <c r="AA525" s="70" t="str">
        <f t="shared" si="176"/>
        <v/>
      </c>
      <c r="AC525" s="70" t="str">
        <f t="shared" si="185"/>
        <v>M4</v>
      </c>
      <c r="AD525" s="70" t="str">
        <f t="shared" si="186"/>
        <v/>
      </c>
      <c r="AE525" s="70" t="str">
        <f t="shared" si="187"/>
        <v/>
      </c>
      <c r="AF525" s="70" t="str">
        <f t="shared" si="188"/>
        <v/>
      </c>
      <c r="AH525" s="70">
        <f t="shared" si="189"/>
        <v>0</v>
      </c>
      <c r="AI525" s="70" t="str">
        <f t="shared" si="190"/>
        <v/>
      </c>
      <c r="AJ525" s="70" t="str">
        <f t="shared" si="191"/>
        <v/>
      </c>
      <c r="AK525" s="70" t="str">
        <f t="shared" si="192"/>
        <v/>
      </c>
      <c r="AN525" s="171"/>
      <c r="AO525" s="167"/>
      <c r="AP525" s="167"/>
    </row>
    <row r="526" spans="1:42" ht="20.100000000000001" customHeight="1" thickBot="1">
      <c r="A526" s="69" t="s">
        <v>1560</v>
      </c>
      <c r="B526" s="69"/>
      <c r="C526" s="69" t="s">
        <v>331</v>
      </c>
      <c r="E526" s="45">
        <f t="shared" si="179"/>
        <v>5</v>
      </c>
      <c r="F526" s="45">
        <f t="shared" si="180"/>
        <v>3</v>
      </c>
      <c r="G526" s="45" t="str">
        <f t="shared" si="181"/>
        <v>M5</v>
      </c>
      <c r="H526" s="45" t="str">
        <f t="shared" si="182"/>
        <v>M4</v>
      </c>
      <c r="J526" s="45" t="str">
        <f t="shared" si="183"/>
        <v>M4</v>
      </c>
      <c r="K526" s="45" t="s">
        <v>130</v>
      </c>
      <c r="L526" s="45" t="str">
        <f t="shared" si="184"/>
        <v>M5-M4@E</v>
      </c>
      <c r="M526" s="75" t="str">
        <f t="shared" si="177"/>
        <v>M4</v>
      </c>
      <c r="N526" s="75">
        <f t="shared" si="178"/>
        <v>0</v>
      </c>
      <c r="R526" s="70" t="s">
        <v>1381</v>
      </c>
      <c r="S526" s="70" t="s">
        <v>331</v>
      </c>
      <c r="T526" s="70"/>
      <c r="U526" s="70"/>
      <c r="V526" s="70"/>
      <c r="X526" s="70" t="str">
        <f t="shared" si="173"/>
        <v>M5-M4@E</v>
      </c>
      <c r="Y526" s="70" t="str">
        <f t="shared" si="174"/>
        <v/>
      </c>
      <c r="Z526" s="70" t="str">
        <f t="shared" si="175"/>
        <v/>
      </c>
      <c r="AA526" s="70" t="str">
        <f t="shared" si="176"/>
        <v/>
      </c>
      <c r="AC526" s="70" t="str">
        <f t="shared" si="185"/>
        <v>M4</v>
      </c>
      <c r="AD526" s="70" t="str">
        <f t="shared" si="186"/>
        <v/>
      </c>
      <c r="AE526" s="70" t="str">
        <f t="shared" si="187"/>
        <v/>
      </c>
      <c r="AF526" s="70" t="str">
        <f t="shared" si="188"/>
        <v/>
      </c>
      <c r="AH526" s="70">
        <f t="shared" si="189"/>
        <v>0</v>
      </c>
      <c r="AI526" s="70" t="str">
        <f t="shared" si="190"/>
        <v/>
      </c>
      <c r="AJ526" s="70" t="str">
        <f t="shared" si="191"/>
        <v/>
      </c>
      <c r="AK526" s="70" t="str">
        <f t="shared" si="192"/>
        <v/>
      </c>
      <c r="AN526" s="171"/>
      <c r="AO526" s="167"/>
      <c r="AP526" s="167"/>
    </row>
    <row r="527" spans="1:42" ht="20.100000000000001" customHeight="1" thickBot="1">
      <c r="A527" s="69" t="s">
        <v>1561</v>
      </c>
      <c r="B527" s="69"/>
      <c r="C527" s="69" t="s">
        <v>348</v>
      </c>
      <c r="E527" s="45">
        <f t="shared" si="179"/>
        <v>5</v>
      </c>
      <c r="F527" s="45">
        <f t="shared" si="180"/>
        <v>3</v>
      </c>
      <c r="G527" s="45" t="str">
        <f t="shared" si="181"/>
        <v>M3</v>
      </c>
      <c r="H527" s="45" t="str">
        <f t="shared" si="182"/>
        <v>M5</v>
      </c>
      <c r="J527" s="45" t="str">
        <f t="shared" si="183"/>
        <v>M5</v>
      </c>
      <c r="K527" s="45" t="s">
        <v>130</v>
      </c>
      <c r="L527" s="45" t="str">
        <f t="shared" si="184"/>
        <v>M3-M5@E</v>
      </c>
      <c r="M527" s="75" t="str">
        <f t="shared" si="177"/>
        <v>M3, M4</v>
      </c>
      <c r="N527" s="75">
        <f t="shared" si="178"/>
        <v>0</v>
      </c>
      <c r="R527" s="70" t="s">
        <v>1142</v>
      </c>
      <c r="S527" s="70" t="s">
        <v>1381</v>
      </c>
      <c r="T527" s="70"/>
      <c r="U527" s="70"/>
      <c r="V527" s="70"/>
      <c r="X527" s="70" t="str">
        <f t="shared" si="173"/>
        <v>M3-M5@E</v>
      </c>
      <c r="Y527" s="70" t="str">
        <f t="shared" si="174"/>
        <v/>
      </c>
      <c r="Z527" s="70" t="str">
        <f t="shared" si="175"/>
        <v/>
      </c>
      <c r="AA527" s="70" t="str">
        <f t="shared" si="176"/>
        <v/>
      </c>
      <c r="AC527" s="70" t="str">
        <f t="shared" si="185"/>
        <v>M3, M4</v>
      </c>
      <c r="AD527" s="70" t="str">
        <f t="shared" si="186"/>
        <v/>
      </c>
      <c r="AE527" s="70" t="str">
        <f t="shared" si="187"/>
        <v/>
      </c>
      <c r="AF527" s="70" t="str">
        <f t="shared" si="188"/>
        <v/>
      </c>
      <c r="AH527" s="70">
        <f t="shared" si="189"/>
        <v>0</v>
      </c>
      <c r="AI527" s="70" t="str">
        <f t="shared" si="190"/>
        <v/>
      </c>
      <c r="AJ527" s="70" t="str">
        <f t="shared" si="191"/>
        <v/>
      </c>
      <c r="AK527" s="70" t="str">
        <f t="shared" si="192"/>
        <v/>
      </c>
      <c r="AN527" s="171"/>
      <c r="AO527" s="167"/>
      <c r="AP527" s="167"/>
    </row>
    <row r="528" spans="1:42" ht="20.100000000000001" customHeight="1" thickBot="1">
      <c r="A528" s="69" t="s">
        <v>1562</v>
      </c>
      <c r="B528" s="69"/>
      <c r="C528" s="69" t="s">
        <v>351</v>
      </c>
      <c r="E528" s="45">
        <f t="shared" si="179"/>
        <v>5</v>
      </c>
      <c r="F528" s="45">
        <f t="shared" si="180"/>
        <v>3</v>
      </c>
      <c r="G528" s="45" t="str">
        <f t="shared" si="181"/>
        <v>M5</v>
      </c>
      <c r="H528" s="45" t="str">
        <f t="shared" si="182"/>
        <v>M3</v>
      </c>
      <c r="J528" s="45" t="str">
        <f t="shared" si="183"/>
        <v>M3</v>
      </c>
      <c r="K528" s="45" t="s">
        <v>130</v>
      </c>
      <c r="L528" s="45" t="str">
        <f t="shared" si="184"/>
        <v>M5-M3@E</v>
      </c>
      <c r="M528" s="75" t="str">
        <f t="shared" si="177"/>
        <v>M4, M3</v>
      </c>
      <c r="N528" s="75">
        <f t="shared" si="178"/>
        <v>0</v>
      </c>
      <c r="R528" s="70" t="s">
        <v>1381</v>
      </c>
      <c r="S528" s="70" t="s">
        <v>1142</v>
      </c>
      <c r="T528" s="70"/>
      <c r="U528" s="70"/>
      <c r="V528" s="70"/>
      <c r="X528" s="70" t="str">
        <f t="shared" si="173"/>
        <v>M5-M3@E</v>
      </c>
      <c r="Y528" s="70" t="str">
        <f t="shared" si="174"/>
        <v/>
      </c>
      <c r="Z528" s="70" t="str">
        <f t="shared" si="175"/>
        <v/>
      </c>
      <c r="AA528" s="70" t="str">
        <f t="shared" si="176"/>
        <v/>
      </c>
      <c r="AC528" s="70" t="str">
        <f t="shared" si="185"/>
        <v>M4, M3</v>
      </c>
      <c r="AD528" s="70" t="str">
        <f t="shared" si="186"/>
        <v/>
      </c>
      <c r="AE528" s="70" t="str">
        <f t="shared" si="187"/>
        <v/>
      </c>
      <c r="AF528" s="70" t="str">
        <f t="shared" si="188"/>
        <v/>
      </c>
      <c r="AH528" s="70">
        <f t="shared" si="189"/>
        <v>0</v>
      </c>
      <c r="AI528" s="70" t="str">
        <f t="shared" si="190"/>
        <v/>
      </c>
      <c r="AJ528" s="70" t="str">
        <f t="shared" si="191"/>
        <v/>
      </c>
      <c r="AK528" s="70" t="str">
        <f t="shared" si="192"/>
        <v/>
      </c>
      <c r="AN528" s="171"/>
      <c r="AO528" s="167"/>
      <c r="AP528" s="167"/>
    </row>
    <row r="529" spans="10:42" ht="20.100000000000001" customHeight="1" thickBot="1">
      <c r="J529" s="45" t="str">
        <f t="shared" si="183"/>
        <v>TEST</v>
      </c>
      <c r="K529" s="45" t="s">
        <v>130</v>
      </c>
      <c r="L529" s="45" t="str">
        <f t="shared" si="184"/>
        <v>LS1-TEST@E</v>
      </c>
      <c r="M529" s="75" t="str">
        <f t="shared" si="177"/>
        <v>M8, M7, M6, M5, 306, 307, 305, 302, 305, 303, 304, 308</v>
      </c>
      <c r="N529" s="75" t="str">
        <f t="shared" si="178"/>
        <v>05, 03, 07</v>
      </c>
      <c r="R529" s="71" t="s">
        <v>149</v>
      </c>
      <c r="S529" s="70" t="s">
        <v>53</v>
      </c>
      <c r="T529" s="70" t="s">
        <v>57</v>
      </c>
      <c r="U529" s="70"/>
      <c r="V529" s="70"/>
      <c r="X529" s="70" t="str">
        <f t="shared" si="173"/>
        <v>LS1-E DT@E</v>
      </c>
      <c r="Y529" s="70" t="str">
        <f t="shared" si="174"/>
        <v>E DT-TEST@E</v>
      </c>
      <c r="Z529" s="70" t="str">
        <f t="shared" si="175"/>
        <v/>
      </c>
      <c r="AA529" s="70" t="str">
        <f t="shared" si="176"/>
        <v/>
      </c>
      <c r="AC529" s="70" t="str">
        <f t="shared" si="185"/>
        <v>M8, M7, M6, M5, 306, 307, 305, 302</v>
      </c>
      <c r="AD529" s="70" t="str">
        <f t="shared" si="186"/>
        <v>305, 303, 304, 308</v>
      </c>
      <c r="AE529" s="70" t="str">
        <f t="shared" si="187"/>
        <v/>
      </c>
      <c r="AF529" s="70" t="str">
        <f t="shared" si="188"/>
        <v/>
      </c>
      <c r="AH529" s="70" t="str">
        <f t="shared" si="189"/>
        <v>05</v>
      </c>
      <c r="AI529" s="70" t="str">
        <f t="shared" si="190"/>
        <v>03, 07</v>
      </c>
      <c r="AJ529" s="70" t="str">
        <f t="shared" si="191"/>
        <v/>
      </c>
      <c r="AK529" s="70" t="str">
        <f t="shared" si="192"/>
        <v/>
      </c>
      <c r="AN529" s="171"/>
      <c r="AO529" s="167"/>
      <c r="AP529" s="167"/>
    </row>
    <row r="530" spans="10:42" ht="20.100000000000001" customHeight="1" thickBot="1">
      <c r="J530" s="45" t="str">
        <f t="shared" si="183"/>
        <v>TEST</v>
      </c>
      <c r="K530" s="45" t="s">
        <v>130</v>
      </c>
      <c r="L530" s="45" t="str">
        <f t="shared" si="184"/>
        <v>LF3-TEST@E</v>
      </c>
      <c r="M530" s="75" t="str">
        <f t="shared" si="177"/>
        <v>323, 322, 319, 316, 311, 303, 305, 302, 305, 303, 304, 308</v>
      </c>
      <c r="N530" s="75" t="str">
        <f t="shared" si="178"/>
        <v>20, 04, 03, 07</v>
      </c>
      <c r="R530" s="70" t="s">
        <v>82</v>
      </c>
      <c r="S530" s="70" t="s">
        <v>53</v>
      </c>
      <c r="T530" s="70" t="s">
        <v>57</v>
      </c>
      <c r="U530" s="70"/>
      <c r="V530" s="70"/>
      <c r="X530" s="70" t="str">
        <f t="shared" si="173"/>
        <v>LF3-E DT@E</v>
      </c>
      <c r="Y530" s="70" t="str">
        <f t="shared" si="174"/>
        <v>E DT-TEST@E</v>
      </c>
      <c r="Z530" s="70" t="str">
        <f t="shared" si="175"/>
        <v/>
      </c>
      <c r="AA530" s="70" t="str">
        <f t="shared" si="176"/>
        <v/>
      </c>
      <c r="AC530" s="70" t="str">
        <f t="shared" si="185"/>
        <v>323, 322, 319, 316, 311, 303, 305, 302</v>
      </c>
      <c r="AD530" s="70" t="str">
        <f t="shared" si="186"/>
        <v>305, 303, 304, 308</v>
      </c>
      <c r="AE530" s="70" t="str">
        <f t="shared" si="187"/>
        <v/>
      </c>
      <c r="AF530" s="70" t="str">
        <f t="shared" si="188"/>
        <v/>
      </c>
      <c r="AH530" s="70" t="str">
        <f t="shared" si="189"/>
        <v>20, 04</v>
      </c>
      <c r="AI530" s="70" t="str">
        <f t="shared" si="190"/>
        <v>03, 07</v>
      </c>
      <c r="AJ530" s="70" t="str">
        <f t="shared" si="191"/>
        <v/>
      </c>
      <c r="AK530" s="70" t="str">
        <f t="shared" si="192"/>
        <v/>
      </c>
      <c r="AN530" s="171"/>
      <c r="AO530" s="167"/>
      <c r="AP530" s="167"/>
    </row>
    <row r="531" spans="10:42" ht="20.100000000000001" customHeight="1" thickBot="1">
      <c r="J531" s="45" t="str">
        <f t="shared" si="183"/>
        <v>TEST</v>
      </c>
      <c r="K531" s="45" t="s">
        <v>130</v>
      </c>
      <c r="L531" s="45" t="str">
        <f t="shared" si="184"/>
        <v>LS1-TEST@E</v>
      </c>
      <c r="M531" s="75" t="str">
        <f t="shared" si="177"/>
        <v>M8, M7, M6, M5, 306, 307, 305, 302, 305, 303, 304, 308</v>
      </c>
      <c r="N531" s="75" t="str">
        <f t="shared" si="178"/>
        <v>05, 03, 07</v>
      </c>
      <c r="R531" s="70" t="s">
        <v>149</v>
      </c>
      <c r="S531" s="70" t="s">
        <v>53</v>
      </c>
      <c r="T531" s="70" t="s">
        <v>57</v>
      </c>
      <c r="U531" s="70"/>
      <c r="V531" s="70"/>
      <c r="X531" s="70" t="str">
        <f t="shared" ref="X531:X594" si="193">IF(S531="","",CONCATENATE(R531,"-",S531,"@",$K531))</f>
        <v>LS1-E DT@E</v>
      </c>
      <c r="Y531" s="70" t="str">
        <f t="shared" ref="Y531:Y594" si="194">IF(T531="","",CONCATENATE(S531,"-",T531,"@",$K531))</f>
        <v>E DT-TEST@E</v>
      </c>
      <c r="Z531" s="70" t="str">
        <f t="shared" ref="Z531:Z594" si="195">IF(U531="","",CONCATENATE(T531,"-",U531,"@",$K531))</f>
        <v/>
      </c>
      <c r="AA531" s="70" t="str">
        <f t="shared" ref="AA531:AA594" si="196">IF(V531="","",CONCATENATE(U531,"-",V531,"@",$K531))</f>
        <v/>
      </c>
      <c r="AC531" s="70" t="str">
        <f t="shared" si="185"/>
        <v>M8, M7, M6, M5, 306, 307, 305, 302</v>
      </c>
      <c r="AD531" s="70" t="str">
        <f t="shared" si="186"/>
        <v>305, 303, 304, 308</v>
      </c>
      <c r="AE531" s="70" t="str">
        <f t="shared" si="187"/>
        <v/>
      </c>
      <c r="AF531" s="70" t="str">
        <f t="shared" si="188"/>
        <v/>
      </c>
      <c r="AH531" s="70" t="str">
        <f t="shared" si="189"/>
        <v>05</v>
      </c>
      <c r="AI531" s="70" t="str">
        <f t="shared" si="190"/>
        <v>03, 07</v>
      </c>
      <c r="AJ531" s="70" t="str">
        <f t="shared" si="191"/>
        <v/>
      </c>
      <c r="AK531" s="70" t="str">
        <f t="shared" si="192"/>
        <v/>
      </c>
      <c r="AN531" s="171"/>
      <c r="AO531" s="167"/>
      <c r="AP531" s="167"/>
    </row>
    <row r="532" spans="10:42" ht="20.100000000000001" customHeight="1" thickBot="1">
      <c r="J532" s="45" t="str">
        <f t="shared" si="183"/>
        <v>TEST</v>
      </c>
      <c r="K532" s="45" t="s">
        <v>130</v>
      </c>
      <c r="L532" s="45" t="str">
        <f t="shared" si="184"/>
        <v>LF4-TEST@E</v>
      </c>
      <c r="M532" s="75" t="str">
        <f t="shared" si="177"/>
        <v>302, 305, 303, 311, 316, 319, 322, 323, 305, 303, 304, 308</v>
      </c>
      <c r="N532" s="75" t="str">
        <f t="shared" si="178"/>
        <v>21, 04, 03, 07</v>
      </c>
      <c r="R532" s="70" t="s">
        <v>83</v>
      </c>
      <c r="S532" s="70" t="s">
        <v>53</v>
      </c>
      <c r="T532" s="70" t="s">
        <v>57</v>
      </c>
      <c r="U532" s="70"/>
      <c r="V532" s="70"/>
      <c r="X532" s="70" t="str">
        <f t="shared" si="193"/>
        <v>LF4-E DT@E</v>
      </c>
      <c r="Y532" s="70" t="str">
        <f t="shared" si="194"/>
        <v>E DT-TEST@E</v>
      </c>
      <c r="Z532" s="70" t="str">
        <f t="shared" si="195"/>
        <v/>
      </c>
      <c r="AA532" s="70" t="str">
        <f t="shared" si="196"/>
        <v/>
      </c>
      <c r="AC532" s="70" t="str">
        <f t="shared" si="185"/>
        <v>302, 305, 303, 311, 316, 319, 322, 323</v>
      </c>
      <c r="AD532" s="70" t="str">
        <f t="shared" si="186"/>
        <v>305, 303, 304, 308</v>
      </c>
      <c r="AE532" s="70" t="str">
        <f t="shared" si="187"/>
        <v/>
      </c>
      <c r="AF532" s="70" t="str">
        <f t="shared" si="188"/>
        <v/>
      </c>
      <c r="AH532" s="70" t="str">
        <f t="shared" si="189"/>
        <v>21, 04</v>
      </c>
      <c r="AI532" s="70" t="str">
        <f t="shared" si="190"/>
        <v>03, 07</v>
      </c>
      <c r="AJ532" s="70" t="str">
        <f t="shared" si="191"/>
        <v/>
      </c>
      <c r="AK532" s="70" t="str">
        <f t="shared" si="192"/>
        <v/>
      </c>
      <c r="AN532" s="171"/>
      <c r="AO532" s="167"/>
      <c r="AP532" s="167"/>
    </row>
    <row r="533" spans="10:42" ht="20.100000000000001" customHeight="1" thickBot="1">
      <c r="J533" s="45" t="str">
        <f t="shared" si="183"/>
        <v>TEST</v>
      </c>
      <c r="K533" s="45" t="s">
        <v>130</v>
      </c>
      <c r="L533" s="45" t="str">
        <f t="shared" si="184"/>
        <v>HM1-TEST@E</v>
      </c>
      <c r="M533" s="75" t="str">
        <f t="shared" si="177"/>
        <v>322, 319, 316, 311, 303, 305, 302, 305, 303, 304, 308</v>
      </c>
      <c r="N533" s="75" t="str">
        <f t="shared" si="178"/>
        <v>22, 04, 03, 07</v>
      </c>
      <c r="R533" s="70" t="s">
        <v>171</v>
      </c>
      <c r="S533" s="70" t="s">
        <v>53</v>
      </c>
      <c r="T533" s="70" t="s">
        <v>57</v>
      </c>
      <c r="U533" s="70"/>
      <c r="V533" s="70"/>
      <c r="X533" s="70" t="str">
        <f t="shared" si="193"/>
        <v>HM1-E DT@E</v>
      </c>
      <c r="Y533" s="70" t="str">
        <f t="shared" si="194"/>
        <v>E DT-TEST@E</v>
      </c>
      <c r="Z533" s="70" t="str">
        <f t="shared" si="195"/>
        <v/>
      </c>
      <c r="AA533" s="70" t="str">
        <f t="shared" si="196"/>
        <v/>
      </c>
      <c r="AC533" s="70" t="str">
        <f t="shared" si="185"/>
        <v>322, 319, 316, 311, 303, 305, 302</v>
      </c>
      <c r="AD533" s="70" t="str">
        <f t="shared" si="186"/>
        <v>305, 303, 304, 308</v>
      </c>
      <c r="AE533" s="70" t="str">
        <f t="shared" si="187"/>
        <v/>
      </c>
      <c r="AF533" s="70" t="str">
        <f t="shared" si="188"/>
        <v/>
      </c>
      <c r="AH533" s="70" t="str">
        <f t="shared" si="189"/>
        <v>22, 04</v>
      </c>
      <c r="AI533" s="70" t="str">
        <f t="shared" si="190"/>
        <v>03, 07</v>
      </c>
      <c r="AJ533" s="70" t="str">
        <f t="shared" si="191"/>
        <v/>
      </c>
      <c r="AK533" s="70" t="str">
        <f t="shared" si="192"/>
        <v/>
      </c>
      <c r="AN533" s="171"/>
      <c r="AO533" s="167"/>
      <c r="AP533" s="167"/>
    </row>
    <row r="534" spans="10:42" ht="20.100000000000001" customHeight="1" thickBot="1">
      <c r="J534" s="45" t="str">
        <f t="shared" si="183"/>
        <v>TEST</v>
      </c>
      <c r="K534" s="45" t="s">
        <v>130</v>
      </c>
      <c r="L534" s="45" t="str">
        <f t="shared" si="184"/>
        <v>HM2-TEST@E</v>
      </c>
      <c r="M534" s="75" t="str">
        <f t="shared" si="177"/>
        <v>324, 319, 316, 311, 303, 305, 302, 305, 303, 304, 308</v>
      </c>
      <c r="N534" s="75" t="str">
        <f t="shared" si="178"/>
        <v>23, 04, 03, 07</v>
      </c>
      <c r="R534" s="70" t="s">
        <v>182</v>
      </c>
      <c r="S534" s="70" t="s">
        <v>53</v>
      </c>
      <c r="T534" s="70" t="s">
        <v>57</v>
      </c>
      <c r="U534" s="70"/>
      <c r="V534" s="70"/>
      <c r="X534" s="70" t="str">
        <f t="shared" si="193"/>
        <v>HM2-E DT@E</v>
      </c>
      <c r="Y534" s="70" t="str">
        <f t="shared" si="194"/>
        <v>E DT-TEST@E</v>
      </c>
      <c r="Z534" s="70" t="str">
        <f t="shared" si="195"/>
        <v/>
      </c>
      <c r="AA534" s="70" t="str">
        <f t="shared" si="196"/>
        <v/>
      </c>
      <c r="AC534" s="70" t="str">
        <f t="shared" si="185"/>
        <v>324, 319, 316, 311, 303, 305, 302</v>
      </c>
      <c r="AD534" s="70" t="str">
        <f t="shared" si="186"/>
        <v>305, 303, 304, 308</v>
      </c>
      <c r="AE534" s="70" t="str">
        <f t="shared" si="187"/>
        <v/>
      </c>
      <c r="AF534" s="70" t="str">
        <f t="shared" si="188"/>
        <v/>
      </c>
      <c r="AH534" s="70" t="str">
        <f t="shared" si="189"/>
        <v>23, 04</v>
      </c>
      <c r="AI534" s="70" t="str">
        <f t="shared" si="190"/>
        <v>03, 07</v>
      </c>
      <c r="AJ534" s="70" t="str">
        <f t="shared" si="191"/>
        <v/>
      </c>
      <c r="AK534" s="70" t="str">
        <f t="shared" si="192"/>
        <v/>
      </c>
      <c r="AN534" s="171"/>
      <c r="AO534" s="167"/>
      <c r="AP534" s="167"/>
    </row>
    <row r="535" spans="10:42" ht="20.100000000000001" customHeight="1" thickBot="1">
      <c r="J535" s="45" t="str">
        <f t="shared" si="183"/>
        <v>TEST</v>
      </c>
      <c r="K535" s="45" t="s">
        <v>130</v>
      </c>
      <c r="L535" s="45" t="str">
        <f t="shared" si="184"/>
        <v>HM3-TEST@E</v>
      </c>
      <c r="M535" s="75" t="str">
        <f t="shared" si="177"/>
        <v>324, 319, 316, 311, 303, 305, 302, 305, 303, 304, 308</v>
      </c>
      <c r="N535" s="75" t="str">
        <f t="shared" si="178"/>
        <v>24,04, 03, 07</v>
      </c>
      <c r="R535" s="70" t="s">
        <v>191</v>
      </c>
      <c r="S535" s="70" t="s">
        <v>53</v>
      </c>
      <c r="T535" s="70" t="s">
        <v>57</v>
      </c>
      <c r="U535" s="70"/>
      <c r="V535" s="70"/>
      <c r="X535" s="70" t="str">
        <f t="shared" si="193"/>
        <v>HM3-E DT@E</v>
      </c>
      <c r="Y535" s="70" t="str">
        <f t="shared" si="194"/>
        <v>E DT-TEST@E</v>
      </c>
      <c r="Z535" s="70" t="str">
        <f t="shared" si="195"/>
        <v/>
      </c>
      <c r="AA535" s="70" t="str">
        <f t="shared" si="196"/>
        <v/>
      </c>
      <c r="AC535" s="70" t="str">
        <f t="shared" si="185"/>
        <v>324, 319, 316, 311, 303, 305, 302</v>
      </c>
      <c r="AD535" s="70" t="str">
        <f t="shared" si="186"/>
        <v>305, 303, 304, 308</v>
      </c>
      <c r="AE535" s="70" t="str">
        <f t="shared" si="187"/>
        <v/>
      </c>
      <c r="AF535" s="70" t="str">
        <f t="shared" si="188"/>
        <v/>
      </c>
      <c r="AH535" s="70" t="str">
        <f t="shared" si="189"/>
        <v>24,04</v>
      </c>
      <c r="AI535" s="70" t="str">
        <f t="shared" si="190"/>
        <v>03, 07</v>
      </c>
      <c r="AJ535" s="70" t="str">
        <f t="shared" si="191"/>
        <v/>
      </c>
      <c r="AK535" s="70" t="str">
        <f t="shared" si="192"/>
        <v/>
      </c>
      <c r="AN535" s="171"/>
      <c r="AO535" s="167"/>
      <c r="AP535" s="167"/>
    </row>
    <row r="536" spans="10:42" ht="20.100000000000001" customHeight="1" thickBot="1">
      <c r="J536" s="45" t="str">
        <f t="shared" si="183"/>
        <v>TEST</v>
      </c>
      <c r="K536" s="45" t="s">
        <v>130</v>
      </c>
      <c r="L536" s="45" t="str">
        <f t="shared" si="184"/>
        <v>RM1E-TEST@E</v>
      </c>
      <c r="M536" s="75" t="str">
        <f t="shared" si="177"/>
        <v>302, 305, 303, 311, 316, 319, 324, 305, 303, 304, 308</v>
      </c>
      <c r="N536" s="75" t="str">
        <f t="shared" si="178"/>
        <v>25, 04, 03, 07</v>
      </c>
      <c r="R536" s="70" t="s">
        <v>200</v>
      </c>
      <c r="S536" s="70" t="s">
        <v>53</v>
      </c>
      <c r="T536" s="70" t="s">
        <v>57</v>
      </c>
      <c r="U536" s="70"/>
      <c r="V536" s="70"/>
      <c r="X536" s="70" t="str">
        <f t="shared" si="193"/>
        <v>RM1E-E DT@E</v>
      </c>
      <c r="Y536" s="70" t="str">
        <f t="shared" si="194"/>
        <v>E DT-TEST@E</v>
      </c>
      <c r="Z536" s="70" t="str">
        <f t="shared" si="195"/>
        <v/>
      </c>
      <c r="AA536" s="70" t="str">
        <f t="shared" si="196"/>
        <v/>
      </c>
      <c r="AC536" s="70" t="str">
        <f t="shared" si="185"/>
        <v>302, 305, 303, 311, 316, 319, 324</v>
      </c>
      <c r="AD536" s="70" t="str">
        <f t="shared" si="186"/>
        <v>305, 303, 304, 308</v>
      </c>
      <c r="AE536" s="70" t="str">
        <f t="shared" si="187"/>
        <v/>
      </c>
      <c r="AF536" s="70" t="str">
        <f t="shared" si="188"/>
        <v/>
      </c>
      <c r="AH536" s="70" t="str">
        <f t="shared" si="189"/>
        <v>25, 04</v>
      </c>
      <c r="AI536" s="70" t="str">
        <f t="shared" si="190"/>
        <v>03, 07</v>
      </c>
      <c r="AJ536" s="70" t="str">
        <f t="shared" si="191"/>
        <v/>
      </c>
      <c r="AK536" s="70" t="str">
        <f t="shared" si="192"/>
        <v/>
      </c>
      <c r="AN536" s="171"/>
      <c r="AO536" s="167"/>
      <c r="AP536" s="167"/>
    </row>
    <row r="537" spans="10:42" ht="20.100000000000001" customHeight="1" thickBot="1">
      <c r="J537" s="45" t="str">
        <f t="shared" si="183"/>
        <v>TEST</v>
      </c>
      <c r="K537" s="45" t="s">
        <v>130</v>
      </c>
      <c r="L537" s="45" t="str">
        <f t="shared" si="184"/>
        <v>RM1W-TEST@E</v>
      </c>
      <c r="M537" s="75" t="str">
        <f t="shared" si="177"/>
        <v>302, 305, 303, 311, 316, 319, 324, 305, 303, 304, 308</v>
      </c>
      <c r="N537" s="75" t="str">
        <f t="shared" si="178"/>
        <v>25, 04, 03, 07</v>
      </c>
      <c r="R537" s="70" t="s">
        <v>208</v>
      </c>
      <c r="S537" s="70" t="s">
        <v>53</v>
      </c>
      <c r="T537" s="70" t="s">
        <v>57</v>
      </c>
      <c r="U537" s="70"/>
      <c r="V537" s="70"/>
      <c r="X537" s="70" t="str">
        <f t="shared" si="193"/>
        <v>RM1W-E DT@E</v>
      </c>
      <c r="Y537" s="70" t="str">
        <f t="shared" si="194"/>
        <v>E DT-TEST@E</v>
      </c>
      <c r="Z537" s="70" t="str">
        <f t="shared" si="195"/>
        <v/>
      </c>
      <c r="AA537" s="70" t="str">
        <f t="shared" si="196"/>
        <v/>
      </c>
      <c r="AC537" s="70" t="str">
        <f t="shared" si="185"/>
        <v>302, 305, 303, 311, 316, 319, 324</v>
      </c>
      <c r="AD537" s="70" t="str">
        <f t="shared" si="186"/>
        <v>305, 303, 304, 308</v>
      </c>
      <c r="AE537" s="70" t="str">
        <f t="shared" si="187"/>
        <v/>
      </c>
      <c r="AF537" s="70" t="str">
        <f t="shared" si="188"/>
        <v/>
      </c>
      <c r="AH537" s="70" t="str">
        <f t="shared" si="189"/>
        <v>25, 04</v>
      </c>
      <c r="AI537" s="70" t="str">
        <f t="shared" si="190"/>
        <v>03, 07</v>
      </c>
      <c r="AJ537" s="70" t="str">
        <f t="shared" si="191"/>
        <v/>
      </c>
      <c r="AK537" s="70" t="str">
        <f t="shared" si="192"/>
        <v/>
      </c>
      <c r="AN537" s="171"/>
      <c r="AO537" s="167"/>
      <c r="AP537" s="167"/>
    </row>
    <row r="538" spans="10:42" ht="20.100000000000001" customHeight="1" thickBot="1">
      <c r="J538" s="45" t="str">
        <f t="shared" si="183"/>
        <v>TEST</v>
      </c>
      <c r="K538" s="45" t="s">
        <v>130</v>
      </c>
      <c r="L538" s="45" t="str">
        <f t="shared" si="184"/>
        <v>RM2E-TEST@E</v>
      </c>
      <c r="M538" s="75" t="str">
        <f t="shared" si="177"/>
        <v>327, 326, 325, 318, 317, 316, 311, 303, 305, 302, 305, 303, 304, 308</v>
      </c>
      <c r="N538" s="75" t="str">
        <f t="shared" si="178"/>
        <v>26, 04, 03, 07</v>
      </c>
      <c r="R538" s="70" t="s">
        <v>216</v>
      </c>
      <c r="S538" s="70" t="s">
        <v>53</v>
      </c>
      <c r="T538" s="70" t="s">
        <v>57</v>
      </c>
      <c r="U538" s="70"/>
      <c r="V538" s="70"/>
      <c r="X538" s="70" t="str">
        <f t="shared" si="193"/>
        <v>RM2E-E DT@E</v>
      </c>
      <c r="Y538" s="70" t="str">
        <f t="shared" si="194"/>
        <v>E DT-TEST@E</v>
      </c>
      <c r="Z538" s="70" t="str">
        <f t="shared" si="195"/>
        <v/>
      </c>
      <c r="AA538" s="70" t="str">
        <f t="shared" si="196"/>
        <v/>
      </c>
      <c r="AC538" s="70" t="str">
        <f t="shared" si="185"/>
        <v>327, 326, 325, 318, 317, 316, 311, 303, 305, 302</v>
      </c>
      <c r="AD538" s="70" t="str">
        <f t="shared" si="186"/>
        <v>305, 303, 304, 308</v>
      </c>
      <c r="AE538" s="70" t="str">
        <f t="shared" si="187"/>
        <v/>
      </c>
      <c r="AF538" s="70" t="str">
        <f t="shared" si="188"/>
        <v/>
      </c>
      <c r="AH538" s="70" t="str">
        <f t="shared" si="189"/>
        <v>26, 04</v>
      </c>
      <c r="AI538" s="70" t="str">
        <f t="shared" si="190"/>
        <v>03, 07</v>
      </c>
      <c r="AJ538" s="70" t="str">
        <f t="shared" si="191"/>
        <v/>
      </c>
      <c r="AK538" s="70" t="str">
        <f t="shared" si="192"/>
        <v/>
      </c>
      <c r="AN538" s="171"/>
      <c r="AO538" s="167"/>
      <c r="AP538" s="167"/>
    </row>
    <row r="539" spans="10:42" ht="20.100000000000001" customHeight="1" thickBot="1">
      <c r="J539" s="45" t="str">
        <f t="shared" si="183"/>
        <v>TEST</v>
      </c>
      <c r="K539" s="45" t="s">
        <v>130</v>
      </c>
      <c r="L539" s="45" t="str">
        <f t="shared" si="184"/>
        <v>RM2W-TEST@E</v>
      </c>
      <c r="M539" s="75" t="str">
        <f t="shared" si="177"/>
        <v>327, 326, 325, 318, 317, 316, 311, 303, 305, 302, 305, 303, 304, 308</v>
      </c>
      <c r="N539" s="75" t="str">
        <f t="shared" si="178"/>
        <v>26, 04, 03, 07</v>
      </c>
      <c r="R539" s="70" t="s">
        <v>224</v>
      </c>
      <c r="S539" s="70" t="s">
        <v>53</v>
      </c>
      <c r="T539" s="70" t="s">
        <v>57</v>
      </c>
      <c r="U539" s="70"/>
      <c r="V539" s="70"/>
      <c r="X539" s="70" t="str">
        <f t="shared" si="193"/>
        <v>RM2W-E DT@E</v>
      </c>
      <c r="Y539" s="70" t="str">
        <f t="shared" si="194"/>
        <v>E DT-TEST@E</v>
      </c>
      <c r="Z539" s="70" t="str">
        <f t="shared" si="195"/>
        <v/>
      </c>
      <c r="AA539" s="70" t="str">
        <f t="shared" si="196"/>
        <v/>
      </c>
      <c r="AC539" s="70" t="str">
        <f t="shared" si="185"/>
        <v>327, 326, 325, 318, 317, 316, 311, 303, 305, 302</v>
      </c>
      <c r="AD539" s="70" t="str">
        <f t="shared" si="186"/>
        <v>305, 303, 304, 308</v>
      </c>
      <c r="AE539" s="70" t="str">
        <f t="shared" si="187"/>
        <v/>
      </c>
      <c r="AF539" s="70" t="str">
        <f t="shared" si="188"/>
        <v/>
      </c>
      <c r="AH539" s="70" t="str">
        <f t="shared" si="189"/>
        <v>26, 04</v>
      </c>
      <c r="AI539" s="70" t="str">
        <f t="shared" si="190"/>
        <v>03, 07</v>
      </c>
      <c r="AJ539" s="70" t="str">
        <f t="shared" si="191"/>
        <v/>
      </c>
      <c r="AK539" s="70" t="str">
        <f t="shared" si="192"/>
        <v/>
      </c>
      <c r="AN539" s="171"/>
      <c r="AO539" s="167"/>
      <c r="AP539" s="167"/>
    </row>
    <row r="540" spans="10:42" ht="20.100000000000001" customHeight="1" thickBot="1">
      <c r="J540" s="45" t="str">
        <f t="shared" si="183"/>
        <v>TEST</v>
      </c>
      <c r="K540" s="45" t="s">
        <v>130</v>
      </c>
      <c r="L540" s="45" t="str">
        <f t="shared" si="184"/>
        <v>RM3E-TEST@E</v>
      </c>
      <c r="M540" s="75" t="str">
        <f t="shared" si="177"/>
        <v>327, 326, 325, 318, 317, 316, 311, 303, 305, 302, 305, 303, 304, 308</v>
      </c>
      <c r="N540" s="75" t="str">
        <f t="shared" si="178"/>
        <v>27, 04, 03, 07</v>
      </c>
      <c r="R540" s="70" t="s">
        <v>231</v>
      </c>
      <c r="S540" s="70" t="s">
        <v>53</v>
      </c>
      <c r="T540" s="70" t="s">
        <v>57</v>
      </c>
      <c r="U540" s="70"/>
      <c r="V540" s="70"/>
      <c r="X540" s="70" t="str">
        <f t="shared" si="193"/>
        <v>RM3E-E DT@E</v>
      </c>
      <c r="Y540" s="70" t="str">
        <f t="shared" si="194"/>
        <v>E DT-TEST@E</v>
      </c>
      <c r="Z540" s="70" t="str">
        <f t="shared" si="195"/>
        <v/>
      </c>
      <c r="AA540" s="70" t="str">
        <f t="shared" si="196"/>
        <v/>
      </c>
      <c r="AC540" s="70" t="str">
        <f t="shared" si="185"/>
        <v>327, 326, 325, 318, 317, 316, 311, 303, 305, 302</v>
      </c>
      <c r="AD540" s="70" t="str">
        <f t="shared" si="186"/>
        <v>305, 303, 304, 308</v>
      </c>
      <c r="AE540" s="70" t="str">
        <f t="shared" si="187"/>
        <v/>
      </c>
      <c r="AF540" s="70" t="str">
        <f t="shared" si="188"/>
        <v/>
      </c>
      <c r="AH540" s="70" t="str">
        <f t="shared" si="189"/>
        <v>27, 04</v>
      </c>
      <c r="AI540" s="70" t="str">
        <f t="shared" si="190"/>
        <v>03, 07</v>
      </c>
      <c r="AJ540" s="70" t="str">
        <f t="shared" si="191"/>
        <v/>
      </c>
      <c r="AK540" s="70" t="str">
        <f t="shared" si="192"/>
        <v/>
      </c>
      <c r="AN540" s="171"/>
      <c r="AO540" s="167"/>
      <c r="AP540" s="167"/>
    </row>
    <row r="541" spans="10:42" ht="20.100000000000001" customHeight="1" thickBot="1">
      <c r="J541" s="45" t="str">
        <f t="shared" si="183"/>
        <v>TEST</v>
      </c>
      <c r="K541" s="45" t="s">
        <v>130</v>
      </c>
      <c r="L541" s="45" t="str">
        <f t="shared" si="184"/>
        <v>RM3W-TEST@E</v>
      </c>
      <c r="M541" s="75" t="str">
        <f t="shared" si="177"/>
        <v>327, 326, 325, 318, 317, 316, 311, 303, 305, 302, 305, 303, 304, 308</v>
      </c>
      <c r="N541" s="75" t="str">
        <f t="shared" si="178"/>
        <v>27, 04, 03, 07</v>
      </c>
      <c r="R541" s="70" t="s">
        <v>238</v>
      </c>
      <c r="S541" s="70" t="s">
        <v>53</v>
      </c>
      <c r="T541" s="70" t="s">
        <v>57</v>
      </c>
      <c r="U541" s="70"/>
      <c r="V541" s="70"/>
      <c r="X541" s="70" t="str">
        <f t="shared" si="193"/>
        <v>RM3W-E DT@E</v>
      </c>
      <c r="Y541" s="70" t="str">
        <f t="shared" si="194"/>
        <v>E DT-TEST@E</v>
      </c>
      <c r="Z541" s="70" t="str">
        <f t="shared" si="195"/>
        <v/>
      </c>
      <c r="AA541" s="70" t="str">
        <f t="shared" si="196"/>
        <v/>
      </c>
      <c r="AC541" s="70" t="str">
        <f t="shared" si="185"/>
        <v>327, 326, 325, 318, 317, 316, 311, 303, 305, 302</v>
      </c>
      <c r="AD541" s="70" t="str">
        <f t="shared" si="186"/>
        <v>305, 303, 304, 308</v>
      </c>
      <c r="AE541" s="70" t="str">
        <f t="shared" si="187"/>
        <v/>
      </c>
      <c r="AF541" s="70" t="str">
        <f t="shared" si="188"/>
        <v/>
      </c>
      <c r="AH541" s="70" t="str">
        <f t="shared" si="189"/>
        <v>27, 04</v>
      </c>
      <c r="AI541" s="70" t="str">
        <f t="shared" si="190"/>
        <v>03, 07</v>
      </c>
      <c r="AJ541" s="70" t="str">
        <f t="shared" si="191"/>
        <v/>
      </c>
      <c r="AK541" s="70" t="str">
        <f t="shared" si="192"/>
        <v/>
      </c>
      <c r="AN541" s="171"/>
      <c r="AO541" s="167"/>
      <c r="AP541" s="167"/>
    </row>
    <row r="542" spans="10:42" ht="20.100000000000001" customHeight="1" thickBot="1">
      <c r="J542" s="45" t="str">
        <f t="shared" si="183"/>
        <v>TEST</v>
      </c>
      <c r="K542" s="45" t="s">
        <v>130</v>
      </c>
      <c r="L542" s="45" t="str">
        <f t="shared" si="184"/>
        <v>HCTE-TEST@E</v>
      </c>
      <c r="M542" s="75" t="str">
        <f t="shared" si="177"/>
        <v>329, 328, 325, 318, 317, 316, 311, 303, 305, 302, 305, 303, 304, 308</v>
      </c>
      <c r="N542" s="75" t="str">
        <f t="shared" si="178"/>
        <v>28, 04, 03, 07</v>
      </c>
      <c r="R542" s="70" t="s">
        <v>246</v>
      </c>
      <c r="S542" s="70" t="s">
        <v>53</v>
      </c>
      <c r="T542" s="70" t="s">
        <v>57</v>
      </c>
      <c r="U542" s="70"/>
      <c r="V542" s="70"/>
      <c r="X542" s="70" t="str">
        <f t="shared" si="193"/>
        <v>HCTE-E DT@E</v>
      </c>
      <c r="Y542" s="70" t="str">
        <f t="shared" si="194"/>
        <v>E DT-TEST@E</v>
      </c>
      <c r="Z542" s="70" t="str">
        <f t="shared" si="195"/>
        <v/>
      </c>
      <c r="AA542" s="70" t="str">
        <f t="shared" si="196"/>
        <v/>
      </c>
      <c r="AC542" s="70" t="str">
        <f t="shared" si="185"/>
        <v>329, 328, 325, 318, 317, 316, 311, 303, 305, 302</v>
      </c>
      <c r="AD542" s="70" t="str">
        <f t="shared" si="186"/>
        <v>305, 303, 304, 308</v>
      </c>
      <c r="AE542" s="70" t="str">
        <f t="shared" si="187"/>
        <v/>
      </c>
      <c r="AF542" s="70" t="str">
        <f t="shared" si="188"/>
        <v/>
      </c>
      <c r="AH542" s="70" t="str">
        <f t="shared" si="189"/>
        <v>28, 04</v>
      </c>
      <c r="AI542" s="70" t="str">
        <f t="shared" si="190"/>
        <v>03, 07</v>
      </c>
      <c r="AJ542" s="70" t="str">
        <f t="shared" si="191"/>
        <v/>
      </c>
      <c r="AK542" s="70" t="str">
        <f t="shared" si="192"/>
        <v/>
      </c>
      <c r="AN542" s="171"/>
      <c r="AO542" s="167"/>
      <c r="AP542" s="167"/>
    </row>
    <row r="543" spans="10:42" ht="20.100000000000001" customHeight="1" thickBot="1">
      <c r="J543" s="45" t="str">
        <f t="shared" si="183"/>
        <v>TEST</v>
      </c>
      <c r="K543" s="45" t="s">
        <v>130</v>
      </c>
      <c r="L543" s="45" t="str">
        <f t="shared" si="184"/>
        <v>HCTW-TEST@E</v>
      </c>
      <c r="M543" s="75" t="str">
        <f t="shared" si="177"/>
        <v>329, 328, 325, 318, 317, 316, 311, 303, 305, 302, 305, 303, 304, 308</v>
      </c>
      <c r="N543" s="75" t="str">
        <f t="shared" si="178"/>
        <v>28, 04, 03, 07</v>
      </c>
      <c r="R543" s="70" t="s">
        <v>254</v>
      </c>
      <c r="S543" s="70" t="s">
        <v>53</v>
      </c>
      <c r="T543" s="70" t="s">
        <v>57</v>
      </c>
      <c r="U543" s="70"/>
      <c r="V543" s="70"/>
      <c r="X543" s="70" t="str">
        <f t="shared" si="193"/>
        <v>HCTW-E DT@E</v>
      </c>
      <c r="Y543" s="70" t="str">
        <f t="shared" si="194"/>
        <v>E DT-TEST@E</v>
      </c>
      <c r="Z543" s="70" t="str">
        <f t="shared" si="195"/>
        <v/>
      </c>
      <c r="AA543" s="70" t="str">
        <f t="shared" si="196"/>
        <v/>
      </c>
      <c r="AC543" s="70" t="str">
        <f t="shared" si="185"/>
        <v>329, 328, 325, 318, 317, 316, 311, 303, 305, 302</v>
      </c>
      <c r="AD543" s="70" t="str">
        <f t="shared" si="186"/>
        <v>305, 303, 304, 308</v>
      </c>
      <c r="AE543" s="70" t="str">
        <f t="shared" si="187"/>
        <v/>
      </c>
      <c r="AF543" s="70" t="str">
        <f t="shared" si="188"/>
        <v/>
      </c>
      <c r="AH543" s="70" t="str">
        <f t="shared" si="189"/>
        <v>28, 04</v>
      </c>
      <c r="AI543" s="70" t="str">
        <f t="shared" si="190"/>
        <v>03, 07</v>
      </c>
      <c r="AJ543" s="70" t="str">
        <f t="shared" si="191"/>
        <v/>
      </c>
      <c r="AK543" s="70" t="str">
        <f t="shared" si="192"/>
        <v/>
      </c>
      <c r="AN543" s="171"/>
      <c r="AO543" s="167"/>
      <c r="AP543" s="167"/>
    </row>
    <row r="544" spans="10:42" ht="20.100000000000001" customHeight="1" thickBot="1">
      <c r="J544" s="45" t="str">
        <f t="shared" si="183"/>
        <v>TEST</v>
      </c>
      <c r="K544" s="45" t="s">
        <v>130</v>
      </c>
      <c r="L544" s="45" t="str">
        <f t="shared" si="184"/>
        <v>1E-TEST@E</v>
      </c>
      <c r="M544" s="75" t="str">
        <f t="shared" si="177"/>
        <v>329, 328, 325, 318, 317, 316, 311, 303, 305, 302, 305, 303, 304, 308</v>
      </c>
      <c r="N544" s="75" t="str">
        <f t="shared" si="178"/>
        <v>29, 04, 03, 07</v>
      </c>
      <c r="R544" s="70" t="s">
        <v>261</v>
      </c>
      <c r="S544" s="70" t="s">
        <v>53</v>
      </c>
      <c r="T544" s="70" t="s">
        <v>57</v>
      </c>
      <c r="U544" s="70"/>
      <c r="V544" s="70"/>
      <c r="X544" s="70" t="str">
        <f t="shared" si="193"/>
        <v>1E-E DT@E</v>
      </c>
      <c r="Y544" s="70" t="str">
        <f t="shared" si="194"/>
        <v>E DT-TEST@E</v>
      </c>
      <c r="Z544" s="70" t="str">
        <f t="shared" si="195"/>
        <v/>
      </c>
      <c r="AA544" s="70" t="str">
        <f t="shared" si="196"/>
        <v/>
      </c>
      <c r="AC544" s="70" t="str">
        <f t="shared" si="185"/>
        <v>329, 328, 325, 318, 317, 316, 311, 303, 305, 302</v>
      </c>
      <c r="AD544" s="70" t="str">
        <f t="shared" si="186"/>
        <v>305, 303, 304, 308</v>
      </c>
      <c r="AE544" s="70" t="str">
        <f t="shared" si="187"/>
        <v/>
      </c>
      <c r="AF544" s="70" t="str">
        <f t="shared" si="188"/>
        <v/>
      </c>
      <c r="AH544" s="70" t="str">
        <f t="shared" si="189"/>
        <v>29, 04</v>
      </c>
      <c r="AI544" s="70" t="str">
        <f t="shared" si="190"/>
        <v>03, 07</v>
      </c>
      <c r="AJ544" s="70" t="str">
        <f t="shared" si="191"/>
        <v/>
      </c>
      <c r="AK544" s="70" t="str">
        <f t="shared" si="192"/>
        <v/>
      </c>
      <c r="AN544" s="171"/>
      <c r="AO544" s="167"/>
      <c r="AP544" s="167"/>
    </row>
    <row r="545" spans="10:42" ht="20.100000000000001" customHeight="1" thickBot="1">
      <c r="J545" s="45" t="str">
        <f t="shared" si="183"/>
        <v>TEST</v>
      </c>
      <c r="K545" s="45" t="s">
        <v>130</v>
      </c>
      <c r="L545" s="45" t="str">
        <f t="shared" si="184"/>
        <v>1W-TEST@E</v>
      </c>
      <c r="M545" s="75" t="str">
        <f t="shared" si="177"/>
        <v>329, 328, 325, 318, 317, 316, 311, 303, 305, 302, 305, 303, 304, 308</v>
      </c>
      <c r="N545" s="75" t="str">
        <f t="shared" si="178"/>
        <v>29, 04, 03, 07</v>
      </c>
      <c r="R545" s="70" t="s">
        <v>269</v>
      </c>
      <c r="S545" s="70" t="s">
        <v>53</v>
      </c>
      <c r="T545" s="70" t="s">
        <v>57</v>
      </c>
      <c r="U545" s="70"/>
      <c r="V545" s="70"/>
      <c r="X545" s="70" t="str">
        <f t="shared" si="193"/>
        <v>1W-E DT@E</v>
      </c>
      <c r="Y545" s="70" t="str">
        <f t="shared" si="194"/>
        <v>E DT-TEST@E</v>
      </c>
      <c r="Z545" s="70" t="str">
        <f t="shared" si="195"/>
        <v/>
      </c>
      <c r="AA545" s="70" t="str">
        <f t="shared" si="196"/>
        <v/>
      </c>
      <c r="AC545" s="70" t="str">
        <f t="shared" si="185"/>
        <v>329, 328, 325, 318, 317, 316, 311, 303, 305, 302</v>
      </c>
      <c r="AD545" s="70" t="str">
        <f t="shared" si="186"/>
        <v>305, 303, 304, 308</v>
      </c>
      <c r="AE545" s="70" t="str">
        <f t="shared" si="187"/>
        <v/>
      </c>
      <c r="AF545" s="70" t="str">
        <f t="shared" si="188"/>
        <v/>
      </c>
      <c r="AH545" s="70" t="str">
        <f t="shared" si="189"/>
        <v>29, 04</v>
      </c>
      <c r="AI545" s="70" t="str">
        <f t="shared" si="190"/>
        <v>03, 07</v>
      </c>
      <c r="AJ545" s="70" t="str">
        <f t="shared" si="191"/>
        <v/>
      </c>
      <c r="AK545" s="70" t="str">
        <f t="shared" si="192"/>
        <v/>
      </c>
      <c r="AN545" s="171"/>
      <c r="AO545" s="167"/>
      <c r="AP545" s="167"/>
    </row>
    <row r="546" spans="10:42" ht="20.100000000000001" customHeight="1" thickBot="1">
      <c r="J546" s="45" t="str">
        <f t="shared" si="183"/>
        <v>TEST</v>
      </c>
      <c r="K546" s="45" t="s">
        <v>130</v>
      </c>
      <c r="L546" s="45" t="str">
        <f t="shared" si="184"/>
        <v>2E-TEST@E</v>
      </c>
      <c r="M546" s="75" t="str">
        <f t="shared" si="177"/>
        <v>330, 328, 325, 318, 317, 316, 311, 303, 305, 302, 305, 303, 304, 308</v>
      </c>
      <c r="N546" s="75" t="str">
        <f t="shared" si="178"/>
        <v>30, 04, 03, 07</v>
      </c>
      <c r="R546" s="70" t="s">
        <v>276</v>
      </c>
      <c r="S546" s="70" t="s">
        <v>53</v>
      </c>
      <c r="T546" s="70" t="s">
        <v>57</v>
      </c>
      <c r="U546" s="70"/>
      <c r="V546" s="70"/>
      <c r="X546" s="70" t="str">
        <f t="shared" si="193"/>
        <v>2E-E DT@E</v>
      </c>
      <c r="Y546" s="70" t="str">
        <f t="shared" si="194"/>
        <v>E DT-TEST@E</v>
      </c>
      <c r="Z546" s="70" t="str">
        <f t="shared" si="195"/>
        <v/>
      </c>
      <c r="AA546" s="70" t="str">
        <f t="shared" si="196"/>
        <v/>
      </c>
      <c r="AC546" s="70" t="str">
        <f t="shared" si="185"/>
        <v>330, 328, 325, 318, 317, 316, 311, 303, 305, 302</v>
      </c>
      <c r="AD546" s="70" t="str">
        <f t="shared" si="186"/>
        <v>305, 303, 304, 308</v>
      </c>
      <c r="AE546" s="70" t="str">
        <f t="shared" si="187"/>
        <v/>
      </c>
      <c r="AF546" s="70" t="str">
        <f t="shared" si="188"/>
        <v/>
      </c>
      <c r="AH546" s="70" t="str">
        <f t="shared" si="189"/>
        <v>30, 04</v>
      </c>
      <c r="AI546" s="70" t="str">
        <f t="shared" si="190"/>
        <v>03, 07</v>
      </c>
      <c r="AJ546" s="70" t="str">
        <f t="shared" si="191"/>
        <v/>
      </c>
      <c r="AK546" s="70" t="str">
        <f t="shared" si="192"/>
        <v/>
      </c>
      <c r="AN546" s="171"/>
      <c r="AO546" s="167"/>
      <c r="AP546" s="167"/>
    </row>
    <row r="547" spans="10:42" ht="20.100000000000001" customHeight="1" thickBot="1">
      <c r="J547" s="45" t="str">
        <f t="shared" si="183"/>
        <v>TEST</v>
      </c>
      <c r="K547" s="45" t="s">
        <v>130</v>
      </c>
      <c r="L547" s="45" t="str">
        <f t="shared" si="184"/>
        <v>2W-TEST@E</v>
      </c>
      <c r="M547" s="75" t="str">
        <f t="shared" si="177"/>
        <v>330, 328, 325, 318, 317, 316, 311, 303, 305, 302, 305, 303, 304, 308</v>
      </c>
      <c r="N547" s="75" t="str">
        <f t="shared" si="178"/>
        <v>30, 04, 03, 07</v>
      </c>
      <c r="R547" s="70" t="s">
        <v>285</v>
      </c>
      <c r="S547" s="70" t="s">
        <v>53</v>
      </c>
      <c r="T547" s="70" t="s">
        <v>57</v>
      </c>
      <c r="U547" s="70"/>
      <c r="V547" s="70"/>
      <c r="X547" s="70" t="str">
        <f t="shared" si="193"/>
        <v>2W-E DT@E</v>
      </c>
      <c r="Y547" s="70" t="str">
        <f t="shared" si="194"/>
        <v>E DT-TEST@E</v>
      </c>
      <c r="Z547" s="70" t="str">
        <f t="shared" si="195"/>
        <v/>
      </c>
      <c r="AA547" s="70" t="str">
        <f t="shared" si="196"/>
        <v/>
      </c>
      <c r="AC547" s="70" t="str">
        <f t="shared" si="185"/>
        <v>330, 328, 325, 318, 317, 316, 311, 303, 305, 302</v>
      </c>
      <c r="AD547" s="70" t="str">
        <f t="shared" si="186"/>
        <v>305, 303, 304, 308</v>
      </c>
      <c r="AE547" s="70" t="str">
        <f t="shared" si="187"/>
        <v/>
      </c>
      <c r="AF547" s="70" t="str">
        <f t="shared" si="188"/>
        <v/>
      </c>
      <c r="AH547" s="70" t="str">
        <f t="shared" si="189"/>
        <v>30, 04</v>
      </c>
      <c r="AI547" s="70" t="str">
        <f t="shared" si="190"/>
        <v>03, 07</v>
      </c>
      <c r="AJ547" s="70" t="str">
        <f t="shared" si="191"/>
        <v/>
      </c>
      <c r="AK547" s="70" t="str">
        <f t="shared" si="192"/>
        <v/>
      </c>
      <c r="AN547" s="171"/>
      <c r="AO547" s="167"/>
      <c r="AP547" s="167"/>
    </row>
    <row r="548" spans="10:42" ht="20.100000000000001" customHeight="1" thickBot="1">
      <c r="J548" s="45" t="str">
        <f t="shared" si="183"/>
        <v>TEST</v>
      </c>
      <c r="K548" s="45" t="s">
        <v>130</v>
      </c>
      <c r="L548" s="45" t="str">
        <f t="shared" si="184"/>
        <v>3E-TEST@E</v>
      </c>
      <c r="M548" s="75" t="str">
        <f t="shared" si="177"/>
        <v>330, 328, 325, 318, 317, 316, 311, 303, 305, 302, 305, 303, 304, 308</v>
      </c>
      <c r="N548" s="75" t="str">
        <f t="shared" si="178"/>
        <v>31, 04, 03, 07</v>
      </c>
      <c r="R548" s="70" t="s">
        <v>293</v>
      </c>
      <c r="S548" s="70" t="s">
        <v>53</v>
      </c>
      <c r="T548" s="70" t="s">
        <v>57</v>
      </c>
      <c r="U548" s="70"/>
      <c r="V548" s="70"/>
      <c r="X548" s="70" t="str">
        <f t="shared" si="193"/>
        <v>3E-E DT@E</v>
      </c>
      <c r="Y548" s="70" t="str">
        <f t="shared" si="194"/>
        <v>E DT-TEST@E</v>
      </c>
      <c r="Z548" s="70" t="str">
        <f t="shared" si="195"/>
        <v/>
      </c>
      <c r="AA548" s="70" t="str">
        <f t="shared" si="196"/>
        <v/>
      </c>
      <c r="AC548" s="70" t="str">
        <f t="shared" si="185"/>
        <v>330, 328, 325, 318, 317, 316, 311, 303, 305, 302</v>
      </c>
      <c r="AD548" s="70" t="str">
        <f t="shared" si="186"/>
        <v>305, 303, 304, 308</v>
      </c>
      <c r="AE548" s="70" t="str">
        <f t="shared" si="187"/>
        <v/>
      </c>
      <c r="AF548" s="70" t="str">
        <f t="shared" si="188"/>
        <v/>
      </c>
      <c r="AH548" s="70" t="str">
        <f t="shared" si="189"/>
        <v>31, 04</v>
      </c>
      <c r="AI548" s="70" t="str">
        <f t="shared" si="190"/>
        <v>03, 07</v>
      </c>
      <c r="AJ548" s="70" t="str">
        <f t="shared" si="191"/>
        <v/>
      </c>
      <c r="AK548" s="70" t="str">
        <f t="shared" si="192"/>
        <v/>
      </c>
      <c r="AN548" s="171"/>
      <c r="AO548" s="167"/>
      <c r="AP548" s="167"/>
    </row>
    <row r="549" spans="10:42" ht="20.100000000000001" customHeight="1" thickBot="1">
      <c r="J549" s="45" t="str">
        <f t="shared" si="183"/>
        <v>TEST</v>
      </c>
      <c r="K549" s="45" t="s">
        <v>130</v>
      </c>
      <c r="L549" s="45" t="str">
        <f t="shared" si="184"/>
        <v>3W-TEST@E</v>
      </c>
      <c r="M549" s="75" t="str">
        <f t="shared" si="177"/>
        <v>330, 328, 325, 318, 317, 316, 311, 303, 305, 302, 305, 303, 304, 308</v>
      </c>
      <c r="N549" s="75" t="str">
        <f t="shared" si="178"/>
        <v>31, 04, 03, 07</v>
      </c>
      <c r="R549" s="70" t="s">
        <v>301</v>
      </c>
      <c r="S549" s="70" t="s">
        <v>53</v>
      </c>
      <c r="T549" s="70" t="s">
        <v>57</v>
      </c>
      <c r="U549" s="70"/>
      <c r="V549" s="70"/>
      <c r="X549" s="70" t="str">
        <f t="shared" si="193"/>
        <v>3W-E DT@E</v>
      </c>
      <c r="Y549" s="70" t="str">
        <f t="shared" si="194"/>
        <v>E DT-TEST@E</v>
      </c>
      <c r="Z549" s="70" t="str">
        <f t="shared" si="195"/>
        <v/>
      </c>
      <c r="AA549" s="70" t="str">
        <f t="shared" si="196"/>
        <v/>
      </c>
      <c r="AC549" s="70" t="str">
        <f t="shared" si="185"/>
        <v>330, 328, 325, 318, 317, 316, 311, 303, 305, 302</v>
      </c>
      <c r="AD549" s="70" t="str">
        <f t="shared" si="186"/>
        <v>305, 303, 304, 308</v>
      </c>
      <c r="AE549" s="70" t="str">
        <f t="shared" si="187"/>
        <v/>
      </c>
      <c r="AF549" s="70" t="str">
        <f t="shared" si="188"/>
        <v/>
      </c>
      <c r="AH549" s="70" t="str">
        <f t="shared" si="189"/>
        <v>31, 04</v>
      </c>
      <c r="AI549" s="70" t="str">
        <f t="shared" si="190"/>
        <v>03, 07</v>
      </c>
      <c r="AJ549" s="70" t="str">
        <f t="shared" si="191"/>
        <v/>
      </c>
      <c r="AK549" s="70" t="str">
        <f t="shared" si="192"/>
        <v/>
      </c>
      <c r="AN549" s="171"/>
      <c r="AO549" s="167"/>
      <c r="AP549" s="167"/>
    </row>
    <row r="550" spans="10:42" ht="20.100000000000001" customHeight="1" thickBot="1">
      <c r="J550" s="45" t="str">
        <f t="shared" si="183"/>
        <v>TEST</v>
      </c>
      <c r="K550" s="45" t="s">
        <v>130</v>
      </c>
      <c r="L550" s="45" t="str">
        <f t="shared" si="184"/>
        <v>4E-TEST@E</v>
      </c>
      <c r="M550" s="75" t="str">
        <f t="shared" si="177"/>
        <v>333, 331, 318, 317, 316, 311, 303, 305, 302, 305, 303, 304, 308</v>
      </c>
      <c r="N550" s="75" t="str">
        <f t="shared" si="178"/>
        <v>32, 04, 03, 07</v>
      </c>
      <c r="R550" s="70" t="s">
        <v>309</v>
      </c>
      <c r="S550" s="70" t="s">
        <v>53</v>
      </c>
      <c r="T550" s="70" t="s">
        <v>57</v>
      </c>
      <c r="U550" s="70"/>
      <c r="V550" s="70"/>
      <c r="X550" s="70" t="str">
        <f t="shared" si="193"/>
        <v>4E-E DT@E</v>
      </c>
      <c r="Y550" s="70" t="str">
        <f t="shared" si="194"/>
        <v>E DT-TEST@E</v>
      </c>
      <c r="Z550" s="70" t="str">
        <f t="shared" si="195"/>
        <v/>
      </c>
      <c r="AA550" s="70" t="str">
        <f t="shared" si="196"/>
        <v/>
      </c>
      <c r="AC550" s="70" t="str">
        <f t="shared" si="185"/>
        <v>333, 331, 318, 317, 316, 311, 303, 305, 302</v>
      </c>
      <c r="AD550" s="70" t="str">
        <f t="shared" si="186"/>
        <v>305, 303, 304, 308</v>
      </c>
      <c r="AE550" s="70" t="str">
        <f t="shared" si="187"/>
        <v/>
      </c>
      <c r="AF550" s="70" t="str">
        <f t="shared" si="188"/>
        <v/>
      </c>
      <c r="AH550" s="70" t="str">
        <f t="shared" si="189"/>
        <v>32, 04</v>
      </c>
      <c r="AI550" s="70" t="str">
        <f t="shared" si="190"/>
        <v>03, 07</v>
      </c>
      <c r="AJ550" s="70" t="str">
        <f t="shared" si="191"/>
        <v/>
      </c>
      <c r="AK550" s="70" t="str">
        <f t="shared" si="192"/>
        <v/>
      </c>
      <c r="AN550" s="171"/>
      <c r="AO550" s="167"/>
      <c r="AP550" s="167"/>
    </row>
    <row r="551" spans="10:42" ht="20.100000000000001" customHeight="1" thickBot="1">
      <c r="J551" s="45" t="str">
        <f t="shared" si="183"/>
        <v>TEST</v>
      </c>
      <c r="K551" s="45" t="s">
        <v>130</v>
      </c>
      <c r="L551" s="45" t="str">
        <f t="shared" si="184"/>
        <v>4W-TEST@E</v>
      </c>
      <c r="M551" s="75" t="str">
        <f t="shared" si="177"/>
        <v>333, 331, 318, 317, 316, 311, 303, 305, 302, 305, 303, 304, 308</v>
      </c>
      <c r="N551" s="75" t="str">
        <f t="shared" si="178"/>
        <v>32, 04, 03, 07</v>
      </c>
      <c r="R551" s="70" t="s">
        <v>318</v>
      </c>
      <c r="S551" s="70" t="s">
        <v>53</v>
      </c>
      <c r="T551" s="70" t="s">
        <v>57</v>
      </c>
      <c r="U551" s="70"/>
      <c r="V551" s="70"/>
      <c r="X551" s="70" t="str">
        <f t="shared" si="193"/>
        <v>4W-E DT@E</v>
      </c>
      <c r="Y551" s="70" t="str">
        <f t="shared" si="194"/>
        <v>E DT-TEST@E</v>
      </c>
      <c r="Z551" s="70" t="str">
        <f t="shared" si="195"/>
        <v/>
      </c>
      <c r="AA551" s="70" t="str">
        <f t="shared" si="196"/>
        <v/>
      </c>
      <c r="AC551" s="70" t="str">
        <f t="shared" si="185"/>
        <v>333, 331, 318, 317, 316, 311, 303, 305, 302</v>
      </c>
      <c r="AD551" s="70" t="str">
        <f t="shared" si="186"/>
        <v>305, 303, 304, 308</v>
      </c>
      <c r="AE551" s="70" t="str">
        <f t="shared" si="187"/>
        <v/>
      </c>
      <c r="AF551" s="70" t="str">
        <f t="shared" si="188"/>
        <v/>
      </c>
      <c r="AH551" s="70" t="str">
        <f t="shared" si="189"/>
        <v>32, 04</v>
      </c>
      <c r="AI551" s="70" t="str">
        <f t="shared" si="190"/>
        <v>03, 07</v>
      </c>
      <c r="AJ551" s="70" t="str">
        <f t="shared" si="191"/>
        <v/>
      </c>
      <c r="AK551" s="70" t="str">
        <f t="shared" si="192"/>
        <v/>
      </c>
      <c r="AN551" s="171"/>
      <c r="AO551" s="167"/>
      <c r="AP551" s="167"/>
    </row>
    <row r="552" spans="10:42" ht="20.100000000000001" customHeight="1" thickBot="1">
      <c r="J552" s="45" t="str">
        <f t="shared" si="183"/>
        <v>TEST</v>
      </c>
      <c r="K552" s="45" t="s">
        <v>130</v>
      </c>
      <c r="L552" s="45" t="str">
        <f t="shared" si="184"/>
        <v>5E-TEST@E</v>
      </c>
      <c r="M552" s="75" t="str">
        <f t="shared" si="177"/>
        <v>333, 331, 318, 317, 316, 311, 303, 305, 302, 305, 303, 304, 308</v>
      </c>
      <c r="N552" s="75" t="str">
        <f t="shared" si="178"/>
        <v>33, 04, 03, 07</v>
      </c>
      <c r="R552" s="70" t="s">
        <v>325</v>
      </c>
      <c r="S552" s="70" t="s">
        <v>53</v>
      </c>
      <c r="T552" s="70" t="s">
        <v>57</v>
      </c>
      <c r="U552" s="70"/>
      <c r="V552" s="70"/>
      <c r="X552" s="70" t="str">
        <f t="shared" si="193"/>
        <v>5E-E DT@E</v>
      </c>
      <c r="Y552" s="70" t="str">
        <f t="shared" si="194"/>
        <v>E DT-TEST@E</v>
      </c>
      <c r="Z552" s="70" t="str">
        <f t="shared" si="195"/>
        <v/>
      </c>
      <c r="AA552" s="70" t="str">
        <f t="shared" si="196"/>
        <v/>
      </c>
      <c r="AC552" s="70" t="str">
        <f t="shared" si="185"/>
        <v>333, 331, 318, 317, 316, 311, 303, 305, 302</v>
      </c>
      <c r="AD552" s="70" t="str">
        <f t="shared" si="186"/>
        <v>305, 303, 304, 308</v>
      </c>
      <c r="AE552" s="70" t="str">
        <f t="shared" si="187"/>
        <v/>
      </c>
      <c r="AF552" s="70" t="str">
        <f t="shared" si="188"/>
        <v/>
      </c>
      <c r="AH552" s="70" t="str">
        <f t="shared" si="189"/>
        <v>33, 04</v>
      </c>
      <c r="AI552" s="70" t="str">
        <f t="shared" si="190"/>
        <v>03, 07</v>
      </c>
      <c r="AJ552" s="70" t="str">
        <f t="shared" si="191"/>
        <v/>
      </c>
      <c r="AK552" s="70" t="str">
        <f t="shared" si="192"/>
        <v/>
      </c>
      <c r="AN552" s="171"/>
      <c r="AO552" s="167"/>
      <c r="AP552" s="167"/>
    </row>
    <row r="553" spans="10:42" ht="20.100000000000001" customHeight="1" thickBot="1">
      <c r="J553" s="45" t="str">
        <f t="shared" si="183"/>
        <v>TEST</v>
      </c>
      <c r="K553" s="45" t="s">
        <v>130</v>
      </c>
      <c r="L553" s="45" t="str">
        <f t="shared" si="184"/>
        <v>5W-TEST@E</v>
      </c>
      <c r="M553" s="75" t="str">
        <f t="shared" si="177"/>
        <v>333, 331, 318, 317, 316, 311, 303, 305, 302, 305, 303, 304, 308</v>
      </c>
      <c r="N553" s="75" t="str">
        <f t="shared" si="178"/>
        <v>33, 04, 03, 07</v>
      </c>
      <c r="R553" s="70" t="s">
        <v>333</v>
      </c>
      <c r="S553" s="70" t="s">
        <v>53</v>
      </c>
      <c r="T553" s="70" t="s">
        <v>57</v>
      </c>
      <c r="U553" s="70"/>
      <c r="V553" s="70"/>
      <c r="X553" s="70" t="str">
        <f t="shared" si="193"/>
        <v>5W-E DT@E</v>
      </c>
      <c r="Y553" s="70" t="str">
        <f t="shared" si="194"/>
        <v>E DT-TEST@E</v>
      </c>
      <c r="Z553" s="70" t="str">
        <f t="shared" si="195"/>
        <v/>
      </c>
      <c r="AA553" s="70" t="str">
        <f t="shared" si="196"/>
        <v/>
      </c>
      <c r="AC553" s="70" t="str">
        <f t="shared" si="185"/>
        <v>333, 331, 318, 317, 316, 311, 303, 305, 302</v>
      </c>
      <c r="AD553" s="70" t="str">
        <f t="shared" si="186"/>
        <v>305, 303, 304, 308</v>
      </c>
      <c r="AE553" s="70" t="str">
        <f t="shared" si="187"/>
        <v/>
      </c>
      <c r="AF553" s="70" t="str">
        <f t="shared" si="188"/>
        <v/>
      </c>
      <c r="AH553" s="70" t="str">
        <f t="shared" si="189"/>
        <v>33, 04</v>
      </c>
      <c r="AI553" s="70" t="str">
        <f t="shared" si="190"/>
        <v>03, 07</v>
      </c>
      <c r="AJ553" s="70" t="str">
        <f t="shared" si="191"/>
        <v/>
      </c>
      <c r="AK553" s="70" t="str">
        <f t="shared" si="192"/>
        <v/>
      </c>
      <c r="AN553" s="171"/>
      <c r="AO553" s="167"/>
      <c r="AP553" s="167"/>
    </row>
    <row r="554" spans="10:42" ht="20.100000000000001" customHeight="1" thickBot="1">
      <c r="J554" s="45" t="str">
        <f t="shared" si="183"/>
        <v>TEST</v>
      </c>
      <c r="K554" s="45" t="s">
        <v>130</v>
      </c>
      <c r="L554" s="45" t="str">
        <f t="shared" si="184"/>
        <v>6E-TEST@E</v>
      </c>
      <c r="M554" s="75" t="str">
        <f t="shared" si="177"/>
        <v>332, 331, 318, 317, 316, 311, 303, 305, 302, 305, 303, 304, 308</v>
      </c>
      <c r="N554" s="75" t="str">
        <f t="shared" si="178"/>
        <v>34, 04, 03, 07</v>
      </c>
      <c r="R554" s="70" t="s">
        <v>339</v>
      </c>
      <c r="S554" s="70" t="s">
        <v>53</v>
      </c>
      <c r="T554" s="70" t="s">
        <v>57</v>
      </c>
      <c r="U554" s="70"/>
      <c r="V554" s="70"/>
      <c r="X554" s="70" t="str">
        <f t="shared" si="193"/>
        <v>6E-E DT@E</v>
      </c>
      <c r="Y554" s="70" t="str">
        <f t="shared" si="194"/>
        <v>E DT-TEST@E</v>
      </c>
      <c r="Z554" s="70" t="str">
        <f t="shared" si="195"/>
        <v/>
      </c>
      <c r="AA554" s="70" t="str">
        <f t="shared" si="196"/>
        <v/>
      </c>
      <c r="AC554" s="70" t="str">
        <f t="shared" si="185"/>
        <v>332, 331, 318, 317, 316, 311, 303, 305, 302</v>
      </c>
      <c r="AD554" s="70" t="str">
        <f t="shared" si="186"/>
        <v>305, 303, 304, 308</v>
      </c>
      <c r="AE554" s="70" t="str">
        <f t="shared" si="187"/>
        <v/>
      </c>
      <c r="AF554" s="70" t="str">
        <f t="shared" si="188"/>
        <v/>
      </c>
      <c r="AH554" s="70" t="str">
        <f t="shared" si="189"/>
        <v>34, 04</v>
      </c>
      <c r="AI554" s="70" t="str">
        <f t="shared" si="190"/>
        <v>03, 07</v>
      </c>
      <c r="AJ554" s="70" t="str">
        <f t="shared" si="191"/>
        <v/>
      </c>
      <c r="AK554" s="70" t="str">
        <f t="shared" si="192"/>
        <v/>
      </c>
      <c r="AN554" s="171"/>
      <c r="AO554" s="167"/>
      <c r="AP554" s="167"/>
    </row>
    <row r="555" spans="10:42" ht="20.100000000000001" customHeight="1" thickBot="1">
      <c r="J555" s="45" t="str">
        <f t="shared" si="183"/>
        <v>TEST</v>
      </c>
      <c r="K555" s="45" t="s">
        <v>130</v>
      </c>
      <c r="L555" s="45" t="str">
        <f t="shared" si="184"/>
        <v>6W-TEST@E</v>
      </c>
      <c r="M555" s="75" t="str">
        <f t="shared" si="177"/>
        <v>332, 331, 318, 317, 316, 311, 303, 305, 302, 305, 303, 304, 308</v>
      </c>
      <c r="N555" s="75" t="str">
        <f t="shared" si="178"/>
        <v>34, 04, 03, 07</v>
      </c>
      <c r="R555" s="70" t="s">
        <v>346</v>
      </c>
      <c r="S555" s="70" t="s">
        <v>53</v>
      </c>
      <c r="T555" s="70" t="s">
        <v>57</v>
      </c>
      <c r="U555" s="70"/>
      <c r="V555" s="70"/>
      <c r="X555" s="70" t="str">
        <f t="shared" si="193"/>
        <v>6W-E DT@E</v>
      </c>
      <c r="Y555" s="70" t="str">
        <f t="shared" si="194"/>
        <v>E DT-TEST@E</v>
      </c>
      <c r="Z555" s="70" t="str">
        <f t="shared" si="195"/>
        <v/>
      </c>
      <c r="AA555" s="70" t="str">
        <f t="shared" si="196"/>
        <v/>
      </c>
      <c r="AC555" s="70" t="str">
        <f t="shared" si="185"/>
        <v>332, 331, 318, 317, 316, 311, 303, 305, 302</v>
      </c>
      <c r="AD555" s="70" t="str">
        <f t="shared" si="186"/>
        <v>305, 303, 304, 308</v>
      </c>
      <c r="AE555" s="70" t="str">
        <f t="shared" si="187"/>
        <v/>
      </c>
      <c r="AF555" s="70" t="str">
        <f t="shared" si="188"/>
        <v/>
      </c>
      <c r="AH555" s="70" t="str">
        <f t="shared" si="189"/>
        <v>34, 04</v>
      </c>
      <c r="AI555" s="70" t="str">
        <f t="shared" si="190"/>
        <v>03, 07</v>
      </c>
      <c r="AJ555" s="70" t="str">
        <f t="shared" si="191"/>
        <v/>
      </c>
      <c r="AK555" s="70" t="str">
        <f t="shared" si="192"/>
        <v/>
      </c>
      <c r="AN555" s="171"/>
      <c r="AO555" s="167"/>
      <c r="AP555" s="167"/>
    </row>
    <row r="556" spans="10:42" ht="20.100000000000001" customHeight="1" thickBot="1">
      <c r="J556" s="45" t="str">
        <f t="shared" si="183"/>
        <v>TEST</v>
      </c>
      <c r="K556" s="45" t="s">
        <v>130</v>
      </c>
      <c r="L556" s="45" t="str">
        <f t="shared" si="184"/>
        <v>7E-TEST@E</v>
      </c>
      <c r="M556" s="75" t="str">
        <f t="shared" si="177"/>
        <v>334, 332, 331, 318, 317, 316, 311, 303, 305, 302, 305, 303, 304, 308</v>
      </c>
      <c r="N556" s="75" t="str">
        <f t="shared" si="178"/>
        <v>35, 04, 03, 07</v>
      </c>
      <c r="R556" s="70" t="s">
        <v>354</v>
      </c>
      <c r="S556" s="70" t="s">
        <v>53</v>
      </c>
      <c r="T556" s="70" t="s">
        <v>57</v>
      </c>
      <c r="U556" s="70"/>
      <c r="V556" s="70"/>
      <c r="X556" s="70" t="str">
        <f t="shared" si="193"/>
        <v>7E-E DT@E</v>
      </c>
      <c r="Y556" s="70" t="str">
        <f t="shared" si="194"/>
        <v>E DT-TEST@E</v>
      </c>
      <c r="Z556" s="70" t="str">
        <f t="shared" si="195"/>
        <v/>
      </c>
      <c r="AA556" s="70" t="str">
        <f t="shared" si="196"/>
        <v/>
      </c>
      <c r="AC556" s="70" t="str">
        <f t="shared" si="185"/>
        <v>334, 332, 331, 318, 317, 316, 311, 303, 305, 302</v>
      </c>
      <c r="AD556" s="70" t="str">
        <f t="shared" si="186"/>
        <v>305, 303, 304, 308</v>
      </c>
      <c r="AE556" s="70" t="str">
        <f t="shared" si="187"/>
        <v/>
      </c>
      <c r="AF556" s="70" t="str">
        <f t="shared" si="188"/>
        <v/>
      </c>
      <c r="AH556" s="70" t="str">
        <f t="shared" si="189"/>
        <v>35, 04</v>
      </c>
      <c r="AI556" s="70" t="str">
        <f t="shared" si="190"/>
        <v>03, 07</v>
      </c>
      <c r="AJ556" s="70" t="str">
        <f t="shared" si="191"/>
        <v/>
      </c>
      <c r="AK556" s="70" t="str">
        <f t="shared" si="192"/>
        <v/>
      </c>
      <c r="AN556" s="171"/>
      <c r="AO556" s="167"/>
      <c r="AP556" s="167"/>
    </row>
    <row r="557" spans="10:42" ht="20.100000000000001" customHeight="1" thickBot="1">
      <c r="J557" s="45" t="str">
        <f t="shared" si="183"/>
        <v>TEST</v>
      </c>
      <c r="K557" s="45" t="s">
        <v>130</v>
      </c>
      <c r="L557" s="45" t="str">
        <f t="shared" si="184"/>
        <v>7W-TEST@E</v>
      </c>
      <c r="M557" s="75" t="str">
        <f t="shared" si="177"/>
        <v>334, 332, 331, 318, 317, 316, 311, 303, 305, 302, 305, 303, 304, 308</v>
      </c>
      <c r="N557" s="75" t="str">
        <f t="shared" si="178"/>
        <v>35, 04, 03, 07</v>
      </c>
      <c r="R557" s="70" t="s">
        <v>363</v>
      </c>
      <c r="S557" s="70" t="s">
        <v>53</v>
      </c>
      <c r="T557" s="70" t="s">
        <v>57</v>
      </c>
      <c r="U557" s="70"/>
      <c r="V557" s="70"/>
      <c r="X557" s="70" t="str">
        <f t="shared" si="193"/>
        <v>7W-E DT@E</v>
      </c>
      <c r="Y557" s="70" t="str">
        <f t="shared" si="194"/>
        <v>E DT-TEST@E</v>
      </c>
      <c r="Z557" s="70" t="str">
        <f t="shared" si="195"/>
        <v/>
      </c>
      <c r="AA557" s="70" t="str">
        <f t="shared" si="196"/>
        <v/>
      </c>
      <c r="AC557" s="70" t="str">
        <f t="shared" si="185"/>
        <v>334, 332, 331, 318, 317, 316, 311, 303, 305, 302</v>
      </c>
      <c r="AD557" s="70" t="str">
        <f t="shared" si="186"/>
        <v>305, 303, 304, 308</v>
      </c>
      <c r="AE557" s="70" t="str">
        <f t="shared" si="187"/>
        <v/>
      </c>
      <c r="AF557" s="70" t="str">
        <f t="shared" si="188"/>
        <v/>
      </c>
      <c r="AH557" s="70" t="str">
        <f t="shared" si="189"/>
        <v>35, 04</v>
      </c>
      <c r="AI557" s="70" t="str">
        <f t="shared" si="190"/>
        <v>03, 07</v>
      </c>
      <c r="AJ557" s="70" t="str">
        <f t="shared" si="191"/>
        <v/>
      </c>
      <c r="AK557" s="70" t="str">
        <f t="shared" si="192"/>
        <v/>
      </c>
      <c r="AN557" s="171"/>
      <c r="AO557" s="167"/>
      <c r="AP557" s="167"/>
    </row>
    <row r="558" spans="10:42" ht="20.100000000000001" customHeight="1" thickBot="1">
      <c r="J558" s="45" t="str">
        <f t="shared" si="183"/>
        <v>TEST</v>
      </c>
      <c r="K558" s="45" t="s">
        <v>130</v>
      </c>
      <c r="L558" s="45" t="str">
        <f t="shared" si="184"/>
        <v>8E-TEST@E</v>
      </c>
      <c r="M558" s="75" t="str">
        <f t="shared" si="177"/>
        <v>334, 332, 331, 318, 317, 316, 311, 303, 305, 302, 305, 303, 304, 308</v>
      </c>
      <c r="N558" s="75" t="str">
        <f t="shared" si="178"/>
        <v>36, 04, 03, 07</v>
      </c>
      <c r="R558" s="70" t="s">
        <v>370</v>
      </c>
      <c r="S558" s="70" t="s">
        <v>53</v>
      </c>
      <c r="T558" s="70" t="s">
        <v>57</v>
      </c>
      <c r="U558" s="70"/>
      <c r="V558" s="70"/>
      <c r="X558" s="70" t="str">
        <f t="shared" si="193"/>
        <v>8E-E DT@E</v>
      </c>
      <c r="Y558" s="70" t="str">
        <f t="shared" si="194"/>
        <v>E DT-TEST@E</v>
      </c>
      <c r="Z558" s="70" t="str">
        <f t="shared" si="195"/>
        <v/>
      </c>
      <c r="AA558" s="70" t="str">
        <f t="shared" si="196"/>
        <v/>
      </c>
      <c r="AC558" s="70" t="str">
        <f t="shared" si="185"/>
        <v>334, 332, 331, 318, 317, 316, 311, 303, 305, 302</v>
      </c>
      <c r="AD558" s="70" t="str">
        <f t="shared" si="186"/>
        <v>305, 303, 304, 308</v>
      </c>
      <c r="AE558" s="70" t="str">
        <f t="shared" si="187"/>
        <v/>
      </c>
      <c r="AF558" s="70" t="str">
        <f t="shared" si="188"/>
        <v/>
      </c>
      <c r="AH558" s="70" t="str">
        <f t="shared" si="189"/>
        <v>36, 04</v>
      </c>
      <c r="AI558" s="70" t="str">
        <f t="shared" si="190"/>
        <v>03, 07</v>
      </c>
      <c r="AJ558" s="70" t="str">
        <f t="shared" si="191"/>
        <v/>
      </c>
      <c r="AK558" s="70" t="str">
        <f t="shared" si="192"/>
        <v/>
      </c>
      <c r="AN558" s="171"/>
      <c r="AO558" s="167"/>
      <c r="AP558" s="167"/>
    </row>
    <row r="559" spans="10:42" ht="20.100000000000001" customHeight="1" thickBot="1">
      <c r="J559" s="45" t="str">
        <f t="shared" si="183"/>
        <v>TEST</v>
      </c>
      <c r="K559" s="45" t="s">
        <v>130</v>
      </c>
      <c r="L559" s="45" t="str">
        <f t="shared" si="184"/>
        <v>8W-TEST@E</v>
      </c>
      <c r="M559" s="75" t="str">
        <f t="shared" si="177"/>
        <v>334, 332, 331, 318, 317, 316, 311, 303, 305, 302, 305, 303, 304, 308</v>
      </c>
      <c r="N559" s="75" t="str">
        <f t="shared" si="178"/>
        <v>36, 04, 03, 07</v>
      </c>
      <c r="R559" s="70" t="s">
        <v>377</v>
      </c>
      <c r="S559" s="70" t="s">
        <v>53</v>
      </c>
      <c r="T559" s="70" t="s">
        <v>57</v>
      </c>
      <c r="U559" s="70"/>
      <c r="V559" s="70"/>
      <c r="X559" s="70" t="str">
        <f t="shared" si="193"/>
        <v>8W-E DT@E</v>
      </c>
      <c r="Y559" s="70" t="str">
        <f t="shared" si="194"/>
        <v>E DT-TEST@E</v>
      </c>
      <c r="Z559" s="70" t="str">
        <f t="shared" si="195"/>
        <v/>
      </c>
      <c r="AA559" s="70" t="str">
        <f t="shared" si="196"/>
        <v/>
      </c>
      <c r="AC559" s="70" t="str">
        <f t="shared" si="185"/>
        <v>334, 332, 331, 318, 317, 316, 311, 303, 305, 302</v>
      </c>
      <c r="AD559" s="70" t="str">
        <f t="shared" si="186"/>
        <v>305, 303, 304, 308</v>
      </c>
      <c r="AE559" s="70" t="str">
        <f t="shared" si="187"/>
        <v/>
      </c>
      <c r="AF559" s="70" t="str">
        <f t="shared" si="188"/>
        <v/>
      </c>
      <c r="AH559" s="70" t="str">
        <f t="shared" si="189"/>
        <v>36, 04</v>
      </c>
      <c r="AI559" s="70" t="str">
        <f t="shared" si="190"/>
        <v>03, 07</v>
      </c>
      <c r="AJ559" s="70" t="str">
        <f t="shared" si="191"/>
        <v/>
      </c>
      <c r="AK559" s="70" t="str">
        <f t="shared" si="192"/>
        <v/>
      </c>
      <c r="AN559" s="171"/>
      <c r="AO559" s="167"/>
      <c r="AP559" s="167"/>
    </row>
    <row r="560" spans="10:42" ht="20.100000000000001" customHeight="1" thickBot="1">
      <c r="J560" s="45" t="str">
        <f t="shared" si="183"/>
        <v>TEST</v>
      </c>
      <c r="K560" s="45" t="s">
        <v>130</v>
      </c>
      <c r="L560" s="45" t="str">
        <f t="shared" si="184"/>
        <v>LS2-TEST@E</v>
      </c>
      <c r="M560" s="75" t="str">
        <f t="shared" si="177"/>
        <v>302, 305, 307, 306, M5, M6, M7, M8, 305, 303, 304, 308</v>
      </c>
      <c r="N560" s="75" t="str">
        <f t="shared" si="178"/>
        <v>05, 03, 07</v>
      </c>
      <c r="R560" s="70" t="s">
        <v>383</v>
      </c>
      <c r="S560" s="70" t="s">
        <v>53</v>
      </c>
      <c r="T560" s="70" t="s">
        <v>57</v>
      </c>
      <c r="U560" s="70"/>
      <c r="V560" s="70"/>
      <c r="X560" s="70" t="str">
        <f t="shared" si="193"/>
        <v>LS2-E DT@E</v>
      </c>
      <c r="Y560" s="70" t="str">
        <f t="shared" si="194"/>
        <v>E DT-TEST@E</v>
      </c>
      <c r="Z560" s="70" t="str">
        <f t="shared" si="195"/>
        <v/>
      </c>
      <c r="AA560" s="70" t="str">
        <f t="shared" si="196"/>
        <v/>
      </c>
      <c r="AC560" s="70" t="str">
        <f t="shared" si="185"/>
        <v>302, 305, 307, 306, M5, M6, M7, M8</v>
      </c>
      <c r="AD560" s="70" t="str">
        <f t="shared" si="186"/>
        <v>305, 303, 304, 308</v>
      </c>
      <c r="AE560" s="70" t="str">
        <f t="shared" si="187"/>
        <v/>
      </c>
      <c r="AF560" s="70" t="str">
        <f t="shared" si="188"/>
        <v/>
      </c>
      <c r="AH560" s="70" t="str">
        <f t="shared" si="189"/>
        <v>05</v>
      </c>
      <c r="AI560" s="70" t="str">
        <f t="shared" si="190"/>
        <v>03, 07</v>
      </c>
      <c r="AJ560" s="70" t="str">
        <f t="shared" si="191"/>
        <v/>
      </c>
      <c r="AK560" s="70" t="str">
        <f t="shared" si="192"/>
        <v/>
      </c>
      <c r="AN560" s="171"/>
      <c r="AO560" s="167"/>
      <c r="AP560" s="167"/>
    </row>
    <row r="561" spans="10:42" ht="20.100000000000001" customHeight="1" thickBot="1">
      <c r="J561" s="45" t="str">
        <f t="shared" si="183"/>
        <v>TEST</v>
      </c>
      <c r="K561" s="45" t="s">
        <v>130</v>
      </c>
      <c r="L561" s="45" t="str">
        <f t="shared" si="184"/>
        <v>LS3-TEST@E</v>
      </c>
      <c r="M561" s="75" t="str">
        <f t="shared" si="177"/>
        <v>302, 305, 307, 306, M5, M6, 305, 303, 304, 308</v>
      </c>
      <c r="N561" s="75" t="str">
        <f t="shared" si="178"/>
        <v>05, 03, 07</v>
      </c>
      <c r="R561" s="70" t="s">
        <v>531</v>
      </c>
      <c r="S561" s="70" t="s">
        <v>53</v>
      </c>
      <c r="T561" s="70" t="s">
        <v>57</v>
      </c>
      <c r="U561" s="70"/>
      <c r="V561" s="70"/>
      <c r="X561" s="70" t="str">
        <f t="shared" si="193"/>
        <v>LS3-E DT@E</v>
      </c>
      <c r="Y561" s="70" t="str">
        <f t="shared" si="194"/>
        <v>E DT-TEST@E</v>
      </c>
      <c r="Z561" s="70" t="str">
        <f t="shared" si="195"/>
        <v/>
      </c>
      <c r="AA561" s="70" t="str">
        <f t="shared" si="196"/>
        <v/>
      </c>
      <c r="AC561" s="70" t="str">
        <f t="shared" si="185"/>
        <v>302, 305, 307, 306, M5, M6</v>
      </c>
      <c r="AD561" s="70" t="str">
        <f t="shared" si="186"/>
        <v>305, 303, 304, 308</v>
      </c>
      <c r="AE561" s="70" t="str">
        <f t="shared" si="187"/>
        <v/>
      </c>
      <c r="AF561" s="70" t="str">
        <f t="shared" si="188"/>
        <v/>
      </c>
      <c r="AH561" s="70" t="str">
        <f t="shared" si="189"/>
        <v>05</v>
      </c>
      <c r="AI561" s="70" t="str">
        <f t="shared" si="190"/>
        <v>03, 07</v>
      </c>
      <c r="AJ561" s="70" t="str">
        <f t="shared" si="191"/>
        <v/>
      </c>
      <c r="AK561" s="70" t="str">
        <f t="shared" si="192"/>
        <v/>
      </c>
      <c r="AN561" s="171"/>
      <c r="AO561" s="167"/>
      <c r="AP561" s="167"/>
    </row>
    <row r="562" spans="10:42" ht="20.100000000000001" customHeight="1" thickBot="1">
      <c r="J562" s="45" t="str">
        <f t="shared" si="183"/>
        <v>TEST</v>
      </c>
      <c r="K562" s="45" t="s">
        <v>130</v>
      </c>
      <c r="L562" s="45" t="str">
        <f t="shared" si="184"/>
        <v>LB-TEST@E</v>
      </c>
      <c r="M562" s="75" t="str">
        <f t="shared" si="177"/>
        <v>302, 305, 307, 306, M5, 305, 303, 304, 308</v>
      </c>
      <c r="N562" s="75" t="str">
        <f t="shared" si="178"/>
        <v>05, 03, 07</v>
      </c>
      <c r="R562" s="70" t="s">
        <v>672</v>
      </c>
      <c r="S562" s="70" t="s">
        <v>53</v>
      </c>
      <c r="T562" s="70" t="s">
        <v>57</v>
      </c>
      <c r="U562" s="70"/>
      <c r="V562" s="70"/>
      <c r="X562" s="70" t="str">
        <f t="shared" si="193"/>
        <v>LB-E DT@E</v>
      </c>
      <c r="Y562" s="70" t="str">
        <f t="shared" si="194"/>
        <v>E DT-TEST@E</v>
      </c>
      <c r="Z562" s="70" t="str">
        <f t="shared" si="195"/>
        <v/>
      </c>
      <c r="AA562" s="70" t="str">
        <f t="shared" si="196"/>
        <v/>
      </c>
      <c r="AC562" s="70" t="str">
        <f t="shared" si="185"/>
        <v>302, 305, 307, 306, M5</v>
      </c>
      <c r="AD562" s="70" t="str">
        <f t="shared" si="186"/>
        <v>305, 303, 304, 308</v>
      </c>
      <c r="AE562" s="70" t="str">
        <f t="shared" si="187"/>
        <v/>
      </c>
      <c r="AF562" s="70" t="str">
        <f t="shared" si="188"/>
        <v/>
      </c>
      <c r="AH562" s="70" t="str">
        <f t="shared" si="189"/>
        <v>05</v>
      </c>
      <c r="AI562" s="70" t="str">
        <f t="shared" si="190"/>
        <v>03, 07</v>
      </c>
      <c r="AJ562" s="70" t="str">
        <f t="shared" si="191"/>
        <v/>
      </c>
      <c r="AK562" s="70" t="str">
        <f t="shared" si="192"/>
        <v/>
      </c>
      <c r="AN562" s="171"/>
      <c r="AO562" s="167"/>
      <c r="AP562" s="167"/>
    </row>
    <row r="563" spans="10:42" ht="20.100000000000001" customHeight="1" thickBot="1">
      <c r="J563" s="45" t="str">
        <f t="shared" si="183"/>
        <v>TEST</v>
      </c>
      <c r="K563" s="45" t="s">
        <v>130</v>
      </c>
      <c r="L563" s="45" t="str">
        <f t="shared" si="184"/>
        <v>M1-TEST@E</v>
      </c>
      <c r="M563" s="75" t="str">
        <f t="shared" si="177"/>
        <v>302, 305, 307, 306, M1, 305, 303, 304, 308</v>
      </c>
      <c r="N563" s="75" t="str">
        <f t="shared" si="178"/>
        <v>06, 03, 07</v>
      </c>
      <c r="R563" s="70" t="s">
        <v>863</v>
      </c>
      <c r="S563" s="70" t="s">
        <v>53</v>
      </c>
      <c r="T563" s="70" t="s">
        <v>57</v>
      </c>
      <c r="U563" s="70"/>
      <c r="V563" s="70"/>
      <c r="X563" s="70" t="str">
        <f t="shared" si="193"/>
        <v>M1-E DT@E</v>
      </c>
      <c r="Y563" s="70" t="str">
        <f t="shared" si="194"/>
        <v>E DT-TEST@E</v>
      </c>
      <c r="Z563" s="70" t="str">
        <f t="shared" si="195"/>
        <v/>
      </c>
      <c r="AA563" s="70" t="str">
        <f t="shared" si="196"/>
        <v/>
      </c>
      <c r="AC563" s="70" t="str">
        <f t="shared" si="185"/>
        <v>302, 305, 307, 306, M1</v>
      </c>
      <c r="AD563" s="70" t="str">
        <f t="shared" si="186"/>
        <v>305, 303, 304, 308</v>
      </c>
      <c r="AE563" s="70" t="str">
        <f t="shared" si="187"/>
        <v/>
      </c>
      <c r="AF563" s="70" t="str">
        <f t="shared" si="188"/>
        <v/>
      </c>
      <c r="AH563" s="70" t="str">
        <f t="shared" si="189"/>
        <v>06</v>
      </c>
      <c r="AI563" s="70" t="str">
        <f t="shared" si="190"/>
        <v>03, 07</v>
      </c>
      <c r="AJ563" s="70" t="str">
        <f t="shared" si="191"/>
        <v/>
      </c>
      <c r="AK563" s="70" t="str">
        <f t="shared" si="192"/>
        <v/>
      </c>
      <c r="AN563" s="171"/>
      <c r="AO563" s="167"/>
      <c r="AP563" s="167"/>
    </row>
    <row r="564" spans="10:42" ht="20.100000000000001" customHeight="1" thickBot="1">
      <c r="J564" s="45" t="str">
        <f t="shared" si="183"/>
        <v>TEST</v>
      </c>
      <c r="K564" s="45" t="s">
        <v>130</v>
      </c>
      <c r="L564" s="45" t="str">
        <f t="shared" si="184"/>
        <v>M2-TEST@E</v>
      </c>
      <c r="M564" s="75" t="str">
        <f t="shared" si="177"/>
        <v>302, 305, 307, 306, M1, M2, 305, 303, 304, 308</v>
      </c>
      <c r="N564" s="75" t="str">
        <f t="shared" si="178"/>
        <v>06, 03, 07</v>
      </c>
      <c r="R564" s="70" t="s">
        <v>994</v>
      </c>
      <c r="S564" s="70" t="s">
        <v>53</v>
      </c>
      <c r="T564" s="70" t="s">
        <v>57</v>
      </c>
      <c r="U564" s="70"/>
      <c r="V564" s="70"/>
      <c r="X564" s="70" t="str">
        <f t="shared" si="193"/>
        <v>M2-E DT@E</v>
      </c>
      <c r="Y564" s="70" t="str">
        <f t="shared" si="194"/>
        <v>E DT-TEST@E</v>
      </c>
      <c r="Z564" s="70" t="str">
        <f t="shared" si="195"/>
        <v/>
      </c>
      <c r="AA564" s="70" t="str">
        <f t="shared" si="196"/>
        <v/>
      </c>
      <c r="AC564" s="70" t="str">
        <f t="shared" si="185"/>
        <v>302, 305, 307, 306, M1, M2</v>
      </c>
      <c r="AD564" s="70" t="str">
        <f t="shared" si="186"/>
        <v>305, 303, 304, 308</v>
      </c>
      <c r="AE564" s="70" t="str">
        <f t="shared" si="187"/>
        <v/>
      </c>
      <c r="AF564" s="70" t="str">
        <f t="shared" si="188"/>
        <v/>
      </c>
      <c r="AH564" s="70" t="str">
        <f t="shared" si="189"/>
        <v>06</v>
      </c>
      <c r="AI564" s="70" t="str">
        <f t="shared" si="190"/>
        <v>03, 07</v>
      </c>
      <c r="AJ564" s="70" t="str">
        <f t="shared" si="191"/>
        <v/>
      </c>
      <c r="AK564" s="70" t="str">
        <f t="shared" si="192"/>
        <v/>
      </c>
      <c r="AN564" s="171"/>
      <c r="AO564" s="167"/>
      <c r="AP564" s="167"/>
    </row>
    <row r="565" spans="10:42" ht="20.100000000000001" customHeight="1" thickBot="1">
      <c r="J565" s="45" t="str">
        <f t="shared" si="183"/>
        <v>TEST</v>
      </c>
      <c r="K565" s="45" t="s">
        <v>130</v>
      </c>
      <c r="L565" s="45" t="str">
        <f t="shared" si="184"/>
        <v>M3-TEST@E</v>
      </c>
      <c r="M565" s="75" t="str">
        <f t="shared" si="177"/>
        <v>302, 305, 307, 306, M1, M2, M3, 305, 303, 304, 308</v>
      </c>
      <c r="N565" s="75" t="str">
        <f t="shared" si="178"/>
        <v>06, 03, 07</v>
      </c>
      <c r="R565" s="70" t="s">
        <v>1142</v>
      </c>
      <c r="S565" s="70" t="s">
        <v>53</v>
      </c>
      <c r="T565" s="70" t="s">
        <v>57</v>
      </c>
      <c r="U565" s="70"/>
      <c r="V565" s="70"/>
      <c r="X565" s="70" t="str">
        <f t="shared" si="193"/>
        <v>M3-E DT@E</v>
      </c>
      <c r="Y565" s="70" t="str">
        <f t="shared" si="194"/>
        <v>E DT-TEST@E</v>
      </c>
      <c r="Z565" s="70" t="str">
        <f t="shared" si="195"/>
        <v/>
      </c>
      <c r="AA565" s="70" t="str">
        <f t="shared" si="196"/>
        <v/>
      </c>
      <c r="AC565" s="70" t="str">
        <f t="shared" si="185"/>
        <v>302, 305, 307, 306, M1, M2, M3</v>
      </c>
      <c r="AD565" s="70" t="str">
        <f t="shared" si="186"/>
        <v>305, 303, 304, 308</v>
      </c>
      <c r="AE565" s="70" t="str">
        <f t="shared" si="187"/>
        <v/>
      </c>
      <c r="AF565" s="70" t="str">
        <f t="shared" si="188"/>
        <v/>
      </c>
      <c r="AH565" s="70" t="str">
        <f t="shared" si="189"/>
        <v>06</v>
      </c>
      <c r="AI565" s="70" t="str">
        <f t="shared" si="190"/>
        <v>03, 07</v>
      </c>
      <c r="AJ565" s="70" t="str">
        <f t="shared" si="191"/>
        <v/>
      </c>
      <c r="AK565" s="70" t="str">
        <f t="shared" si="192"/>
        <v/>
      </c>
      <c r="AN565" s="171"/>
      <c r="AO565" s="167"/>
      <c r="AP565" s="167"/>
    </row>
    <row r="566" spans="10:42" ht="20.100000000000001" customHeight="1" thickBot="1">
      <c r="J566" s="45" t="str">
        <f t="shared" si="183"/>
        <v>TEST</v>
      </c>
      <c r="K566" s="45" t="s">
        <v>130</v>
      </c>
      <c r="L566" s="45" t="str">
        <f t="shared" si="184"/>
        <v>M4-TEST@E</v>
      </c>
      <c r="M566" s="75" t="str">
        <f t="shared" si="177"/>
        <v>302, 305, 307, 306, M1, M2, M3, M4, 305, 303, 304, 308</v>
      </c>
      <c r="N566" s="75" t="str">
        <f t="shared" si="178"/>
        <v>06, 03, 07</v>
      </c>
      <c r="R566" s="70" t="s">
        <v>331</v>
      </c>
      <c r="S566" s="70" t="s">
        <v>53</v>
      </c>
      <c r="T566" s="70" t="s">
        <v>57</v>
      </c>
      <c r="U566" s="70"/>
      <c r="V566" s="70"/>
      <c r="X566" s="70" t="str">
        <f t="shared" si="193"/>
        <v>M4-E DT@E</v>
      </c>
      <c r="Y566" s="70" t="str">
        <f t="shared" si="194"/>
        <v>E DT-TEST@E</v>
      </c>
      <c r="Z566" s="70" t="str">
        <f t="shared" si="195"/>
        <v/>
      </c>
      <c r="AA566" s="70" t="str">
        <f t="shared" si="196"/>
        <v/>
      </c>
      <c r="AC566" s="70" t="str">
        <f t="shared" si="185"/>
        <v>302, 305, 307, 306, M1, M2, M3, M4</v>
      </c>
      <c r="AD566" s="70" t="str">
        <f t="shared" si="186"/>
        <v>305, 303, 304, 308</v>
      </c>
      <c r="AE566" s="70" t="str">
        <f t="shared" si="187"/>
        <v/>
      </c>
      <c r="AF566" s="70" t="str">
        <f t="shared" si="188"/>
        <v/>
      </c>
      <c r="AH566" s="70" t="str">
        <f t="shared" si="189"/>
        <v>06</v>
      </c>
      <c r="AI566" s="70" t="str">
        <f t="shared" si="190"/>
        <v>03, 07</v>
      </c>
      <c r="AJ566" s="70" t="str">
        <f t="shared" si="191"/>
        <v/>
      </c>
      <c r="AK566" s="70" t="str">
        <f t="shared" si="192"/>
        <v/>
      </c>
      <c r="AN566" s="171"/>
      <c r="AO566" s="167"/>
      <c r="AP566" s="167"/>
    </row>
    <row r="567" spans="10:42" ht="20.100000000000001" customHeight="1" thickBot="1">
      <c r="J567" s="45" t="str">
        <f t="shared" si="183"/>
        <v>TEST</v>
      </c>
      <c r="K567" s="45" t="s">
        <v>130</v>
      </c>
      <c r="L567" s="45" t="str">
        <f t="shared" si="184"/>
        <v>M5-TEST@E</v>
      </c>
      <c r="M567" s="75" t="str">
        <f t="shared" si="177"/>
        <v>302, 305, 307, 306, M1, M2, M3, M4, 305, 303, 304, 308</v>
      </c>
      <c r="N567" s="75" t="str">
        <f t="shared" si="178"/>
        <v>06, 03, 07</v>
      </c>
      <c r="R567" s="70" t="s">
        <v>1381</v>
      </c>
      <c r="S567" s="70" t="s">
        <v>53</v>
      </c>
      <c r="T567" s="70" t="s">
        <v>57</v>
      </c>
      <c r="U567" s="70"/>
      <c r="V567" s="70"/>
      <c r="X567" s="70" t="str">
        <f t="shared" si="193"/>
        <v>M5-E DT@E</v>
      </c>
      <c r="Y567" s="70" t="str">
        <f t="shared" si="194"/>
        <v>E DT-TEST@E</v>
      </c>
      <c r="Z567" s="70" t="str">
        <f t="shared" si="195"/>
        <v/>
      </c>
      <c r="AA567" s="70" t="str">
        <f t="shared" si="196"/>
        <v/>
      </c>
      <c r="AC567" s="70" t="str">
        <f t="shared" si="185"/>
        <v>302, 305, 307, 306, M1, M2, M3, M4</v>
      </c>
      <c r="AD567" s="70" t="str">
        <f t="shared" si="186"/>
        <v>305, 303, 304, 308</v>
      </c>
      <c r="AE567" s="70" t="str">
        <f t="shared" si="187"/>
        <v/>
      </c>
      <c r="AF567" s="70" t="str">
        <f t="shared" si="188"/>
        <v/>
      </c>
      <c r="AH567" s="70" t="str">
        <f t="shared" si="189"/>
        <v>06</v>
      </c>
      <c r="AI567" s="70" t="str">
        <f t="shared" si="190"/>
        <v>03, 07</v>
      </c>
      <c r="AJ567" s="70" t="str">
        <f t="shared" si="191"/>
        <v/>
      </c>
      <c r="AK567" s="70" t="str">
        <f t="shared" si="192"/>
        <v/>
      </c>
      <c r="AN567" s="171"/>
      <c r="AO567" s="167"/>
      <c r="AP567" s="167"/>
    </row>
    <row r="568" spans="10:42" ht="20.100000000000001" customHeight="1" thickBot="1">
      <c r="J568" s="45" t="str">
        <f t="shared" si="183"/>
        <v>E DT</v>
      </c>
      <c r="K568" s="45" t="s">
        <v>130</v>
      </c>
      <c r="L568" s="45" t="str">
        <f t="shared" si="184"/>
        <v>LS1-E DT@E</v>
      </c>
      <c r="M568" s="75" t="str">
        <f t="shared" si="177"/>
        <v>M8, M7, M6, M5, 306, 307, 305, 302</v>
      </c>
      <c r="N568" s="75" t="str">
        <f t="shared" si="178"/>
        <v>05</v>
      </c>
      <c r="R568" s="71" t="s">
        <v>149</v>
      </c>
      <c r="S568" s="70" t="s">
        <v>53</v>
      </c>
      <c r="T568" s="70"/>
      <c r="U568" s="70"/>
      <c r="V568" s="70"/>
      <c r="X568" s="70" t="str">
        <f t="shared" si="193"/>
        <v>LS1-E DT@E</v>
      </c>
      <c r="Y568" s="70" t="str">
        <f t="shared" si="194"/>
        <v/>
      </c>
      <c r="Z568" s="70" t="str">
        <f t="shared" si="195"/>
        <v/>
      </c>
      <c r="AA568" s="70" t="str">
        <f t="shared" si="196"/>
        <v/>
      </c>
      <c r="AC568" s="70" t="str">
        <f t="shared" si="185"/>
        <v>M8, M7, M6, M5, 306, 307, 305, 302</v>
      </c>
      <c r="AD568" s="70" t="str">
        <f t="shared" si="186"/>
        <v/>
      </c>
      <c r="AE568" s="70" t="str">
        <f t="shared" si="187"/>
        <v/>
      </c>
      <c r="AF568" s="70" t="str">
        <f t="shared" si="188"/>
        <v/>
      </c>
      <c r="AH568" s="70" t="str">
        <f t="shared" si="189"/>
        <v>05</v>
      </c>
      <c r="AI568" s="70" t="str">
        <f t="shared" si="190"/>
        <v/>
      </c>
      <c r="AJ568" s="70" t="str">
        <f t="shared" si="191"/>
        <v/>
      </c>
      <c r="AK568" s="70" t="str">
        <f t="shared" si="192"/>
        <v/>
      </c>
      <c r="AN568" s="171"/>
      <c r="AO568" s="167"/>
      <c r="AP568" s="167"/>
    </row>
    <row r="569" spans="10:42" ht="20.100000000000001" customHeight="1" thickBot="1">
      <c r="J569" s="45" t="str">
        <f t="shared" si="183"/>
        <v>E DT</v>
      </c>
      <c r="K569" s="45" t="s">
        <v>130</v>
      </c>
      <c r="L569" s="45" t="str">
        <f t="shared" si="184"/>
        <v>LF3-E DT@E</v>
      </c>
      <c r="M569" s="75" t="str">
        <f t="shared" si="177"/>
        <v>323, 322, 319, 316, 311, 303, 305, 302</v>
      </c>
      <c r="N569" s="75" t="str">
        <f t="shared" si="178"/>
        <v>20, 04</v>
      </c>
      <c r="R569" s="70" t="s">
        <v>82</v>
      </c>
      <c r="S569" s="70" t="s">
        <v>53</v>
      </c>
      <c r="T569" s="70"/>
      <c r="U569" s="70"/>
      <c r="V569" s="70"/>
      <c r="X569" s="70" t="str">
        <f t="shared" si="193"/>
        <v>LF3-E DT@E</v>
      </c>
      <c r="Y569" s="70" t="str">
        <f t="shared" si="194"/>
        <v/>
      </c>
      <c r="Z569" s="70" t="str">
        <f t="shared" si="195"/>
        <v/>
      </c>
      <c r="AA569" s="70" t="str">
        <f t="shared" si="196"/>
        <v/>
      </c>
      <c r="AC569" s="70" t="str">
        <f t="shared" si="185"/>
        <v>323, 322, 319, 316, 311, 303, 305, 302</v>
      </c>
      <c r="AD569" s="70" t="str">
        <f t="shared" si="186"/>
        <v/>
      </c>
      <c r="AE569" s="70" t="str">
        <f t="shared" si="187"/>
        <v/>
      </c>
      <c r="AF569" s="70" t="str">
        <f t="shared" si="188"/>
        <v/>
      </c>
      <c r="AH569" s="70" t="str">
        <f t="shared" si="189"/>
        <v>20, 04</v>
      </c>
      <c r="AI569" s="70" t="str">
        <f t="shared" si="190"/>
        <v/>
      </c>
      <c r="AJ569" s="70" t="str">
        <f t="shared" si="191"/>
        <v/>
      </c>
      <c r="AK569" s="70" t="str">
        <f t="shared" si="192"/>
        <v/>
      </c>
      <c r="AN569" s="171"/>
      <c r="AO569" s="167"/>
      <c r="AP569" s="167"/>
    </row>
    <row r="570" spans="10:42" ht="20.100000000000001" customHeight="1" thickBot="1">
      <c r="J570" s="45" t="str">
        <f t="shared" si="183"/>
        <v>E DT</v>
      </c>
      <c r="K570" s="45" t="s">
        <v>130</v>
      </c>
      <c r="L570" s="45" t="str">
        <f t="shared" si="184"/>
        <v>LS1-E DT@E</v>
      </c>
      <c r="M570" s="75" t="str">
        <f t="shared" si="177"/>
        <v>M8, M7, M6, M5, 306, 307, 305, 302</v>
      </c>
      <c r="N570" s="75" t="str">
        <f t="shared" si="178"/>
        <v>05</v>
      </c>
      <c r="R570" s="70" t="s">
        <v>149</v>
      </c>
      <c r="S570" s="70" t="s">
        <v>53</v>
      </c>
      <c r="T570" s="70"/>
      <c r="U570" s="70"/>
      <c r="V570" s="70"/>
      <c r="X570" s="70" t="str">
        <f t="shared" si="193"/>
        <v>LS1-E DT@E</v>
      </c>
      <c r="Y570" s="70" t="str">
        <f t="shared" si="194"/>
        <v/>
      </c>
      <c r="Z570" s="70" t="str">
        <f t="shared" si="195"/>
        <v/>
      </c>
      <c r="AA570" s="70" t="str">
        <f t="shared" si="196"/>
        <v/>
      </c>
      <c r="AC570" s="70" t="str">
        <f t="shared" si="185"/>
        <v>M8, M7, M6, M5, 306, 307, 305, 302</v>
      </c>
      <c r="AD570" s="70" t="str">
        <f t="shared" si="186"/>
        <v/>
      </c>
      <c r="AE570" s="70" t="str">
        <f t="shared" si="187"/>
        <v/>
      </c>
      <c r="AF570" s="70" t="str">
        <f t="shared" si="188"/>
        <v/>
      </c>
      <c r="AH570" s="70" t="str">
        <f t="shared" si="189"/>
        <v>05</v>
      </c>
      <c r="AI570" s="70" t="str">
        <f t="shared" si="190"/>
        <v/>
      </c>
      <c r="AJ570" s="70" t="str">
        <f t="shared" si="191"/>
        <v/>
      </c>
      <c r="AK570" s="70" t="str">
        <f t="shared" si="192"/>
        <v/>
      </c>
      <c r="AN570" s="171"/>
      <c r="AO570" s="167"/>
      <c r="AP570" s="167"/>
    </row>
    <row r="571" spans="10:42" ht="20.100000000000001" customHeight="1" thickBot="1">
      <c r="J571" s="45" t="str">
        <f t="shared" si="183"/>
        <v>E DT</v>
      </c>
      <c r="K571" s="45" t="s">
        <v>130</v>
      </c>
      <c r="L571" s="45" t="str">
        <f t="shared" si="184"/>
        <v>LF4-E DT@E</v>
      </c>
      <c r="M571" s="75" t="str">
        <f t="shared" si="177"/>
        <v>302, 305, 303, 311, 316, 319, 322, 323</v>
      </c>
      <c r="N571" s="75" t="str">
        <f t="shared" si="178"/>
        <v>21, 04</v>
      </c>
      <c r="R571" s="70" t="s">
        <v>83</v>
      </c>
      <c r="S571" s="70" t="s">
        <v>53</v>
      </c>
      <c r="T571" s="70"/>
      <c r="U571" s="70"/>
      <c r="V571" s="70"/>
      <c r="X571" s="70" t="str">
        <f t="shared" si="193"/>
        <v>LF4-E DT@E</v>
      </c>
      <c r="Y571" s="70" t="str">
        <f t="shared" si="194"/>
        <v/>
      </c>
      <c r="Z571" s="70" t="str">
        <f t="shared" si="195"/>
        <v/>
      </c>
      <c r="AA571" s="70" t="str">
        <f t="shared" si="196"/>
        <v/>
      </c>
      <c r="AC571" s="70" t="str">
        <f t="shared" si="185"/>
        <v>302, 305, 303, 311, 316, 319, 322, 323</v>
      </c>
      <c r="AD571" s="70" t="str">
        <f t="shared" si="186"/>
        <v/>
      </c>
      <c r="AE571" s="70" t="str">
        <f t="shared" si="187"/>
        <v/>
      </c>
      <c r="AF571" s="70" t="str">
        <f t="shared" si="188"/>
        <v/>
      </c>
      <c r="AH571" s="70" t="str">
        <f t="shared" si="189"/>
        <v>21, 04</v>
      </c>
      <c r="AI571" s="70" t="str">
        <f t="shared" si="190"/>
        <v/>
      </c>
      <c r="AJ571" s="70" t="str">
        <f t="shared" si="191"/>
        <v/>
      </c>
      <c r="AK571" s="70" t="str">
        <f t="shared" si="192"/>
        <v/>
      </c>
      <c r="AN571" s="171"/>
      <c r="AO571" s="167"/>
      <c r="AP571" s="167"/>
    </row>
    <row r="572" spans="10:42" ht="20.100000000000001" customHeight="1" thickBot="1">
      <c r="J572" s="45" t="str">
        <f t="shared" si="183"/>
        <v>E DT</v>
      </c>
      <c r="K572" s="45" t="s">
        <v>130</v>
      </c>
      <c r="L572" s="45" t="str">
        <f t="shared" si="184"/>
        <v>HM1-E DT@E</v>
      </c>
      <c r="M572" s="75" t="str">
        <f t="shared" si="177"/>
        <v>322, 319, 316, 311, 303, 305, 302</v>
      </c>
      <c r="N572" s="75" t="str">
        <f t="shared" si="178"/>
        <v>22, 04</v>
      </c>
      <c r="R572" s="70" t="s">
        <v>171</v>
      </c>
      <c r="S572" s="70" t="s">
        <v>53</v>
      </c>
      <c r="T572" s="70"/>
      <c r="U572" s="70"/>
      <c r="V572" s="70"/>
      <c r="X572" s="70" t="str">
        <f t="shared" si="193"/>
        <v>HM1-E DT@E</v>
      </c>
      <c r="Y572" s="70" t="str">
        <f t="shared" si="194"/>
        <v/>
      </c>
      <c r="Z572" s="70" t="str">
        <f t="shared" si="195"/>
        <v/>
      </c>
      <c r="AA572" s="70" t="str">
        <f t="shared" si="196"/>
        <v/>
      </c>
      <c r="AC572" s="70" t="str">
        <f t="shared" si="185"/>
        <v>322, 319, 316, 311, 303, 305, 302</v>
      </c>
      <c r="AD572" s="70" t="str">
        <f t="shared" si="186"/>
        <v/>
      </c>
      <c r="AE572" s="70" t="str">
        <f t="shared" si="187"/>
        <v/>
      </c>
      <c r="AF572" s="70" t="str">
        <f t="shared" si="188"/>
        <v/>
      </c>
      <c r="AH572" s="70" t="str">
        <f t="shared" si="189"/>
        <v>22, 04</v>
      </c>
      <c r="AI572" s="70" t="str">
        <f t="shared" si="190"/>
        <v/>
      </c>
      <c r="AJ572" s="70" t="str">
        <f t="shared" si="191"/>
        <v/>
      </c>
      <c r="AK572" s="70" t="str">
        <f t="shared" si="192"/>
        <v/>
      </c>
      <c r="AN572" s="171"/>
      <c r="AO572" s="167"/>
      <c r="AP572" s="167"/>
    </row>
    <row r="573" spans="10:42" ht="20.100000000000001" customHeight="1" thickBot="1">
      <c r="J573" s="45" t="str">
        <f t="shared" si="183"/>
        <v>E DT</v>
      </c>
      <c r="K573" s="45" t="s">
        <v>130</v>
      </c>
      <c r="L573" s="45" t="str">
        <f t="shared" si="184"/>
        <v>HM2-E DT@E</v>
      </c>
      <c r="M573" s="75" t="str">
        <f t="shared" si="177"/>
        <v>324, 319, 316, 311, 303, 305, 302</v>
      </c>
      <c r="N573" s="75" t="str">
        <f t="shared" si="178"/>
        <v>23, 04</v>
      </c>
      <c r="R573" s="70" t="s">
        <v>182</v>
      </c>
      <c r="S573" s="70" t="s">
        <v>53</v>
      </c>
      <c r="T573" s="70"/>
      <c r="U573" s="70"/>
      <c r="V573" s="70"/>
      <c r="X573" s="70" t="str">
        <f t="shared" si="193"/>
        <v>HM2-E DT@E</v>
      </c>
      <c r="Y573" s="70" t="str">
        <f t="shared" si="194"/>
        <v/>
      </c>
      <c r="Z573" s="70" t="str">
        <f t="shared" si="195"/>
        <v/>
      </c>
      <c r="AA573" s="70" t="str">
        <f t="shared" si="196"/>
        <v/>
      </c>
      <c r="AC573" s="70" t="str">
        <f t="shared" si="185"/>
        <v>324, 319, 316, 311, 303, 305, 302</v>
      </c>
      <c r="AD573" s="70" t="str">
        <f t="shared" si="186"/>
        <v/>
      </c>
      <c r="AE573" s="70" t="str">
        <f t="shared" si="187"/>
        <v/>
      </c>
      <c r="AF573" s="70" t="str">
        <f t="shared" si="188"/>
        <v/>
      </c>
      <c r="AH573" s="70" t="str">
        <f t="shared" si="189"/>
        <v>23, 04</v>
      </c>
      <c r="AI573" s="70" t="str">
        <f t="shared" si="190"/>
        <v/>
      </c>
      <c r="AJ573" s="70" t="str">
        <f t="shared" si="191"/>
        <v/>
      </c>
      <c r="AK573" s="70" t="str">
        <f t="shared" si="192"/>
        <v/>
      </c>
      <c r="AN573" s="171"/>
      <c r="AO573" s="167"/>
      <c r="AP573" s="167"/>
    </row>
    <row r="574" spans="10:42" ht="20.100000000000001" customHeight="1" thickBot="1">
      <c r="J574" s="45" t="str">
        <f t="shared" si="183"/>
        <v>E DT</v>
      </c>
      <c r="K574" s="45" t="s">
        <v>130</v>
      </c>
      <c r="L574" s="45" t="str">
        <f t="shared" si="184"/>
        <v>HM3-E DT@E</v>
      </c>
      <c r="M574" s="75" t="str">
        <f t="shared" si="177"/>
        <v>324, 319, 316, 311, 303, 305, 302</v>
      </c>
      <c r="N574" s="75" t="str">
        <f t="shared" si="178"/>
        <v>24,04</v>
      </c>
      <c r="R574" s="70" t="s">
        <v>191</v>
      </c>
      <c r="S574" s="70" t="s">
        <v>53</v>
      </c>
      <c r="T574" s="70"/>
      <c r="U574" s="70"/>
      <c r="V574" s="70"/>
      <c r="X574" s="70" t="str">
        <f t="shared" si="193"/>
        <v>HM3-E DT@E</v>
      </c>
      <c r="Y574" s="70" t="str">
        <f t="shared" si="194"/>
        <v/>
      </c>
      <c r="Z574" s="70" t="str">
        <f t="shared" si="195"/>
        <v/>
      </c>
      <c r="AA574" s="70" t="str">
        <f t="shared" si="196"/>
        <v/>
      </c>
      <c r="AC574" s="70" t="str">
        <f t="shared" si="185"/>
        <v>324, 319, 316, 311, 303, 305, 302</v>
      </c>
      <c r="AD574" s="70" t="str">
        <f t="shared" si="186"/>
        <v/>
      </c>
      <c r="AE574" s="70" t="str">
        <f t="shared" si="187"/>
        <v/>
      </c>
      <c r="AF574" s="70" t="str">
        <f t="shared" si="188"/>
        <v/>
      </c>
      <c r="AH574" s="70" t="str">
        <f t="shared" si="189"/>
        <v>24,04</v>
      </c>
      <c r="AI574" s="70" t="str">
        <f t="shared" si="190"/>
        <v/>
      </c>
      <c r="AJ574" s="70" t="str">
        <f t="shared" si="191"/>
        <v/>
      </c>
      <c r="AK574" s="70" t="str">
        <f t="shared" si="192"/>
        <v/>
      </c>
      <c r="AN574" s="171"/>
      <c r="AO574" s="167"/>
      <c r="AP574" s="167"/>
    </row>
    <row r="575" spans="10:42" ht="20.100000000000001" customHeight="1" thickBot="1">
      <c r="J575" s="45" t="str">
        <f t="shared" si="183"/>
        <v>E DT</v>
      </c>
      <c r="K575" s="45" t="s">
        <v>130</v>
      </c>
      <c r="L575" s="45" t="str">
        <f t="shared" si="184"/>
        <v>RM1E-E DT@E</v>
      </c>
      <c r="M575" s="75" t="str">
        <f t="shared" si="177"/>
        <v>302, 305, 303, 311, 316, 319, 324</v>
      </c>
      <c r="N575" s="75" t="str">
        <f t="shared" si="178"/>
        <v>25, 04</v>
      </c>
      <c r="R575" s="70" t="s">
        <v>200</v>
      </c>
      <c r="S575" s="70" t="s">
        <v>53</v>
      </c>
      <c r="T575" s="70"/>
      <c r="U575" s="70"/>
      <c r="V575" s="70"/>
      <c r="X575" s="70" t="str">
        <f t="shared" si="193"/>
        <v>RM1E-E DT@E</v>
      </c>
      <c r="Y575" s="70" t="str">
        <f t="shared" si="194"/>
        <v/>
      </c>
      <c r="Z575" s="70" t="str">
        <f t="shared" si="195"/>
        <v/>
      </c>
      <c r="AA575" s="70" t="str">
        <f t="shared" si="196"/>
        <v/>
      </c>
      <c r="AC575" s="70" t="str">
        <f t="shared" si="185"/>
        <v>302, 305, 303, 311, 316, 319, 324</v>
      </c>
      <c r="AD575" s="70" t="str">
        <f t="shared" si="186"/>
        <v/>
      </c>
      <c r="AE575" s="70" t="str">
        <f t="shared" si="187"/>
        <v/>
      </c>
      <c r="AF575" s="70" t="str">
        <f t="shared" si="188"/>
        <v/>
      </c>
      <c r="AH575" s="70" t="str">
        <f t="shared" si="189"/>
        <v>25, 04</v>
      </c>
      <c r="AI575" s="70" t="str">
        <f t="shared" si="190"/>
        <v/>
      </c>
      <c r="AJ575" s="70" t="str">
        <f t="shared" si="191"/>
        <v/>
      </c>
      <c r="AK575" s="70" t="str">
        <f t="shared" si="192"/>
        <v/>
      </c>
      <c r="AN575" s="171"/>
      <c r="AO575" s="167"/>
      <c r="AP575" s="167"/>
    </row>
    <row r="576" spans="10:42" ht="20.100000000000001" customHeight="1" thickBot="1">
      <c r="J576" s="45" t="str">
        <f t="shared" si="183"/>
        <v>E DT</v>
      </c>
      <c r="K576" s="45" t="s">
        <v>130</v>
      </c>
      <c r="L576" s="45" t="str">
        <f t="shared" si="184"/>
        <v>RM1W-E DT@E</v>
      </c>
      <c r="M576" s="75" t="str">
        <f t="shared" si="177"/>
        <v>302, 305, 303, 311, 316, 319, 324</v>
      </c>
      <c r="N576" s="75" t="str">
        <f t="shared" si="178"/>
        <v>25, 04</v>
      </c>
      <c r="R576" s="70" t="s">
        <v>208</v>
      </c>
      <c r="S576" s="70" t="s">
        <v>53</v>
      </c>
      <c r="T576" s="70"/>
      <c r="U576" s="70"/>
      <c r="V576" s="70"/>
      <c r="X576" s="70" t="str">
        <f t="shared" si="193"/>
        <v>RM1W-E DT@E</v>
      </c>
      <c r="Y576" s="70" t="str">
        <f t="shared" si="194"/>
        <v/>
      </c>
      <c r="Z576" s="70" t="str">
        <f t="shared" si="195"/>
        <v/>
      </c>
      <c r="AA576" s="70" t="str">
        <f t="shared" si="196"/>
        <v/>
      </c>
      <c r="AC576" s="70" t="str">
        <f t="shared" si="185"/>
        <v>302, 305, 303, 311, 316, 319, 324</v>
      </c>
      <c r="AD576" s="70" t="str">
        <f t="shared" si="186"/>
        <v/>
      </c>
      <c r="AE576" s="70" t="str">
        <f t="shared" si="187"/>
        <v/>
      </c>
      <c r="AF576" s="70" t="str">
        <f t="shared" si="188"/>
        <v/>
      </c>
      <c r="AH576" s="70" t="str">
        <f t="shared" si="189"/>
        <v>25, 04</v>
      </c>
      <c r="AI576" s="70" t="str">
        <f t="shared" si="190"/>
        <v/>
      </c>
      <c r="AJ576" s="70" t="str">
        <f t="shared" si="191"/>
        <v/>
      </c>
      <c r="AK576" s="70" t="str">
        <f t="shared" si="192"/>
        <v/>
      </c>
      <c r="AN576" s="171"/>
      <c r="AO576" s="167"/>
      <c r="AP576" s="167"/>
    </row>
    <row r="577" spans="10:42" ht="20.100000000000001" customHeight="1" thickBot="1">
      <c r="J577" s="45" t="str">
        <f t="shared" si="183"/>
        <v>E DT</v>
      </c>
      <c r="K577" s="45" t="s">
        <v>130</v>
      </c>
      <c r="L577" s="45" t="str">
        <f t="shared" si="184"/>
        <v>RM2E-E DT@E</v>
      </c>
      <c r="M577" s="75" t="str">
        <f t="shared" si="177"/>
        <v>327, 326, 325, 318, 317, 316, 311, 303, 305, 302</v>
      </c>
      <c r="N577" s="75" t="str">
        <f t="shared" si="178"/>
        <v>26, 04</v>
      </c>
      <c r="R577" s="70" t="s">
        <v>216</v>
      </c>
      <c r="S577" s="70" t="s">
        <v>53</v>
      </c>
      <c r="T577" s="70"/>
      <c r="U577" s="70"/>
      <c r="V577" s="70"/>
      <c r="X577" s="70" t="str">
        <f t="shared" si="193"/>
        <v>RM2E-E DT@E</v>
      </c>
      <c r="Y577" s="70" t="str">
        <f t="shared" si="194"/>
        <v/>
      </c>
      <c r="Z577" s="70" t="str">
        <f t="shared" si="195"/>
        <v/>
      </c>
      <c r="AA577" s="70" t="str">
        <f t="shared" si="196"/>
        <v/>
      </c>
      <c r="AC577" s="70" t="str">
        <f t="shared" si="185"/>
        <v>327, 326, 325, 318, 317, 316, 311, 303, 305, 302</v>
      </c>
      <c r="AD577" s="70" t="str">
        <f t="shared" si="186"/>
        <v/>
      </c>
      <c r="AE577" s="70" t="str">
        <f t="shared" si="187"/>
        <v/>
      </c>
      <c r="AF577" s="70" t="str">
        <f t="shared" si="188"/>
        <v/>
      </c>
      <c r="AH577" s="70" t="str">
        <f t="shared" si="189"/>
        <v>26, 04</v>
      </c>
      <c r="AI577" s="70" t="str">
        <f t="shared" si="190"/>
        <v/>
      </c>
      <c r="AJ577" s="70" t="str">
        <f t="shared" si="191"/>
        <v/>
      </c>
      <c r="AK577" s="70" t="str">
        <f t="shared" si="192"/>
        <v/>
      </c>
      <c r="AN577" s="171"/>
      <c r="AO577" s="167"/>
      <c r="AP577" s="167"/>
    </row>
    <row r="578" spans="10:42" ht="20.100000000000001" customHeight="1" thickBot="1">
      <c r="J578" s="45" t="str">
        <f t="shared" si="183"/>
        <v>E DT</v>
      </c>
      <c r="K578" s="45" t="s">
        <v>130</v>
      </c>
      <c r="L578" s="45" t="str">
        <f t="shared" si="184"/>
        <v>RM2W-E DT@E</v>
      </c>
      <c r="M578" s="75" t="str">
        <f t="shared" ref="M578:M641" si="197">IF(AF578="",IF(AE578="",IF(AD578="",AC578,CONCATENATE(AC578,", ",AD578)),CONCATENATE(AC578,", ",AD578,", ",AE578)),CONCATENATE(AC578,", ",AD578,", ",AE578,", ",AF578))</f>
        <v>327, 326, 325, 318, 317, 316, 311, 303, 305, 302</v>
      </c>
      <c r="N578" s="75" t="str">
        <f t="shared" ref="N578:N641" si="198">IF(AK578="",IF(AJ578="",IF(AI578="",AH578,CONCATENATE(AH578,", ",AI578)),CONCATENATE(AH578,", ",AI578,", ",AJ578)),CONCATENATE(AH578,", ",AI578,", ",AJ578,", ",AK578))</f>
        <v>26, 04</v>
      </c>
      <c r="R578" s="70" t="s">
        <v>224</v>
      </c>
      <c r="S578" s="70" t="s">
        <v>53</v>
      </c>
      <c r="T578" s="70"/>
      <c r="U578" s="70"/>
      <c r="V578" s="70"/>
      <c r="X578" s="70" t="str">
        <f t="shared" si="193"/>
        <v>RM2W-E DT@E</v>
      </c>
      <c r="Y578" s="70" t="str">
        <f t="shared" si="194"/>
        <v/>
      </c>
      <c r="Z578" s="70" t="str">
        <f t="shared" si="195"/>
        <v/>
      </c>
      <c r="AA578" s="70" t="str">
        <f t="shared" si="196"/>
        <v/>
      </c>
      <c r="AC578" s="70" t="str">
        <f t="shared" si="185"/>
        <v>327, 326, 325, 318, 317, 316, 311, 303, 305, 302</v>
      </c>
      <c r="AD578" s="70" t="str">
        <f t="shared" si="186"/>
        <v/>
      </c>
      <c r="AE578" s="70" t="str">
        <f t="shared" si="187"/>
        <v/>
      </c>
      <c r="AF578" s="70" t="str">
        <f t="shared" si="188"/>
        <v/>
      </c>
      <c r="AH578" s="70" t="str">
        <f t="shared" si="189"/>
        <v>26, 04</v>
      </c>
      <c r="AI578" s="70" t="str">
        <f t="shared" si="190"/>
        <v/>
      </c>
      <c r="AJ578" s="70" t="str">
        <f t="shared" si="191"/>
        <v/>
      </c>
      <c r="AK578" s="70" t="str">
        <f t="shared" si="192"/>
        <v/>
      </c>
      <c r="AN578" s="171"/>
      <c r="AO578" s="167"/>
      <c r="AP578" s="167"/>
    </row>
    <row r="579" spans="10:42" ht="20.100000000000001" customHeight="1" thickBot="1">
      <c r="J579" s="45" t="str">
        <f t="shared" ref="J579:J642" si="199">IF(V579="",IF(U579="",IF(T579="",S579,T579),U579),V579)</f>
        <v>E DT</v>
      </c>
      <c r="K579" s="45" t="s">
        <v>130</v>
      </c>
      <c r="L579" s="45" t="str">
        <f t="shared" ref="L579:L642" si="200">CONCATENATE(R579,"-",J579,"@",K579)</f>
        <v>RM3E-E DT@E</v>
      </c>
      <c r="M579" s="75" t="str">
        <f t="shared" si="197"/>
        <v>327, 326, 325, 318, 317, 316, 311, 303, 305, 302</v>
      </c>
      <c r="N579" s="75" t="str">
        <f t="shared" si="198"/>
        <v>27, 04</v>
      </c>
      <c r="R579" s="70" t="s">
        <v>231</v>
      </c>
      <c r="S579" s="70" t="s">
        <v>53</v>
      </c>
      <c r="T579" s="70"/>
      <c r="U579" s="70"/>
      <c r="V579" s="70"/>
      <c r="X579" s="70" t="str">
        <f t="shared" si="193"/>
        <v>RM3E-E DT@E</v>
      </c>
      <c r="Y579" s="70" t="str">
        <f t="shared" si="194"/>
        <v/>
      </c>
      <c r="Z579" s="70" t="str">
        <f t="shared" si="195"/>
        <v/>
      </c>
      <c r="AA579" s="70" t="str">
        <f t="shared" si="196"/>
        <v/>
      </c>
      <c r="AC579" s="70" t="str">
        <f t="shared" ref="AC579:AC642" si="201">IF(X579="","",VLOOKUP(X579,$AN$2:$AP$736,2,0))</f>
        <v>327, 326, 325, 318, 317, 316, 311, 303, 305, 302</v>
      </c>
      <c r="AD579" s="70" t="str">
        <f t="shared" ref="AD579:AD642" si="202">IF(Y579="","",VLOOKUP(Y579,$AN$2:$AP$736,2,0))</f>
        <v/>
      </c>
      <c r="AE579" s="70" t="str">
        <f t="shared" ref="AE579:AE642" si="203">IF(Z579="","",VLOOKUP(Z579,$AN$2:$AP$736,2,0))</f>
        <v/>
      </c>
      <c r="AF579" s="70" t="str">
        <f t="shared" ref="AF579:AF642" si="204">IF(AA579="","",VLOOKUP(AA579,$AN$2:$AP$736,2,0))</f>
        <v/>
      </c>
      <c r="AH579" s="70" t="str">
        <f t="shared" ref="AH579:AH642" si="205">IF(X579="","",VLOOKUP(X579,$AN$2:$AP$162,3,0))</f>
        <v>27, 04</v>
      </c>
      <c r="AI579" s="70" t="str">
        <f t="shared" ref="AI579:AI642" si="206">IF(Y579="","",VLOOKUP(Y579,$AN$2:$AP$162,3,0))</f>
        <v/>
      </c>
      <c r="AJ579" s="70" t="str">
        <f t="shared" ref="AJ579:AJ642" si="207">IF(Z579="","",VLOOKUP(Z579,$AN$2:$AP$162,3,0))</f>
        <v/>
      </c>
      <c r="AK579" s="70" t="str">
        <f t="shared" ref="AK579:AK642" si="208">IF(AA579="","",VLOOKUP(AA579,$AN$2:$AP$162,3,0))</f>
        <v/>
      </c>
      <c r="AN579" s="171"/>
      <c r="AO579" s="167"/>
      <c r="AP579" s="167"/>
    </row>
    <row r="580" spans="10:42" ht="20.100000000000001" customHeight="1" thickBot="1">
      <c r="J580" s="45" t="str">
        <f t="shared" si="199"/>
        <v>E DT</v>
      </c>
      <c r="K580" s="45" t="s">
        <v>130</v>
      </c>
      <c r="L580" s="45" t="str">
        <f t="shared" si="200"/>
        <v>RM3W-E DT@E</v>
      </c>
      <c r="M580" s="75" t="str">
        <f t="shared" si="197"/>
        <v>327, 326, 325, 318, 317, 316, 311, 303, 305, 302</v>
      </c>
      <c r="N580" s="75" t="str">
        <f t="shared" si="198"/>
        <v>27, 04</v>
      </c>
      <c r="R580" s="70" t="s">
        <v>238</v>
      </c>
      <c r="S580" s="70" t="s">
        <v>53</v>
      </c>
      <c r="T580" s="70"/>
      <c r="U580" s="70"/>
      <c r="V580" s="70"/>
      <c r="X580" s="70" t="str">
        <f t="shared" si="193"/>
        <v>RM3W-E DT@E</v>
      </c>
      <c r="Y580" s="70" t="str">
        <f t="shared" si="194"/>
        <v/>
      </c>
      <c r="Z580" s="70" t="str">
        <f t="shared" si="195"/>
        <v/>
      </c>
      <c r="AA580" s="70" t="str">
        <f t="shared" si="196"/>
        <v/>
      </c>
      <c r="AC580" s="70" t="str">
        <f t="shared" si="201"/>
        <v>327, 326, 325, 318, 317, 316, 311, 303, 305, 302</v>
      </c>
      <c r="AD580" s="70" t="str">
        <f t="shared" si="202"/>
        <v/>
      </c>
      <c r="AE580" s="70" t="str">
        <f t="shared" si="203"/>
        <v/>
      </c>
      <c r="AF580" s="70" t="str">
        <f t="shared" si="204"/>
        <v/>
      </c>
      <c r="AH580" s="70" t="str">
        <f t="shared" si="205"/>
        <v>27, 04</v>
      </c>
      <c r="AI580" s="70" t="str">
        <f t="shared" si="206"/>
        <v/>
      </c>
      <c r="AJ580" s="70" t="str">
        <f t="shared" si="207"/>
        <v/>
      </c>
      <c r="AK580" s="70" t="str">
        <f t="shared" si="208"/>
        <v/>
      </c>
      <c r="AN580" s="171"/>
      <c r="AO580" s="167"/>
      <c r="AP580" s="167"/>
    </row>
    <row r="581" spans="10:42" ht="20.100000000000001" customHeight="1" thickBot="1">
      <c r="J581" s="45" t="str">
        <f t="shared" si="199"/>
        <v>E DT</v>
      </c>
      <c r="K581" s="45" t="s">
        <v>130</v>
      </c>
      <c r="L581" s="45" t="str">
        <f t="shared" si="200"/>
        <v>HCTE-E DT@E</v>
      </c>
      <c r="M581" s="75" t="str">
        <f t="shared" si="197"/>
        <v>329, 328, 325, 318, 317, 316, 311, 303, 305, 302</v>
      </c>
      <c r="N581" s="75" t="str">
        <f t="shared" si="198"/>
        <v>28, 04</v>
      </c>
      <c r="R581" s="70" t="s">
        <v>246</v>
      </c>
      <c r="S581" s="70" t="s">
        <v>53</v>
      </c>
      <c r="T581" s="70"/>
      <c r="U581" s="70"/>
      <c r="V581" s="70"/>
      <c r="X581" s="70" t="str">
        <f t="shared" si="193"/>
        <v>HCTE-E DT@E</v>
      </c>
      <c r="Y581" s="70" t="str">
        <f t="shared" si="194"/>
        <v/>
      </c>
      <c r="Z581" s="70" t="str">
        <f t="shared" si="195"/>
        <v/>
      </c>
      <c r="AA581" s="70" t="str">
        <f t="shared" si="196"/>
        <v/>
      </c>
      <c r="AC581" s="70" t="str">
        <f t="shared" si="201"/>
        <v>329, 328, 325, 318, 317, 316, 311, 303, 305, 302</v>
      </c>
      <c r="AD581" s="70" t="str">
        <f t="shared" si="202"/>
        <v/>
      </c>
      <c r="AE581" s="70" t="str">
        <f t="shared" si="203"/>
        <v/>
      </c>
      <c r="AF581" s="70" t="str">
        <f t="shared" si="204"/>
        <v/>
      </c>
      <c r="AH581" s="70" t="str">
        <f t="shared" si="205"/>
        <v>28, 04</v>
      </c>
      <c r="AI581" s="70" t="str">
        <f t="shared" si="206"/>
        <v/>
      </c>
      <c r="AJ581" s="70" t="str">
        <f t="shared" si="207"/>
        <v/>
      </c>
      <c r="AK581" s="70" t="str">
        <f t="shared" si="208"/>
        <v/>
      </c>
      <c r="AN581" s="171"/>
      <c r="AO581" s="167"/>
      <c r="AP581" s="167"/>
    </row>
    <row r="582" spans="10:42" ht="20.100000000000001" customHeight="1" thickBot="1">
      <c r="J582" s="45" t="str">
        <f t="shared" si="199"/>
        <v>E DT</v>
      </c>
      <c r="K582" s="45" t="s">
        <v>130</v>
      </c>
      <c r="L582" s="45" t="str">
        <f t="shared" si="200"/>
        <v>HCTW-E DT@E</v>
      </c>
      <c r="M582" s="75" t="str">
        <f t="shared" si="197"/>
        <v>329, 328, 325, 318, 317, 316, 311, 303, 305, 302</v>
      </c>
      <c r="N582" s="75" t="str">
        <f t="shared" si="198"/>
        <v>28, 04</v>
      </c>
      <c r="R582" s="70" t="s">
        <v>254</v>
      </c>
      <c r="S582" s="70" t="s">
        <v>53</v>
      </c>
      <c r="T582" s="70"/>
      <c r="U582" s="70"/>
      <c r="V582" s="70"/>
      <c r="X582" s="70" t="str">
        <f t="shared" si="193"/>
        <v>HCTW-E DT@E</v>
      </c>
      <c r="Y582" s="70" t="str">
        <f t="shared" si="194"/>
        <v/>
      </c>
      <c r="Z582" s="70" t="str">
        <f t="shared" si="195"/>
        <v/>
      </c>
      <c r="AA582" s="70" t="str">
        <f t="shared" si="196"/>
        <v/>
      </c>
      <c r="AC582" s="70" t="str">
        <f t="shared" si="201"/>
        <v>329, 328, 325, 318, 317, 316, 311, 303, 305, 302</v>
      </c>
      <c r="AD582" s="70" t="str">
        <f t="shared" si="202"/>
        <v/>
      </c>
      <c r="AE582" s="70" t="str">
        <f t="shared" si="203"/>
        <v/>
      </c>
      <c r="AF582" s="70" t="str">
        <f t="shared" si="204"/>
        <v/>
      </c>
      <c r="AH582" s="70" t="str">
        <f t="shared" si="205"/>
        <v>28, 04</v>
      </c>
      <c r="AI582" s="70" t="str">
        <f t="shared" si="206"/>
        <v/>
      </c>
      <c r="AJ582" s="70" t="str">
        <f t="shared" si="207"/>
        <v/>
      </c>
      <c r="AK582" s="70" t="str">
        <f t="shared" si="208"/>
        <v/>
      </c>
      <c r="AN582" s="171"/>
      <c r="AO582" s="167"/>
      <c r="AP582" s="167"/>
    </row>
    <row r="583" spans="10:42" ht="20.100000000000001" customHeight="1" thickBot="1">
      <c r="J583" s="45" t="str">
        <f t="shared" si="199"/>
        <v>E DT</v>
      </c>
      <c r="K583" s="45" t="s">
        <v>130</v>
      </c>
      <c r="L583" s="45" t="str">
        <f t="shared" si="200"/>
        <v>1E-E DT@E</v>
      </c>
      <c r="M583" s="75" t="str">
        <f t="shared" si="197"/>
        <v>329, 328, 325, 318, 317, 316, 311, 303, 305, 302</v>
      </c>
      <c r="N583" s="75" t="str">
        <f t="shared" si="198"/>
        <v>29, 04</v>
      </c>
      <c r="R583" s="70" t="s">
        <v>261</v>
      </c>
      <c r="S583" s="70" t="s">
        <v>53</v>
      </c>
      <c r="T583" s="70"/>
      <c r="U583" s="70"/>
      <c r="V583" s="70"/>
      <c r="X583" s="70" t="str">
        <f t="shared" si="193"/>
        <v>1E-E DT@E</v>
      </c>
      <c r="Y583" s="70" t="str">
        <f t="shared" si="194"/>
        <v/>
      </c>
      <c r="Z583" s="70" t="str">
        <f t="shared" si="195"/>
        <v/>
      </c>
      <c r="AA583" s="70" t="str">
        <f t="shared" si="196"/>
        <v/>
      </c>
      <c r="AC583" s="70" t="str">
        <f t="shared" si="201"/>
        <v>329, 328, 325, 318, 317, 316, 311, 303, 305, 302</v>
      </c>
      <c r="AD583" s="70" t="str">
        <f t="shared" si="202"/>
        <v/>
      </c>
      <c r="AE583" s="70" t="str">
        <f t="shared" si="203"/>
        <v/>
      </c>
      <c r="AF583" s="70" t="str">
        <f t="shared" si="204"/>
        <v/>
      </c>
      <c r="AH583" s="70" t="str">
        <f t="shared" si="205"/>
        <v>29, 04</v>
      </c>
      <c r="AI583" s="70" t="str">
        <f t="shared" si="206"/>
        <v/>
      </c>
      <c r="AJ583" s="70" t="str">
        <f t="shared" si="207"/>
        <v/>
      </c>
      <c r="AK583" s="70" t="str">
        <f t="shared" si="208"/>
        <v/>
      </c>
      <c r="AN583" s="171"/>
      <c r="AO583" s="167"/>
      <c r="AP583" s="167"/>
    </row>
    <row r="584" spans="10:42" ht="20.100000000000001" customHeight="1" thickBot="1">
      <c r="J584" s="45" t="str">
        <f t="shared" si="199"/>
        <v>E DT</v>
      </c>
      <c r="K584" s="45" t="s">
        <v>130</v>
      </c>
      <c r="L584" s="45" t="str">
        <f t="shared" si="200"/>
        <v>1W-E DT@E</v>
      </c>
      <c r="M584" s="75" t="str">
        <f t="shared" si="197"/>
        <v>329, 328, 325, 318, 317, 316, 311, 303, 305, 302</v>
      </c>
      <c r="N584" s="75" t="str">
        <f t="shared" si="198"/>
        <v>29, 04</v>
      </c>
      <c r="R584" s="70" t="s">
        <v>269</v>
      </c>
      <c r="S584" s="70" t="s">
        <v>53</v>
      </c>
      <c r="T584" s="70"/>
      <c r="U584" s="70"/>
      <c r="V584" s="70"/>
      <c r="X584" s="70" t="str">
        <f t="shared" si="193"/>
        <v>1W-E DT@E</v>
      </c>
      <c r="Y584" s="70" t="str">
        <f t="shared" si="194"/>
        <v/>
      </c>
      <c r="Z584" s="70" t="str">
        <f t="shared" si="195"/>
        <v/>
      </c>
      <c r="AA584" s="70" t="str">
        <f t="shared" si="196"/>
        <v/>
      </c>
      <c r="AC584" s="70" t="str">
        <f t="shared" si="201"/>
        <v>329, 328, 325, 318, 317, 316, 311, 303, 305, 302</v>
      </c>
      <c r="AD584" s="70" t="str">
        <f t="shared" si="202"/>
        <v/>
      </c>
      <c r="AE584" s="70" t="str">
        <f t="shared" si="203"/>
        <v/>
      </c>
      <c r="AF584" s="70" t="str">
        <f t="shared" si="204"/>
        <v/>
      </c>
      <c r="AH584" s="70" t="str">
        <f t="shared" si="205"/>
        <v>29, 04</v>
      </c>
      <c r="AI584" s="70" t="str">
        <f t="shared" si="206"/>
        <v/>
      </c>
      <c r="AJ584" s="70" t="str">
        <f t="shared" si="207"/>
        <v/>
      </c>
      <c r="AK584" s="70" t="str">
        <f t="shared" si="208"/>
        <v/>
      </c>
      <c r="AN584" s="171"/>
      <c r="AO584" s="167"/>
      <c r="AP584" s="167"/>
    </row>
    <row r="585" spans="10:42" ht="20.100000000000001" customHeight="1" thickBot="1">
      <c r="J585" s="45" t="str">
        <f t="shared" si="199"/>
        <v>E DT</v>
      </c>
      <c r="K585" s="45" t="s">
        <v>130</v>
      </c>
      <c r="L585" s="45" t="str">
        <f t="shared" si="200"/>
        <v>2E-E DT@E</v>
      </c>
      <c r="M585" s="75" t="str">
        <f t="shared" si="197"/>
        <v>330, 328, 325, 318, 317, 316, 311, 303, 305, 302</v>
      </c>
      <c r="N585" s="75" t="str">
        <f t="shared" si="198"/>
        <v>30, 04</v>
      </c>
      <c r="R585" s="70" t="s">
        <v>276</v>
      </c>
      <c r="S585" s="70" t="s">
        <v>53</v>
      </c>
      <c r="T585" s="70"/>
      <c r="U585" s="70"/>
      <c r="V585" s="70"/>
      <c r="X585" s="70" t="str">
        <f t="shared" si="193"/>
        <v>2E-E DT@E</v>
      </c>
      <c r="Y585" s="70" t="str">
        <f t="shared" si="194"/>
        <v/>
      </c>
      <c r="Z585" s="70" t="str">
        <f t="shared" si="195"/>
        <v/>
      </c>
      <c r="AA585" s="70" t="str">
        <f t="shared" si="196"/>
        <v/>
      </c>
      <c r="AC585" s="70" t="str">
        <f t="shared" si="201"/>
        <v>330, 328, 325, 318, 317, 316, 311, 303, 305, 302</v>
      </c>
      <c r="AD585" s="70" t="str">
        <f t="shared" si="202"/>
        <v/>
      </c>
      <c r="AE585" s="70" t="str">
        <f t="shared" si="203"/>
        <v/>
      </c>
      <c r="AF585" s="70" t="str">
        <f t="shared" si="204"/>
        <v/>
      </c>
      <c r="AH585" s="70" t="str">
        <f t="shared" si="205"/>
        <v>30, 04</v>
      </c>
      <c r="AI585" s="70" t="str">
        <f t="shared" si="206"/>
        <v/>
      </c>
      <c r="AJ585" s="70" t="str">
        <f t="shared" si="207"/>
        <v/>
      </c>
      <c r="AK585" s="70" t="str">
        <f t="shared" si="208"/>
        <v/>
      </c>
      <c r="AN585" s="171"/>
      <c r="AO585" s="167"/>
      <c r="AP585" s="167"/>
    </row>
    <row r="586" spans="10:42" ht="20.100000000000001" customHeight="1" thickBot="1">
      <c r="J586" s="45" t="str">
        <f t="shared" si="199"/>
        <v>E DT</v>
      </c>
      <c r="K586" s="45" t="s">
        <v>130</v>
      </c>
      <c r="L586" s="45" t="str">
        <f t="shared" si="200"/>
        <v>2W-E DT@E</v>
      </c>
      <c r="M586" s="75" t="str">
        <f t="shared" si="197"/>
        <v>330, 328, 325, 318, 317, 316, 311, 303, 305, 302</v>
      </c>
      <c r="N586" s="75" t="str">
        <f t="shared" si="198"/>
        <v>30, 04</v>
      </c>
      <c r="R586" s="70" t="s">
        <v>285</v>
      </c>
      <c r="S586" s="70" t="s">
        <v>53</v>
      </c>
      <c r="T586" s="70"/>
      <c r="U586" s="70"/>
      <c r="V586" s="70"/>
      <c r="X586" s="70" t="str">
        <f t="shared" si="193"/>
        <v>2W-E DT@E</v>
      </c>
      <c r="Y586" s="70" t="str">
        <f t="shared" si="194"/>
        <v/>
      </c>
      <c r="Z586" s="70" t="str">
        <f t="shared" si="195"/>
        <v/>
      </c>
      <c r="AA586" s="70" t="str">
        <f t="shared" si="196"/>
        <v/>
      </c>
      <c r="AC586" s="70" t="str">
        <f t="shared" si="201"/>
        <v>330, 328, 325, 318, 317, 316, 311, 303, 305, 302</v>
      </c>
      <c r="AD586" s="70" t="str">
        <f t="shared" si="202"/>
        <v/>
      </c>
      <c r="AE586" s="70" t="str">
        <f t="shared" si="203"/>
        <v/>
      </c>
      <c r="AF586" s="70" t="str">
        <f t="shared" si="204"/>
        <v/>
      </c>
      <c r="AH586" s="70" t="str">
        <f t="shared" si="205"/>
        <v>30, 04</v>
      </c>
      <c r="AI586" s="70" t="str">
        <f t="shared" si="206"/>
        <v/>
      </c>
      <c r="AJ586" s="70" t="str">
        <f t="shared" si="207"/>
        <v/>
      </c>
      <c r="AK586" s="70" t="str">
        <f t="shared" si="208"/>
        <v/>
      </c>
      <c r="AN586" s="171"/>
      <c r="AO586" s="167"/>
      <c r="AP586" s="167"/>
    </row>
    <row r="587" spans="10:42" ht="20.100000000000001" customHeight="1" thickBot="1">
      <c r="J587" s="45" t="str">
        <f t="shared" si="199"/>
        <v>E DT</v>
      </c>
      <c r="K587" s="45" t="s">
        <v>130</v>
      </c>
      <c r="L587" s="45" t="str">
        <f t="shared" si="200"/>
        <v>3E-E DT@E</v>
      </c>
      <c r="M587" s="75" t="str">
        <f t="shared" si="197"/>
        <v>330, 328, 325, 318, 317, 316, 311, 303, 305, 302</v>
      </c>
      <c r="N587" s="75" t="str">
        <f t="shared" si="198"/>
        <v>31, 04</v>
      </c>
      <c r="R587" s="70" t="s">
        <v>293</v>
      </c>
      <c r="S587" s="70" t="s">
        <v>53</v>
      </c>
      <c r="T587" s="70"/>
      <c r="U587" s="70"/>
      <c r="V587" s="70"/>
      <c r="X587" s="70" t="str">
        <f t="shared" si="193"/>
        <v>3E-E DT@E</v>
      </c>
      <c r="Y587" s="70" t="str">
        <f t="shared" si="194"/>
        <v/>
      </c>
      <c r="Z587" s="70" t="str">
        <f t="shared" si="195"/>
        <v/>
      </c>
      <c r="AA587" s="70" t="str">
        <f t="shared" si="196"/>
        <v/>
      </c>
      <c r="AC587" s="70" t="str">
        <f t="shared" si="201"/>
        <v>330, 328, 325, 318, 317, 316, 311, 303, 305, 302</v>
      </c>
      <c r="AD587" s="70" t="str">
        <f t="shared" si="202"/>
        <v/>
      </c>
      <c r="AE587" s="70" t="str">
        <f t="shared" si="203"/>
        <v/>
      </c>
      <c r="AF587" s="70" t="str">
        <f t="shared" si="204"/>
        <v/>
      </c>
      <c r="AH587" s="70" t="str">
        <f t="shared" si="205"/>
        <v>31, 04</v>
      </c>
      <c r="AI587" s="70" t="str">
        <f t="shared" si="206"/>
        <v/>
      </c>
      <c r="AJ587" s="70" t="str">
        <f t="shared" si="207"/>
        <v/>
      </c>
      <c r="AK587" s="70" t="str">
        <f t="shared" si="208"/>
        <v/>
      </c>
      <c r="AN587" s="171"/>
      <c r="AO587" s="167"/>
      <c r="AP587" s="167"/>
    </row>
    <row r="588" spans="10:42" ht="20.100000000000001" customHeight="1" thickBot="1">
      <c r="J588" s="45" t="str">
        <f t="shared" si="199"/>
        <v>E DT</v>
      </c>
      <c r="K588" s="45" t="s">
        <v>130</v>
      </c>
      <c r="L588" s="45" t="str">
        <f t="shared" si="200"/>
        <v>3W-E DT@E</v>
      </c>
      <c r="M588" s="75" t="str">
        <f t="shared" si="197"/>
        <v>330, 328, 325, 318, 317, 316, 311, 303, 305, 302</v>
      </c>
      <c r="N588" s="75" t="str">
        <f t="shared" si="198"/>
        <v>31, 04</v>
      </c>
      <c r="R588" s="70" t="s">
        <v>301</v>
      </c>
      <c r="S588" s="70" t="s">
        <v>53</v>
      </c>
      <c r="T588" s="70"/>
      <c r="U588" s="70"/>
      <c r="V588" s="70"/>
      <c r="X588" s="70" t="str">
        <f t="shared" si="193"/>
        <v>3W-E DT@E</v>
      </c>
      <c r="Y588" s="70" t="str">
        <f t="shared" si="194"/>
        <v/>
      </c>
      <c r="Z588" s="70" t="str">
        <f t="shared" si="195"/>
        <v/>
      </c>
      <c r="AA588" s="70" t="str">
        <f t="shared" si="196"/>
        <v/>
      </c>
      <c r="AC588" s="70" t="str">
        <f t="shared" si="201"/>
        <v>330, 328, 325, 318, 317, 316, 311, 303, 305, 302</v>
      </c>
      <c r="AD588" s="70" t="str">
        <f t="shared" si="202"/>
        <v/>
      </c>
      <c r="AE588" s="70" t="str">
        <f t="shared" si="203"/>
        <v/>
      </c>
      <c r="AF588" s="70" t="str">
        <f t="shared" si="204"/>
        <v/>
      </c>
      <c r="AH588" s="70" t="str">
        <f t="shared" si="205"/>
        <v>31, 04</v>
      </c>
      <c r="AI588" s="70" t="str">
        <f t="shared" si="206"/>
        <v/>
      </c>
      <c r="AJ588" s="70" t="str">
        <f t="shared" si="207"/>
        <v/>
      </c>
      <c r="AK588" s="70" t="str">
        <f t="shared" si="208"/>
        <v/>
      </c>
      <c r="AN588" s="171"/>
      <c r="AO588" s="167"/>
      <c r="AP588" s="167"/>
    </row>
    <row r="589" spans="10:42" ht="20.100000000000001" customHeight="1" thickBot="1">
      <c r="J589" s="45" t="str">
        <f t="shared" si="199"/>
        <v>E DT</v>
      </c>
      <c r="K589" s="45" t="s">
        <v>130</v>
      </c>
      <c r="L589" s="45" t="str">
        <f t="shared" si="200"/>
        <v>4E-E DT@E</v>
      </c>
      <c r="M589" s="75" t="str">
        <f t="shared" si="197"/>
        <v>333, 331, 318, 317, 316, 311, 303, 305, 302</v>
      </c>
      <c r="N589" s="75" t="str">
        <f t="shared" si="198"/>
        <v>32, 04</v>
      </c>
      <c r="R589" s="70" t="s">
        <v>309</v>
      </c>
      <c r="S589" s="70" t="s">
        <v>53</v>
      </c>
      <c r="T589" s="70"/>
      <c r="U589" s="70"/>
      <c r="V589" s="70"/>
      <c r="X589" s="70" t="str">
        <f t="shared" si="193"/>
        <v>4E-E DT@E</v>
      </c>
      <c r="Y589" s="70" t="str">
        <f t="shared" si="194"/>
        <v/>
      </c>
      <c r="Z589" s="70" t="str">
        <f t="shared" si="195"/>
        <v/>
      </c>
      <c r="AA589" s="70" t="str">
        <f t="shared" si="196"/>
        <v/>
      </c>
      <c r="AC589" s="70" t="str">
        <f t="shared" si="201"/>
        <v>333, 331, 318, 317, 316, 311, 303, 305, 302</v>
      </c>
      <c r="AD589" s="70" t="str">
        <f t="shared" si="202"/>
        <v/>
      </c>
      <c r="AE589" s="70" t="str">
        <f t="shared" si="203"/>
        <v/>
      </c>
      <c r="AF589" s="70" t="str">
        <f t="shared" si="204"/>
        <v/>
      </c>
      <c r="AH589" s="70" t="str">
        <f t="shared" si="205"/>
        <v>32, 04</v>
      </c>
      <c r="AI589" s="70" t="str">
        <f t="shared" si="206"/>
        <v/>
      </c>
      <c r="AJ589" s="70" t="str">
        <f t="shared" si="207"/>
        <v/>
      </c>
      <c r="AK589" s="70" t="str">
        <f t="shared" si="208"/>
        <v/>
      </c>
      <c r="AN589" s="171"/>
      <c r="AO589" s="167"/>
      <c r="AP589" s="167"/>
    </row>
    <row r="590" spans="10:42" ht="20.100000000000001" customHeight="1" thickBot="1">
      <c r="J590" s="45" t="str">
        <f t="shared" si="199"/>
        <v>E DT</v>
      </c>
      <c r="K590" s="45" t="s">
        <v>130</v>
      </c>
      <c r="L590" s="45" t="str">
        <f t="shared" si="200"/>
        <v>4W-E DT@E</v>
      </c>
      <c r="M590" s="75" t="str">
        <f t="shared" si="197"/>
        <v>333, 331, 318, 317, 316, 311, 303, 305, 302</v>
      </c>
      <c r="N590" s="75" t="str">
        <f t="shared" si="198"/>
        <v>32, 04</v>
      </c>
      <c r="R590" s="70" t="s">
        <v>318</v>
      </c>
      <c r="S590" s="70" t="s">
        <v>53</v>
      </c>
      <c r="T590" s="70"/>
      <c r="U590" s="70"/>
      <c r="V590" s="70"/>
      <c r="X590" s="70" t="str">
        <f t="shared" si="193"/>
        <v>4W-E DT@E</v>
      </c>
      <c r="Y590" s="70" t="str">
        <f t="shared" si="194"/>
        <v/>
      </c>
      <c r="Z590" s="70" t="str">
        <f t="shared" si="195"/>
        <v/>
      </c>
      <c r="AA590" s="70" t="str">
        <f t="shared" si="196"/>
        <v/>
      </c>
      <c r="AC590" s="70" t="str">
        <f t="shared" si="201"/>
        <v>333, 331, 318, 317, 316, 311, 303, 305, 302</v>
      </c>
      <c r="AD590" s="70" t="str">
        <f t="shared" si="202"/>
        <v/>
      </c>
      <c r="AE590" s="70" t="str">
        <f t="shared" si="203"/>
        <v/>
      </c>
      <c r="AF590" s="70" t="str">
        <f t="shared" si="204"/>
        <v/>
      </c>
      <c r="AH590" s="70" t="str">
        <f t="shared" si="205"/>
        <v>32, 04</v>
      </c>
      <c r="AI590" s="70" t="str">
        <f t="shared" si="206"/>
        <v/>
      </c>
      <c r="AJ590" s="70" t="str">
        <f t="shared" si="207"/>
        <v/>
      </c>
      <c r="AK590" s="70" t="str">
        <f t="shared" si="208"/>
        <v/>
      </c>
      <c r="AN590" s="171"/>
      <c r="AO590" s="167"/>
      <c r="AP590" s="167"/>
    </row>
    <row r="591" spans="10:42" ht="20.100000000000001" customHeight="1" thickBot="1">
      <c r="J591" s="45" t="str">
        <f t="shared" si="199"/>
        <v>E DT</v>
      </c>
      <c r="K591" s="45" t="s">
        <v>130</v>
      </c>
      <c r="L591" s="45" t="str">
        <f t="shared" si="200"/>
        <v>5E-E DT@E</v>
      </c>
      <c r="M591" s="75" t="str">
        <f t="shared" si="197"/>
        <v>333, 331, 318, 317, 316, 311, 303, 305, 302</v>
      </c>
      <c r="N591" s="75" t="str">
        <f t="shared" si="198"/>
        <v>33, 04</v>
      </c>
      <c r="R591" s="70" t="s">
        <v>325</v>
      </c>
      <c r="S591" s="70" t="s">
        <v>53</v>
      </c>
      <c r="T591" s="70"/>
      <c r="U591" s="70"/>
      <c r="V591" s="70"/>
      <c r="X591" s="70" t="str">
        <f t="shared" si="193"/>
        <v>5E-E DT@E</v>
      </c>
      <c r="Y591" s="70" t="str">
        <f t="shared" si="194"/>
        <v/>
      </c>
      <c r="Z591" s="70" t="str">
        <f t="shared" si="195"/>
        <v/>
      </c>
      <c r="AA591" s="70" t="str">
        <f t="shared" si="196"/>
        <v/>
      </c>
      <c r="AC591" s="70" t="str">
        <f t="shared" si="201"/>
        <v>333, 331, 318, 317, 316, 311, 303, 305, 302</v>
      </c>
      <c r="AD591" s="70" t="str">
        <f t="shared" si="202"/>
        <v/>
      </c>
      <c r="AE591" s="70" t="str">
        <f t="shared" si="203"/>
        <v/>
      </c>
      <c r="AF591" s="70" t="str">
        <f t="shared" si="204"/>
        <v/>
      </c>
      <c r="AH591" s="70" t="str">
        <f t="shared" si="205"/>
        <v>33, 04</v>
      </c>
      <c r="AI591" s="70" t="str">
        <f t="shared" si="206"/>
        <v/>
      </c>
      <c r="AJ591" s="70" t="str">
        <f t="shared" si="207"/>
        <v/>
      </c>
      <c r="AK591" s="70" t="str">
        <f t="shared" si="208"/>
        <v/>
      </c>
      <c r="AN591" s="171"/>
      <c r="AO591" s="167"/>
      <c r="AP591" s="167"/>
    </row>
    <row r="592" spans="10:42" ht="20.100000000000001" customHeight="1" thickBot="1">
      <c r="J592" s="45" t="str">
        <f t="shared" si="199"/>
        <v>E DT</v>
      </c>
      <c r="K592" s="45" t="s">
        <v>130</v>
      </c>
      <c r="L592" s="45" t="str">
        <f t="shared" si="200"/>
        <v>5W-E DT@E</v>
      </c>
      <c r="M592" s="75" t="str">
        <f t="shared" si="197"/>
        <v>333, 331, 318, 317, 316, 311, 303, 305, 302</v>
      </c>
      <c r="N592" s="75" t="str">
        <f t="shared" si="198"/>
        <v>33, 04</v>
      </c>
      <c r="R592" s="70" t="s">
        <v>333</v>
      </c>
      <c r="S592" s="70" t="s">
        <v>53</v>
      </c>
      <c r="T592" s="70"/>
      <c r="U592" s="70"/>
      <c r="V592" s="70"/>
      <c r="X592" s="70" t="str">
        <f t="shared" si="193"/>
        <v>5W-E DT@E</v>
      </c>
      <c r="Y592" s="70" t="str">
        <f t="shared" si="194"/>
        <v/>
      </c>
      <c r="Z592" s="70" t="str">
        <f t="shared" si="195"/>
        <v/>
      </c>
      <c r="AA592" s="70" t="str">
        <f t="shared" si="196"/>
        <v/>
      </c>
      <c r="AC592" s="70" t="str">
        <f t="shared" si="201"/>
        <v>333, 331, 318, 317, 316, 311, 303, 305, 302</v>
      </c>
      <c r="AD592" s="70" t="str">
        <f t="shared" si="202"/>
        <v/>
      </c>
      <c r="AE592" s="70" t="str">
        <f t="shared" si="203"/>
        <v/>
      </c>
      <c r="AF592" s="70" t="str">
        <f t="shared" si="204"/>
        <v/>
      </c>
      <c r="AH592" s="70" t="str">
        <f t="shared" si="205"/>
        <v>33, 04</v>
      </c>
      <c r="AI592" s="70" t="str">
        <f t="shared" si="206"/>
        <v/>
      </c>
      <c r="AJ592" s="70" t="str">
        <f t="shared" si="207"/>
        <v/>
      </c>
      <c r="AK592" s="70" t="str">
        <f t="shared" si="208"/>
        <v/>
      </c>
      <c r="AN592" s="171"/>
      <c r="AO592" s="167"/>
      <c r="AP592" s="167"/>
    </row>
    <row r="593" spans="10:42" ht="20.100000000000001" customHeight="1" thickBot="1">
      <c r="J593" s="45" t="str">
        <f t="shared" si="199"/>
        <v>E DT</v>
      </c>
      <c r="K593" s="45" t="s">
        <v>130</v>
      </c>
      <c r="L593" s="45" t="str">
        <f t="shared" si="200"/>
        <v>6E-E DT@E</v>
      </c>
      <c r="M593" s="75" t="str">
        <f t="shared" si="197"/>
        <v>332, 331, 318, 317, 316, 311, 303, 305, 302</v>
      </c>
      <c r="N593" s="75" t="str">
        <f t="shared" si="198"/>
        <v>34, 04</v>
      </c>
      <c r="R593" s="70" t="s">
        <v>339</v>
      </c>
      <c r="S593" s="70" t="s">
        <v>53</v>
      </c>
      <c r="T593" s="70"/>
      <c r="U593" s="70"/>
      <c r="V593" s="70"/>
      <c r="X593" s="70" t="str">
        <f t="shared" si="193"/>
        <v>6E-E DT@E</v>
      </c>
      <c r="Y593" s="70" t="str">
        <f t="shared" si="194"/>
        <v/>
      </c>
      <c r="Z593" s="70" t="str">
        <f t="shared" si="195"/>
        <v/>
      </c>
      <c r="AA593" s="70" t="str">
        <f t="shared" si="196"/>
        <v/>
      </c>
      <c r="AC593" s="70" t="str">
        <f t="shared" si="201"/>
        <v>332, 331, 318, 317, 316, 311, 303, 305, 302</v>
      </c>
      <c r="AD593" s="70" t="str">
        <f t="shared" si="202"/>
        <v/>
      </c>
      <c r="AE593" s="70" t="str">
        <f t="shared" si="203"/>
        <v/>
      </c>
      <c r="AF593" s="70" t="str">
        <f t="shared" si="204"/>
        <v/>
      </c>
      <c r="AH593" s="70" t="str">
        <f t="shared" si="205"/>
        <v>34, 04</v>
      </c>
      <c r="AI593" s="70" t="str">
        <f t="shared" si="206"/>
        <v/>
      </c>
      <c r="AJ593" s="70" t="str">
        <f t="shared" si="207"/>
        <v/>
      </c>
      <c r="AK593" s="70" t="str">
        <f t="shared" si="208"/>
        <v/>
      </c>
      <c r="AN593" s="171"/>
      <c r="AO593" s="167"/>
      <c r="AP593" s="167"/>
    </row>
    <row r="594" spans="10:42" ht="20.100000000000001" customHeight="1" thickBot="1">
      <c r="J594" s="45" t="str">
        <f t="shared" si="199"/>
        <v>E DT</v>
      </c>
      <c r="K594" s="45" t="s">
        <v>130</v>
      </c>
      <c r="L594" s="45" t="str">
        <f t="shared" si="200"/>
        <v>6W-E DT@E</v>
      </c>
      <c r="M594" s="75" t="str">
        <f t="shared" si="197"/>
        <v>332, 331, 318, 317, 316, 311, 303, 305, 302</v>
      </c>
      <c r="N594" s="75" t="str">
        <f t="shared" si="198"/>
        <v>34, 04</v>
      </c>
      <c r="R594" s="70" t="s">
        <v>346</v>
      </c>
      <c r="S594" s="70" t="s">
        <v>53</v>
      </c>
      <c r="T594" s="70"/>
      <c r="U594" s="70"/>
      <c r="V594" s="70"/>
      <c r="X594" s="70" t="str">
        <f t="shared" si="193"/>
        <v>6W-E DT@E</v>
      </c>
      <c r="Y594" s="70" t="str">
        <f t="shared" si="194"/>
        <v/>
      </c>
      <c r="Z594" s="70" t="str">
        <f t="shared" si="195"/>
        <v/>
      </c>
      <c r="AA594" s="70" t="str">
        <f t="shared" si="196"/>
        <v/>
      </c>
      <c r="AC594" s="70" t="str">
        <f t="shared" si="201"/>
        <v>332, 331, 318, 317, 316, 311, 303, 305, 302</v>
      </c>
      <c r="AD594" s="70" t="str">
        <f t="shared" si="202"/>
        <v/>
      </c>
      <c r="AE594" s="70" t="str">
        <f t="shared" si="203"/>
        <v/>
      </c>
      <c r="AF594" s="70" t="str">
        <f t="shared" si="204"/>
        <v/>
      </c>
      <c r="AH594" s="70" t="str">
        <f t="shared" si="205"/>
        <v>34, 04</v>
      </c>
      <c r="AI594" s="70" t="str">
        <f t="shared" si="206"/>
        <v/>
      </c>
      <c r="AJ594" s="70" t="str">
        <f t="shared" si="207"/>
        <v/>
      </c>
      <c r="AK594" s="70" t="str">
        <f t="shared" si="208"/>
        <v/>
      </c>
      <c r="AN594" s="171"/>
      <c r="AO594" s="167"/>
      <c r="AP594" s="167"/>
    </row>
    <row r="595" spans="10:42" ht="20.100000000000001" customHeight="1" thickBot="1">
      <c r="J595" s="45" t="str">
        <f t="shared" si="199"/>
        <v>E DT</v>
      </c>
      <c r="K595" s="45" t="s">
        <v>130</v>
      </c>
      <c r="L595" s="45" t="str">
        <f t="shared" si="200"/>
        <v>7E-E DT@E</v>
      </c>
      <c r="M595" s="75" t="str">
        <f t="shared" si="197"/>
        <v>334, 332, 331, 318, 317, 316, 311, 303, 305, 302</v>
      </c>
      <c r="N595" s="75" t="str">
        <f t="shared" si="198"/>
        <v>35, 04</v>
      </c>
      <c r="R595" s="70" t="s">
        <v>354</v>
      </c>
      <c r="S595" s="70" t="s">
        <v>53</v>
      </c>
      <c r="T595" s="70"/>
      <c r="U595" s="70"/>
      <c r="V595" s="70"/>
      <c r="X595" s="70" t="str">
        <f t="shared" ref="X595:X658" si="209">IF(S595="","",CONCATENATE(R595,"-",S595,"@",$K595))</f>
        <v>7E-E DT@E</v>
      </c>
      <c r="Y595" s="70" t="str">
        <f t="shared" ref="Y595:Y658" si="210">IF(T595="","",CONCATENATE(S595,"-",T595,"@",$K595))</f>
        <v/>
      </c>
      <c r="Z595" s="70" t="str">
        <f t="shared" ref="Z595:Z658" si="211">IF(U595="","",CONCATENATE(T595,"-",U595,"@",$K595))</f>
        <v/>
      </c>
      <c r="AA595" s="70" t="str">
        <f t="shared" ref="AA595:AA658" si="212">IF(V595="","",CONCATENATE(U595,"-",V595,"@",$K595))</f>
        <v/>
      </c>
      <c r="AC595" s="70" t="str">
        <f t="shared" si="201"/>
        <v>334, 332, 331, 318, 317, 316, 311, 303, 305, 302</v>
      </c>
      <c r="AD595" s="70" t="str">
        <f t="shared" si="202"/>
        <v/>
      </c>
      <c r="AE595" s="70" t="str">
        <f t="shared" si="203"/>
        <v/>
      </c>
      <c r="AF595" s="70" t="str">
        <f t="shared" si="204"/>
        <v/>
      </c>
      <c r="AH595" s="70" t="str">
        <f t="shared" si="205"/>
        <v>35, 04</v>
      </c>
      <c r="AI595" s="70" t="str">
        <f t="shared" si="206"/>
        <v/>
      </c>
      <c r="AJ595" s="70" t="str">
        <f t="shared" si="207"/>
        <v/>
      </c>
      <c r="AK595" s="70" t="str">
        <f t="shared" si="208"/>
        <v/>
      </c>
      <c r="AN595" s="171"/>
      <c r="AO595" s="167"/>
      <c r="AP595" s="167"/>
    </row>
    <row r="596" spans="10:42" ht="20.100000000000001" customHeight="1" thickBot="1">
      <c r="J596" s="45" t="str">
        <f t="shared" si="199"/>
        <v>E DT</v>
      </c>
      <c r="K596" s="45" t="s">
        <v>130</v>
      </c>
      <c r="L596" s="45" t="str">
        <f t="shared" si="200"/>
        <v>7W-E DT@E</v>
      </c>
      <c r="M596" s="75" t="str">
        <f t="shared" si="197"/>
        <v>334, 332, 331, 318, 317, 316, 311, 303, 305, 302</v>
      </c>
      <c r="N596" s="75" t="str">
        <f t="shared" si="198"/>
        <v>35, 04</v>
      </c>
      <c r="R596" s="70" t="s">
        <v>363</v>
      </c>
      <c r="S596" s="70" t="s">
        <v>53</v>
      </c>
      <c r="T596" s="70"/>
      <c r="U596" s="70"/>
      <c r="V596" s="70"/>
      <c r="X596" s="70" t="str">
        <f t="shared" si="209"/>
        <v>7W-E DT@E</v>
      </c>
      <c r="Y596" s="70" t="str">
        <f t="shared" si="210"/>
        <v/>
      </c>
      <c r="Z596" s="70" t="str">
        <f t="shared" si="211"/>
        <v/>
      </c>
      <c r="AA596" s="70" t="str">
        <f t="shared" si="212"/>
        <v/>
      </c>
      <c r="AC596" s="70" t="str">
        <f t="shared" si="201"/>
        <v>334, 332, 331, 318, 317, 316, 311, 303, 305, 302</v>
      </c>
      <c r="AD596" s="70" t="str">
        <f t="shared" si="202"/>
        <v/>
      </c>
      <c r="AE596" s="70" t="str">
        <f t="shared" si="203"/>
        <v/>
      </c>
      <c r="AF596" s="70" t="str">
        <f t="shared" si="204"/>
        <v/>
      </c>
      <c r="AH596" s="70" t="str">
        <f t="shared" si="205"/>
        <v>35, 04</v>
      </c>
      <c r="AI596" s="70" t="str">
        <f t="shared" si="206"/>
        <v/>
      </c>
      <c r="AJ596" s="70" t="str">
        <f t="shared" si="207"/>
        <v/>
      </c>
      <c r="AK596" s="70" t="str">
        <f t="shared" si="208"/>
        <v/>
      </c>
      <c r="AN596" s="171"/>
      <c r="AO596" s="167"/>
      <c r="AP596" s="167"/>
    </row>
    <row r="597" spans="10:42" ht="20.100000000000001" customHeight="1" thickBot="1">
      <c r="J597" s="45" t="str">
        <f t="shared" si="199"/>
        <v>E DT</v>
      </c>
      <c r="K597" s="45" t="s">
        <v>130</v>
      </c>
      <c r="L597" s="45" t="str">
        <f t="shared" si="200"/>
        <v>8E-E DT@E</v>
      </c>
      <c r="M597" s="75" t="str">
        <f t="shared" si="197"/>
        <v>334, 332, 331, 318, 317, 316, 311, 303, 305, 302</v>
      </c>
      <c r="N597" s="75" t="str">
        <f t="shared" si="198"/>
        <v>36, 04</v>
      </c>
      <c r="R597" s="70" t="s">
        <v>370</v>
      </c>
      <c r="S597" s="70" t="s">
        <v>53</v>
      </c>
      <c r="T597" s="70"/>
      <c r="U597" s="70"/>
      <c r="V597" s="70"/>
      <c r="X597" s="70" t="str">
        <f t="shared" si="209"/>
        <v>8E-E DT@E</v>
      </c>
      <c r="Y597" s="70" t="str">
        <f t="shared" si="210"/>
        <v/>
      </c>
      <c r="Z597" s="70" t="str">
        <f t="shared" si="211"/>
        <v/>
      </c>
      <c r="AA597" s="70" t="str">
        <f t="shared" si="212"/>
        <v/>
      </c>
      <c r="AC597" s="70" t="str">
        <f t="shared" si="201"/>
        <v>334, 332, 331, 318, 317, 316, 311, 303, 305, 302</v>
      </c>
      <c r="AD597" s="70" t="str">
        <f t="shared" si="202"/>
        <v/>
      </c>
      <c r="AE597" s="70" t="str">
        <f t="shared" si="203"/>
        <v/>
      </c>
      <c r="AF597" s="70" t="str">
        <f t="shared" si="204"/>
        <v/>
      </c>
      <c r="AH597" s="70" t="str">
        <f t="shared" si="205"/>
        <v>36, 04</v>
      </c>
      <c r="AI597" s="70" t="str">
        <f t="shared" si="206"/>
        <v/>
      </c>
      <c r="AJ597" s="70" t="str">
        <f t="shared" si="207"/>
        <v/>
      </c>
      <c r="AK597" s="70" t="str">
        <f t="shared" si="208"/>
        <v/>
      </c>
      <c r="AN597" s="171"/>
      <c r="AO597" s="167"/>
      <c r="AP597" s="167"/>
    </row>
    <row r="598" spans="10:42" ht="20.100000000000001" customHeight="1" thickBot="1">
      <c r="J598" s="45" t="str">
        <f t="shared" si="199"/>
        <v>E DT</v>
      </c>
      <c r="K598" s="45" t="s">
        <v>130</v>
      </c>
      <c r="L598" s="45" t="str">
        <f t="shared" si="200"/>
        <v>8W-E DT@E</v>
      </c>
      <c r="M598" s="75" t="str">
        <f t="shared" si="197"/>
        <v>334, 332, 331, 318, 317, 316, 311, 303, 305, 302</v>
      </c>
      <c r="N598" s="75" t="str">
        <f t="shared" si="198"/>
        <v>36, 04</v>
      </c>
      <c r="R598" s="70" t="s">
        <v>377</v>
      </c>
      <c r="S598" s="70" t="s">
        <v>53</v>
      </c>
      <c r="T598" s="70"/>
      <c r="U598" s="70"/>
      <c r="V598" s="70"/>
      <c r="X598" s="70" t="str">
        <f t="shared" si="209"/>
        <v>8W-E DT@E</v>
      </c>
      <c r="Y598" s="70" t="str">
        <f t="shared" si="210"/>
        <v/>
      </c>
      <c r="Z598" s="70" t="str">
        <f t="shared" si="211"/>
        <v/>
      </c>
      <c r="AA598" s="70" t="str">
        <f t="shared" si="212"/>
        <v/>
      </c>
      <c r="AC598" s="70" t="str">
        <f t="shared" si="201"/>
        <v>334, 332, 331, 318, 317, 316, 311, 303, 305, 302</v>
      </c>
      <c r="AD598" s="70" t="str">
        <f t="shared" si="202"/>
        <v/>
      </c>
      <c r="AE598" s="70" t="str">
        <f t="shared" si="203"/>
        <v/>
      </c>
      <c r="AF598" s="70" t="str">
        <f t="shared" si="204"/>
        <v/>
      </c>
      <c r="AH598" s="70" t="str">
        <f t="shared" si="205"/>
        <v>36, 04</v>
      </c>
      <c r="AI598" s="70" t="str">
        <f t="shared" si="206"/>
        <v/>
      </c>
      <c r="AJ598" s="70" t="str">
        <f t="shared" si="207"/>
        <v/>
      </c>
      <c r="AK598" s="70" t="str">
        <f t="shared" si="208"/>
        <v/>
      </c>
      <c r="AN598" s="171"/>
      <c r="AO598" s="167"/>
      <c r="AP598" s="167"/>
    </row>
    <row r="599" spans="10:42" ht="20.100000000000001" customHeight="1" thickBot="1">
      <c r="J599" s="45" t="str">
        <f t="shared" si="199"/>
        <v>E DT</v>
      </c>
      <c r="K599" s="45" t="s">
        <v>130</v>
      </c>
      <c r="L599" s="45" t="str">
        <f t="shared" si="200"/>
        <v>LS2-E DT@E</v>
      </c>
      <c r="M599" s="75" t="str">
        <f t="shared" si="197"/>
        <v>302, 305, 307, 306, M5, M6, M7, M8</v>
      </c>
      <c r="N599" s="75" t="str">
        <f t="shared" si="198"/>
        <v>05</v>
      </c>
      <c r="R599" s="70" t="s">
        <v>383</v>
      </c>
      <c r="S599" s="70" t="s">
        <v>53</v>
      </c>
      <c r="T599" s="70"/>
      <c r="U599" s="70"/>
      <c r="V599" s="70"/>
      <c r="X599" s="70" t="str">
        <f t="shared" si="209"/>
        <v>LS2-E DT@E</v>
      </c>
      <c r="Y599" s="70" t="str">
        <f t="shared" si="210"/>
        <v/>
      </c>
      <c r="Z599" s="70" t="str">
        <f t="shared" si="211"/>
        <v/>
      </c>
      <c r="AA599" s="70" t="str">
        <f t="shared" si="212"/>
        <v/>
      </c>
      <c r="AC599" s="70" t="str">
        <f t="shared" si="201"/>
        <v>302, 305, 307, 306, M5, M6, M7, M8</v>
      </c>
      <c r="AD599" s="70" t="str">
        <f t="shared" si="202"/>
        <v/>
      </c>
      <c r="AE599" s="70" t="str">
        <f t="shared" si="203"/>
        <v/>
      </c>
      <c r="AF599" s="70" t="str">
        <f t="shared" si="204"/>
        <v/>
      </c>
      <c r="AH599" s="70" t="str">
        <f t="shared" si="205"/>
        <v>05</v>
      </c>
      <c r="AI599" s="70" t="str">
        <f t="shared" si="206"/>
        <v/>
      </c>
      <c r="AJ599" s="70" t="str">
        <f t="shared" si="207"/>
        <v/>
      </c>
      <c r="AK599" s="70" t="str">
        <f t="shared" si="208"/>
        <v/>
      </c>
      <c r="AN599" s="171"/>
      <c r="AO599" s="167"/>
      <c r="AP599" s="167"/>
    </row>
    <row r="600" spans="10:42" ht="20.100000000000001" customHeight="1" thickBot="1">
      <c r="J600" s="45" t="str">
        <f t="shared" si="199"/>
        <v>E DT</v>
      </c>
      <c r="K600" s="45" t="s">
        <v>130</v>
      </c>
      <c r="L600" s="45" t="str">
        <f t="shared" si="200"/>
        <v>LS3-E DT@E</v>
      </c>
      <c r="M600" s="75" t="str">
        <f t="shared" si="197"/>
        <v>302, 305, 307, 306, M5, M6</v>
      </c>
      <c r="N600" s="75" t="str">
        <f t="shared" si="198"/>
        <v>05</v>
      </c>
      <c r="R600" s="70" t="s">
        <v>531</v>
      </c>
      <c r="S600" s="70" t="s">
        <v>53</v>
      </c>
      <c r="T600" s="70"/>
      <c r="U600" s="70"/>
      <c r="V600" s="70"/>
      <c r="X600" s="70" t="str">
        <f t="shared" si="209"/>
        <v>LS3-E DT@E</v>
      </c>
      <c r="Y600" s="70" t="str">
        <f t="shared" si="210"/>
        <v/>
      </c>
      <c r="Z600" s="70" t="str">
        <f t="shared" si="211"/>
        <v/>
      </c>
      <c r="AA600" s="70" t="str">
        <f t="shared" si="212"/>
        <v/>
      </c>
      <c r="AC600" s="70" t="str">
        <f t="shared" si="201"/>
        <v>302, 305, 307, 306, M5, M6</v>
      </c>
      <c r="AD600" s="70" t="str">
        <f t="shared" si="202"/>
        <v/>
      </c>
      <c r="AE600" s="70" t="str">
        <f t="shared" si="203"/>
        <v/>
      </c>
      <c r="AF600" s="70" t="str">
        <f t="shared" si="204"/>
        <v/>
      </c>
      <c r="AH600" s="70" t="str">
        <f t="shared" si="205"/>
        <v>05</v>
      </c>
      <c r="AI600" s="70" t="str">
        <f t="shared" si="206"/>
        <v/>
      </c>
      <c r="AJ600" s="70" t="str">
        <f t="shared" si="207"/>
        <v/>
      </c>
      <c r="AK600" s="70" t="str">
        <f t="shared" si="208"/>
        <v/>
      </c>
      <c r="AN600" s="171"/>
      <c r="AO600" s="167"/>
      <c r="AP600" s="167"/>
    </row>
    <row r="601" spans="10:42" ht="20.100000000000001" customHeight="1" thickBot="1">
      <c r="J601" s="45" t="str">
        <f t="shared" si="199"/>
        <v>E DT</v>
      </c>
      <c r="K601" s="45" t="s">
        <v>130</v>
      </c>
      <c r="L601" s="45" t="str">
        <f t="shared" si="200"/>
        <v>LB-E DT@E</v>
      </c>
      <c r="M601" s="75" t="str">
        <f t="shared" si="197"/>
        <v>302, 305, 307, 306, M5</v>
      </c>
      <c r="N601" s="75" t="str">
        <f t="shared" si="198"/>
        <v>05</v>
      </c>
      <c r="R601" s="70" t="s">
        <v>672</v>
      </c>
      <c r="S601" s="70" t="s">
        <v>53</v>
      </c>
      <c r="T601" s="70"/>
      <c r="U601" s="70"/>
      <c r="V601" s="70"/>
      <c r="X601" s="70" t="str">
        <f t="shared" si="209"/>
        <v>LB-E DT@E</v>
      </c>
      <c r="Y601" s="70" t="str">
        <f t="shared" si="210"/>
        <v/>
      </c>
      <c r="Z601" s="70" t="str">
        <f t="shared" si="211"/>
        <v/>
      </c>
      <c r="AA601" s="70" t="str">
        <f t="shared" si="212"/>
        <v/>
      </c>
      <c r="AC601" s="70" t="str">
        <f t="shared" si="201"/>
        <v>302, 305, 307, 306, M5</v>
      </c>
      <c r="AD601" s="70" t="str">
        <f t="shared" si="202"/>
        <v/>
      </c>
      <c r="AE601" s="70" t="str">
        <f t="shared" si="203"/>
        <v/>
      </c>
      <c r="AF601" s="70" t="str">
        <f t="shared" si="204"/>
        <v/>
      </c>
      <c r="AH601" s="70" t="str">
        <f t="shared" si="205"/>
        <v>05</v>
      </c>
      <c r="AI601" s="70" t="str">
        <f t="shared" si="206"/>
        <v/>
      </c>
      <c r="AJ601" s="70" t="str">
        <f t="shared" si="207"/>
        <v/>
      </c>
      <c r="AK601" s="70" t="str">
        <f t="shared" si="208"/>
        <v/>
      </c>
      <c r="AN601" s="171"/>
      <c r="AO601" s="167"/>
      <c r="AP601" s="167"/>
    </row>
    <row r="602" spans="10:42" ht="20.100000000000001" customHeight="1" thickBot="1">
      <c r="J602" s="45" t="str">
        <f t="shared" si="199"/>
        <v>E DT</v>
      </c>
      <c r="K602" s="45" t="s">
        <v>130</v>
      </c>
      <c r="L602" s="45" t="str">
        <f t="shared" si="200"/>
        <v>M1-E DT@E</v>
      </c>
      <c r="M602" s="75" t="str">
        <f t="shared" si="197"/>
        <v>302, 305, 307, 306, M1</v>
      </c>
      <c r="N602" s="75" t="str">
        <f t="shared" si="198"/>
        <v>06</v>
      </c>
      <c r="R602" s="70" t="s">
        <v>863</v>
      </c>
      <c r="S602" s="70" t="s">
        <v>53</v>
      </c>
      <c r="T602" s="70"/>
      <c r="U602" s="70"/>
      <c r="V602" s="70"/>
      <c r="X602" s="70" t="str">
        <f t="shared" si="209"/>
        <v>M1-E DT@E</v>
      </c>
      <c r="Y602" s="70" t="str">
        <f t="shared" si="210"/>
        <v/>
      </c>
      <c r="Z602" s="70" t="str">
        <f t="shared" si="211"/>
        <v/>
      </c>
      <c r="AA602" s="70" t="str">
        <f t="shared" si="212"/>
        <v/>
      </c>
      <c r="AC602" s="70" t="str">
        <f t="shared" si="201"/>
        <v>302, 305, 307, 306, M1</v>
      </c>
      <c r="AD602" s="70" t="str">
        <f t="shared" si="202"/>
        <v/>
      </c>
      <c r="AE602" s="70" t="str">
        <f t="shared" si="203"/>
        <v/>
      </c>
      <c r="AF602" s="70" t="str">
        <f t="shared" si="204"/>
        <v/>
      </c>
      <c r="AH602" s="70" t="str">
        <f t="shared" si="205"/>
        <v>06</v>
      </c>
      <c r="AI602" s="70" t="str">
        <f t="shared" si="206"/>
        <v/>
      </c>
      <c r="AJ602" s="70" t="str">
        <f t="shared" si="207"/>
        <v/>
      </c>
      <c r="AK602" s="70" t="str">
        <f t="shared" si="208"/>
        <v/>
      </c>
      <c r="AN602" s="171"/>
      <c r="AO602" s="167"/>
      <c r="AP602" s="167"/>
    </row>
    <row r="603" spans="10:42" ht="20.100000000000001" customHeight="1" thickBot="1">
      <c r="J603" s="45" t="str">
        <f t="shared" si="199"/>
        <v>E DT</v>
      </c>
      <c r="K603" s="45" t="s">
        <v>130</v>
      </c>
      <c r="L603" s="45" t="str">
        <f t="shared" si="200"/>
        <v>M2-E DT@E</v>
      </c>
      <c r="M603" s="75" t="str">
        <f t="shared" si="197"/>
        <v>302, 305, 307, 306, M1, M2</v>
      </c>
      <c r="N603" s="75" t="str">
        <f t="shared" si="198"/>
        <v>06</v>
      </c>
      <c r="R603" s="70" t="s">
        <v>994</v>
      </c>
      <c r="S603" s="70" t="s">
        <v>53</v>
      </c>
      <c r="T603" s="70"/>
      <c r="U603" s="70"/>
      <c r="V603" s="70"/>
      <c r="X603" s="70" t="str">
        <f t="shared" si="209"/>
        <v>M2-E DT@E</v>
      </c>
      <c r="Y603" s="70" t="str">
        <f t="shared" si="210"/>
        <v/>
      </c>
      <c r="Z603" s="70" t="str">
        <f t="shared" si="211"/>
        <v/>
      </c>
      <c r="AA603" s="70" t="str">
        <f t="shared" si="212"/>
        <v/>
      </c>
      <c r="AC603" s="70" t="str">
        <f t="shared" si="201"/>
        <v>302, 305, 307, 306, M1, M2</v>
      </c>
      <c r="AD603" s="70" t="str">
        <f t="shared" si="202"/>
        <v/>
      </c>
      <c r="AE603" s="70" t="str">
        <f t="shared" si="203"/>
        <v/>
      </c>
      <c r="AF603" s="70" t="str">
        <f t="shared" si="204"/>
        <v/>
      </c>
      <c r="AH603" s="70" t="str">
        <f t="shared" si="205"/>
        <v>06</v>
      </c>
      <c r="AI603" s="70" t="str">
        <f t="shared" si="206"/>
        <v/>
      </c>
      <c r="AJ603" s="70" t="str">
        <f t="shared" si="207"/>
        <v/>
      </c>
      <c r="AK603" s="70" t="str">
        <f t="shared" si="208"/>
        <v/>
      </c>
      <c r="AN603" s="171"/>
      <c r="AO603" s="167"/>
      <c r="AP603" s="167"/>
    </row>
    <row r="604" spans="10:42" ht="20.100000000000001" customHeight="1" thickBot="1">
      <c r="J604" s="45" t="str">
        <f t="shared" si="199"/>
        <v>E DT</v>
      </c>
      <c r="K604" s="45" t="s">
        <v>130</v>
      </c>
      <c r="L604" s="45" t="str">
        <f t="shared" si="200"/>
        <v>M3-E DT@E</v>
      </c>
      <c r="M604" s="75" t="str">
        <f t="shared" si="197"/>
        <v>302, 305, 307, 306, M1, M2, M3</v>
      </c>
      <c r="N604" s="75" t="str">
        <f t="shared" si="198"/>
        <v>06</v>
      </c>
      <c r="R604" s="70" t="s">
        <v>1142</v>
      </c>
      <c r="S604" s="70" t="s">
        <v>53</v>
      </c>
      <c r="T604" s="70"/>
      <c r="U604" s="70"/>
      <c r="V604" s="70"/>
      <c r="X604" s="70" t="str">
        <f t="shared" si="209"/>
        <v>M3-E DT@E</v>
      </c>
      <c r="Y604" s="70" t="str">
        <f t="shared" si="210"/>
        <v/>
      </c>
      <c r="Z604" s="70" t="str">
        <f t="shared" si="211"/>
        <v/>
      </c>
      <c r="AA604" s="70" t="str">
        <f t="shared" si="212"/>
        <v/>
      </c>
      <c r="AC604" s="70" t="str">
        <f t="shared" si="201"/>
        <v>302, 305, 307, 306, M1, M2, M3</v>
      </c>
      <c r="AD604" s="70" t="str">
        <f t="shared" si="202"/>
        <v/>
      </c>
      <c r="AE604" s="70" t="str">
        <f t="shared" si="203"/>
        <v/>
      </c>
      <c r="AF604" s="70" t="str">
        <f t="shared" si="204"/>
        <v/>
      </c>
      <c r="AH604" s="70" t="str">
        <f t="shared" si="205"/>
        <v>06</v>
      </c>
      <c r="AI604" s="70" t="str">
        <f t="shared" si="206"/>
        <v/>
      </c>
      <c r="AJ604" s="70" t="str">
        <f t="shared" si="207"/>
        <v/>
      </c>
      <c r="AK604" s="70" t="str">
        <f t="shared" si="208"/>
        <v/>
      </c>
      <c r="AN604" s="171"/>
      <c r="AO604" s="167"/>
      <c r="AP604" s="167"/>
    </row>
    <row r="605" spans="10:42" ht="20.100000000000001" customHeight="1" thickBot="1">
      <c r="J605" s="45" t="str">
        <f t="shared" si="199"/>
        <v>E DT</v>
      </c>
      <c r="K605" s="45" t="s">
        <v>130</v>
      </c>
      <c r="L605" s="45" t="str">
        <f t="shared" si="200"/>
        <v>M4-E DT@E</v>
      </c>
      <c r="M605" s="75" t="str">
        <f t="shared" si="197"/>
        <v>302, 305, 307, 306, M1, M2, M3, M4</v>
      </c>
      <c r="N605" s="75" t="str">
        <f t="shared" si="198"/>
        <v>06</v>
      </c>
      <c r="R605" s="70" t="s">
        <v>331</v>
      </c>
      <c r="S605" s="70" t="s">
        <v>53</v>
      </c>
      <c r="T605" s="70"/>
      <c r="U605" s="70"/>
      <c r="V605" s="70"/>
      <c r="X605" s="70" t="str">
        <f t="shared" si="209"/>
        <v>M4-E DT@E</v>
      </c>
      <c r="Y605" s="70" t="str">
        <f t="shared" si="210"/>
        <v/>
      </c>
      <c r="Z605" s="70" t="str">
        <f t="shared" si="211"/>
        <v/>
      </c>
      <c r="AA605" s="70" t="str">
        <f t="shared" si="212"/>
        <v/>
      </c>
      <c r="AC605" s="70" t="str">
        <f t="shared" si="201"/>
        <v>302, 305, 307, 306, M1, M2, M3, M4</v>
      </c>
      <c r="AD605" s="70" t="str">
        <f t="shared" si="202"/>
        <v/>
      </c>
      <c r="AE605" s="70" t="str">
        <f t="shared" si="203"/>
        <v/>
      </c>
      <c r="AF605" s="70" t="str">
        <f t="shared" si="204"/>
        <v/>
      </c>
      <c r="AH605" s="70" t="str">
        <f t="shared" si="205"/>
        <v>06</v>
      </c>
      <c r="AI605" s="70" t="str">
        <f t="shared" si="206"/>
        <v/>
      </c>
      <c r="AJ605" s="70" t="str">
        <f t="shared" si="207"/>
        <v/>
      </c>
      <c r="AK605" s="70" t="str">
        <f t="shared" si="208"/>
        <v/>
      </c>
      <c r="AN605" s="171"/>
      <c r="AO605" s="167"/>
      <c r="AP605" s="167"/>
    </row>
    <row r="606" spans="10:42" ht="20.100000000000001" customHeight="1" thickBot="1">
      <c r="J606" s="45" t="str">
        <f t="shared" si="199"/>
        <v>E DT</v>
      </c>
      <c r="K606" s="45" t="s">
        <v>130</v>
      </c>
      <c r="L606" s="45" t="str">
        <f t="shared" si="200"/>
        <v>M5-E DT@E</v>
      </c>
      <c r="M606" s="75" t="str">
        <f t="shared" si="197"/>
        <v>302, 305, 307, 306, M1, M2, M3, M4</v>
      </c>
      <c r="N606" s="75" t="str">
        <f t="shared" si="198"/>
        <v>06</v>
      </c>
      <c r="R606" s="70" t="s">
        <v>1381</v>
      </c>
      <c r="S606" s="70" t="s">
        <v>53</v>
      </c>
      <c r="T606" s="70"/>
      <c r="U606" s="70"/>
      <c r="V606" s="70"/>
      <c r="X606" s="70" t="str">
        <f t="shared" si="209"/>
        <v>M5-E DT@E</v>
      </c>
      <c r="Y606" s="70" t="str">
        <f t="shared" si="210"/>
        <v/>
      </c>
      <c r="Z606" s="70" t="str">
        <f t="shared" si="211"/>
        <v/>
      </c>
      <c r="AA606" s="70" t="str">
        <f t="shared" si="212"/>
        <v/>
      </c>
      <c r="AC606" s="70" t="str">
        <f t="shared" si="201"/>
        <v>302, 305, 307, 306, M1, M2, M3, M4</v>
      </c>
      <c r="AD606" s="70" t="str">
        <f t="shared" si="202"/>
        <v/>
      </c>
      <c r="AE606" s="70" t="str">
        <f t="shared" si="203"/>
        <v/>
      </c>
      <c r="AF606" s="70" t="str">
        <f t="shared" si="204"/>
        <v/>
      </c>
      <c r="AH606" s="70" t="str">
        <f t="shared" si="205"/>
        <v>06</v>
      </c>
      <c r="AI606" s="70" t="str">
        <f t="shared" si="206"/>
        <v/>
      </c>
      <c r="AJ606" s="70" t="str">
        <f t="shared" si="207"/>
        <v/>
      </c>
      <c r="AK606" s="70" t="str">
        <f t="shared" si="208"/>
        <v/>
      </c>
      <c r="AN606" s="171"/>
      <c r="AO606" s="167"/>
      <c r="AP606" s="167"/>
    </row>
    <row r="607" spans="10:42" ht="20.100000000000001" customHeight="1" thickBot="1">
      <c r="J607" s="45" t="str">
        <f t="shared" si="199"/>
        <v>E AV</v>
      </c>
      <c r="K607" s="45" t="s">
        <v>130</v>
      </c>
      <c r="L607" s="45" t="str">
        <f t="shared" si="200"/>
        <v>LS1-E AV@E</v>
      </c>
      <c r="M607" s="75" t="str">
        <f t="shared" si="197"/>
        <v>M8, M7, M6, M5, 306, 307, 305, 302, 301</v>
      </c>
      <c r="N607" s="75" t="str">
        <f t="shared" si="198"/>
        <v>05</v>
      </c>
      <c r="R607" s="71" t="s">
        <v>149</v>
      </c>
      <c r="S607" s="70" t="s">
        <v>55</v>
      </c>
      <c r="T607" s="70"/>
      <c r="U607" s="70"/>
      <c r="V607" s="70"/>
      <c r="X607" s="70" t="str">
        <f t="shared" si="209"/>
        <v>LS1-E AV@E</v>
      </c>
      <c r="Y607" s="70" t="str">
        <f t="shared" si="210"/>
        <v/>
      </c>
      <c r="Z607" s="70" t="str">
        <f t="shared" si="211"/>
        <v/>
      </c>
      <c r="AA607" s="70" t="str">
        <f t="shared" si="212"/>
        <v/>
      </c>
      <c r="AC607" s="70" t="str">
        <f t="shared" si="201"/>
        <v>M8, M7, M6, M5, 306, 307, 305, 302, 301</v>
      </c>
      <c r="AD607" s="70" t="str">
        <f t="shared" si="202"/>
        <v/>
      </c>
      <c r="AE607" s="70" t="str">
        <f t="shared" si="203"/>
        <v/>
      </c>
      <c r="AF607" s="70" t="str">
        <f t="shared" si="204"/>
        <v/>
      </c>
      <c r="AH607" s="70" t="str">
        <f t="shared" si="205"/>
        <v>05</v>
      </c>
      <c r="AI607" s="70" t="str">
        <f t="shared" si="206"/>
        <v/>
      </c>
      <c r="AJ607" s="70" t="str">
        <f t="shared" si="207"/>
        <v/>
      </c>
      <c r="AK607" s="70" t="str">
        <f t="shared" si="208"/>
        <v/>
      </c>
      <c r="AN607" s="171"/>
      <c r="AO607" s="167"/>
      <c r="AP607" s="167"/>
    </row>
    <row r="608" spans="10:42" ht="20.100000000000001" customHeight="1" thickBot="1">
      <c r="J608" s="45" t="str">
        <f t="shared" si="199"/>
        <v>E AV</v>
      </c>
      <c r="K608" s="45" t="s">
        <v>130</v>
      </c>
      <c r="L608" s="45" t="str">
        <f t="shared" si="200"/>
        <v>LF3-E AV@E</v>
      </c>
      <c r="M608" s="75" t="str">
        <f t="shared" si="197"/>
        <v>323, 322, 319, 316, 311, 303, 305, 302, 301</v>
      </c>
      <c r="N608" s="75" t="str">
        <f t="shared" si="198"/>
        <v>20, 04</v>
      </c>
      <c r="R608" s="70" t="s">
        <v>82</v>
      </c>
      <c r="S608" s="70" t="s">
        <v>55</v>
      </c>
      <c r="T608" s="70"/>
      <c r="U608" s="70"/>
      <c r="V608" s="70"/>
      <c r="X608" s="70" t="str">
        <f t="shared" si="209"/>
        <v>LF3-E AV@E</v>
      </c>
      <c r="Y608" s="70" t="str">
        <f t="shared" si="210"/>
        <v/>
      </c>
      <c r="Z608" s="70" t="str">
        <f t="shared" si="211"/>
        <v/>
      </c>
      <c r="AA608" s="70" t="str">
        <f t="shared" si="212"/>
        <v/>
      </c>
      <c r="AC608" s="70" t="str">
        <f t="shared" si="201"/>
        <v>323, 322, 319, 316, 311, 303, 305, 302, 301</v>
      </c>
      <c r="AD608" s="70" t="str">
        <f t="shared" si="202"/>
        <v/>
      </c>
      <c r="AE608" s="70" t="str">
        <f t="shared" si="203"/>
        <v/>
      </c>
      <c r="AF608" s="70" t="str">
        <f t="shared" si="204"/>
        <v/>
      </c>
      <c r="AH608" s="70" t="str">
        <f t="shared" si="205"/>
        <v>20, 04</v>
      </c>
      <c r="AI608" s="70" t="str">
        <f t="shared" si="206"/>
        <v/>
      </c>
      <c r="AJ608" s="70" t="str">
        <f t="shared" si="207"/>
        <v/>
      </c>
      <c r="AK608" s="70" t="str">
        <f t="shared" si="208"/>
        <v/>
      </c>
      <c r="AN608" s="171"/>
      <c r="AO608" s="167"/>
      <c r="AP608" s="167"/>
    </row>
    <row r="609" spans="10:42" ht="20.100000000000001" customHeight="1" thickBot="1">
      <c r="J609" s="45" t="str">
        <f t="shared" si="199"/>
        <v>E AV</v>
      </c>
      <c r="K609" s="45" t="s">
        <v>130</v>
      </c>
      <c r="L609" s="45" t="str">
        <f t="shared" si="200"/>
        <v>LS1-E AV@E</v>
      </c>
      <c r="M609" s="75" t="str">
        <f t="shared" si="197"/>
        <v>M8, M7, M6, M5, 306, 307, 305, 302, 301</v>
      </c>
      <c r="N609" s="75" t="str">
        <f t="shared" si="198"/>
        <v>05</v>
      </c>
      <c r="R609" s="70" t="s">
        <v>149</v>
      </c>
      <c r="S609" s="70" t="s">
        <v>55</v>
      </c>
      <c r="T609" s="70"/>
      <c r="U609" s="70"/>
      <c r="V609" s="70"/>
      <c r="X609" s="70" t="str">
        <f t="shared" si="209"/>
        <v>LS1-E AV@E</v>
      </c>
      <c r="Y609" s="70" t="str">
        <f t="shared" si="210"/>
        <v/>
      </c>
      <c r="Z609" s="70" t="str">
        <f t="shared" si="211"/>
        <v/>
      </c>
      <c r="AA609" s="70" t="str">
        <f t="shared" si="212"/>
        <v/>
      </c>
      <c r="AC609" s="70" t="str">
        <f t="shared" si="201"/>
        <v>M8, M7, M6, M5, 306, 307, 305, 302, 301</v>
      </c>
      <c r="AD609" s="70" t="str">
        <f t="shared" si="202"/>
        <v/>
      </c>
      <c r="AE609" s="70" t="str">
        <f t="shared" si="203"/>
        <v/>
      </c>
      <c r="AF609" s="70" t="str">
        <f t="shared" si="204"/>
        <v/>
      </c>
      <c r="AH609" s="70" t="str">
        <f t="shared" si="205"/>
        <v>05</v>
      </c>
      <c r="AI609" s="70" t="str">
        <f t="shared" si="206"/>
        <v/>
      </c>
      <c r="AJ609" s="70" t="str">
        <f t="shared" si="207"/>
        <v/>
      </c>
      <c r="AK609" s="70" t="str">
        <f t="shared" si="208"/>
        <v/>
      </c>
      <c r="AN609" s="171"/>
      <c r="AO609" s="167"/>
      <c r="AP609" s="167"/>
    </row>
    <row r="610" spans="10:42" ht="20.100000000000001" customHeight="1" thickBot="1">
      <c r="J610" s="45" t="str">
        <f t="shared" si="199"/>
        <v>E AV</v>
      </c>
      <c r="K610" s="45" t="s">
        <v>130</v>
      </c>
      <c r="L610" s="45" t="str">
        <f t="shared" si="200"/>
        <v>LF4-E AV@E</v>
      </c>
      <c r="M610" s="75" t="str">
        <f t="shared" si="197"/>
        <v>302, 305, 303, 311, 316, 319, 322, 323, 301</v>
      </c>
      <c r="N610" s="75" t="str">
        <f t="shared" si="198"/>
        <v>21, 04</v>
      </c>
      <c r="R610" s="70" t="s">
        <v>83</v>
      </c>
      <c r="S610" s="70" t="s">
        <v>55</v>
      </c>
      <c r="T610" s="70"/>
      <c r="U610" s="70"/>
      <c r="V610" s="70"/>
      <c r="X610" s="70" t="str">
        <f t="shared" si="209"/>
        <v>LF4-E AV@E</v>
      </c>
      <c r="Y610" s="70" t="str">
        <f t="shared" si="210"/>
        <v/>
      </c>
      <c r="Z610" s="70" t="str">
        <f t="shared" si="211"/>
        <v/>
      </c>
      <c r="AA610" s="70" t="str">
        <f t="shared" si="212"/>
        <v/>
      </c>
      <c r="AC610" s="70" t="str">
        <f t="shared" si="201"/>
        <v>302, 305, 303, 311, 316, 319, 322, 323, 301</v>
      </c>
      <c r="AD610" s="70" t="str">
        <f t="shared" si="202"/>
        <v/>
      </c>
      <c r="AE610" s="70" t="str">
        <f t="shared" si="203"/>
        <v/>
      </c>
      <c r="AF610" s="70" t="str">
        <f t="shared" si="204"/>
        <v/>
      </c>
      <c r="AH610" s="70" t="str">
        <f t="shared" si="205"/>
        <v>21, 04</v>
      </c>
      <c r="AI610" s="70" t="str">
        <f t="shared" si="206"/>
        <v/>
      </c>
      <c r="AJ610" s="70" t="str">
        <f t="shared" si="207"/>
        <v/>
      </c>
      <c r="AK610" s="70" t="str">
        <f t="shared" si="208"/>
        <v/>
      </c>
      <c r="AN610" s="171"/>
      <c r="AO610" s="167"/>
      <c r="AP610" s="167"/>
    </row>
    <row r="611" spans="10:42" ht="20.100000000000001" customHeight="1" thickBot="1">
      <c r="J611" s="45" t="str">
        <f t="shared" si="199"/>
        <v>E AV</v>
      </c>
      <c r="K611" s="45" t="s">
        <v>130</v>
      </c>
      <c r="L611" s="45" t="str">
        <f t="shared" si="200"/>
        <v>HM1-E AV@E</v>
      </c>
      <c r="M611" s="75" t="str">
        <f t="shared" si="197"/>
        <v>322, 319, 316, 311, 303, 305, 302, 301</v>
      </c>
      <c r="N611" s="75" t="str">
        <f t="shared" si="198"/>
        <v>22, 04</v>
      </c>
      <c r="R611" s="70" t="s">
        <v>171</v>
      </c>
      <c r="S611" s="70" t="s">
        <v>55</v>
      </c>
      <c r="T611" s="70"/>
      <c r="U611" s="70"/>
      <c r="V611" s="70"/>
      <c r="X611" s="70" t="str">
        <f t="shared" si="209"/>
        <v>HM1-E AV@E</v>
      </c>
      <c r="Y611" s="70" t="str">
        <f t="shared" si="210"/>
        <v/>
      </c>
      <c r="Z611" s="70" t="str">
        <f t="shared" si="211"/>
        <v/>
      </c>
      <c r="AA611" s="70" t="str">
        <f t="shared" si="212"/>
        <v/>
      </c>
      <c r="AC611" s="70" t="str">
        <f t="shared" si="201"/>
        <v>322, 319, 316, 311, 303, 305, 302, 301</v>
      </c>
      <c r="AD611" s="70" t="str">
        <f t="shared" si="202"/>
        <v/>
      </c>
      <c r="AE611" s="70" t="str">
        <f t="shared" si="203"/>
        <v/>
      </c>
      <c r="AF611" s="70" t="str">
        <f t="shared" si="204"/>
        <v/>
      </c>
      <c r="AH611" s="70" t="str">
        <f t="shared" si="205"/>
        <v>22, 04</v>
      </c>
      <c r="AI611" s="70" t="str">
        <f t="shared" si="206"/>
        <v/>
      </c>
      <c r="AJ611" s="70" t="str">
        <f t="shared" si="207"/>
        <v/>
      </c>
      <c r="AK611" s="70" t="str">
        <f t="shared" si="208"/>
        <v/>
      </c>
      <c r="AN611" s="171"/>
      <c r="AO611" s="167"/>
      <c r="AP611" s="167"/>
    </row>
    <row r="612" spans="10:42" ht="20.100000000000001" customHeight="1" thickBot="1">
      <c r="J612" s="45" t="str">
        <f t="shared" si="199"/>
        <v>E AV</v>
      </c>
      <c r="K612" s="45" t="s">
        <v>130</v>
      </c>
      <c r="L612" s="45" t="str">
        <f t="shared" si="200"/>
        <v>HM2-E AV@E</v>
      </c>
      <c r="M612" s="75" t="str">
        <f t="shared" si="197"/>
        <v>324, 319, 316, 311, 303, 305, 302, 301</v>
      </c>
      <c r="N612" s="75" t="str">
        <f t="shared" si="198"/>
        <v>23, 04</v>
      </c>
      <c r="R612" s="70" t="s">
        <v>182</v>
      </c>
      <c r="S612" s="70" t="s">
        <v>55</v>
      </c>
      <c r="T612" s="70"/>
      <c r="U612" s="70"/>
      <c r="V612" s="70"/>
      <c r="X612" s="70" t="str">
        <f t="shared" si="209"/>
        <v>HM2-E AV@E</v>
      </c>
      <c r="Y612" s="70" t="str">
        <f t="shared" si="210"/>
        <v/>
      </c>
      <c r="Z612" s="70" t="str">
        <f t="shared" si="211"/>
        <v/>
      </c>
      <c r="AA612" s="70" t="str">
        <f t="shared" si="212"/>
        <v/>
      </c>
      <c r="AC612" s="70" t="str">
        <f t="shared" si="201"/>
        <v>324, 319, 316, 311, 303, 305, 302, 301</v>
      </c>
      <c r="AD612" s="70" t="str">
        <f t="shared" si="202"/>
        <v/>
      </c>
      <c r="AE612" s="70" t="str">
        <f t="shared" si="203"/>
        <v/>
      </c>
      <c r="AF612" s="70" t="str">
        <f t="shared" si="204"/>
        <v/>
      </c>
      <c r="AH612" s="70" t="str">
        <f t="shared" si="205"/>
        <v>23, 04</v>
      </c>
      <c r="AI612" s="70" t="str">
        <f t="shared" si="206"/>
        <v/>
      </c>
      <c r="AJ612" s="70" t="str">
        <f t="shared" si="207"/>
        <v/>
      </c>
      <c r="AK612" s="70" t="str">
        <f t="shared" si="208"/>
        <v/>
      </c>
      <c r="AN612" s="171"/>
      <c r="AO612" s="167"/>
      <c r="AP612" s="167"/>
    </row>
    <row r="613" spans="10:42" ht="20.100000000000001" customHeight="1" thickBot="1">
      <c r="J613" s="45" t="str">
        <f t="shared" si="199"/>
        <v>E AV</v>
      </c>
      <c r="K613" s="45" t="s">
        <v>130</v>
      </c>
      <c r="L613" s="45" t="str">
        <f t="shared" si="200"/>
        <v>HM3-E AV@E</v>
      </c>
      <c r="M613" s="75" t="str">
        <f t="shared" si="197"/>
        <v>324, 319, 316, 311, 303, 305, 302, 301</v>
      </c>
      <c r="N613" s="75" t="str">
        <f t="shared" si="198"/>
        <v>24,04</v>
      </c>
      <c r="R613" s="70" t="s">
        <v>191</v>
      </c>
      <c r="S613" s="70" t="s">
        <v>55</v>
      </c>
      <c r="T613" s="70"/>
      <c r="U613" s="70"/>
      <c r="V613" s="70"/>
      <c r="X613" s="70" t="str">
        <f t="shared" si="209"/>
        <v>HM3-E AV@E</v>
      </c>
      <c r="Y613" s="70" t="str">
        <f t="shared" si="210"/>
        <v/>
      </c>
      <c r="Z613" s="70" t="str">
        <f t="shared" si="211"/>
        <v/>
      </c>
      <c r="AA613" s="70" t="str">
        <f t="shared" si="212"/>
        <v/>
      </c>
      <c r="AC613" s="70" t="str">
        <f t="shared" si="201"/>
        <v>324, 319, 316, 311, 303, 305, 302, 301</v>
      </c>
      <c r="AD613" s="70" t="str">
        <f t="shared" si="202"/>
        <v/>
      </c>
      <c r="AE613" s="70" t="str">
        <f t="shared" si="203"/>
        <v/>
      </c>
      <c r="AF613" s="70" t="str">
        <f t="shared" si="204"/>
        <v/>
      </c>
      <c r="AH613" s="70" t="str">
        <f t="shared" si="205"/>
        <v>24,04</v>
      </c>
      <c r="AI613" s="70" t="str">
        <f t="shared" si="206"/>
        <v/>
      </c>
      <c r="AJ613" s="70" t="str">
        <f t="shared" si="207"/>
        <v/>
      </c>
      <c r="AK613" s="70" t="str">
        <f t="shared" si="208"/>
        <v/>
      </c>
      <c r="AN613" s="171"/>
      <c r="AO613" s="167"/>
      <c r="AP613" s="167"/>
    </row>
    <row r="614" spans="10:42" ht="20.100000000000001" customHeight="1" thickBot="1">
      <c r="J614" s="45" t="str">
        <f t="shared" si="199"/>
        <v>E AV</v>
      </c>
      <c r="K614" s="45" t="s">
        <v>130</v>
      </c>
      <c r="L614" s="45" t="str">
        <f t="shared" si="200"/>
        <v>RM1E-E AV@E</v>
      </c>
      <c r="M614" s="75" t="str">
        <f t="shared" si="197"/>
        <v>302, 305, 303, 311, 316, 319, 324, 301</v>
      </c>
      <c r="N614" s="75" t="str">
        <f t="shared" si="198"/>
        <v>25, 04</v>
      </c>
      <c r="R614" s="70" t="s">
        <v>200</v>
      </c>
      <c r="S614" s="70" t="s">
        <v>55</v>
      </c>
      <c r="T614" s="70"/>
      <c r="U614" s="70"/>
      <c r="V614" s="70"/>
      <c r="X614" s="70" t="str">
        <f t="shared" si="209"/>
        <v>RM1E-E AV@E</v>
      </c>
      <c r="Y614" s="70" t="str">
        <f t="shared" si="210"/>
        <v/>
      </c>
      <c r="Z614" s="70" t="str">
        <f t="shared" si="211"/>
        <v/>
      </c>
      <c r="AA614" s="70" t="str">
        <f t="shared" si="212"/>
        <v/>
      </c>
      <c r="AC614" s="70" t="str">
        <f t="shared" si="201"/>
        <v>302, 305, 303, 311, 316, 319, 324, 301</v>
      </c>
      <c r="AD614" s="70" t="str">
        <f t="shared" si="202"/>
        <v/>
      </c>
      <c r="AE614" s="70" t="str">
        <f t="shared" si="203"/>
        <v/>
      </c>
      <c r="AF614" s="70" t="str">
        <f t="shared" si="204"/>
        <v/>
      </c>
      <c r="AH614" s="70" t="str">
        <f t="shared" si="205"/>
        <v>25, 04</v>
      </c>
      <c r="AI614" s="70" t="str">
        <f t="shared" si="206"/>
        <v/>
      </c>
      <c r="AJ614" s="70" t="str">
        <f t="shared" si="207"/>
        <v/>
      </c>
      <c r="AK614" s="70" t="str">
        <f t="shared" si="208"/>
        <v/>
      </c>
      <c r="AN614" s="171"/>
      <c r="AO614" s="167"/>
      <c r="AP614" s="167"/>
    </row>
    <row r="615" spans="10:42" ht="20.100000000000001" customHeight="1" thickBot="1">
      <c r="J615" s="45" t="str">
        <f t="shared" si="199"/>
        <v>E AV</v>
      </c>
      <c r="K615" s="45" t="s">
        <v>130</v>
      </c>
      <c r="L615" s="45" t="str">
        <f t="shared" si="200"/>
        <v>RM1W-E AV@E</v>
      </c>
      <c r="M615" s="75" t="str">
        <f t="shared" si="197"/>
        <v>302, 305, 303, 311, 316, 319, 324, 301</v>
      </c>
      <c r="N615" s="75" t="str">
        <f t="shared" si="198"/>
        <v>25, 04</v>
      </c>
      <c r="R615" s="70" t="s">
        <v>208</v>
      </c>
      <c r="S615" s="70" t="s">
        <v>55</v>
      </c>
      <c r="T615" s="70"/>
      <c r="U615" s="70"/>
      <c r="V615" s="70"/>
      <c r="X615" s="70" t="str">
        <f t="shared" si="209"/>
        <v>RM1W-E AV@E</v>
      </c>
      <c r="Y615" s="70" t="str">
        <f t="shared" si="210"/>
        <v/>
      </c>
      <c r="Z615" s="70" t="str">
        <f t="shared" si="211"/>
        <v/>
      </c>
      <c r="AA615" s="70" t="str">
        <f t="shared" si="212"/>
        <v/>
      </c>
      <c r="AC615" s="70" t="str">
        <f t="shared" si="201"/>
        <v>302, 305, 303, 311, 316, 319, 324, 301</v>
      </c>
      <c r="AD615" s="70" t="str">
        <f t="shared" si="202"/>
        <v/>
      </c>
      <c r="AE615" s="70" t="str">
        <f t="shared" si="203"/>
        <v/>
      </c>
      <c r="AF615" s="70" t="str">
        <f t="shared" si="204"/>
        <v/>
      </c>
      <c r="AH615" s="70" t="str">
        <f t="shared" si="205"/>
        <v>25, 04</v>
      </c>
      <c r="AI615" s="70" t="str">
        <f t="shared" si="206"/>
        <v/>
      </c>
      <c r="AJ615" s="70" t="str">
        <f t="shared" si="207"/>
        <v/>
      </c>
      <c r="AK615" s="70" t="str">
        <f t="shared" si="208"/>
        <v/>
      </c>
      <c r="AN615" s="171"/>
      <c r="AO615" s="167"/>
      <c r="AP615" s="167"/>
    </row>
    <row r="616" spans="10:42" ht="20.100000000000001" customHeight="1" thickBot="1">
      <c r="J616" s="45" t="str">
        <f t="shared" si="199"/>
        <v>E AV</v>
      </c>
      <c r="K616" s="45" t="s">
        <v>130</v>
      </c>
      <c r="L616" s="45" t="str">
        <f t="shared" si="200"/>
        <v>RM2E-E AV@E</v>
      </c>
      <c r="M616" s="75" t="str">
        <f t="shared" si="197"/>
        <v>327, 326, 325, 318, 317, 316, 311, 303, 305, 302, 301</v>
      </c>
      <c r="N616" s="75" t="str">
        <f t="shared" si="198"/>
        <v>26, 04</v>
      </c>
      <c r="R616" s="70" t="s">
        <v>216</v>
      </c>
      <c r="S616" s="70" t="s">
        <v>55</v>
      </c>
      <c r="T616" s="70"/>
      <c r="U616" s="70"/>
      <c r="V616" s="70"/>
      <c r="X616" s="70" t="str">
        <f t="shared" si="209"/>
        <v>RM2E-E AV@E</v>
      </c>
      <c r="Y616" s="70" t="str">
        <f t="shared" si="210"/>
        <v/>
      </c>
      <c r="Z616" s="70" t="str">
        <f t="shared" si="211"/>
        <v/>
      </c>
      <c r="AA616" s="70" t="str">
        <f t="shared" si="212"/>
        <v/>
      </c>
      <c r="AC616" s="70" t="str">
        <f t="shared" si="201"/>
        <v>327, 326, 325, 318, 317, 316, 311, 303, 305, 302, 301</v>
      </c>
      <c r="AD616" s="70" t="str">
        <f t="shared" si="202"/>
        <v/>
      </c>
      <c r="AE616" s="70" t="str">
        <f t="shared" si="203"/>
        <v/>
      </c>
      <c r="AF616" s="70" t="str">
        <f t="shared" si="204"/>
        <v/>
      </c>
      <c r="AH616" s="70" t="str">
        <f t="shared" si="205"/>
        <v>26, 04</v>
      </c>
      <c r="AI616" s="70" t="str">
        <f t="shared" si="206"/>
        <v/>
      </c>
      <c r="AJ616" s="70" t="str">
        <f t="shared" si="207"/>
        <v/>
      </c>
      <c r="AK616" s="70" t="str">
        <f t="shared" si="208"/>
        <v/>
      </c>
      <c r="AN616" s="171"/>
      <c r="AO616" s="167"/>
      <c r="AP616" s="167"/>
    </row>
    <row r="617" spans="10:42" ht="20.100000000000001" customHeight="1" thickBot="1">
      <c r="J617" s="45" t="str">
        <f t="shared" si="199"/>
        <v>E AV</v>
      </c>
      <c r="K617" s="45" t="s">
        <v>130</v>
      </c>
      <c r="L617" s="45" t="str">
        <f t="shared" si="200"/>
        <v>RM2W-E AV@E</v>
      </c>
      <c r="M617" s="75" t="str">
        <f t="shared" si="197"/>
        <v>327, 326, 325, 318, 317, 316, 311, 303, 305, 302, 301</v>
      </c>
      <c r="N617" s="75" t="str">
        <f t="shared" si="198"/>
        <v>26, 04</v>
      </c>
      <c r="R617" s="70" t="s">
        <v>224</v>
      </c>
      <c r="S617" s="70" t="s">
        <v>55</v>
      </c>
      <c r="T617" s="70"/>
      <c r="U617" s="70"/>
      <c r="V617" s="70"/>
      <c r="X617" s="70" t="str">
        <f t="shared" si="209"/>
        <v>RM2W-E AV@E</v>
      </c>
      <c r="Y617" s="70" t="str">
        <f t="shared" si="210"/>
        <v/>
      </c>
      <c r="Z617" s="70" t="str">
        <f t="shared" si="211"/>
        <v/>
      </c>
      <c r="AA617" s="70" t="str">
        <f t="shared" si="212"/>
        <v/>
      </c>
      <c r="AC617" s="70" t="str">
        <f t="shared" si="201"/>
        <v>327, 326, 325, 318, 317, 316, 311, 303, 305, 302, 301</v>
      </c>
      <c r="AD617" s="70" t="str">
        <f t="shared" si="202"/>
        <v/>
      </c>
      <c r="AE617" s="70" t="str">
        <f t="shared" si="203"/>
        <v/>
      </c>
      <c r="AF617" s="70" t="str">
        <f t="shared" si="204"/>
        <v/>
      </c>
      <c r="AH617" s="70" t="str">
        <f t="shared" si="205"/>
        <v>26, 04</v>
      </c>
      <c r="AI617" s="70" t="str">
        <f t="shared" si="206"/>
        <v/>
      </c>
      <c r="AJ617" s="70" t="str">
        <f t="shared" si="207"/>
        <v/>
      </c>
      <c r="AK617" s="70" t="str">
        <f t="shared" si="208"/>
        <v/>
      </c>
      <c r="AN617" s="171"/>
      <c r="AO617" s="167"/>
      <c r="AP617" s="167"/>
    </row>
    <row r="618" spans="10:42" ht="20.100000000000001" customHeight="1" thickBot="1">
      <c r="J618" s="45" t="str">
        <f t="shared" si="199"/>
        <v>E AV</v>
      </c>
      <c r="K618" s="45" t="s">
        <v>130</v>
      </c>
      <c r="L618" s="45" t="str">
        <f t="shared" si="200"/>
        <v>RM3E-E AV@E</v>
      </c>
      <c r="M618" s="75" t="str">
        <f t="shared" si="197"/>
        <v>327, 326, 325, 318, 317, 316, 311, 303, 305, 302, 301</v>
      </c>
      <c r="N618" s="75" t="str">
        <f t="shared" si="198"/>
        <v>27, 04</v>
      </c>
      <c r="R618" s="70" t="s">
        <v>231</v>
      </c>
      <c r="S618" s="70" t="s">
        <v>55</v>
      </c>
      <c r="T618" s="70"/>
      <c r="U618" s="70"/>
      <c r="V618" s="70"/>
      <c r="X618" s="70" t="str">
        <f t="shared" si="209"/>
        <v>RM3E-E AV@E</v>
      </c>
      <c r="Y618" s="70" t="str">
        <f t="shared" si="210"/>
        <v/>
      </c>
      <c r="Z618" s="70" t="str">
        <f t="shared" si="211"/>
        <v/>
      </c>
      <c r="AA618" s="70" t="str">
        <f t="shared" si="212"/>
        <v/>
      </c>
      <c r="AC618" s="70" t="str">
        <f t="shared" si="201"/>
        <v>327, 326, 325, 318, 317, 316, 311, 303, 305, 302, 301</v>
      </c>
      <c r="AD618" s="70" t="str">
        <f t="shared" si="202"/>
        <v/>
      </c>
      <c r="AE618" s="70" t="str">
        <f t="shared" si="203"/>
        <v/>
      </c>
      <c r="AF618" s="70" t="str">
        <f t="shared" si="204"/>
        <v/>
      </c>
      <c r="AH618" s="70" t="str">
        <f t="shared" si="205"/>
        <v>27, 04</v>
      </c>
      <c r="AI618" s="70" t="str">
        <f t="shared" si="206"/>
        <v/>
      </c>
      <c r="AJ618" s="70" t="str">
        <f t="shared" si="207"/>
        <v/>
      </c>
      <c r="AK618" s="70" t="str">
        <f t="shared" si="208"/>
        <v/>
      </c>
      <c r="AN618" s="171"/>
      <c r="AO618" s="167"/>
      <c r="AP618" s="167"/>
    </row>
    <row r="619" spans="10:42" ht="20.100000000000001" customHeight="1" thickBot="1">
      <c r="J619" s="45" t="str">
        <f t="shared" si="199"/>
        <v>E AV</v>
      </c>
      <c r="K619" s="45" t="s">
        <v>130</v>
      </c>
      <c r="L619" s="45" t="str">
        <f t="shared" si="200"/>
        <v>RM3W-E AV@E</v>
      </c>
      <c r="M619" s="75" t="str">
        <f t="shared" si="197"/>
        <v>327, 326, 325, 318, 317, 316, 311, 303, 305, 302, 301</v>
      </c>
      <c r="N619" s="75" t="str">
        <f t="shared" si="198"/>
        <v>27, 04</v>
      </c>
      <c r="R619" s="70" t="s">
        <v>238</v>
      </c>
      <c r="S619" s="70" t="s">
        <v>55</v>
      </c>
      <c r="T619" s="70"/>
      <c r="U619" s="70"/>
      <c r="V619" s="70"/>
      <c r="X619" s="70" t="str">
        <f t="shared" si="209"/>
        <v>RM3W-E AV@E</v>
      </c>
      <c r="Y619" s="70" t="str">
        <f t="shared" si="210"/>
        <v/>
      </c>
      <c r="Z619" s="70" t="str">
        <f t="shared" si="211"/>
        <v/>
      </c>
      <c r="AA619" s="70" t="str">
        <f t="shared" si="212"/>
        <v/>
      </c>
      <c r="AC619" s="70" t="str">
        <f t="shared" si="201"/>
        <v>327, 326, 325, 318, 317, 316, 311, 303, 305, 302, 301</v>
      </c>
      <c r="AD619" s="70" t="str">
        <f t="shared" si="202"/>
        <v/>
      </c>
      <c r="AE619" s="70" t="str">
        <f t="shared" si="203"/>
        <v/>
      </c>
      <c r="AF619" s="70" t="str">
        <f t="shared" si="204"/>
        <v/>
      </c>
      <c r="AH619" s="70" t="str">
        <f t="shared" si="205"/>
        <v>27, 04</v>
      </c>
      <c r="AI619" s="70" t="str">
        <f t="shared" si="206"/>
        <v/>
      </c>
      <c r="AJ619" s="70" t="str">
        <f t="shared" si="207"/>
        <v/>
      </c>
      <c r="AK619" s="70" t="str">
        <f t="shared" si="208"/>
        <v/>
      </c>
      <c r="AN619" s="171"/>
      <c r="AO619" s="167"/>
      <c r="AP619" s="167"/>
    </row>
    <row r="620" spans="10:42" ht="20.100000000000001" customHeight="1" thickBot="1">
      <c r="J620" s="45" t="str">
        <f t="shared" si="199"/>
        <v>E AV</v>
      </c>
      <c r="K620" s="45" t="s">
        <v>130</v>
      </c>
      <c r="L620" s="45" t="str">
        <f t="shared" si="200"/>
        <v>HCTE-E AV@E</v>
      </c>
      <c r="M620" s="75" t="str">
        <f t="shared" si="197"/>
        <v>329, 328, 325, 318, 317, 316, 311, 303, 305, 302, 301</v>
      </c>
      <c r="N620" s="75" t="str">
        <f t="shared" si="198"/>
        <v>28, 04</v>
      </c>
      <c r="R620" s="70" t="s">
        <v>246</v>
      </c>
      <c r="S620" s="70" t="s">
        <v>55</v>
      </c>
      <c r="T620" s="70"/>
      <c r="U620" s="70"/>
      <c r="V620" s="70"/>
      <c r="X620" s="70" t="str">
        <f t="shared" si="209"/>
        <v>HCTE-E AV@E</v>
      </c>
      <c r="Y620" s="70" t="str">
        <f t="shared" si="210"/>
        <v/>
      </c>
      <c r="Z620" s="70" t="str">
        <f t="shared" si="211"/>
        <v/>
      </c>
      <c r="AA620" s="70" t="str">
        <f t="shared" si="212"/>
        <v/>
      </c>
      <c r="AC620" s="70" t="str">
        <f t="shared" si="201"/>
        <v>329, 328, 325, 318, 317, 316, 311, 303, 305, 302, 301</v>
      </c>
      <c r="AD620" s="70" t="str">
        <f t="shared" si="202"/>
        <v/>
      </c>
      <c r="AE620" s="70" t="str">
        <f t="shared" si="203"/>
        <v/>
      </c>
      <c r="AF620" s="70" t="str">
        <f t="shared" si="204"/>
        <v/>
      </c>
      <c r="AH620" s="70" t="str">
        <f t="shared" si="205"/>
        <v>28, 04</v>
      </c>
      <c r="AI620" s="70" t="str">
        <f t="shared" si="206"/>
        <v/>
      </c>
      <c r="AJ620" s="70" t="str">
        <f t="shared" si="207"/>
        <v/>
      </c>
      <c r="AK620" s="70" t="str">
        <f t="shared" si="208"/>
        <v/>
      </c>
      <c r="AN620" s="171"/>
      <c r="AO620" s="167"/>
      <c r="AP620" s="167"/>
    </row>
    <row r="621" spans="10:42" ht="20.100000000000001" customHeight="1" thickBot="1">
      <c r="J621" s="45" t="str">
        <f t="shared" si="199"/>
        <v>E AV</v>
      </c>
      <c r="K621" s="45" t="s">
        <v>130</v>
      </c>
      <c r="L621" s="45" t="str">
        <f t="shared" si="200"/>
        <v>HCTW-E AV@E</v>
      </c>
      <c r="M621" s="75" t="str">
        <f t="shared" si="197"/>
        <v>329, 328, 325, 318, 317, 316, 311, 303, 305, 302, 301</v>
      </c>
      <c r="N621" s="75" t="str">
        <f t="shared" si="198"/>
        <v>28, 04</v>
      </c>
      <c r="R621" s="70" t="s">
        <v>254</v>
      </c>
      <c r="S621" s="70" t="s">
        <v>55</v>
      </c>
      <c r="T621" s="70"/>
      <c r="U621" s="70"/>
      <c r="V621" s="70"/>
      <c r="X621" s="70" t="str">
        <f t="shared" si="209"/>
        <v>HCTW-E AV@E</v>
      </c>
      <c r="Y621" s="70" t="str">
        <f t="shared" si="210"/>
        <v/>
      </c>
      <c r="Z621" s="70" t="str">
        <f t="shared" si="211"/>
        <v/>
      </c>
      <c r="AA621" s="70" t="str">
        <f t="shared" si="212"/>
        <v/>
      </c>
      <c r="AC621" s="70" t="str">
        <f t="shared" si="201"/>
        <v>329, 328, 325, 318, 317, 316, 311, 303, 305, 302, 301</v>
      </c>
      <c r="AD621" s="70" t="str">
        <f t="shared" si="202"/>
        <v/>
      </c>
      <c r="AE621" s="70" t="str">
        <f t="shared" si="203"/>
        <v/>
      </c>
      <c r="AF621" s="70" t="str">
        <f t="shared" si="204"/>
        <v/>
      </c>
      <c r="AH621" s="70" t="str">
        <f t="shared" si="205"/>
        <v>28, 04</v>
      </c>
      <c r="AI621" s="70" t="str">
        <f t="shared" si="206"/>
        <v/>
      </c>
      <c r="AJ621" s="70" t="str">
        <f t="shared" si="207"/>
        <v/>
      </c>
      <c r="AK621" s="70" t="str">
        <f t="shared" si="208"/>
        <v/>
      </c>
      <c r="AN621" s="171"/>
      <c r="AO621" s="167"/>
      <c r="AP621" s="167"/>
    </row>
    <row r="622" spans="10:42" ht="20.100000000000001" customHeight="1" thickBot="1">
      <c r="J622" s="45" t="str">
        <f t="shared" si="199"/>
        <v>E AV</v>
      </c>
      <c r="K622" s="45" t="s">
        <v>130</v>
      </c>
      <c r="L622" s="45" t="str">
        <f t="shared" si="200"/>
        <v>1E-E AV@E</v>
      </c>
      <c r="M622" s="75" t="str">
        <f t="shared" si="197"/>
        <v>329, 328, 325, 318, 317, 316, 311, 303, 305, 302, 301</v>
      </c>
      <c r="N622" s="75" t="str">
        <f t="shared" si="198"/>
        <v>29, 04</v>
      </c>
      <c r="R622" s="70" t="s">
        <v>261</v>
      </c>
      <c r="S622" s="70" t="s">
        <v>55</v>
      </c>
      <c r="T622" s="70"/>
      <c r="U622" s="70"/>
      <c r="V622" s="70"/>
      <c r="X622" s="70" t="str">
        <f t="shared" si="209"/>
        <v>1E-E AV@E</v>
      </c>
      <c r="Y622" s="70" t="str">
        <f t="shared" si="210"/>
        <v/>
      </c>
      <c r="Z622" s="70" t="str">
        <f t="shared" si="211"/>
        <v/>
      </c>
      <c r="AA622" s="70" t="str">
        <f t="shared" si="212"/>
        <v/>
      </c>
      <c r="AC622" s="70" t="str">
        <f t="shared" si="201"/>
        <v>329, 328, 325, 318, 317, 316, 311, 303, 305, 302, 301</v>
      </c>
      <c r="AD622" s="70" t="str">
        <f t="shared" si="202"/>
        <v/>
      </c>
      <c r="AE622" s="70" t="str">
        <f t="shared" si="203"/>
        <v/>
      </c>
      <c r="AF622" s="70" t="str">
        <f t="shared" si="204"/>
        <v/>
      </c>
      <c r="AH622" s="70" t="str">
        <f t="shared" si="205"/>
        <v>29, 04</v>
      </c>
      <c r="AI622" s="70" t="str">
        <f t="shared" si="206"/>
        <v/>
      </c>
      <c r="AJ622" s="70" t="str">
        <f t="shared" si="207"/>
        <v/>
      </c>
      <c r="AK622" s="70" t="str">
        <f t="shared" si="208"/>
        <v/>
      </c>
      <c r="AN622" s="171"/>
      <c r="AO622" s="167"/>
      <c r="AP622" s="167"/>
    </row>
    <row r="623" spans="10:42" ht="20.100000000000001" customHeight="1" thickBot="1">
      <c r="J623" s="45" t="str">
        <f t="shared" si="199"/>
        <v>E AV</v>
      </c>
      <c r="K623" s="45" t="s">
        <v>130</v>
      </c>
      <c r="L623" s="45" t="str">
        <f t="shared" si="200"/>
        <v>1W-E AV@E</v>
      </c>
      <c r="M623" s="75" t="str">
        <f t="shared" si="197"/>
        <v>329, 328, 325, 318, 317, 316, 311, 303, 305, 302, 301</v>
      </c>
      <c r="N623" s="75" t="str">
        <f t="shared" si="198"/>
        <v>29, 04</v>
      </c>
      <c r="R623" s="70" t="s">
        <v>269</v>
      </c>
      <c r="S623" s="70" t="s">
        <v>55</v>
      </c>
      <c r="T623" s="70"/>
      <c r="U623" s="70"/>
      <c r="V623" s="70"/>
      <c r="X623" s="70" t="str">
        <f t="shared" si="209"/>
        <v>1W-E AV@E</v>
      </c>
      <c r="Y623" s="70" t="str">
        <f t="shared" si="210"/>
        <v/>
      </c>
      <c r="Z623" s="70" t="str">
        <f t="shared" si="211"/>
        <v/>
      </c>
      <c r="AA623" s="70" t="str">
        <f t="shared" si="212"/>
        <v/>
      </c>
      <c r="AC623" s="70" t="str">
        <f t="shared" si="201"/>
        <v>329, 328, 325, 318, 317, 316, 311, 303, 305, 302, 301</v>
      </c>
      <c r="AD623" s="70" t="str">
        <f t="shared" si="202"/>
        <v/>
      </c>
      <c r="AE623" s="70" t="str">
        <f t="shared" si="203"/>
        <v/>
      </c>
      <c r="AF623" s="70" t="str">
        <f t="shared" si="204"/>
        <v/>
      </c>
      <c r="AH623" s="70" t="str">
        <f t="shared" si="205"/>
        <v>29, 04</v>
      </c>
      <c r="AI623" s="70" t="str">
        <f t="shared" si="206"/>
        <v/>
      </c>
      <c r="AJ623" s="70" t="str">
        <f t="shared" si="207"/>
        <v/>
      </c>
      <c r="AK623" s="70" t="str">
        <f t="shared" si="208"/>
        <v/>
      </c>
      <c r="AN623" s="171"/>
      <c r="AO623" s="167"/>
      <c r="AP623" s="167"/>
    </row>
    <row r="624" spans="10:42" ht="20.100000000000001" customHeight="1" thickBot="1">
      <c r="J624" s="45" t="str">
        <f t="shared" si="199"/>
        <v>E AV</v>
      </c>
      <c r="K624" s="45" t="s">
        <v>130</v>
      </c>
      <c r="L624" s="45" t="str">
        <f t="shared" si="200"/>
        <v>2E-E AV@E</v>
      </c>
      <c r="M624" s="75" t="str">
        <f t="shared" si="197"/>
        <v>330, 328, 325, 318, 317, 316, 311, 303, 305, 302, 301</v>
      </c>
      <c r="N624" s="75" t="str">
        <f t="shared" si="198"/>
        <v>30, 04</v>
      </c>
      <c r="R624" s="70" t="s">
        <v>276</v>
      </c>
      <c r="S624" s="70" t="s">
        <v>55</v>
      </c>
      <c r="T624" s="70"/>
      <c r="U624" s="70"/>
      <c r="V624" s="70"/>
      <c r="X624" s="70" t="str">
        <f t="shared" si="209"/>
        <v>2E-E AV@E</v>
      </c>
      <c r="Y624" s="70" t="str">
        <f t="shared" si="210"/>
        <v/>
      </c>
      <c r="Z624" s="70" t="str">
        <f t="shared" si="211"/>
        <v/>
      </c>
      <c r="AA624" s="70" t="str">
        <f t="shared" si="212"/>
        <v/>
      </c>
      <c r="AC624" s="70" t="str">
        <f t="shared" si="201"/>
        <v>330, 328, 325, 318, 317, 316, 311, 303, 305, 302, 301</v>
      </c>
      <c r="AD624" s="70" t="str">
        <f t="shared" si="202"/>
        <v/>
      </c>
      <c r="AE624" s="70" t="str">
        <f t="shared" si="203"/>
        <v/>
      </c>
      <c r="AF624" s="70" t="str">
        <f t="shared" si="204"/>
        <v/>
      </c>
      <c r="AH624" s="70" t="str">
        <f t="shared" si="205"/>
        <v>30, 04</v>
      </c>
      <c r="AI624" s="70" t="str">
        <f t="shared" si="206"/>
        <v/>
      </c>
      <c r="AJ624" s="70" t="str">
        <f t="shared" si="207"/>
        <v/>
      </c>
      <c r="AK624" s="70" t="str">
        <f t="shared" si="208"/>
        <v/>
      </c>
      <c r="AN624" s="171"/>
      <c r="AO624" s="167"/>
      <c r="AP624" s="167"/>
    </row>
    <row r="625" spans="10:42" ht="20.100000000000001" customHeight="1" thickBot="1">
      <c r="J625" s="45" t="str">
        <f t="shared" si="199"/>
        <v>E AV</v>
      </c>
      <c r="K625" s="45" t="s">
        <v>130</v>
      </c>
      <c r="L625" s="45" t="str">
        <f t="shared" si="200"/>
        <v>2W-E AV@E</v>
      </c>
      <c r="M625" s="75" t="str">
        <f t="shared" si="197"/>
        <v>330, 328, 325, 318, 317, 316, 311, 303, 305, 302, 301</v>
      </c>
      <c r="N625" s="75" t="str">
        <f t="shared" si="198"/>
        <v>30, 04</v>
      </c>
      <c r="R625" s="70" t="s">
        <v>285</v>
      </c>
      <c r="S625" s="70" t="s">
        <v>55</v>
      </c>
      <c r="T625" s="70"/>
      <c r="U625" s="70"/>
      <c r="V625" s="70"/>
      <c r="X625" s="70" t="str">
        <f t="shared" si="209"/>
        <v>2W-E AV@E</v>
      </c>
      <c r="Y625" s="70" t="str">
        <f t="shared" si="210"/>
        <v/>
      </c>
      <c r="Z625" s="70" t="str">
        <f t="shared" si="211"/>
        <v/>
      </c>
      <c r="AA625" s="70" t="str">
        <f t="shared" si="212"/>
        <v/>
      </c>
      <c r="AC625" s="70" t="str">
        <f t="shared" si="201"/>
        <v>330, 328, 325, 318, 317, 316, 311, 303, 305, 302, 301</v>
      </c>
      <c r="AD625" s="70" t="str">
        <f t="shared" si="202"/>
        <v/>
      </c>
      <c r="AE625" s="70" t="str">
        <f t="shared" si="203"/>
        <v/>
      </c>
      <c r="AF625" s="70" t="str">
        <f t="shared" si="204"/>
        <v/>
      </c>
      <c r="AH625" s="70" t="str">
        <f t="shared" si="205"/>
        <v>30, 04</v>
      </c>
      <c r="AI625" s="70" t="str">
        <f t="shared" si="206"/>
        <v/>
      </c>
      <c r="AJ625" s="70" t="str">
        <f t="shared" si="207"/>
        <v/>
      </c>
      <c r="AK625" s="70" t="str">
        <f t="shared" si="208"/>
        <v/>
      </c>
      <c r="AN625" s="171"/>
      <c r="AO625" s="167"/>
      <c r="AP625" s="167"/>
    </row>
    <row r="626" spans="10:42" ht="20.100000000000001" customHeight="1" thickBot="1">
      <c r="J626" s="45" t="str">
        <f t="shared" si="199"/>
        <v>E AV</v>
      </c>
      <c r="K626" s="45" t="s">
        <v>130</v>
      </c>
      <c r="L626" s="45" t="str">
        <f t="shared" si="200"/>
        <v>3E-E AV@E</v>
      </c>
      <c r="M626" s="75" t="str">
        <f t="shared" si="197"/>
        <v>330, 328, 325, 318, 317, 316, 311, 303, 305, 302, 301</v>
      </c>
      <c r="N626" s="75" t="str">
        <f t="shared" si="198"/>
        <v>31, 04</v>
      </c>
      <c r="R626" s="70" t="s">
        <v>293</v>
      </c>
      <c r="S626" s="70" t="s">
        <v>55</v>
      </c>
      <c r="T626" s="70"/>
      <c r="U626" s="70"/>
      <c r="V626" s="70"/>
      <c r="X626" s="70" t="str">
        <f t="shared" si="209"/>
        <v>3E-E AV@E</v>
      </c>
      <c r="Y626" s="70" t="str">
        <f t="shared" si="210"/>
        <v/>
      </c>
      <c r="Z626" s="70" t="str">
        <f t="shared" si="211"/>
        <v/>
      </c>
      <c r="AA626" s="70" t="str">
        <f t="shared" si="212"/>
        <v/>
      </c>
      <c r="AC626" s="70" t="str">
        <f t="shared" si="201"/>
        <v>330, 328, 325, 318, 317, 316, 311, 303, 305, 302, 301</v>
      </c>
      <c r="AD626" s="70" t="str">
        <f t="shared" si="202"/>
        <v/>
      </c>
      <c r="AE626" s="70" t="str">
        <f t="shared" si="203"/>
        <v/>
      </c>
      <c r="AF626" s="70" t="str">
        <f t="shared" si="204"/>
        <v/>
      </c>
      <c r="AH626" s="70" t="str">
        <f t="shared" si="205"/>
        <v>31, 04</v>
      </c>
      <c r="AI626" s="70" t="str">
        <f t="shared" si="206"/>
        <v/>
      </c>
      <c r="AJ626" s="70" t="str">
        <f t="shared" si="207"/>
        <v/>
      </c>
      <c r="AK626" s="70" t="str">
        <f t="shared" si="208"/>
        <v/>
      </c>
      <c r="AN626" s="171"/>
      <c r="AO626" s="167"/>
      <c r="AP626" s="167"/>
    </row>
    <row r="627" spans="10:42" ht="20.100000000000001" customHeight="1" thickBot="1">
      <c r="J627" s="45" t="str">
        <f t="shared" si="199"/>
        <v>E AV</v>
      </c>
      <c r="K627" s="45" t="s">
        <v>130</v>
      </c>
      <c r="L627" s="45" t="str">
        <f t="shared" si="200"/>
        <v>3W-E AV@E</v>
      </c>
      <c r="M627" s="75" t="str">
        <f t="shared" si="197"/>
        <v>330, 328, 325, 318, 317, 316, 311, 303, 305, 302, 301</v>
      </c>
      <c r="N627" s="75" t="str">
        <f t="shared" si="198"/>
        <v>31, 04</v>
      </c>
      <c r="R627" s="70" t="s">
        <v>301</v>
      </c>
      <c r="S627" s="70" t="s">
        <v>55</v>
      </c>
      <c r="T627" s="70"/>
      <c r="U627" s="70"/>
      <c r="V627" s="70"/>
      <c r="X627" s="70" t="str">
        <f t="shared" si="209"/>
        <v>3W-E AV@E</v>
      </c>
      <c r="Y627" s="70" t="str">
        <f t="shared" si="210"/>
        <v/>
      </c>
      <c r="Z627" s="70" t="str">
        <f t="shared" si="211"/>
        <v/>
      </c>
      <c r="AA627" s="70" t="str">
        <f t="shared" si="212"/>
        <v/>
      </c>
      <c r="AC627" s="70" t="str">
        <f t="shared" si="201"/>
        <v>330, 328, 325, 318, 317, 316, 311, 303, 305, 302, 301</v>
      </c>
      <c r="AD627" s="70" t="str">
        <f t="shared" si="202"/>
        <v/>
      </c>
      <c r="AE627" s="70" t="str">
        <f t="shared" si="203"/>
        <v/>
      </c>
      <c r="AF627" s="70" t="str">
        <f t="shared" si="204"/>
        <v/>
      </c>
      <c r="AH627" s="70" t="str">
        <f t="shared" si="205"/>
        <v>31, 04</v>
      </c>
      <c r="AI627" s="70" t="str">
        <f t="shared" si="206"/>
        <v/>
      </c>
      <c r="AJ627" s="70" t="str">
        <f t="shared" si="207"/>
        <v/>
      </c>
      <c r="AK627" s="70" t="str">
        <f t="shared" si="208"/>
        <v/>
      </c>
      <c r="AN627" s="171"/>
      <c r="AO627" s="167"/>
      <c r="AP627" s="167"/>
    </row>
    <row r="628" spans="10:42" ht="20.100000000000001" customHeight="1" thickBot="1">
      <c r="J628" s="45" t="str">
        <f t="shared" si="199"/>
        <v>E AV</v>
      </c>
      <c r="K628" s="45" t="s">
        <v>130</v>
      </c>
      <c r="L628" s="45" t="str">
        <f t="shared" si="200"/>
        <v>4E-E AV@E</v>
      </c>
      <c r="M628" s="75" t="str">
        <f t="shared" si="197"/>
        <v>333, 331, 318, 317, 316, 311, 303, 305, 302, 301</v>
      </c>
      <c r="N628" s="75" t="str">
        <f t="shared" si="198"/>
        <v>32, 04</v>
      </c>
      <c r="R628" s="70" t="s">
        <v>309</v>
      </c>
      <c r="S628" s="70" t="s">
        <v>55</v>
      </c>
      <c r="T628" s="70"/>
      <c r="U628" s="70"/>
      <c r="V628" s="70"/>
      <c r="X628" s="70" t="str">
        <f t="shared" si="209"/>
        <v>4E-E AV@E</v>
      </c>
      <c r="Y628" s="70" t="str">
        <f t="shared" si="210"/>
        <v/>
      </c>
      <c r="Z628" s="70" t="str">
        <f t="shared" si="211"/>
        <v/>
      </c>
      <c r="AA628" s="70" t="str">
        <f t="shared" si="212"/>
        <v/>
      </c>
      <c r="AC628" s="70" t="str">
        <f t="shared" si="201"/>
        <v>333, 331, 318, 317, 316, 311, 303, 305, 302, 301</v>
      </c>
      <c r="AD628" s="70" t="str">
        <f t="shared" si="202"/>
        <v/>
      </c>
      <c r="AE628" s="70" t="str">
        <f t="shared" si="203"/>
        <v/>
      </c>
      <c r="AF628" s="70" t="str">
        <f t="shared" si="204"/>
        <v/>
      </c>
      <c r="AH628" s="70" t="str">
        <f t="shared" si="205"/>
        <v>32, 04</v>
      </c>
      <c r="AI628" s="70" t="str">
        <f t="shared" si="206"/>
        <v/>
      </c>
      <c r="AJ628" s="70" t="str">
        <f t="shared" si="207"/>
        <v/>
      </c>
      <c r="AK628" s="70" t="str">
        <f t="shared" si="208"/>
        <v/>
      </c>
      <c r="AN628" s="171"/>
      <c r="AO628" s="167"/>
      <c r="AP628" s="167"/>
    </row>
    <row r="629" spans="10:42" ht="20.100000000000001" customHeight="1" thickBot="1">
      <c r="J629" s="45" t="str">
        <f t="shared" si="199"/>
        <v>E AV</v>
      </c>
      <c r="K629" s="45" t="s">
        <v>130</v>
      </c>
      <c r="L629" s="45" t="str">
        <f t="shared" si="200"/>
        <v>4W-E AV@E</v>
      </c>
      <c r="M629" s="75" t="str">
        <f t="shared" si="197"/>
        <v>333, 331, 318, 317, 316, 311, 303, 305, 302, 301</v>
      </c>
      <c r="N629" s="75" t="str">
        <f t="shared" si="198"/>
        <v>32, 04</v>
      </c>
      <c r="R629" s="70" t="s">
        <v>318</v>
      </c>
      <c r="S629" s="70" t="s">
        <v>55</v>
      </c>
      <c r="T629" s="70"/>
      <c r="U629" s="70"/>
      <c r="V629" s="70"/>
      <c r="X629" s="70" t="str">
        <f t="shared" si="209"/>
        <v>4W-E AV@E</v>
      </c>
      <c r="Y629" s="70" t="str">
        <f t="shared" si="210"/>
        <v/>
      </c>
      <c r="Z629" s="70" t="str">
        <f t="shared" si="211"/>
        <v/>
      </c>
      <c r="AA629" s="70" t="str">
        <f t="shared" si="212"/>
        <v/>
      </c>
      <c r="AC629" s="70" t="str">
        <f t="shared" si="201"/>
        <v>333, 331, 318, 317, 316, 311, 303, 305, 302, 301</v>
      </c>
      <c r="AD629" s="70" t="str">
        <f t="shared" si="202"/>
        <v/>
      </c>
      <c r="AE629" s="70" t="str">
        <f t="shared" si="203"/>
        <v/>
      </c>
      <c r="AF629" s="70" t="str">
        <f t="shared" si="204"/>
        <v/>
      </c>
      <c r="AH629" s="70" t="str">
        <f t="shared" si="205"/>
        <v>32, 04</v>
      </c>
      <c r="AI629" s="70" t="str">
        <f t="shared" si="206"/>
        <v/>
      </c>
      <c r="AJ629" s="70" t="str">
        <f t="shared" si="207"/>
        <v/>
      </c>
      <c r="AK629" s="70" t="str">
        <f t="shared" si="208"/>
        <v/>
      </c>
      <c r="AN629" s="171"/>
      <c r="AO629" s="167"/>
      <c r="AP629" s="167"/>
    </row>
    <row r="630" spans="10:42" ht="20.100000000000001" customHeight="1" thickBot="1">
      <c r="J630" s="45" t="str">
        <f t="shared" si="199"/>
        <v>E AV</v>
      </c>
      <c r="K630" s="45" t="s">
        <v>130</v>
      </c>
      <c r="L630" s="45" t="str">
        <f t="shared" si="200"/>
        <v>5E-E AV@E</v>
      </c>
      <c r="M630" s="75" t="str">
        <f t="shared" si="197"/>
        <v>333, 331, 318, 317, 316, 311, 303, 305, 302, 301</v>
      </c>
      <c r="N630" s="75" t="str">
        <f t="shared" si="198"/>
        <v>33, 04</v>
      </c>
      <c r="R630" s="70" t="s">
        <v>325</v>
      </c>
      <c r="S630" s="70" t="s">
        <v>55</v>
      </c>
      <c r="T630" s="70"/>
      <c r="U630" s="70"/>
      <c r="V630" s="70"/>
      <c r="X630" s="70" t="str">
        <f t="shared" si="209"/>
        <v>5E-E AV@E</v>
      </c>
      <c r="Y630" s="70" t="str">
        <f t="shared" si="210"/>
        <v/>
      </c>
      <c r="Z630" s="70" t="str">
        <f t="shared" si="211"/>
        <v/>
      </c>
      <c r="AA630" s="70" t="str">
        <f t="shared" si="212"/>
        <v/>
      </c>
      <c r="AC630" s="70" t="str">
        <f t="shared" si="201"/>
        <v>333, 331, 318, 317, 316, 311, 303, 305, 302, 301</v>
      </c>
      <c r="AD630" s="70" t="str">
        <f t="shared" si="202"/>
        <v/>
      </c>
      <c r="AE630" s="70" t="str">
        <f t="shared" si="203"/>
        <v/>
      </c>
      <c r="AF630" s="70" t="str">
        <f t="shared" si="204"/>
        <v/>
      </c>
      <c r="AH630" s="70" t="str">
        <f t="shared" si="205"/>
        <v>33, 04</v>
      </c>
      <c r="AI630" s="70" t="str">
        <f t="shared" si="206"/>
        <v/>
      </c>
      <c r="AJ630" s="70" t="str">
        <f t="shared" si="207"/>
        <v/>
      </c>
      <c r="AK630" s="70" t="str">
        <f t="shared" si="208"/>
        <v/>
      </c>
      <c r="AN630" s="171"/>
      <c r="AO630" s="167"/>
      <c r="AP630" s="167"/>
    </row>
    <row r="631" spans="10:42" ht="20.100000000000001" customHeight="1" thickBot="1">
      <c r="J631" s="45" t="str">
        <f t="shared" si="199"/>
        <v>E AV</v>
      </c>
      <c r="K631" s="45" t="s">
        <v>130</v>
      </c>
      <c r="L631" s="45" t="str">
        <f t="shared" si="200"/>
        <v>5W-E AV@E</v>
      </c>
      <c r="M631" s="75" t="str">
        <f t="shared" si="197"/>
        <v>333, 331, 318, 317, 316, 311, 303, 305, 302, 301</v>
      </c>
      <c r="N631" s="75" t="str">
        <f t="shared" si="198"/>
        <v>33, 04</v>
      </c>
      <c r="R631" s="70" t="s">
        <v>333</v>
      </c>
      <c r="S631" s="70" t="s">
        <v>55</v>
      </c>
      <c r="T631" s="70"/>
      <c r="U631" s="70"/>
      <c r="V631" s="70"/>
      <c r="X631" s="70" t="str">
        <f t="shared" si="209"/>
        <v>5W-E AV@E</v>
      </c>
      <c r="Y631" s="70" t="str">
        <f t="shared" si="210"/>
        <v/>
      </c>
      <c r="Z631" s="70" t="str">
        <f t="shared" si="211"/>
        <v/>
      </c>
      <c r="AA631" s="70" t="str">
        <f t="shared" si="212"/>
        <v/>
      </c>
      <c r="AC631" s="70" t="str">
        <f t="shared" si="201"/>
        <v>333, 331, 318, 317, 316, 311, 303, 305, 302, 301</v>
      </c>
      <c r="AD631" s="70" t="str">
        <f t="shared" si="202"/>
        <v/>
      </c>
      <c r="AE631" s="70" t="str">
        <f t="shared" si="203"/>
        <v/>
      </c>
      <c r="AF631" s="70" t="str">
        <f t="shared" si="204"/>
        <v/>
      </c>
      <c r="AH631" s="70" t="str">
        <f t="shared" si="205"/>
        <v>33, 04</v>
      </c>
      <c r="AI631" s="70" t="str">
        <f t="shared" si="206"/>
        <v/>
      </c>
      <c r="AJ631" s="70" t="str">
        <f t="shared" si="207"/>
        <v/>
      </c>
      <c r="AK631" s="70" t="str">
        <f t="shared" si="208"/>
        <v/>
      </c>
      <c r="AN631" s="171"/>
      <c r="AO631" s="167"/>
      <c r="AP631" s="167"/>
    </row>
    <row r="632" spans="10:42" ht="20.100000000000001" customHeight="1" thickBot="1">
      <c r="J632" s="45" t="str">
        <f t="shared" si="199"/>
        <v>E AV</v>
      </c>
      <c r="K632" s="45" t="s">
        <v>130</v>
      </c>
      <c r="L632" s="45" t="str">
        <f t="shared" si="200"/>
        <v>6E-E AV@E</v>
      </c>
      <c r="M632" s="75" t="str">
        <f t="shared" si="197"/>
        <v>332, 331, 318, 317, 316, 311, 303, 305, 302, 301</v>
      </c>
      <c r="N632" s="75" t="str">
        <f t="shared" si="198"/>
        <v>34, 04</v>
      </c>
      <c r="R632" s="70" t="s">
        <v>339</v>
      </c>
      <c r="S632" s="70" t="s">
        <v>55</v>
      </c>
      <c r="T632" s="70"/>
      <c r="U632" s="70"/>
      <c r="V632" s="70"/>
      <c r="X632" s="70" t="str">
        <f t="shared" si="209"/>
        <v>6E-E AV@E</v>
      </c>
      <c r="Y632" s="70" t="str">
        <f t="shared" si="210"/>
        <v/>
      </c>
      <c r="Z632" s="70" t="str">
        <f t="shared" si="211"/>
        <v/>
      </c>
      <c r="AA632" s="70" t="str">
        <f t="shared" si="212"/>
        <v/>
      </c>
      <c r="AC632" s="70" t="str">
        <f t="shared" si="201"/>
        <v>332, 331, 318, 317, 316, 311, 303, 305, 302, 301</v>
      </c>
      <c r="AD632" s="70" t="str">
        <f t="shared" si="202"/>
        <v/>
      </c>
      <c r="AE632" s="70" t="str">
        <f t="shared" si="203"/>
        <v/>
      </c>
      <c r="AF632" s="70" t="str">
        <f t="shared" si="204"/>
        <v/>
      </c>
      <c r="AH632" s="70" t="str">
        <f t="shared" si="205"/>
        <v>34, 04</v>
      </c>
      <c r="AI632" s="70" t="str">
        <f t="shared" si="206"/>
        <v/>
      </c>
      <c r="AJ632" s="70" t="str">
        <f t="shared" si="207"/>
        <v/>
      </c>
      <c r="AK632" s="70" t="str">
        <f t="shared" si="208"/>
        <v/>
      </c>
      <c r="AN632" s="171"/>
      <c r="AO632" s="167"/>
      <c r="AP632" s="167"/>
    </row>
    <row r="633" spans="10:42" ht="20.100000000000001" customHeight="1" thickBot="1">
      <c r="J633" s="45" t="str">
        <f t="shared" si="199"/>
        <v>E AV</v>
      </c>
      <c r="K633" s="45" t="s">
        <v>130</v>
      </c>
      <c r="L633" s="45" t="str">
        <f t="shared" si="200"/>
        <v>6W-E AV@E</v>
      </c>
      <c r="M633" s="75" t="str">
        <f t="shared" si="197"/>
        <v>332, 331, 318, 317, 316, 311, 303, 305, 302, 301</v>
      </c>
      <c r="N633" s="75" t="str">
        <f t="shared" si="198"/>
        <v>34, 04</v>
      </c>
      <c r="R633" s="70" t="s">
        <v>346</v>
      </c>
      <c r="S633" s="70" t="s">
        <v>55</v>
      </c>
      <c r="T633" s="70"/>
      <c r="U633" s="70"/>
      <c r="V633" s="70"/>
      <c r="X633" s="70" t="str">
        <f t="shared" si="209"/>
        <v>6W-E AV@E</v>
      </c>
      <c r="Y633" s="70" t="str">
        <f t="shared" si="210"/>
        <v/>
      </c>
      <c r="Z633" s="70" t="str">
        <f t="shared" si="211"/>
        <v/>
      </c>
      <c r="AA633" s="70" t="str">
        <f t="shared" si="212"/>
        <v/>
      </c>
      <c r="AC633" s="70" t="str">
        <f t="shared" si="201"/>
        <v>332, 331, 318, 317, 316, 311, 303, 305, 302, 301</v>
      </c>
      <c r="AD633" s="70" t="str">
        <f t="shared" si="202"/>
        <v/>
      </c>
      <c r="AE633" s="70" t="str">
        <f t="shared" si="203"/>
        <v/>
      </c>
      <c r="AF633" s="70" t="str">
        <f t="shared" si="204"/>
        <v/>
      </c>
      <c r="AH633" s="70" t="str">
        <f t="shared" si="205"/>
        <v>34, 04</v>
      </c>
      <c r="AI633" s="70" t="str">
        <f t="shared" si="206"/>
        <v/>
      </c>
      <c r="AJ633" s="70" t="str">
        <f t="shared" si="207"/>
        <v/>
      </c>
      <c r="AK633" s="70" t="str">
        <f t="shared" si="208"/>
        <v/>
      </c>
      <c r="AN633" s="171"/>
      <c r="AO633" s="167"/>
      <c r="AP633" s="167"/>
    </row>
    <row r="634" spans="10:42" ht="20.100000000000001" customHeight="1" thickBot="1">
      <c r="J634" s="45" t="str">
        <f t="shared" si="199"/>
        <v>E AV</v>
      </c>
      <c r="K634" s="45" t="s">
        <v>130</v>
      </c>
      <c r="L634" s="45" t="str">
        <f t="shared" si="200"/>
        <v>7E-E AV@E</v>
      </c>
      <c r="M634" s="75" t="str">
        <f t="shared" si="197"/>
        <v>334, 332, 331, 318, 317, 316, 311, 303, 305, 302, 301</v>
      </c>
      <c r="N634" s="75" t="str">
        <f t="shared" si="198"/>
        <v>35, 04</v>
      </c>
      <c r="R634" s="70" t="s">
        <v>354</v>
      </c>
      <c r="S634" s="70" t="s">
        <v>55</v>
      </c>
      <c r="T634" s="70"/>
      <c r="U634" s="70"/>
      <c r="V634" s="70"/>
      <c r="X634" s="70" t="str">
        <f t="shared" si="209"/>
        <v>7E-E AV@E</v>
      </c>
      <c r="Y634" s="70" t="str">
        <f t="shared" si="210"/>
        <v/>
      </c>
      <c r="Z634" s="70" t="str">
        <f t="shared" si="211"/>
        <v/>
      </c>
      <c r="AA634" s="70" t="str">
        <f t="shared" si="212"/>
        <v/>
      </c>
      <c r="AC634" s="70" t="str">
        <f t="shared" si="201"/>
        <v>334, 332, 331, 318, 317, 316, 311, 303, 305, 302, 301</v>
      </c>
      <c r="AD634" s="70" t="str">
        <f t="shared" si="202"/>
        <v/>
      </c>
      <c r="AE634" s="70" t="str">
        <f t="shared" si="203"/>
        <v/>
      </c>
      <c r="AF634" s="70" t="str">
        <f t="shared" si="204"/>
        <v/>
      </c>
      <c r="AH634" s="70" t="str">
        <f t="shared" si="205"/>
        <v>35, 04</v>
      </c>
      <c r="AI634" s="70" t="str">
        <f t="shared" si="206"/>
        <v/>
      </c>
      <c r="AJ634" s="70" t="str">
        <f t="shared" si="207"/>
        <v/>
      </c>
      <c r="AK634" s="70" t="str">
        <f t="shared" si="208"/>
        <v/>
      </c>
      <c r="AN634" s="171"/>
      <c r="AO634" s="167"/>
      <c r="AP634" s="167"/>
    </row>
    <row r="635" spans="10:42" ht="20.100000000000001" customHeight="1" thickBot="1">
      <c r="J635" s="45" t="str">
        <f t="shared" si="199"/>
        <v>E AV</v>
      </c>
      <c r="K635" s="45" t="s">
        <v>130</v>
      </c>
      <c r="L635" s="45" t="str">
        <f t="shared" si="200"/>
        <v>7W-E AV@E</v>
      </c>
      <c r="M635" s="75" t="str">
        <f t="shared" si="197"/>
        <v>334, 332, 331, 318, 317, 316, 311, 303, 305, 302, 301</v>
      </c>
      <c r="N635" s="75" t="str">
        <f t="shared" si="198"/>
        <v>35, 04</v>
      </c>
      <c r="R635" s="70" t="s">
        <v>363</v>
      </c>
      <c r="S635" s="70" t="s">
        <v>55</v>
      </c>
      <c r="T635" s="70"/>
      <c r="U635" s="70"/>
      <c r="V635" s="70"/>
      <c r="X635" s="70" t="str">
        <f t="shared" si="209"/>
        <v>7W-E AV@E</v>
      </c>
      <c r="Y635" s="70" t="str">
        <f t="shared" si="210"/>
        <v/>
      </c>
      <c r="Z635" s="70" t="str">
        <f t="shared" si="211"/>
        <v/>
      </c>
      <c r="AA635" s="70" t="str">
        <f t="shared" si="212"/>
        <v/>
      </c>
      <c r="AC635" s="70" t="str">
        <f t="shared" si="201"/>
        <v>334, 332, 331, 318, 317, 316, 311, 303, 305, 302, 301</v>
      </c>
      <c r="AD635" s="70" t="str">
        <f t="shared" si="202"/>
        <v/>
      </c>
      <c r="AE635" s="70" t="str">
        <f t="shared" si="203"/>
        <v/>
      </c>
      <c r="AF635" s="70" t="str">
        <f t="shared" si="204"/>
        <v/>
      </c>
      <c r="AH635" s="70" t="str">
        <f t="shared" si="205"/>
        <v>35, 04</v>
      </c>
      <c r="AI635" s="70" t="str">
        <f t="shared" si="206"/>
        <v/>
      </c>
      <c r="AJ635" s="70" t="str">
        <f t="shared" si="207"/>
        <v/>
      </c>
      <c r="AK635" s="70" t="str">
        <f t="shared" si="208"/>
        <v/>
      </c>
      <c r="AN635" s="171"/>
      <c r="AO635" s="167"/>
      <c r="AP635" s="167"/>
    </row>
    <row r="636" spans="10:42" ht="20.100000000000001" customHeight="1" thickBot="1">
      <c r="J636" s="45" t="str">
        <f t="shared" si="199"/>
        <v>E AV</v>
      </c>
      <c r="K636" s="45" t="s">
        <v>130</v>
      </c>
      <c r="L636" s="45" t="str">
        <f t="shared" si="200"/>
        <v>8E-E AV@E</v>
      </c>
      <c r="M636" s="75" t="str">
        <f t="shared" si="197"/>
        <v>334, 332, 331, 318, 317, 316, 311, 303, 305, 302, 301</v>
      </c>
      <c r="N636" s="75" t="str">
        <f t="shared" si="198"/>
        <v>36, 04</v>
      </c>
      <c r="R636" s="70" t="s">
        <v>370</v>
      </c>
      <c r="S636" s="70" t="s">
        <v>55</v>
      </c>
      <c r="T636" s="70"/>
      <c r="U636" s="70"/>
      <c r="V636" s="70"/>
      <c r="X636" s="70" t="str">
        <f t="shared" si="209"/>
        <v>8E-E AV@E</v>
      </c>
      <c r="Y636" s="70" t="str">
        <f t="shared" si="210"/>
        <v/>
      </c>
      <c r="Z636" s="70" t="str">
        <f t="shared" si="211"/>
        <v/>
      </c>
      <c r="AA636" s="70" t="str">
        <f t="shared" si="212"/>
        <v/>
      </c>
      <c r="AC636" s="70" t="str">
        <f t="shared" si="201"/>
        <v>334, 332, 331, 318, 317, 316, 311, 303, 305, 302, 301</v>
      </c>
      <c r="AD636" s="70" t="str">
        <f t="shared" si="202"/>
        <v/>
      </c>
      <c r="AE636" s="70" t="str">
        <f t="shared" si="203"/>
        <v/>
      </c>
      <c r="AF636" s="70" t="str">
        <f t="shared" si="204"/>
        <v/>
      </c>
      <c r="AH636" s="70" t="str">
        <f t="shared" si="205"/>
        <v>36, 04</v>
      </c>
      <c r="AI636" s="70" t="str">
        <f t="shared" si="206"/>
        <v/>
      </c>
      <c r="AJ636" s="70" t="str">
        <f t="shared" si="207"/>
        <v/>
      </c>
      <c r="AK636" s="70" t="str">
        <f t="shared" si="208"/>
        <v/>
      </c>
      <c r="AN636" s="171"/>
      <c r="AO636" s="167"/>
      <c r="AP636" s="167"/>
    </row>
    <row r="637" spans="10:42" ht="20.100000000000001" customHeight="1" thickBot="1">
      <c r="J637" s="45" t="str">
        <f t="shared" si="199"/>
        <v>E AV</v>
      </c>
      <c r="K637" s="45" t="s">
        <v>130</v>
      </c>
      <c r="L637" s="45" t="str">
        <f t="shared" si="200"/>
        <v>8W-E AV@E</v>
      </c>
      <c r="M637" s="75" t="str">
        <f t="shared" si="197"/>
        <v>334, 332, 331, 318, 317, 316, 311, 303, 305, 302, 301</v>
      </c>
      <c r="N637" s="75" t="str">
        <f t="shared" si="198"/>
        <v>36, 04</v>
      </c>
      <c r="R637" s="70" t="s">
        <v>377</v>
      </c>
      <c r="S637" s="70" t="s">
        <v>55</v>
      </c>
      <c r="T637" s="70"/>
      <c r="U637" s="70"/>
      <c r="V637" s="70"/>
      <c r="X637" s="70" t="str">
        <f t="shared" si="209"/>
        <v>8W-E AV@E</v>
      </c>
      <c r="Y637" s="70" t="str">
        <f t="shared" si="210"/>
        <v/>
      </c>
      <c r="Z637" s="70" t="str">
        <f t="shared" si="211"/>
        <v/>
      </c>
      <c r="AA637" s="70" t="str">
        <f t="shared" si="212"/>
        <v/>
      </c>
      <c r="AC637" s="70" t="str">
        <f t="shared" si="201"/>
        <v>334, 332, 331, 318, 317, 316, 311, 303, 305, 302, 301</v>
      </c>
      <c r="AD637" s="70" t="str">
        <f t="shared" si="202"/>
        <v/>
      </c>
      <c r="AE637" s="70" t="str">
        <f t="shared" si="203"/>
        <v/>
      </c>
      <c r="AF637" s="70" t="str">
        <f t="shared" si="204"/>
        <v/>
      </c>
      <c r="AH637" s="70" t="str">
        <f t="shared" si="205"/>
        <v>36, 04</v>
      </c>
      <c r="AI637" s="70" t="str">
        <f t="shared" si="206"/>
        <v/>
      </c>
      <c r="AJ637" s="70" t="str">
        <f t="shared" si="207"/>
        <v/>
      </c>
      <c r="AK637" s="70" t="str">
        <f t="shared" si="208"/>
        <v/>
      </c>
      <c r="AN637" s="171"/>
      <c r="AO637" s="167"/>
      <c r="AP637" s="167"/>
    </row>
    <row r="638" spans="10:42" ht="20.100000000000001" customHeight="1" thickBot="1">
      <c r="J638" s="45" t="str">
        <f t="shared" si="199"/>
        <v>E AV</v>
      </c>
      <c r="K638" s="45" t="s">
        <v>130</v>
      </c>
      <c r="L638" s="45" t="str">
        <f t="shared" si="200"/>
        <v>LS2-E AV@E</v>
      </c>
      <c r="M638" s="75" t="str">
        <f t="shared" si="197"/>
        <v>302, 305, 307, 306, M5, M6, M7, M8, 301</v>
      </c>
      <c r="N638" s="75" t="str">
        <f t="shared" si="198"/>
        <v>05</v>
      </c>
      <c r="R638" s="70" t="s">
        <v>383</v>
      </c>
      <c r="S638" s="70" t="s">
        <v>55</v>
      </c>
      <c r="T638" s="70"/>
      <c r="U638" s="70"/>
      <c r="V638" s="70"/>
      <c r="X638" s="70" t="str">
        <f t="shared" si="209"/>
        <v>LS2-E AV@E</v>
      </c>
      <c r="Y638" s="70" t="str">
        <f t="shared" si="210"/>
        <v/>
      </c>
      <c r="Z638" s="70" t="str">
        <f t="shared" si="211"/>
        <v/>
      </c>
      <c r="AA638" s="70" t="str">
        <f t="shared" si="212"/>
        <v/>
      </c>
      <c r="AC638" s="70" t="str">
        <f t="shared" si="201"/>
        <v>302, 305, 307, 306, M5, M6, M7, M8, 301</v>
      </c>
      <c r="AD638" s="70" t="str">
        <f t="shared" si="202"/>
        <v/>
      </c>
      <c r="AE638" s="70" t="str">
        <f t="shared" si="203"/>
        <v/>
      </c>
      <c r="AF638" s="70" t="str">
        <f t="shared" si="204"/>
        <v/>
      </c>
      <c r="AH638" s="70" t="str">
        <f t="shared" si="205"/>
        <v>05</v>
      </c>
      <c r="AI638" s="70" t="str">
        <f t="shared" si="206"/>
        <v/>
      </c>
      <c r="AJ638" s="70" t="str">
        <f t="shared" si="207"/>
        <v/>
      </c>
      <c r="AK638" s="70" t="str">
        <f t="shared" si="208"/>
        <v/>
      </c>
      <c r="AN638" s="171"/>
      <c r="AO638" s="167"/>
      <c r="AP638" s="167"/>
    </row>
    <row r="639" spans="10:42" ht="20.100000000000001" customHeight="1" thickBot="1">
      <c r="J639" s="45" t="str">
        <f t="shared" si="199"/>
        <v>E AV</v>
      </c>
      <c r="K639" s="45" t="s">
        <v>130</v>
      </c>
      <c r="L639" s="45" t="str">
        <f t="shared" si="200"/>
        <v>LS3-E AV@E</v>
      </c>
      <c r="M639" s="75" t="str">
        <f t="shared" si="197"/>
        <v>302, 305, 307, 306, M5, M6, 301</v>
      </c>
      <c r="N639" s="75" t="str">
        <f t="shared" si="198"/>
        <v>05</v>
      </c>
      <c r="R639" s="70" t="s">
        <v>531</v>
      </c>
      <c r="S639" s="70" t="s">
        <v>55</v>
      </c>
      <c r="T639" s="70"/>
      <c r="U639" s="70"/>
      <c r="V639" s="70"/>
      <c r="X639" s="70" t="str">
        <f t="shared" si="209"/>
        <v>LS3-E AV@E</v>
      </c>
      <c r="Y639" s="70" t="str">
        <f t="shared" si="210"/>
        <v/>
      </c>
      <c r="Z639" s="70" t="str">
        <f t="shared" si="211"/>
        <v/>
      </c>
      <c r="AA639" s="70" t="str">
        <f t="shared" si="212"/>
        <v/>
      </c>
      <c r="AC639" s="70" t="str">
        <f t="shared" si="201"/>
        <v>302, 305, 307, 306, M5, M6, 301</v>
      </c>
      <c r="AD639" s="70" t="str">
        <f t="shared" si="202"/>
        <v/>
      </c>
      <c r="AE639" s="70" t="str">
        <f t="shared" si="203"/>
        <v/>
      </c>
      <c r="AF639" s="70" t="str">
        <f t="shared" si="204"/>
        <v/>
      </c>
      <c r="AH639" s="70" t="str">
        <f t="shared" si="205"/>
        <v>05</v>
      </c>
      <c r="AI639" s="70" t="str">
        <f t="shared" si="206"/>
        <v/>
      </c>
      <c r="AJ639" s="70" t="str">
        <f t="shared" si="207"/>
        <v/>
      </c>
      <c r="AK639" s="70" t="str">
        <f t="shared" si="208"/>
        <v/>
      </c>
      <c r="AN639" s="171"/>
      <c r="AO639" s="167"/>
      <c r="AP639" s="167"/>
    </row>
    <row r="640" spans="10:42" ht="20.100000000000001" customHeight="1" thickBot="1">
      <c r="J640" s="45" t="str">
        <f t="shared" si="199"/>
        <v>E AV</v>
      </c>
      <c r="K640" s="45" t="s">
        <v>130</v>
      </c>
      <c r="L640" s="45" t="str">
        <f t="shared" si="200"/>
        <v>LB-E AV@E</v>
      </c>
      <c r="M640" s="75" t="str">
        <f t="shared" si="197"/>
        <v>302, 305, 307, 306, M5, 301</v>
      </c>
      <c r="N640" s="75" t="str">
        <f t="shared" si="198"/>
        <v>05</v>
      </c>
      <c r="R640" s="70" t="s">
        <v>672</v>
      </c>
      <c r="S640" s="70" t="s">
        <v>55</v>
      </c>
      <c r="T640" s="70"/>
      <c r="U640" s="70"/>
      <c r="V640" s="70"/>
      <c r="X640" s="70" t="str">
        <f t="shared" si="209"/>
        <v>LB-E AV@E</v>
      </c>
      <c r="Y640" s="70" t="str">
        <f t="shared" si="210"/>
        <v/>
      </c>
      <c r="Z640" s="70" t="str">
        <f t="shared" si="211"/>
        <v/>
      </c>
      <c r="AA640" s="70" t="str">
        <f t="shared" si="212"/>
        <v/>
      </c>
      <c r="AC640" s="70" t="str">
        <f t="shared" si="201"/>
        <v>302, 305, 307, 306, M5, 301</v>
      </c>
      <c r="AD640" s="70" t="str">
        <f t="shared" si="202"/>
        <v/>
      </c>
      <c r="AE640" s="70" t="str">
        <f t="shared" si="203"/>
        <v/>
      </c>
      <c r="AF640" s="70" t="str">
        <f t="shared" si="204"/>
        <v/>
      </c>
      <c r="AH640" s="70" t="str">
        <f t="shared" si="205"/>
        <v>05</v>
      </c>
      <c r="AI640" s="70" t="str">
        <f t="shared" si="206"/>
        <v/>
      </c>
      <c r="AJ640" s="70" t="str">
        <f t="shared" si="207"/>
        <v/>
      </c>
      <c r="AK640" s="70" t="str">
        <f t="shared" si="208"/>
        <v/>
      </c>
      <c r="AN640" s="171"/>
      <c r="AO640" s="167"/>
      <c r="AP640" s="167"/>
    </row>
    <row r="641" spans="10:42" ht="20.100000000000001" customHeight="1" thickBot="1">
      <c r="J641" s="45" t="str">
        <f t="shared" si="199"/>
        <v>E AV</v>
      </c>
      <c r="K641" s="45" t="s">
        <v>130</v>
      </c>
      <c r="L641" s="45" t="str">
        <f t="shared" si="200"/>
        <v>M1-E AV@E</v>
      </c>
      <c r="M641" s="75" t="str">
        <f t="shared" si="197"/>
        <v>302, 305, 307, 306, M1, 301</v>
      </c>
      <c r="N641" s="75" t="str">
        <f t="shared" si="198"/>
        <v>06</v>
      </c>
      <c r="R641" s="70" t="s">
        <v>863</v>
      </c>
      <c r="S641" s="70" t="s">
        <v>55</v>
      </c>
      <c r="T641" s="70"/>
      <c r="U641" s="70"/>
      <c r="V641" s="70"/>
      <c r="X641" s="70" t="str">
        <f t="shared" si="209"/>
        <v>M1-E AV@E</v>
      </c>
      <c r="Y641" s="70" t="str">
        <f t="shared" si="210"/>
        <v/>
      </c>
      <c r="Z641" s="70" t="str">
        <f t="shared" si="211"/>
        <v/>
      </c>
      <c r="AA641" s="70" t="str">
        <f t="shared" si="212"/>
        <v/>
      </c>
      <c r="AC641" s="70" t="str">
        <f t="shared" si="201"/>
        <v>302, 305, 307, 306, M1, 301</v>
      </c>
      <c r="AD641" s="70" t="str">
        <f t="shared" si="202"/>
        <v/>
      </c>
      <c r="AE641" s="70" t="str">
        <f t="shared" si="203"/>
        <v/>
      </c>
      <c r="AF641" s="70" t="str">
        <f t="shared" si="204"/>
        <v/>
      </c>
      <c r="AH641" s="70" t="str">
        <f t="shared" si="205"/>
        <v>06</v>
      </c>
      <c r="AI641" s="70" t="str">
        <f t="shared" si="206"/>
        <v/>
      </c>
      <c r="AJ641" s="70" t="str">
        <f t="shared" si="207"/>
        <v/>
      </c>
      <c r="AK641" s="70" t="str">
        <f t="shared" si="208"/>
        <v/>
      </c>
      <c r="AN641" s="171"/>
      <c r="AO641" s="167"/>
      <c r="AP641" s="167"/>
    </row>
    <row r="642" spans="10:42" ht="20.100000000000001" customHeight="1" thickBot="1">
      <c r="J642" s="45" t="str">
        <f t="shared" si="199"/>
        <v>E AV</v>
      </c>
      <c r="K642" s="45" t="s">
        <v>130</v>
      </c>
      <c r="L642" s="45" t="str">
        <f t="shared" si="200"/>
        <v>M2-E AV@E</v>
      </c>
      <c r="M642" s="75" t="str">
        <f t="shared" ref="M642:M705" si="213">IF(AF642="",IF(AE642="",IF(AD642="",AC642,CONCATENATE(AC642,", ",AD642)),CONCATENATE(AC642,", ",AD642,", ",AE642)),CONCATENATE(AC642,", ",AD642,", ",AE642,", ",AF642))</f>
        <v>302, 305, 307, 306, M1, M2, 301</v>
      </c>
      <c r="N642" s="75" t="str">
        <f t="shared" ref="N642:N705" si="214">IF(AK642="",IF(AJ642="",IF(AI642="",AH642,CONCATENATE(AH642,", ",AI642)),CONCATENATE(AH642,", ",AI642,", ",AJ642)),CONCATENATE(AH642,", ",AI642,", ",AJ642,", ",AK642))</f>
        <v>06</v>
      </c>
      <c r="R642" s="70" t="s">
        <v>994</v>
      </c>
      <c r="S642" s="70" t="s">
        <v>55</v>
      </c>
      <c r="T642" s="70"/>
      <c r="U642" s="70"/>
      <c r="V642" s="70"/>
      <c r="X642" s="70" t="str">
        <f t="shared" si="209"/>
        <v>M2-E AV@E</v>
      </c>
      <c r="Y642" s="70" t="str">
        <f t="shared" si="210"/>
        <v/>
      </c>
      <c r="Z642" s="70" t="str">
        <f t="shared" si="211"/>
        <v/>
      </c>
      <c r="AA642" s="70" t="str">
        <f t="shared" si="212"/>
        <v/>
      </c>
      <c r="AC642" s="70" t="str">
        <f t="shared" si="201"/>
        <v>302, 305, 307, 306, M1, M2, 301</v>
      </c>
      <c r="AD642" s="70" t="str">
        <f t="shared" si="202"/>
        <v/>
      </c>
      <c r="AE642" s="70" t="str">
        <f t="shared" si="203"/>
        <v/>
      </c>
      <c r="AF642" s="70" t="str">
        <f t="shared" si="204"/>
        <v/>
      </c>
      <c r="AH642" s="70" t="str">
        <f t="shared" si="205"/>
        <v>06</v>
      </c>
      <c r="AI642" s="70" t="str">
        <f t="shared" si="206"/>
        <v/>
      </c>
      <c r="AJ642" s="70" t="str">
        <f t="shared" si="207"/>
        <v/>
      </c>
      <c r="AK642" s="70" t="str">
        <f t="shared" si="208"/>
        <v/>
      </c>
      <c r="AN642" s="171"/>
      <c r="AO642" s="167"/>
      <c r="AP642" s="167"/>
    </row>
    <row r="643" spans="10:42" ht="20.100000000000001" customHeight="1" thickBot="1">
      <c r="J643" s="45" t="str">
        <f t="shared" ref="J643:J706" si="215">IF(V643="",IF(U643="",IF(T643="",S643,T643),U643),V643)</f>
        <v>E AV</v>
      </c>
      <c r="K643" s="45" t="s">
        <v>130</v>
      </c>
      <c r="L643" s="45" t="str">
        <f t="shared" ref="L643:L706" si="216">CONCATENATE(R643,"-",J643,"@",K643)</f>
        <v>M3-E AV@E</v>
      </c>
      <c r="M643" s="75" t="str">
        <f t="shared" si="213"/>
        <v>302, 305, 307, 306, M1, M2, M3, 301</v>
      </c>
      <c r="N643" s="75" t="str">
        <f t="shared" si="214"/>
        <v>06</v>
      </c>
      <c r="R643" s="70" t="s">
        <v>1142</v>
      </c>
      <c r="S643" s="70" t="s">
        <v>55</v>
      </c>
      <c r="T643" s="70"/>
      <c r="U643" s="70"/>
      <c r="V643" s="70"/>
      <c r="X643" s="70" t="str">
        <f t="shared" si="209"/>
        <v>M3-E AV@E</v>
      </c>
      <c r="Y643" s="70" t="str">
        <f t="shared" si="210"/>
        <v/>
      </c>
      <c r="Z643" s="70" t="str">
        <f t="shared" si="211"/>
        <v/>
      </c>
      <c r="AA643" s="70" t="str">
        <f t="shared" si="212"/>
        <v/>
      </c>
      <c r="AC643" s="70" t="str">
        <f t="shared" ref="AC643:AC706" si="217">IF(X643="","",VLOOKUP(X643,$AN$2:$AP$736,2,0))</f>
        <v>302, 305, 307, 306, M1, M2, M3, 301</v>
      </c>
      <c r="AD643" s="70" t="str">
        <f t="shared" ref="AD643:AD706" si="218">IF(Y643="","",VLOOKUP(Y643,$AN$2:$AP$736,2,0))</f>
        <v/>
      </c>
      <c r="AE643" s="70" t="str">
        <f t="shared" ref="AE643:AE706" si="219">IF(Z643="","",VLOOKUP(Z643,$AN$2:$AP$736,2,0))</f>
        <v/>
      </c>
      <c r="AF643" s="70" t="str">
        <f t="shared" ref="AF643:AF706" si="220">IF(AA643="","",VLOOKUP(AA643,$AN$2:$AP$736,2,0))</f>
        <v/>
      </c>
      <c r="AH643" s="70" t="str">
        <f t="shared" ref="AH643:AH706" si="221">IF(X643="","",VLOOKUP(X643,$AN$2:$AP$162,3,0))</f>
        <v>06</v>
      </c>
      <c r="AI643" s="70" t="str">
        <f t="shared" ref="AI643:AI706" si="222">IF(Y643="","",VLOOKUP(Y643,$AN$2:$AP$162,3,0))</f>
        <v/>
      </c>
      <c r="AJ643" s="70" t="str">
        <f t="shared" ref="AJ643:AJ706" si="223">IF(Z643="","",VLOOKUP(Z643,$AN$2:$AP$162,3,0))</f>
        <v/>
      </c>
      <c r="AK643" s="70" t="str">
        <f t="shared" ref="AK643:AK706" si="224">IF(AA643="","",VLOOKUP(AA643,$AN$2:$AP$162,3,0))</f>
        <v/>
      </c>
      <c r="AN643" s="171"/>
      <c r="AO643" s="167"/>
      <c r="AP643" s="167"/>
    </row>
    <row r="644" spans="10:42" ht="20.100000000000001" customHeight="1" thickBot="1">
      <c r="J644" s="45" t="str">
        <f t="shared" si="215"/>
        <v>E AV</v>
      </c>
      <c r="K644" s="45" t="s">
        <v>130</v>
      </c>
      <c r="L644" s="45" t="str">
        <f t="shared" si="216"/>
        <v>M4-E AV@E</v>
      </c>
      <c r="M644" s="75" t="str">
        <f t="shared" si="213"/>
        <v>302, 305, 307, 306, M1, M2, M3, M4, 301</v>
      </c>
      <c r="N644" s="75" t="str">
        <f t="shared" si="214"/>
        <v>06</v>
      </c>
      <c r="R644" s="70" t="s">
        <v>331</v>
      </c>
      <c r="S644" s="70" t="s">
        <v>55</v>
      </c>
      <c r="T644" s="70"/>
      <c r="U644" s="70"/>
      <c r="V644" s="70"/>
      <c r="X644" s="70" t="str">
        <f t="shared" si="209"/>
        <v>M4-E AV@E</v>
      </c>
      <c r="Y644" s="70" t="str">
        <f t="shared" si="210"/>
        <v/>
      </c>
      <c r="Z644" s="70" t="str">
        <f t="shared" si="211"/>
        <v/>
      </c>
      <c r="AA644" s="70" t="str">
        <f t="shared" si="212"/>
        <v/>
      </c>
      <c r="AC644" s="70" t="str">
        <f t="shared" si="217"/>
        <v>302, 305, 307, 306, M1, M2, M3, M4, 301</v>
      </c>
      <c r="AD644" s="70" t="str">
        <f t="shared" si="218"/>
        <v/>
      </c>
      <c r="AE644" s="70" t="str">
        <f t="shared" si="219"/>
        <v/>
      </c>
      <c r="AF644" s="70" t="str">
        <f t="shared" si="220"/>
        <v/>
      </c>
      <c r="AH644" s="70" t="str">
        <f t="shared" si="221"/>
        <v>06</v>
      </c>
      <c r="AI644" s="70" t="str">
        <f t="shared" si="222"/>
        <v/>
      </c>
      <c r="AJ644" s="70" t="str">
        <f t="shared" si="223"/>
        <v/>
      </c>
      <c r="AK644" s="70" t="str">
        <f t="shared" si="224"/>
        <v/>
      </c>
      <c r="AN644" s="171"/>
      <c r="AO644" s="167"/>
      <c r="AP644" s="167"/>
    </row>
    <row r="645" spans="10:42" ht="20.100000000000001" customHeight="1" thickBot="1">
      <c r="J645" s="45" t="str">
        <f t="shared" si="215"/>
        <v>E AV</v>
      </c>
      <c r="K645" s="45" t="s">
        <v>130</v>
      </c>
      <c r="L645" s="45" t="str">
        <f t="shared" si="216"/>
        <v>M5-E AV@E</v>
      </c>
      <c r="M645" s="75" t="str">
        <f t="shared" si="213"/>
        <v>302, 305, 307, 306, M1, M2, M3, M4, 301</v>
      </c>
      <c r="N645" s="75" t="str">
        <f t="shared" si="214"/>
        <v>06</v>
      </c>
      <c r="R645" s="70" t="s">
        <v>1381</v>
      </c>
      <c r="S645" s="70" t="s">
        <v>55</v>
      </c>
      <c r="T645" s="70"/>
      <c r="U645" s="70"/>
      <c r="V645" s="70"/>
      <c r="X645" s="70" t="str">
        <f t="shared" si="209"/>
        <v>M5-E AV@E</v>
      </c>
      <c r="Y645" s="70" t="str">
        <f t="shared" si="210"/>
        <v/>
      </c>
      <c r="Z645" s="70" t="str">
        <f t="shared" si="211"/>
        <v/>
      </c>
      <c r="AA645" s="70" t="str">
        <f t="shared" si="212"/>
        <v/>
      </c>
      <c r="AC645" s="70" t="str">
        <f t="shared" si="217"/>
        <v>302, 305, 307, 306, M1, M2, M3, M4, 301</v>
      </c>
      <c r="AD645" s="70" t="str">
        <f t="shared" si="218"/>
        <v/>
      </c>
      <c r="AE645" s="70" t="str">
        <f t="shared" si="219"/>
        <v/>
      </c>
      <c r="AF645" s="70" t="str">
        <f t="shared" si="220"/>
        <v/>
      </c>
      <c r="AH645" s="70" t="str">
        <f t="shared" si="221"/>
        <v>06</v>
      </c>
      <c r="AI645" s="70" t="str">
        <f t="shared" si="222"/>
        <v/>
      </c>
      <c r="AJ645" s="70" t="str">
        <f t="shared" si="223"/>
        <v/>
      </c>
      <c r="AK645" s="70" t="str">
        <f t="shared" si="224"/>
        <v/>
      </c>
      <c r="AN645" s="171"/>
      <c r="AO645" s="167"/>
      <c r="AP645" s="167"/>
    </row>
    <row r="646" spans="10:42" ht="20.100000000000001" customHeight="1" thickBot="1">
      <c r="J646" s="45" t="str">
        <f t="shared" si="215"/>
        <v>LS1</v>
      </c>
      <c r="K646" s="45" t="s">
        <v>131</v>
      </c>
      <c r="L646" s="45" t="str">
        <f t="shared" si="216"/>
        <v>RM1E-LS1@W</v>
      </c>
      <c r="M646" s="75" t="e">
        <f t="shared" si="213"/>
        <v>#N/A</v>
      </c>
      <c r="N646" s="75" t="e">
        <f t="shared" si="214"/>
        <v>#N/A</v>
      </c>
      <c r="R646" s="70" t="s">
        <v>200</v>
      </c>
      <c r="S646" s="70" t="s">
        <v>59</v>
      </c>
      <c r="T646" s="70" t="s">
        <v>57</v>
      </c>
      <c r="U646" s="70" t="s">
        <v>1563</v>
      </c>
      <c r="V646" s="70" t="s">
        <v>149</v>
      </c>
      <c r="X646" s="70" t="str">
        <f t="shared" si="209"/>
        <v>RM1E-W DT@W</v>
      </c>
      <c r="Y646" s="70" t="str">
        <f t="shared" si="210"/>
        <v>W DT-TEST@W</v>
      </c>
      <c r="Z646" s="70" t="str">
        <f t="shared" si="211"/>
        <v>TEST-EDT@W</v>
      </c>
      <c r="AA646" s="70" t="str">
        <f t="shared" si="212"/>
        <v>EDT-LS1@W</v>
      </c>
      <c r="AC646" s="70" t="str">
        <f t="shared" si="217"/>
        <v>364, 362, 361, 358, 357, 356, 355, 353, 352</v>
      </c>
      <c r="AD646" s="70" t="str">
        <f t="shared" si="218"/>
        <v>356, 355, 353, 352</v>
      </c>
      <c r="AE646" s="70" t="e">
        <f t="shared" si="219"/>
        <v>#N/A</v>
      </c>
      <c r="AF646" s="70" t="e">
        <f t="shared" si="220"/>
        <v>#N/A</v>
      </c>
      <c r="AH646" s="70" t="str">
        <f t="shared" si="221"/>
        <v>25, 04</v>
      </c>
      <c r="AI646" s="70">
        <f t="shared" si="222"/>
        <v>55</v>
      </c>
      <c r="AJ646" s="70" t="e">
        <f t="shared" si="223"/>
        <v>#N/A</v>
      </c>
      <c r="AK646" s="70" t="e">
        <f t="shared" si="224"/>
        <v>#N/A</v>
      </c>
      <c r="AN646" s="171"/>
      <c r="AO646" s="167"/>
      <c r="AP646" s="167"/>
    </row>
    <row r="647" spans="10:42" ht="20.100000000000001" customHeight="1" thickBot="1">
      <c r="J647" s="45" t="str">
        <f t="shared" si="215"/>
        <v>LS1</v>
      </c>
      <c r="K647" s="45" t="s">
        <v>131</v>
      </c>
      <c r="L647" s="45" t="str">
        <f t="shared" si="216"/>
        <v>RM1W-LS1@W</v>
      </c>
      <c r="M647" s="75" t="e">
        <f t="shared" si="213"/>
        <v>#N/A</v>
      </c>
      <c r="N647" s="75" t="e">
        <f t="shared" si="214"/>
        <v>#N/A</v>
      </c>
      <c r="R647" s="70" t="s">
        <v>208</v>
      </c>
      <c r="S647" s="70" t="s">
        <v>59</v>
      </c>
      <c r="T647" s="70" t="s">
        <v>57</v>
      </c>
      <c r="U647" s="70" t="s">
        <v>1563</v>
      </c>
      <c r="V647" s="70" t="s">
        <v>149</v>
      </c>
      <c r="X647" s="70" t="str">
        <f t="shared" si="209"/>
        <v>RM1W-W DT@W</v>
      </c>
      <c r="Y647" s="70" t="str">
        <f t="shared" si="210"/>
        <v>W DT-TEST@W</v>
      </c>
      <c r="Z647" s="70" t="str">
        <f t="shared" si="211"/>
        <v>TEST-EDT@W</v>
      </c>
      <c r="AA647" s="70" t="str">
        <f t="shared" si="212"/>
        <v>EDT-LS1@W</v>
      </c>
      <c r="AC647" s="70" t="str">
        <f t="shared" si="217"/>
        <v>364, 362, 361, 358, 357, 356, 355, 353, 352</v>
      </c>
      <c r="AD647" s="70" t="str">
        <f t="shared" si="218"/>
        <v>356, 355, 353, 352</v>
      </c>
      <c r="AE647" s="70" t="e">
        <f t="shared" si="219"/>
        <v>#N/A</v>
      </c>
      <c r="AF647" s="70" t="e">
        <f t="shared" si="220"/>
        <v>#N/A</v>
      </c>
      <c r="AH647" s="70" t="str">
        <f t="shared" si="221"/>
        <v>25, 04</v>
      </c>
      <c r="AI647" s="70">
        <f t="shared" si="222"/>
        <v>55</v>
      </c>
      <c r="AJ647" s="70" t="e">
        <f t="shared" si="223"/>
        <v>#N/A</v>
      </c>
      <c r="AK647" s="70" t="e">
        <f t="shared" si="224"/>
        <v>#N/A</v>
      </c>
      <c r="AN647" s="171"/>
      <c r="AO647" s="167"/>
      <c r="AP647" s="167"/>
    </row>
    <row r="648" spans="10:42" ht="20.100000000000001" customHeight="1" thickBot="1">
      <c r="J648" s="45" t="str">
        <f t="shared" si="215"/>
        <v>LS1</v>
      </c>
      <c r="K648" s="45" t="s">
        <v>131</v>
      </c>
      <c r="L648" s="45" t="str">
        <f t="shared" si="216"/>
        <v>RM2E-LS1@W</v>
      </c>
      <c r="M648" s="75" t="e">
        <f t="shared" si="213"/>
        <v>#N/A</v>
      </c>
      <c r="N648" s="75" t="e">
        <f t="shared" si="214"/>
        <v>#N/A</v>
      </c>
      <c r="R648" s="70" t="s">
        <v>216</v>
      </c>
      <c r="S648" s="70" t="s">
        <v>59</v>
      </c>
      <c r="T648" s="70" t="s">
        <v>57</v>
      </c>
      <c r="U648" s="70" t="s">
        <v>1563</v>
      </c>
      <c r="V648" s="70" t="s">
        <v>149</v>
      </c>
      <c r="X648" s="70" t="str">
        <f t="shared" si="209"/>
        <v>RM2E-W DT@W</v>
      </c>
      <c r="Y648" s="70" t="str">
        <f t="shared" si="210"/>
        <v>W DT-TEST@W</v>
      </c>
      <c r="Z648" s="70" t="str">
        <f t="shared" si="211"/>
        <v>TEST-EDT@W</v>
      </c>
      <c r="AA648" s="70" t="str">
        <f t="shared" si="212"/>
        <v>EDT-LS1@W</v>
      </c>
      <c r="AC648" s="70" t="str">
        <f t="shared" si="217"/>
        <v>365, 362, 361, 358, 357, 356, 355, 353, 352</v>
      </c>
      <c r="AD648" s="70" t="str">
        <f t="shared" si="218"/>
        <v>356, 355, 353, 352</v>
      </c>
      <c r="AE648" s="70" t="e">
        <f t="shared" si="219"/>
        <v>#N/A</v>
      </c>
      <c r="AF648" s="70" t="e">
        <f t="shared" si="220"/>
        <v>#N/A</v>
      </c>
      <c r="AH648" s="70" t="str">
        <f t="shared" si="221"/>
        <v>26, 04</v>
      </c>
      <c r="AI648" s="70">
        <f t="shared" si="222"/>
        <v>55</v>
      </c>
      <c r="AJ648" s="70" t="e">
        <f t="shared" si="223"/>
        <v>#N/A</v>
      </c>
      <c r="AK648" s="70" t="e">
        <f t="shared" si="224"/>
        <v>#N/A</v>
      </c>
      <c r="AN648" s="171"/>
      <c r="AO648" s="167"/>
      <c r="AP648" s="167"/>
    </row>
    <row r="649" spans="10:42" ht="20.100000000000001" customHeight="1" thickBot="1">
      <c r="J649" s="45" t="str">
        <f t="shared" si="215"/>
        <v>LS1</v>
      </c>
      <c r="K649" s="45" t="s">
        <v>131</v>
      </c>
      <c r="L649" s="45" t="str">
        <f t="shared" si="216"/>
        <v>RM2W-LS1@W</v>
      </c>
      <c r="M649" s="75" t="e">
        <f t="shared" si="213"/>
        <v>#N/A</v>
      </c>
      <c r="N649" s="75" t="e">
        <f t="shared" si="214"/>
        <v>#N/A</v>
      </c>
      <c r="R649" s="70" t="s">
        <v>224</v>
      </c>
      <c r="S649" s="70" t="s">
        <v>59</v>
      </c>
      <c r="T649" s="70" t="s">
        <v>57</v>
      </c>
      <c r="U649" s="70" t="s">
        <v>1563</v>
      </c>
      <c r="V649" s="70" t="s">
        <v>149</v>
      </c>
      <c r="X649" s="70" t="str">
        <f t="shared" si="209"/>
        <v>RM2W-W DT@W</v>
      </c>
      <c r="Y649" s="70" t="str">
        <f t="shared" si="210"/>
        <v>W DT-TEST@W</v>
      </c>
      <c r="Z649" s="70" t="str">
        <f t="shared" si="211"/>
        <v>TEST-EDT@W</v>
      </c>
      <c r="AA649" s="70" t="str">
        <f t="shared" si="212"/>
        <v>EDT-LS1@W</v>
      </c>
      <c r="AC649" s="70" t="str">
        <f t="shared" si="217"/>
        <v>365, 362, 361, 358, 357, 356, 355, 353, 352</v>
      </c>
      <c r="AD649" s="70" t="str">
        <f t="shared" si="218"/>
        <v>356, 355, 353, 352</v>
      </c>
      <c r="AE649" s="70" t="e">
        <f t="shared" si="219"/>
        <v>#N/A</v>
      </c>
      <c r="AF649" s="70" t="e">
        <f t="shared" si="220"/>
        <v>#N/A</v>
      </c>
      <c r="AH649" s="70" t="str">
        <f t="shared" si="221"/>
        <v>26, 04</v>
      </c>
      <c r="AI649" s="70">
        <f t="shared" si="222"/>
        <v>55</v>
      </c>
      <c r="AJ649" s="70" t="e">
        <f t="shared" si="223"/>
        <v>#N/A</v>
      </c>
      <c r="AK649" s="70" t="e">
        <f t="shared" si="224"/>
        <v>#N/A</v>
      </c>
      <c r="AN649" s="171"/>
      <c r="AO649" s="167"/>
      <c r="AP649" s="167"/>
    </row>
    <row r="650" spans="10:42" ht="20.100000000000001" customHeight="1" thickBot="1">
      <c r="J650" s="45" t="str">
        <f t="shared" si="215"/>
        <v>LS1</v>
      </c>
      <c r="K650" s="45" t="s">
        <v>131</v>
      </c>
      <c r="L650" s="45" t="str">
        <f t="shared" si="216"/>
        <v>RM3E-LS1@W</v>
      </c>
      <c r="M650" s="75" t="e">
        <f t="shared" si="213"/>
        <v>#N/A</v>
      </c>
      <c r="N650" s="75" t="e">
        <f t="shared" si="214"/>
        <v>#N/A</v>
      </c>
      <c r="R650" s="70" t="s">
        <v>231</v>
      </c>
      <c r="S650" s="70" t="s">
        <v>59</v>
      </c>
      <c r="T650" s="70" t="s">
        <v>57</v>
      </c>
      <c r="U650" s="70" t="s">
        <v>1563</v>
      </c>
      <c r="V650" s="70" t="s">
        <v>149</v>
      </c>
      <c r="X650" s="70" t="str">
        <f t="shared" si="209"/>
        <v>RM3E-W DT@W</v>
      </c>
      <c r="Y650" s="70" t="str">
        <f t="shared" si="210"/>
        <v>W DT-TEST@W</v>
      </c>
      <c r="Z650" s="70" t="str">
        <f t="shared" si="211"/>
        <v>TEST-EDT@W</v>
      </c>
      <c r="AA650" s="70" t="str">
        <f t="shared" si="212"/>
        <v>EDT-LS1@W</v>
      </c>
      <c r="AC650" s="70" t="str">
        <f t="shared" si="217"/>
        <v>365, 362, 361, 358, 357, 356, 355, 353, 352</v>
      </c>
      <c r="AD650" s="70" t="str">
        <f t="shared" si="218"/>
        <v>356, 355, 353, 352</v>
      </c>
      <c r="AE650" s="70" t="e">
        <f t="shared" si="219"/>
        <v>#N/A</v>
      </c>
      <c r="AF650" s="70" t="e">
        <f t="shared" si="220"/>
        <v>#N/A</v>
      </c>
      <c r="AH650" s="70" t="str">
        <f t="shared" si="221"/>
        <v>27, 04</v>
      </c>
      <c r="AI650" s="70">
        <f t="shared" si="222"/>
        <v>55</v>
      </c>
      <c r="AJ650" s="70" t="e">
        <f t="shared" si="223"/>
        <v>#N/A</v>
      </c>
      <c r="AK650" s="70" t="e">
        <f t="shared" si="224"/>
        <v>#N/A</v>
      </c>
      <c r="AN650" s="171"/>
      <c r="AO650" s="167"/>
      <c r="AP650" s="167"/>
    </row>
    <row r="651" spans="10:42" ht="20.100000000000001" customHeight="1" thickBot="1">
      <c r="J651" s="45" t="str">
        <f t="shared" si="215"/>
        <v>LS1</v>
      </c>
      <c r="K651" s="45" t="s">
        <v>131</v>
      </c>
      <c r="L651" s="45" t="str">
        <f t="shared" si="216"/>
        <v>RM3W-LS1@W</v>
      </c>
      <c r="M651" s="75" t="e">
        <f t="shared" si="213"/>
        <v>#N/A</v>
      </c>
      <c r="N651" s="75" t="e">
        <f t="shared" si="214"/>
        <v>#N/A</v>
      </c>
      <c r="R651" s="70" t="s">
        <v>238</v>
      </c>
      <c r="S651" s="70" t="s">
        <v>59</v>
      </c>
      <c r="T651" s="70" t="s">
        <v>57</v>
      </c>
      <c r="U651" s="70" t="s">
        <v>1563</v>
      </c>
      <c r="V651" s="70" t="s">
        <v>149</v>
      </c>
      <c r="X651" s="70" t="str">
        <f t="shared" si="209"/>
        <v>RM3W-W DT@W</v>
      </c>
      <c r="Y651" s="70" t="str">
        <f t="shared" si="210"/>
        <v>W DT-TEST@W</v>
      </c>
      <c r="Z651" s="70" t="str">
        <f t="shared" si="211"/>
        <v>TEST-EDT@W</v>
      </c>
      <c r="AA651" s="70" t="str">
        <f t="shared" si="212"/>
        <v>EDT-LS1@W</v>
      </c>
      <c r="AC651" s="70" t="str">
        <f t="shared" si="217"/>
        <v>365, 362, 361, 358, 357, 356, 355, 353, 352</v>
      </c>
      <c r="AD651" s="70" t="str">
        <f t="shared" si="218"/>
        <v>356, 355, 353, 352</v>
      </c>
      <c r="AE651" s="70" t="e">
        <f t="shared" si="219"/>
        <v>#N/A</v>
      </c>
      <c r="AF651" s="70" t="e">
        <f t="shared" si="220"/>
        <v>#N/A</v>
      </c>
      <c r="AH651" s="70" t="str">
        <f t="shared" si="221"/>
        <v>27, 04</v>
      </c>
      <c r="AI651" s="70">
        <f t="shared" si="222"/>
        <v>55</v>
      </c>
      <c r="AJ651" s="70" t="e">
        <f t="shared" si="223"/>
        <v>#N/A</v>
      </c>
      <c r="AK651" s="70" t="e">
        <f t="shared" si="224"/>
        <v>#N/A</v>
      </c>
      <c r="AN651" s="171"/>
      <c r="AO651" s="167"/>
      <c r="AP651" s="167"/>
    </row>
    <row r="652" spans="10:42" ht="20.100000000000001" customHeight="1" thickBot="1">
      <c r="J652" s="45" t="str">
        <f t="shared" si="215"/>
        <v>LS1</v>
      </c>
      <c r="K652" s="45" t="s">
        <v>131</v>
      </c>
      <c r="L652" s="45" t="str">
        <f t="shared" si="216"/>
        <v>HCTE-LS1@W</v>
      </c>
      <c r="M652" s="75" t="e">
        <f t="shared" si="213"/>
        <v>#N/A</v>
      </c>
      <c r="N652" s="75" t="e">
        <f t="shared" si="214"/>
        <v>#N/A</v>
      </c>
      <c r="R652" s="70" t="s">
        <v>246</v>
      </c>
      <c r="S652" s="70" t="s">
        <v>59</v>
      </c>
      <c r="T652" s="70" t="s">
        <v>57</v>
      </c>
      <c r="U652" s="70" t="s">
        <v>1563</v>
      </c>
      <c r="V652" s="70" t="s">
        <v>149</v>
      </c>
      <c r="X652" s="70" t="str">
        <f t="shared" si="209"/>
        <v>HCTE-W DT@W</v>
      </c>
      <c r="Y652" s="70" t="str">
        <f t="shared" si="210"/>
        <v>W DT-TEST@W</v>
      </c>
      <c r="Z652" s="70" t="str">
        <f t="shared" si="211"/>
        <v>TEST-EDT@W</v>
      </c>
      <c r="AA652" s="70" t="str">
        <f t="shared" si="212"/>
        <v>EDT-LS1@W</v>
      </c>
      <c r="AC652" s="70" t="str">
        <f t="shared" si="217"/>
        <v>368, 367, 361, 358, 357, 356, 355, 353, 352</v>
      </c>
      <c r="AD652" s="70" t="str">
        <f t="shared" si="218"/>
        <v>356, 355, 353, 352</v>
      </c>
      <c r="AE652" s="70" t="e">
        <f t="shared" si="219"/>
        <v>#N/A</v>
      </c>
      <c r="AF652" s="70" t="e">
        <f t="shared" si="220"/>
        <v>#N/A</v>
      </c>
      <c r="AH652" s="70" t="str">
        <f t="shared" si="221"/>
        <v>28, 04</v>
      </c>
      <c r="AI652" s="70">
        <f t="shared" si="222"/>
        <v>55</v>
      </c>
      <c r="AJ652" s="70" t="e">
        <f t="shared" si="223"/>
        <v>#N/A</v>
      </c>
      <c r="AK652" s="70" t="e">
        <f t="shared" si="224"/>
        <v>#N/A</v>
      </c>
      <c r="AN652" s="171"/>
      <c r="AO652" s="167"/>
      <c r="AP652" s="167"/>
    </row>
    <row r="653" spans="10:42" ht="20.100000000000001" customHeight="1" thickBot="1">
      <c r="J653" s="45" t="str">
        <f t="shared" si="215"/>
        <v>LS1</v>
      </c>
      <c r="K653" s="45" t="s">
        <v>131</v>
      </c>
      <c r="L653" s="45" t="str">
        <f t="shared" si="216"/>
        <v>HCTW-LS1@W</v>
      </c>
      <c r="M653" s="75" t="e">
        <f t="shared" si="213"/>
        <v>#N/A</v>
      </c>
      <c r="N653" s="75" t="e">
        <f t="shared" si="214"/>
        <v>#N/A</v>
      </c>
      <c r="R653" s="70" t="s">
        <v>254</v>
      </c>
      <c r="S653" s="70" t="s">
        <v>59</v>
      </c>
      <c r="T653" s="70" t="s">
        <v>57</v>
      </c>
      <c r="U653" s="70" t="s">
        <v>1563</v>
      </c>
      <c r="V653" s="70" t="s">
        <v>149</v>
      </c>
      <c r="X653" s="70" t="str">
        <f t="shared" si="209"/>
        <v>HCTW-W DT@W</v>
      </c>
      <c r="Y653" s="70" t="str">
        <f t="shared" si="210"/>
        <v>W DT-TEST@W</v>
      </c>
      <c r="Z653" s="70" t="str">
        <f t="shared" si="211"/>
        <v>TEST-EDT@W</v>
      </c>
      <c r="AA653" s="70" t="str">
        <f t="shared" si="212"/>
        <v>EDT-LS1@W</v>
      </c>
      <c r="AC653" s="70" t="str">
        <f t="shared" si="217"/>
        <v>368, 367, 361, 358, 357, 356, 355, 353, 352</v>
      </c>
      <c r="AD653" s="70" t="str">
        <f t="shared" si="218"/>
        <v>356, 355, 353, 352</v>
      </c>
      <c r="AE653" s="70" t="e">
        <f t="shared" si="219"/>
        <v>#N/A</v>
      </c>
      <c r="AF653" s="70" t="e">
        <f t="shared" si="220"/>
        <v>#N/A</v>
      </c>
      <c r="AH653" s="70" t="str">
        <f t="shared" si="221"/>
        <v>28, 04</v>
      </c>
      <c r="AI653" s="70">
        <f t="shared" si="222"/>
        <v>55</v>
      </c>
      <c r="AJ653" s="70" t="e">
        <f t="shared" si="223"/>
        <v>#N/A</v>
      </c>
      <c r="AK653" s="70" t="e">
        <f t="shared" si="224"/>
        <v>#N/A</v>
      </c>
      <c r="AN653" s="171"/>
      <c r="AO653" s="167"/>
      <c r="AP653" s="167"/>
    </row>
    <row r="654" spans="10:42" ht="20.100000000000001" customHeight="1" thickBot="1">
      <c r="J654" s="45" t="str">
        <f t="shared" si="215"/>
        <v>LS1</v>
      </c>
      <c r="K654" s="45" t="s">
        <v>131</v>
      </c>
      <c r="L654" s="45" t="str">
        <f t="shared" si="216"/>
        <v>1E-LS1@W</v>
      </c>
      <c r="M654" s="75" t="e">
        <f t="shared" si="213"/>
        <v>#N/A</v>
      </c>
      <c r="N654" s="75" t="e">
        <f t="shared" si="214"/>
        <v>#N/A</v>
      </c>
      <c r="R654" s="70" t="s">
        <v>261</v>
      </c>
      <c r="S654" s="70" t="s">
        <v>59</v>
      </c>
      <c r="T654" s="70" t="s">
        <v>57</v>
      </c>
      <c r="U654" s="70" t="s">
        <v>1563</v>
      </c>
      <c r="V654" s="70" t="s">
        <v>149</v>
      </c>
      <c r="X654" s="70" t="str">
        <f t="shared" si="209"/>
        <v>1E-W DT@W</v>
      </c>
      <c r="Y654" s="70" t="str">
        <f t="shared" si="210"/>
        <v>W DT-TEST@W</v>
      </c>
      <c r="Z654" s="70" t="str">
        <f t="shared" si="211"/>
        <v>TEST-EDT@W</v>
      </c>
      <c r="AA654" s="70" t="str">
        <f t="shared" si="212"/>
        <v>EDT-LS1@W</v>
      </c>
      <c r="AC654" s="70" t="str">
        <f t="shared" si="217"/>
        <v>368, 367, 361, 358, 357, 356, 355, 353, 352</v>
      </c>
      <c r="AD654" s="70" t="str">
        <f t="shared" si="218"/>
        <v>356, 355, 353, 352</v>
      </c>
      <c r="AE654" s="70" t="e">
        <f t="shared" si="219"/>
        <v>#N/A</v>
      </c>
      <c r="AF654" s="70" t="e">
        <f t="shared" si="220"/>
        <v>#N/A</v>
      </c>
      <c r="AH654" s="70" t="str">
        <f t="shared" si="221"/>
        <v>63, 56</v>
      </c>
      <c r="AI654" s="70">
        <f t="shared" si="222"/>
        <v>55</v>
      </c>
      <c r="AJ654" s="70" t="e">
        <f t="shared" si="223"/>
        <v>#N/A</v>
      </c>
      <c r="AK654" s="70" t="e">
        <f t="shared" si="224"/>
        <v>#N/A</v>
      </c>
      <c r="AN654" s="171"/>
      <c r="AO654" s="167"/>
      <c r="AP654" s="167"/>
    </row>
    <row r="655" spans="10:42" ht="20.100000000000001" customHeight="1" thickBot="1">
      <c r="J655" s="45" t="str">
        <f t="shared" si="215"/>
        <v>LS1</v>
      </c>
      <c r="K655" s="45" t="s">
        <v>131</v>
      </c>
      <c r="L655" s="45" t="str">
        <f t="shared" si="216"/>
        <v>1W-LS1@W</v>
      </c>
      <c r="M655" s="75" t="e">
        <f t="shared" si="213"/>
        <v>#N/A</v>
      </c>
      <c r="N655" s="75" t="e">
        <f t="shared" si="214"/>
        <v>#N/A</v>
      </c>
      <c r="R655" s="70" t="s">
        <v>269</v>
      </c>
      <c r="S655" s="70" t="s">
        <v>59</v>
      </c>
      <c r="T655" s="70" t="s">
        <v>57</v>
      </c>
      <c r="U655" s="70" t="s">
        <v>1563</v>
      </c>
      <c r="V655" s="70" t="s">
        <v>149</v>
      </c>
      <c r="X655" s="70" t="str">
        <f t="shared" si="209"/>
        <v>1W-W DT@W</v>
      </c>
      <c r="Y655" s="70" t="str">
        <f t="shared" si="210"/>
        <v>W DT-TEST@W</v>
      </c>
      <c r="Z655" s="70" t="str">
        <f t="shared" si="211"/>
        <v>TEST-EDT@W</v>
      </c>
      <c r="AA655" s="70" t="str">
        <f t="shared" si="212"/>
        <v>EDT-LS1@W</v>
      </c>
      <c r="AC655" s="70" t="str">
        <f t="shared" si="217"/>
        <v>368, 367, 361, 358, 357, 356, 355, 353, 352</v>
      </c>
      <c r="AD655" s="70" t="str">
        <f t="shared" si="218"/>
        <v>356, 355, 353, 352</v>
      </c>
      <c r="AE655" s="70" t="e">
        <f t="shared" si="219"/>
        <v>#N/A</v>
      </c>
      <c r="AF655" s="70" t="e">
        <f t="shared" si="220"/>
        <v>#N/A</v>
      </c>
      <c r="AH655" s="70" t="str">
        <f t="shared" si="221"/>
        <v>63, 56</v>
      </c>
      <c r="AI655" s="70">
        <f t="shared" si="222"/>
        <v>55</v>
      </c>
      <c r="AJ655" s="70" t="e">
        <f t="shared" si="223"/>
        <v>#N/A</v>
      </c>
      <c r="AK655" s="70" t="e">
        <f t="shared" si="224"/>
        <v>#N/A</v>
      </c>
      <c r="AN655" s="171"/>
      <c r="AO655" s="167"/>
      <c r="AP655" s="167"/>
    </row>
    <row r="656" spans="10:42" ht="20.100000000000001" customHeight="1" thickBot="1">
      <c r="J656" s="45" t="str">
        <f t="shared" si="215"/>
        <v>LS1</v>
      </c>
      <c r="K656" s="45" t="s">
        <v>131</v>
      </c>
      <c r="L656" s="45" t="str">
        <f t="shared" si="216"/>
        <v>2E-LS1@W</v>
      </c>
      <c r="M656" s="75" t="e">
        <f t="shared" si="213"/>
        <v>#N/A</v>
      </c>
      <c r="N656" s="75" t="e">
        <f t="shared" si="214"/>
        <v>#N/A</v>
      </c>
      <c r="R656" s="70" t="s">
        <v>276</v>
      </c>
      <c r="S656" s="70" t="s">
        <v>59</v>
      </c>
      <c r="T656" s="70" t="s">
        <v>57</v>
      </c>
      <c r="U656" s="70" t="s">
        <v>1563</v>
      </c>
      <c r="V656" s="70" t="s">
        <v>149</v>
      </c>
      <c r="X656" s="70" t="str">
        <f t="shared" si="209"/>
        <v>2E-W DT@W</v>
      </c>
      <c r="Y656" s="70" t="str">
        <f t="shared" si="210"/>
        <v>W DT-TEST@W</v>
      </c>
      <c r="Z656" s="70" t="str">
        <f t="shared" si="211"/>
        <v>TEST-EDT@W</v>
      </c>
      <c r="AA656" s="70" t="str">
        <f t="shared" si="212"/>
        <v>EDT-LS1@W</v>
      </c>
      <c r="AC656" s="70" t="str">
        <f t="shared" si="217"/>
        <v>370, 369, 367, 361, 358, 357, 356, 355, 353, 352</v>
      </c>
      <c r="AD656" s="70" t="str">
        <f t="shared" si="218"/>
        <v>356, 355, 353, 352</v>
      </c>
      <c r="AE656" s="70" t="e">
        <f t="shared" si="219"/>
        <v>#N/A</v>
      </c>
      <c r="AF656" s="70" t="e">
        <f t="shared" si="220"/>
        <v>#N/A</v>
      </c>
      <c r="AH656" s="70" t="str">
        <f t="shared" si="221"/>
        <v>64, 56</v>
      </c>
      <c r="AI656" s="70">
        <f t="shared" si="222"/>
        <v>55</v>
      </c>
      <c r="AJ656" s="70" t="e">
        <f t="shared" si="223"/>
        <v>#N/A</v>
      </c>
      <c r="AK656" s="70" t="e">
        <f t="shared" si="224"/>
        <v>#N/A</v>
      </c>
      <c r="AN656" s="171"/>
      <c r="AO656" s="167"/>
      <c r="AP656" s="167"/>
    </row>
    <row r="657" spans="10:42" ht="20.100000000000001" customHeight="1" thickBot="1">
      <c r="J657" s="45" t="str">
        <f t="shared" si="215"/>
        <v>LS1</v>
      </c>
      <c r="K657" s="45" t="s">
        <v>131</v>
      </c>
      <c r="L657" s="45" t="str">
        <f t="shared" si="216"/>
        <v>2W-LS1@W</v>
      </c>
      <c r="M657" s="75" t="e">
        <f t="shared" si="213"/>
        <v>#N/A</v>
      </c>
      <c r="N657" s="75" t="e">
        <f t="shared" si="214"/>
        <v>#N/A</v>
      </c>
      <c r="R657" s="70" t="s">
        <v>285</v>
      </c>
      <c r="S657" s="70" t="s">
        <v>59</v>
      </c>
      <c r="T657" s="70" t="s">
        <v>57</v>
      </c>
      <c r="U657" s="70" t="s">
        <v>1563</v>
      </c>
      <c r="V657" s="70" t="s">
        <v>149</v>
      </c>
      <c r="X657" s="70" t="str">
        <f t="shared" si="209"/>
        <v>2W-W DT@W</v>
      </c>
      <c r="Y657" s="70" t="str">
        <f t="shared" si="210"/>
        <v>W DT-TEST@W</v>
      </c>
      <c r="Z657" s="70" t="str">
        <f t="shared" si="211"/>
        <v>TEST-EDT@W</v>
      </c>
      <c r="AA657" s="70" t="str">
        <f t="shared" si="212"/>
        <v>EDT-LS1@W</v>
      </c>
      <c r="AC657" s="70" t="str">
        <f t="shared" si="217"/>
        <v>370, 369, 367, 361, 358, 357, 356, 355, 353, 352</v>
      </c>
      <c r="AD657" s="70" t="str">
        <f t="shared" si="218"/>
        <v>356, 355, 353, 352</v>
      </c>
      <c r="AE657" s="70" t="e">
        <f t="shared" si="219"/>
        <v>#N/A</v>
      </c>
      <c r="AF657" s="70" t="e">
        <f t="shared" si="220"/>
        <v>#N/A</v>
      </c>
      <c r="AH657" s="70" t="str">
        <f t="shared" si="221"/>
        <v>64, 56</v>
      </c>
      <c r="AI657" s="70">
        <f t="shared" si="222"/>
        <v>55</v>
      </c>
      <c r="AJ657" s="70" t="e">
        <f t="shared" si="223"/>
        <v>#N/A</v>
      </c>
      <c r="AK657" s="70" t="e">
        <f t="shared" si="224"/>
        <v>#N/A</v>
      </c>
      <c r="AN657" s="171"/>
      <c r="AO657" s="167"/>
      <c r="AP657" s="167"/>
    </row>
    <row r="658" spans="10:42" ht="20.100000000000001" customHeight="1" thickBot="1">
      <c r="J658" s="45" t="str">
        <f t="shared" si="215"/>
        <v>LS1</v>
      </c>
      <c r="K658" s="45" t="s">
        <v>131</v>
      </c>
      <c r="L658" s="45" t="str">
        <f t="shared" si="216"/>
        <v>3E-LS1@W</v>
      </c>
      <c r="M658" s="75" t="e">
        <f t="shared" si="213"/>
        <v>#N/A</v>
      </c>
      <c r="N658" s="75" t="e">
        <f t="shared" si="214"/>
        <v>#N/A</v>
      </c>
      <c r="R658" s="70" t="s">
        <v>293</v>
      </c>
      <c r="S658" s="70" t="s">
        <v>59</v>
      </c>
      <c r="T658" s="70" t="s">
        <v>57</v>
      </c>
      <c r="U658" s="70" t="s">
        <v>1563</v>
      </c>
      <c r="V658" s="70" t="s">
        <v>149</v>
      </c>
      <c r="X658" s="70" t="str">
        <f t="shared" si="209"/>
        <v>3E-W DT@W</v>
      </c>
      <c r="Y658" s="70" t="str">
        <f t="shared" si="210"/>
        <v>W DT-TEST@W</v>
      </c>
      <c r="Z658" s="70" t="str">
        <f t="shared" si="211"/>
        <v>TEST-EDT@W</v>
      </c>
      <c r="AA658" s="70" t="str">
        <f t="shared" si="212"/>
        <v>EDT-LS1@W</v>
      </c>
      <c r="AC658" s="70" t="str">
        <f t="shared" si="217"/>
        <v>370, 369, 367, 361, 358, 357, 356, 355, 353, 352</v>
      </c>
      <c r="AD658" s="70" t="str">
        <f t="shared" si="218"/>
        <v>356, 355, 353, 352</v>
      </c>
      <c r="AE658" s="70" t="e">
        <f t="shared" si="219"/>
        <v>#N/A</v>
      </c>
      <c r="AF658" s="70" t="e">
        <f t="shared" si="220"/>
        <v>#N/A</v>
      </c>
      <c r="AH658" s="70" t="str">
        <f t="shared" si="221"/>
        <v>65, 56</v>
      </c>
      <c r="AI658" s="70">
        <f t="shared" si="222"/>
        <v>55</v>
      </c>
      <c r="AJ658" s="70" t="e">
        <f t="shared" si="223"/>
        <v>#N/A</v>
      </c>
      <c r="AK658" s="70" t="e">
        <f t="shared" si="224"/>
        <v>#N/A</v>
      </c>
      <c r="AN658" s="171"/>
      <c r="AO658" s="167"/>
      <c r="AP658" s="167"/>
    </row>
    <row r="659" spans="10:42" ht="20.100000000000001" customHeight="1" thickBot="1">
      <c r="J659" s="45" t="str">
        <f t="shared" si="215"/>
        <v>LS1</v>
      </c>
      <c r="K659" s="45" t="s">
        <v>131</v>
      </c>
      <c r="L659" s="45" t="str">
        <f t="shared" si="216"/>
        <v>3W-LS1@W</v>
      </c>
      <c r="M659" s="75" t="e">
        <f t="shared" si="213"/>
        <v>#N/A</v>
      </c>
      <c r="N659" s="75" t="e">
        <f t="shared" si="214"/>
        <v>#N/A</v>
      </c>
      <c r="R659" s="70" t="s">
        <v>301</v>
      </c>
      <c r="S659" s="70" t="s">
        <v>59</v>
      </c>
      <c r="T659" s="70" t="s">
        <v>57</v>
      </c>
      <c r="U659" s="70" t="s">
        <v>1563</v>
      </c>
      <c r="V659" s="70" t="s">
        <v>149</v>
      </c>
      <c r="X659" s="70" t="str">
        <f t="shared" ref="X659:X722" si="225">IF(S659="","",CONCATENATE(R659,"-",S659,"@",$K659))</f>
        <v>3W-W DT@W</v>
      </c>
      <c r="Y659" s="70" t="str">
        <f t="shared" ref="Y659:Y722" si="226">IF(T659="","",CONCATENATE(S659,"-",T659,"@",$K659))</f>
        <v>W DT-TEST@W</v>
      </c>
      <c r="Z659" s="70" t="str">
        <f t="shared" ref="Z659:Z722" si="227">IF(U659="","",CONCATENATE(T659,"-",U659,"@",$K659))</f>
        <v>TEST-EDT@W</v>
      </c>
      <c r="AA659" s="70" t="str">
        <f t="shared" ref="AA659:AA722" si="228">IF(V659="","",CONCATENATE(U659,"-",V659,"@",$K659))</f>
        <v>EDT-LS1@W</v>
      </c>
      <c r="AC659" s="70" t="str">
        <f t="shared" si="217"/>
        <v>370, 369, 367, 361, 358, 357, 356, 355, 353, 352</v>
      </c>
      <c r="AD659" s="70" t="str">
        <f t="shared" si="218"/>
        <v>356, 355, 353, 352</v>
      </c>
      <c r="AE659" s="70" t="e">
        <f t="shared" si="219"/>
        <v>#N/A</v>
      </c>
      <c r="AF659" s="70" t="e">
        <f t="shared" si="220"/>
        <v>#N/A</v>
      </c>
      <c r="AH659" s="70" t="str">
        <f t="shared" si="221"/>
        <v>65, 56</v>
      </c>
      <c r="AI659" s="70">
        <f t="shared" si="222"/>
        <v>55</v>
      </c>
      <c r="AJ659" s="70" t="e">
        <f t="shared" si="223"/>
        <v>#N/A</v>
      </c>
      <c r="AK659" s="70" t="e">
        <f t="shared" si="224"/>
        <v>#N/A</v>
      </c>
      <c r="AN659" s="171"/>
      <c r="AO659" s="167"/>
      <c r="AP659" s="167"/>
    </row>
    <row r="660" spans="10:42" ht="20.100000000000001" customHeight="1" thickBot="1">
      <c r="J660" s="45" t="str">
        <f t="shared" si="215"/>
        <v>LS1</v>
      </c>
      <c r="K660" s="45" t="s">
        <v>131</v>
      </c>
      <c r="L660" s="45" t="str">
        <f t="shared" si="216"/>
        <v>4E-LS1@W</v>
      </c>
      <c r="M660" s="75" t="e">
        <f t="shared" si="213"/>
        <v>#N/A</v>
      </c>
      <c r="N660" s="75" t="e">
        <f t="shared" si="214"/>
        <v>#N/A</v>
      </c>
      <c r="R660" s="70" t="s">
        <v>309</v>
      </c>
      <c r="S660" s="70" t="s">
        <v>59</v>
      </c>
      <c r="T660" s="70" t="s">
        <v>57</v>
      </c>
      <c r="U660" s="70" t="s">
        <v>1563</v>
      </c>
      <c r="V660" s="70" t="s">
        <v>149</v>
      </c>
      <c r="X660" s="70" t="str">
        <f t="shared" si="225"/>
        <v>4E-W DT@W</v>
      </c>
      <c r="Y660" s="70" t="str">
        <f t="shared" si="226"/>
        <v>W DT-TEST@W</v>
      </c>
      <c r="Z660" s="70" t="str">
        <f t="shared" si="227"/>
        <v>TEST-EDT@W</v>
      </c>
      <c r="AA660" s="70" t="str">
        <f t="shared" si="228"/>
        <v>EDT-LS1@W</v>
      </c>
      <c r="AC660" s="70" t="str">
        <f t="shared" si="217"/>
        <v>369, 367, 361, 358, 357, 356, 355, 353, 352</v>
      </c>
      <c r="AD660" s="70" t="str">
        <f t="shared" si="218"/>
        <v>356, 355, 353, 352</v>
      </c>
      <c r="AE660" s="70" t="e">
        <f t="shared" si="219"/>
        <v>#N/A</v>
      </c>
      <c r="AF660" s="70" t="e">
        <f t="shared" si="220"/>
        <v>#N/A</v>
      </c>
      <c r="AH660" s="70" t="str">
        <f t="shared" si="221"/>
        <v>66, 56</v>
      </c>
      <c r="AI660" s="70">
        <f t="shared" si="222"/>
        <v>55</v>
      </c>
      <c r="AJ660" s="70" t="e">
        <f t="shared" si="223"/>
        <v>#N/A</v>
      </c>
      <c r="AK660" s="70" t="e">
        <f t="shared" si="224"/>
        <v>#N/A</v>
      </c>
      <c r="AN660" s="171"/>
      <c r="AO660" s="167"/>
      <c r="AP660" s="167"/>
    </row>
    <row r="661" spans="10:42" ht="20.100000000000001" customHeight="1" thickBot="1">
      <c r="J661" s="45" t="str">
        <f t="shared" si="215"/>
        <v>LS1</v>
      </c>
      <c r="K661" s="45" t="s">
        <v>131</v>
      </c>
      <c r="L661" s="45" t="str">
        <f t="shared" si="216"/>
        <v>4W-LS1@W</v>
      </c>
      <c r="M661" s="75" t="e">
        <f t="shared" si="213"/>
        <v>#N/A</v>
      </c>
      <c r="N661" s="75" t="e">
        <f t="shared" si="214"/>
        <v>#N/A</v>
      </c>
      <c r="R661" s="70" t="s">
        <v>318</v>
      </c>
      <c r="S661" s="70" t="s">
        <v>59</v>
      </c>
      <c r="T661" s="70" t="s">
        <v>57</v>
      </c>
      <c r="U661" s="70" t="s">
        <v>1563</v>
      </c>
      <c r="V661" s="70" t="s">
        <v>149</v>
      </c>
      <c r="X661" s="70" t="str">
        <f t="shared" si="225"/>
        <v>4W-W DT@W</v>
      </c>
      <c r="Y661" s="70" t="str">
        <f t="shared" si="226"/>
        <v>W DT-TEST@W</v>
      </c>
      <c r="Z661" s="70" t="str">
        <f t="shared" si="227"/>
        <v>TEST-EDT@W</v>
      </c>
      <c r="AA661" s="70" t="str">
        <f t="shared" si="228"/>
        <v>EDT-LS1@W</v>
      </c>
      <c r="AC661" s="70" t="str">
        <f t="shared" si="217"/>
        <v>369, 367, 361, 358, 357, 356, 355, 353, 352</v>
      </c>
      <c r="AD661" s="70" t="str">
        <f t="shared" si="218"/>
        <v>356, 355, 353, 352</v>
      </c>
      <c r="AE661" s="70" t="e">
        <f t="shared" si="219"/>
        <v>#N/A</v>
      </c>
      <c r="AF661" s="70" t="e">
        <f t="shared" si="220"/>
        <v>#N/A</v>
      </c>
      <c r="AH661" s="70" t="str">
        <f t="shared" si="221"/>
        <v>66, 56</v>
      </c>
      <c r="AI661" s="70">
        <f t="shared" si="222"/>
        <v>55</v>
      </c>
      <c r="AJ661" s="70" t="e">
        <f t="shared" si="223"/>
        <v>#N/A</v>
      </c>
      <c r="AK661" s="70" t="e">
        <f t="shared" si="224"/>
        <v>#N/A</v>
      </c>
      <c r="AN661" s="171"/>
      <c r="AO661" s="167"/>
      <c r="AP661" s="167"/>
    </row>
    <row r="662" spans="10:42" ht="20.100000000000001" customHeight="1" thickBot="1">
      <c r="J662" s="45" t="str">
        <f t="shared" si="215"/>
        <v>LS1</v>
      </c>
      <c r="K662" s="45" t="s">
        <v>131</v>
      </c>
      <c r="L662" s="45" t="str">
        <f t="shared" si="216"/>
        <v>5E-LS1@W</v>
      </c>
      <c r="M662" s="75" t="e">
        <f t="shared" si="213"/>
        <v>#N/A</v>
      </c>
      <c r="N662" s="75" t="e">
        <f t="shared" si="214"/>
        <v>#N/A</v>
      </c>
      <c r="R662" s="70" t="s">
        <v>325</v>
      </c>
      <c r="S662" s="70" t="s">
        <v>59</v>
      </c>
      <c r="T662" s="70" t="s">
        <v>57</v>
      </c>
      <c r="U662" s="70" t="s">
        <v>1563</v>
      </c>
      <c r="V662" s="70" t="s">
        <v>149</v>
      </c>
      <c r="X662" s="70" t="str">
        <f t="shared" si="225"/>
        <v>5E-W DT@W</v>
      </c>
      <c r="Y662" s="70" t="str">
        <f t="shared" si="226"/>
        <v>W DT-TEST@W</v>
      </c>
      <c r="Z662" s="70" t="str">
        <f t="shared" si="227"/>
        <v>TEST-EDT@W</v>
      </c>
      <c r="AA662" s="70" t="str">
        <f t="shared" si="228"/>
        <v>EDT-LS1@W</v>
      </c>
      <c r="AC662" s="70" t="str">
        <f t="shared" si="217"/>
        <v>375, 374, 360, 357, 356, 355, 353, 352</v>
      </c>
      <c r="AD662" s="70" t="str">
        <f t="shared" si="218"/>
        <v>356, 355, 353, 352</v>
      </c>
      <c r="AE662" s="70" t="e">
        <f t="shared" si="219"/>
        <v>#N/A</v>
      </c>
      <c r="AF662" s="70" t="e">
        <f t="shared" si="220"/>
        <v>#N/A</v>
      </c>
      <c r="AH662" s="70" t="str">
        <f t="shared" si="221"/>
        <v>67, 56</v>
      </c>
      <c r="AI662" s="70">
        <f t="shared" si="222"/>
        <v>55</v>
      </c>
      <c r="AJ662" s="70" t="e">
        <f t="shared" si="223"/>
        <v>#N/A</v>
      </c>
      <c r="AK662" s="70" t="e">
        <f t="shared" si="224"/>
        <v>#N/A</v>
      </c>
      <c r="AN662" s="171"/>
      <c r="AO662" s="167"/>
      <c r="AP662" s="167"/>
    </row>
    <row r="663" spans="10:42" ht="20.100000000000001" customHeight="1" thickBot="1">
      <c r="J663" s="45" t="str">
        <f t="shared" si="215"/>
        <v>LS1</v>
      </c>
      <c r="K663" s="45" t="s">
        <v>131</v>
      </c>
      <c r="L663" s="45" t="str">
        <f t="shared" si="216"/>
        <v>5W-LS1@W</v>
      </c>
      <c r="M663" s="75" t="e">
        <f t="shared" si="213"/>
        <v>#N/A</v>
      </c>
      <c r="N663" s="75" t="e">
        <f t="shared" si="214"/>
        <v>#N/A</v>
      </c>
      <c r="R663" s="70" t="s">
        <v>333</v>
      </c>
      <c r="S663" s="70" t="s">
        <v>59</v>
      </c>
      <c r="T663" s="70" t="s">
        <v>57</v>
      </c>
      <c r="U663" s="70" t="s">
        <v>1563</v>
      </c>
      <c r="V663" s="70" t="s">
        <v>149</v>
      </c>
      <c r="X663" s="70" t="str">
        <f t="shared" si="225"/>
        <v>5W-W DT@W</v>
      </c>
      <c r="Y663" s="70" t="str">
        <f t="shared" si="226"/>
        <v>W DT-TEST@W</v>
      </c>
      <c r="Z663" s="70" t="str">
        <f t="shared" si="227"/>
        <v>TEST-EDT@W</v>
      </c>
      <c r="AA663" s="70" t="str">
        <f t="shared" si="228"/>
        <v>EDT-LS1@W</v>
      </c>
      <c r="AC663" s="70" t="str">
        <f t="shared" si="217"/>
        <v>375, 374, 360, 357, 356, 355, 353, 352</v>
      </c>
      <c r="AD663" s="70" t="str">
        <f t="shared" si="218"/>
        <v>356, 355, 353, 352</v>
      </c>
      <c r="AE663" s="70" t="e">
        <f t="shared" si="219"/>
        <v>#N/A</v>
      </c>
      <c r="AF663" s="70" t="e">
        <f t="shared" si="220"/>
        <v>#N/A</v>
      </c>
      <c r="AH663" s="70" t="str">
        <f t="shared" si="221"/>
        <v>67, 56</v>
      </c>
      <c r="AI663" s="70">
        <f t="shared" si="222"/>
        <v>55</v>
      </c>
      <c r="AJ663" s="70" t="e">
        <f t="shared" si="223"/>
        <v>#N/A</v>
      </c>
      <c r="AK663" s="70" t="e">
        <f t="shared" si="224"/>
        <v>#N/A</v>
      </c>
      <c r="AN663" s="171"/>
      <c r="AO663" s="167"/>
      <c r="AP663" s="167"/>
    </row>
    <row r="664" spans="10:42" ht="20.100000000000001" customHeight="1" thickBot="1">
      <c r="J664" s="45" t="str">
        <f t="shared" si="215"/>
        <v>LS1</v>
      </c>
      <c r="K664" s="45" t="s">
        <v>131</v>
      </c>
      <c r="L664" s="45" t="str">
        <f t="shared" si="216"/>
        <v>6E-LS1@W</v>
      </c>
      <c r="M664" s="75" t="e">
        <f t="shared" si="213"/>
        <v>#N/A</v>
      </c>
      <c r="N664" s="75" t="e">
        <f t="shared" si="214"/>
        <v>#N/A</v>
      </c>
      <c r="R664" s="70" t="s">
        <v>339</v>
      </c>
      <c r="S664" s="70" t="s">
        <v>59</v>
      </c>
      <c r="T664" s="70" t="s">
        <v>57</v>
      </c>
      <c r="U664" s="70" t="s">
        <v>1563</v>
      </c>
      <c r="V664" s="70" t="s">
        <v>149</v>
      </c>
      <c r="X664" s="70" t="str">
        <f t="shared" si="225"/>
        <v>6E-W DT@W</v>
      </c>
      <c r="Y664" s="70" t="str">
        <f t="shared" si="226"/>
        <v>W DT-TEST@W</v>
      </c>
      <c r="Z664" s="70" t="str">
        <f t="shared" si="227"/>
        <v>TEST-EDT@W</v>
      </c>
      <c r="AA664" s="70" t="str">
        <f t="shared" si="228"/>
        <v>EDT-LS1@W</v>
      </c>
      <c r="AC664" s="70" t="str">
        <f t="shared" si="217"/>
        <v>375, 374, 360, 357, 356, 355, 353, 352</v>
      </c>
      <c r="AD664" s="70" t="str">
        <f t="shared" si="218"/>
        <v>356, 355, 353, 352</v>
      </c>
      <c r="AE664" s="70" t="e">
        <f t="shared" si="219"/>
        <v>#N/A</v>
      </c>
      <c r="AF664" s="70" t="e">
        <f t="shared" si="220"/>
        <v>#N/A</v>
      </c>
      <c r="AH664" s="70" t="str">
        <f t="shared" si="221"/>
        <v>68, 56</v>
      </c>
      <c r="AI664" s="70">
        <f t="shared" si="222"/>
        <v>55</v>
      </c>
      <c r="AJ664" s="70" t="e">
        <f t="shared" si="223"/>
        <v>#N/A</v>
      </c>
      <c r="AK664" s="70" t="e">
        <f t="shared" si="224"/>
        <v>#N/A</v>
      </c>
      <c r="AN664" s="171"/>
      <c r="AO664" s="167"/>
      <c r="AP664" s="167"/>
    </row>
    <row r="665" spans="10:42" ht="20.100000000000001" customHeight="1" thickBot="1">
      <c r="J665" s="45" t="str">
        <f t="shared" si="215"/>
        <v>LS1</v>
      </c>
      <c r="K665" s="45" t="s">
        <v>131</v>
      </c>
      <c r="L665" s="45" t="str">
        <f t="shared" si="216"/>
        <v>6W-LS1@W</v>
      </c>
      <c r="M665" s="75" t="e">
        <f t="shared" si="213"/>
        <v>#N/A</v>
      </c>
      <c r="N665" s="75" t="e">
        <f t="shared" si="214"/>
        <v>#N/A</v>
      </c>
      <c r="R665" s="70" t="s">
        <v>346</v>
      </c>
      <c r="S665" s="70" t="s">
        <v>59</v>
      </c>
      <c r="T665" s="70" t="s">
        <v>57</v>
      </c>
      <c r="U665" s="70" t="s">
        <v>1563</v>
      </c>
      <c r="V665" s="70" t="s">
        <v>149</v>
      </c>
      <c r="X665" s="70" t="str">
        <f t="shared" si="225"/>
        <v>6W-W DT@W</v>
      </c>
      <c r="Y665" s="70" t="str">
        <f t="shared" si="226"/>
        <v>W DT-TEST@W</v>
      </c>
      <c r="Z665" s="70" t="str">
        <f t="shared" si="227"/>
        <v>TEST-EDT@W</v>
      </c>
      <c r="AA665" s="70" t="str">
        <f t="shared" si="228"/>
        <v>EDT-LS1@W</v>
      </c>
      <c r="AC665" s="70" t="str">
        <f t="shared" si="217"/>
        <v>375, 374, 360, 357, 356, 355, 353, 352</v>
      </c>
      <c r="AD665" s="70" t="str">
        <f t="shared" si="218"/>
        <v>356, 355, 353, 352</v>
      </c>
      <c r="AE665" s="70" t="e">
        <f t="shared" si="219"/>
        <v>#N/A</v>
      </c>
      <c r="AF665" s="70" t="e">
        <f t="shared" si="220"/>
        <v>#N/A</v>
      </c>
      <c r="AH665" s="70" t="str">
        <f t="shared" si="221"/>
        <v>68, 56</v>
      </c>
      <c r="AI665" s="70">
        <f t="shared" si="222"/>
        <v>55</v>
      </c>
      <c r="AJ665" s="70" t="e">
        <f t="shared" si="223"/>
        <v>#N/A</v>
      </c>
      <c r="AK665" s="70" t="e">
        <f t="shared" si="224"/>
        <v>#N/A</v>
      </c>
      <c r="AN665" s="171"/>
      <c r="AO665" s="167"/>
      <c r="AP665" s="167"/>
    </row>
    <row r="666" spans="10:42" ht="20.100000000000001" customHeight="1" thickBot="1">
      <c r="J666" s="45" t="str">
        <f t="shared" si="215"/>
        <v>LS1</v>
      </c>
      <c r="K666" s="45" t="s">
        <v>131</v>
      </c>
      <c r="L666" s="45" t="str">
        <f t="shared" si="216"/>
        <v>7E-LS1@W</v>
      </c>
      <c r="M666" s="75" t="e">
        <f t="shared" si="213"/>
        <v>#N/A</v>
      </c>
      <c r="N666" s="75" t="e">
        <f t="shared" si="214"/>
        <v>#N/A</v>
      </c>
      <c r="R666" s="70" t="s">
        <v>354</v>
      </c>
      <c r="S666" s="70" t="s">
        <v>59</v>
      </c>
      <c r="T666" s="70" t="s">
        <v>57</v>
      </c>
      <c r="U666" s="70" t="s">
        <v>1563</v>
      </c>
      <c r="V666" s="70" t="s">
        <v>149</v>
      </c>
      <c r="X666" s="70" t="str">
        <f t="shared" si="225"/>
        <v>7E-W DT@W</v>
      </c>
      <c r="Y666" s="70" t="str">
        <f t="shared" si="226"/>
        <v>W DT-TEST@W</v>
      </c>
      <c r="Z666" s="70" t="str">
        <f t="shared" si="227"/>
        <v>TEST-EDT@W</v>
      </c>
      <c r="AA666" s="70" t="str">
        <f t="shared" si="228"/>
        <v>EDT-LS1@W</v>
      </c>
      <c r="AC666" s="70" t="str">
        <f t="shared" si="217"/>
        <v>376, 374, 360, 357, 356, 355, 353, 352</v>
      </c>
      <c r="AD666" s="70" t="str">
        <f t="shared" si="218"/>
        <v>356, 355, 353, 352</v>
      </c>
      <c r="AE666" s="70" t="e">
        <f t="shared" si="219"/>
        <v>#N/A</v>
      </c>
      <c r="AF666" s="70" t="e">
        <f t="shared" si="220"/>
        <v>#N/A</v>
      </c>
      <c r="AH666" s="70" t="str">
        <f t="shared" si="221"/>
        <v>69, 56</v>
      </c>
      <c r="AI666" s="70">
        <f t="shared" si="222"/>
        <v>55</v>
      </c>
      <c r="AJ666" s="70" t="e">
        <f t="shared" si="223"/>
        <v>#N/A</v>
      </c>
      <c r="AK666" s="70" t="e">
        <f t="shared" si="224"/>
        <v>#N/A</v>
      </c>
      <c r="AN666" s="171"/>
      <c r="AO666" s="167"/>
      <c r="AP666" s="167"/>
    </row>
    <row r="667" spans="10:42" ht="20.100000000000001" customHeight="1" thickBot="1">
      <c r="J667" s="45" t="str">
        <f t="shared" si="215"/>
        <v>LS1</v>
      </c>
      <c r="K667" s="45" t="s">
        <v>131</v>
      </c>
      <c r="L667" s="45" t="str">
        <f t="shared" si="216"/>
        <v>7W-LS1@W</v>
      </c>
      <c r="M667" s="75" t="e">
        <f t="shared" si="213"/>
        <v>#N/A</v>
      </c>
      <c r="N667" s="75" t="e">
        <f t="shared" si="214"/>
        <v>#N/A</v>
      </c>
      <c r="R667" s="70" t="s">
        <v>363</v>
      </c>
      <c r="S667" s="70" t="s">
        <v>59</v>
      </c>
      <c r="T667" s="70" t="s">
        <v>57</v>
      </c>
      <c r="U667" s="70" t="s">
        <v>1563</v>
      </c>
      <c r="V667" s="70" t="s">
        <v>149</v>
      </c>
      <c r="X667" s="70" t="str">
        <f t="shared" si="225"/>
        <v>7W-W DT@W</v>
      </c>
      <c r="Y667" s="70" t="str">
        <f t="shared" si="226"/>
        <v>W DT-TEST@W</v>
      </c>
      <c r="Z667" s="70" t="str">
        <f t="shared" si="227"/>
        <v>TEST-EDT@W</v>
      </c>
      <c r="AA667" s="70" t="str">
        <f t="shared" si="228"/>
        <v>EDT-LS1@W</v>
      </c>
      <c r="AC667" s="70" t="str">
        <f t="shared" si="217"/>
        <v>376, 374, 360, 357, 356, 355, 353, 352</v>
      </c>
      <c r="AD667" s="70" t="str">
        <f t="shared" si="218"/>
        <v>356, 355, 353, 352</v>
      </c>
      <c r="AE667" s="70" t="e">
        <f t="shared" si="219"/>
        <v>#N/A</v>
      </c>
      <c r="AF667" s="70" t="e">
        <f t="shared" si="220"/>
        <v>#N/A</v>
      </c>
      <c r="AH667" s="70" t="str">
        <f t="shared" si="221"/>
        <v>69, 56</v>
      </c>
      <c r="AI667" s="70">
        <f t="shared" si="222"/>
        <v>55</v>
      </c>
      <c r="AJ667" s="70" t="e">
        <f t="shared" si="223"/>
        <v>#N/A</v>
      </c>
      <c r="AK667" s="70" t="e">
        <f t="shared" si="224"/>
        <v>#N/A</v>
      </c>
      <c r="AN667" s="171"/>
      <c r="AO667" s="167"/>
      <c r="AP667" s="167"/>
    </row>
    <row r="668" spans="10:42" ht="20.100000000000001" customHeight="1" thickBot="1">
      <c r="J668" s="45" t="str">
        <f t="shared" si="215"/>
        <v>LS1</v>
      </c>
      <c r="K668" s="45" t="s">
        <v>131</v>
      </c>
      <c r="L668" s="45" t="str">
        <f t="shared" si="216"/>
        <v>8E-LS1@W</v>
      </c>
      <c r="M668" s="75" t="e">
        <f t="shared" si="213"/>
        <v>#N/A</v>
      </c>
      <c r="N668" s="75" t="e">
        <f t="shared" si="214"/>
        <v>#N/A</v>
      </c>
      <c r="R668" s="70" t="s">
        <v>370</v>
      </c>
      <c r="S668" s="70" t="s">
        <v>59</v>
      </c>
      <c r="T668" s="70" t="s">
        <v>57</v>
      </c>
      <c r="U668" s="70" t="s">
        <v>1563</v>
      </c>
      <c r="V668" s="70" t="s">
        <v>149</v>
      </c>
      <c r="X668" s="70" t="str">
        <f t="shared" si="225"/>
        <v>8E-W DT@W</v>
      </c>
      <c r="Y668" s="70" t="str">
        <f t="shared" si="226"/>
        <v>W DT-TEST@W</v>
      </c>
      <c r="Z668" s="70" t="str">
        <f t="shared" si="227"/>
        <v>TEST-EDT@W</v>
      </c>
      <c r="AA668" s="70" t="str">
        <f t="shared" si="228"/>
        <v>EDT-LS1@W</v>
      </c>
      <c r="AC668" s="70" t="str">
        <f t="shared" si="217"/>
        <v>376, 374, 360, 357, 356, 355, 353, 352</v>
      </c>
      <c r="AD668" s="70" t="str">
        <f t="shared" si="218"/>
        <v>356, 355, 353, 352</v>
      </c>
      <c r="AE668" s="70" t="e">
        <f t="shared" si="219"/>
        <v>#N/A</v>
      </c>
      <c r="AF668" s="70" t="e">
        <f t="shared" si="220"/>
        <v>#N/A</v>
      </c>
      <c r="AH668" s="70" t="str">
        <f t="shared" si="221"/>
        <v>70, 56</v>
      </c>
      <c r="AI668" s="70">
        <f t="shared" si="222"/>
        <v>55</v>
      </c>
      <c r="AJ668" s="70" t="e">
        <f t="shared" si="223"/>
        <v>#N/A</v>
      </c>
      <c r="AK668" s="70" t="e">
        <f t="shared" si="224"/>
        <v>#N/A</v>
      </c>
      <c r="AN668" s="171"/>
      <c r="AO668" s="167"/>
      <c r="AP668" s="167"/>
    </row>
    <row r="669" spans="10:42" ht="20.100000000000001" customHeight="1" thickBot="1">
      <c r="J669" s="45" t="str">
        <f t="shared" si="215"/>
        <v>LS1</v>
      </c>
      <c r="K669" s="45" t="s">
        <v>131</v>
      </c>
      <c r="L669" s="45" t="str">
        <f t="shared" si="216"/>
        <v>8W-LS1@W</v>
      </c>
      <c r="M669" s="75" t="e">
        <f t="shared" si="213"/>
        <v>#N/A</v>
      </c>
      <c r="N669" s="75" t="e">
        <f t="shared" si="214"/>
        <v>#N/A</v>
      </c>
      <c r="R669" s="70" t="s">
        <v>377</v>
      </c>
      <c r="S669" s="70" t="s">
        <v>59</v>
      </c>
      <c r="T669" s="70" t="s">
        <v>57</v>
      </c>
      <c r="U669" s="70" t="s">
        <v>1563</v>
      </c>
      <c r="V669" s="70" t="s">
        <v>149</v>
      </c>
      <c r="X669" s="70" t="str">
        <f t="shared" si="225"/>
        <v>8W-W DT@W</v>
      </c>
      <c r="Y669" s="70" t="str">
        <f t="shared" si="226"/>
        <v>W DT-TEST@W</v>
      </c>
      <c r="Z669" s="70" t="str">
        <f t="shared" si="227"/>
        <v>TEST-EDT@W</v>
      </c>
      <c r="AA669" s="70" t="str">
        <f t="shared" si="228"/>
        <v>EDT-LS1@W</v>
      </c>
      <c r="AC669" s="70" t="str">
        <f t="shared" si="217"/>
        <v>376, 374, 360, 357, 356, 355, 353, 352</v>
      </c>
      <c r="AD669" s="70" t="str">
        <f t="shared" si="218"/>
        <v>356, 355, 353, 352</v>
      </c>
      <c r="AE669" s="70" t="e">
        <f t="shared" si="219"/>
        <v>#N/A</v>
      </c>
      <c r="AF669" s="70" t="e">
        <f t="shared" si="220"/>
        <v>#N/A</v>
      </c>
      <c r="AH669" s="70" t="str">
        <f t="shared" si="221"/>
        <v>70, 56</v>
      </c>
      <c r="AI669" s="70">
        <f t="shared" si="222"/>
        <v>55</v>
      </c>
      <c r="AJ669" s="70" t="e">
        <f t="shared" si="223"/>
        <v>#N/A</v>
      </c>
      <c r="AK669" s="70" t="e">
        <f t="shared" si="224"/>
        <v>#N/A</v>
      </c>
      <c r="AN669" s="171"/>
      <c r="AO669" s="167"/>
      <c r="AP669" s="167"/>
    </row>
    <row r="670" spans="10:42" ht="20.100000000000001" customHeight="1" thickBot="1">
      <c r="J670" s="45" t="str">
        <f t="shared" si="215"/>
        <v>LS2</v>
      </c>
      <c r="K670" s="45" t="s">
        <v>131</v>
      </c>
      <c r="L670" s="45" t="str">
        <f t="shared" si="216"/>
        <v>RM1E-LS2@W</v>
      </c>
      <c r="M670" s="75" t="e">
        <f t="shared" si="213"/>
        <v>#N/A</v>
      </c>
      <c r="N670" s="75" t="e">
        <f t="shared" si="214"/>
        <v>#N/A</v>
      </c>
      <c r="R670" s="70" t="s">
        <v>200</v>
      </c>
      <c r="S670" s="70" t="s">
        <v>59</v>
      </c>
      <c r="T670" s="70" t="s">
        <v>57</v>
      </c>
      <c r="U670" s="70" t="s">
        <v>1563</v>
      </c>
      <c r="V670" s="70" t="s">
        <v>383</v>
      </c>
      <c r="X670" s="70" t="str">
        <f t="shared" si="225"/>
        <v>RM1E-W DT@W</v>
      </c>
      <c r="Y670" s="70" t="str">
        <f t="shared" si="226"/>
        <v>W DT-TEST@W</v>
      </c>
      <c r="Z670" s="70" t="str">
        <f t="shared" si="227"/>
        <v>TEST-EDT@W</v>
      </c>
      <c r="AA670" s="70" t="str">
        <f t="shared" si="228"/>
        <v>EDT-LS2@W</v>
      </c>
      <c r="AC670" s="70" t="str">
        <f t="shared" si="217"/>
        <v>364, 362, 361, 358, 357, 356, 355, 353, 352</v>
      </c>
      <c r="AD670" s="70" t="str">
        <f t="shared" si="218"/>
        <v>356, 355, 353, 352</v>
      </c>
      <c r="AE670" s="70" t="e">
        <f t="shared" si="219"/>
        <v>#N/A</v>
      </c>
      <c r="AF670" s="70" t="e">
        <f t="shared" si="220"/>
        <v>#N/A</v>
      </c>
      <c r="AH670" s="70" t="str">
        <f t="shared" si="221"/>
        <v>25, 04</v>
      </c>
      <c r="AI670" s="70">
        <f t="shared" si="222"/>
        <v>55</v>
      </c>
      <c r="AJ670" s="70" t="e">
        <f t="shared" si="223"/>
        <v>#N/A</v>
      </c>
      <c r="AK670" s="70" t="e">
        <f t="shared" si="224"/>
        <v>#N/A</v>
      </c>
      <c r="AN670" s="171"/>
      <c r="AO670" s="167"/>
      <c r="AP670" s="167"/>
    </row>
    <row r="671" spans="10:42" ht="20.100000000000001" customHeight="1" thickBot="1">
      <c r="J671" s="45" t="str">
        <f t="shared" si="215"/>
        <v>LS2</v>
      </c>
      <c r="K671" s="45" t="s">
        <v>131</v>
      </c>
      <c r="L671" s="45" t="str">
        <f t="shared" si="216"/>
        <v>RM1W-LS2@W</v>
      </c>
      <c r="M671" s="75" t="e">
        <f t="shared" si="213"/>
        <v>#N/A</v>
      </c>
      <c r="N671" s="75" t="e">
        <f t="shared" si="214"/>
        <v>#N/A</v>
      </c>
      <c r="R671" s="70" t="s">
        <v>208</v>
      </c>
      <c r="S671" s="70" t="s">
        <v>59</v>
      </c>
      <c r="T671" s="70" t="s">
        <v>57</v>
      </c>
      <c r="U671" s="70" t="s">
        <v>1563</v>
      </c>
      <c r="V671" s="70" t="s">
        <v>383</v>
      </c>
      <c r="X671" s="70" t="str">
        <f t="shared" si="225"/>
        <v>RM1W-W DT@W</v>
      </c>
      <c r="Y671" s="70" t="str">
        <f t="shared" si="226"/>
        <v>W DT-TEST@W</v>
      </c>
      <c r="Z671" s="70" t="str">
        <f t="shared" si="227"/>
        <v>TEST-EDT@W</v>
      </c>
      <c r="AA671" s="70" t="str">
        <f t="shared" si="228"/>
        <v>EDT-LS2@W</v>
      </c>
      <c r="AC671" s="70" t="str">
        <f t="shared" si="217"/>
        <v>364, 362, 361, 358, 357, 356, 355, 353, 352</v>
      </c>
      <c r="AD671" s="70" t="str">
        <f t="shared" si="218"/>
        <v>356, 355, 353, 352</v>
      </c>
      <c r="AE671" s="70" t="e">
        <f t="shared" si="219"/>
        <v>#N/A</v>
      </c>
      <c r="AF671" s="70" t="e">
        <f t="shared" si="220"/>
        <v>#N/A</v>
      </c>
      <c r="AH671" s="70" t="str">
        <f t="shared" si="221"/>
        <v>25, 04</v>
      </c>
      <c r="AI671" s="70">
        <f t="shared" si="222"/>
        <v>55</v>
      </c>
      <c r="AJ671" s="70" t="e">
        <f t="shared" si="223"/>
        <v>#N/A</v>
      </c>
      <c r="AK671" s="70" t="e">
        <f t="shared" si="224"/>
        <v>#N/A</v>
      </c>
      <c r="AN671" s="171"/>
      <c r="AO671" s="167"/>
      <c r="AP671" s="167"/>
    </row>
    <row r="672" spans="10:42" ht="20.100000000000001" customHeight="1" thickBot="1">
      <c r="J672" s="45" t="str">
        <f t="shared" si="215"/>
        <v>LS2</v>
      </c>
      <c r="K672" s="45" t="s">
        <v>131</v>
      </c>
      <c r="L672" s="45" t="str">
        <f t="shared" si="216"/>
        <v>RM2E-LS2@W</v>
      </c>
      <c r="M672" s="75" t="e">
        <f t="shared" si="213"/>
        <v>#N/A</v>
      </c>
      <c r="N672" s="75" t="e">
        <f t="shared" si="214"/>
        <v>#N/A</v>
      </c>
      <c r="R672" s="70" t="s">
        <v>216</v>
      </c>
      <c r="S672" s="70" t="s">
        <v>59</v>
      </c>
      <c r="T672" s="70" t="s">
        <v>57</v>
      </c>
      <c r="U672" s="70" t="s">
        <v>1563</v>
      </c>
      <c r="V672" s="70" t="s">
        <v>383</v>
      </c>
      <c r="X672" s="70" t="str">
        <f t="shared" si="225"/>
        <v>RM2E-W DT@W</v>
      </c>
      <c r="Y672" s="70" t="str">
        <f t="shared" si="226"/>
        <v>W DT-TEST@W</v>
      </c>
      <c r="Z672" s="70" t="str">
        <f t="shared" si="227"/>
        <v>TEST-EDT@W</v>
      </c>
      <c r="AA672" s="70" t="str">
        <f t="shared" si="228"/>
        <v>EDT-LS2@W</v>
      </c>
      <c r="AC672" s="70" t="str">
        <f t="shared" si="217"/>
        <v>365, 362, 361, 358, 357, 356, 355, 353, 352</v>
      </c>
      <c r="AD672" s="70" t="str">
        <f t="shared" si="218"/>
        <v>356, 355, 353, 352</v>
      </c>
      <c r="AE672" s="70" t="e">
        <f t="shared" si="219"/>
        <v>#N/A</v>
      </c>
      <c r="AF672" s="70" t="e">
        <f t="shared" si="220"/>
        <v>#N/A</v>
      </c>
      <c r="AH672" s="70" t="str">
        <f t="shared" si="221"/>
        <v>26, 04</v>
      </c>
      <c r="AI672" s="70">
        <f t="shared" si="222"/>
        <v>55</v>
      </c>
      <c r="AJ672" s="70" t="e">
        <f t="shared" si="223"/>
        <v>#N/A</v>
      </c>
      <c r="AK672" s="70" t="e">
        <f t="shared" si="224"/>
        <v>#N/A</v>
      </c>
      <c r="AN672" s="171"/>
      <c r="AO672" s="167"/>
      <c r="AP672" s="167"/>
    </row>
    <row r="673" spans="10:42" ht="20.100000000000001" customHeight="1" thickBot="1">
      <c r="J673" s="45" t="str">
        <f t="shared" si="215"/>
        <v>LS2</v>
      </c>
      <c r="K673" s="45" t="s">
        <v>131</v>
      </c>
      <c r="L673" s="45" t="str">
        <f t="shared" si="216"/>
        <v>RM2W-LS2@W</v>
      </c>
      <c r="M673" s="75" t="e">
        <f t="shared" si="213"/>
        <v>#N/A</v>
      </c>
      <c r="N673" s="75" t="e">
        <f t="shared" si="214"/>
        <v>#N/A</v>
      </c>
      <c r="R673" s="70" t="s">
        <v>224</v>
      </c>
      <c r="S673" s="70" t="s">
        <v>59</v>
      </c>
      <c r="T673" s="70" t="s">
        <v>57</v>
      </c>
      <c r="U673" s="70" t="s">
        <v>1563</v>
      </c>
      <c r="V673" s="70" t="s">
        <v>383</v>
      </c>
      <c r="X673" s="70" t="str">
        <f t="shared" si="225"/>
        <v>RM2W-W DT@W</v>
      </c>
      <c r="Y673" s="70" t="str">
        <f t="shared" si="226"/>
        <v>W DT-TEST@W</v>
      </c>
      <c r="Z673" s="70" t="str">
        <f t="shared" si="227"/>
        <v>TEST-EDT@W</v>
      </c>
      <c r="AA673" s="70" t="str">
        <f t="shared" si="228"/>
        <v>EDT-LS2@W</v>
      </c>
      <c r="AC673" s="70" t="str">
        <f t="shared" si="217"/>
        <v>365, 362, 361, 358, 357, 356, 355, 353, 352</v>
      </c>
      <c r="AD673" s="70" t="str">
        <f t="shared" si="218"/>
        <v>356, 355, 353, 352</v>
      </c>
      <c r="AE673" s="70" t="e">
        <f t="shared" si="219"/>
        <v>#N/A</v>
      </c>
      <c r="AF673" s="70" t="e">
        <f t="shared" si="220"/>
        <v>#N/A</v>
      </c>
      <c r="AH673" s="70" t="str">
        <f t="shared" si="221"/>
        <v>26, 04</v>
      </c>
      <c r="AI673" s="70">
        <f t="shared" si="222"/>
        <v>55</v>
      </c>
      <c r="AJ673" s="70" t="e">
        <f t="shared" si="223"/>
        <v>#N/A</v>
      </c>
      <c r="AK673" s="70" t="e">
        <f t="shared" si="224"/>
        <v>#N/A</v>
      </c>
      <c r="AN673" s="171"/>
      <c r="AO673" s="167"/>
      <c r="AP673" s="167"/>
    </row>
    <row r="674" spans="10:42" ht="20.100000000000001" customHeight="1" thickBot="1">
      <c r="J674" s="45" t="str">
        <f t="shared" si="215"/>
        <v>LS2</v>
      </c>
      <c r="K674" s="45" t="s">
        <v>131</v>
      </c>
      <c r="L674" s="45" t="str">
        <f t="shared" si="216"/>
        <v>RM3E-LS2@W</v>
      </c>
      <c r="M674" s="75" t="e">
        <f t="shared" si="213"/>
        <v>#N/A</v>
      </c>
      <c r="N674" s="75" t="e">
        <f t="shared" si="214"/>
        <v>#N/A</v>
      </c>
      <c r="R674" s="70" t="s">
        <v>231</v>
      </c>
      <c r="S674" s="70" t="s">
        <v>59</v>
      </c>
      <c r="T674" s="70" t="s">
        <v>57</v>
      </c>
      <c r="U674" s="70" t="s">
        <v>1563</v>
      </c>
      <c r="V674" s="70" t="s">
        <v>383</v>
      </c>
      <c r="X674" s="70" t="str">
        <f t="shared" si="225"/>
        <v>RM3E-W DT@W</v>
      </c>
      <c r="Y674" s="70" t="str">
        <f t="shared" si="226"/>
        <v>W DT-TEST@W</v>
      </c>
      <c r="Z674" s="70" t="str">
        <f t="shared" si="227"/>
        <v>TEST-EDT@W</v>
      </c>
      <c r="AA674" s="70" t="str">
        <f t="shared" si="228"/>
        <v>EDT-LS2@W</v>
      </c>
      <c r="AC674" s="70" t="str">
        <f t="shared" si="217"/>
        <v>365, 362, 361, 358, 357, 356, 355, 353, 352</v>
      </c>
      <c r="AD674" s="70" t="str">
        <f t="shared" si="218"/>
        <v>356, 355, 353, 352</v>
      </c>
      <c r="AE674" s="70" t="e">
        <f t="shared" si="219"/>
        <v>#N/A</v>
      </c>
      <c r="AF674" s="70" t="e">
        <f t="shared" si="220"/>
        <v>#N/A</v>
      </c>
      <c r="AH674" s="70" t="str">
        <f t="shared" si="221"/>
        <v>27, 04</v>
      </c>
      <c r="AI674" s="70">
        <f t="shared" si="222"/>
        <v>55</v>
      </c>
      <c r="AJ674" s="70" t="e">
        <f t="shared" si="223"/>
        <v>#N/A</v>
      </c>
      <c r="AK674" s="70" t="e">
        <f t="shared" si="224"/>
        <v>#N/A</v>
      </c>
      <c r="AN674" s="171"/>
      <c r="AO674" s="167"/>
      <c r="AP674" s="167"/>
    </row>
    <row r="675" spans="10:42" ht="20.100000000000001" customHeight="1" thickBot="1">
      <c r="J675" s="45" t="str">
        <f t="shared" si="215"/>
        <v>LS2</v>
      </c>
      <c r="K675" s="45" t="s">
        <v>131</v>
      </c>
      <c r="L675" s="45" t="str">
        <f t="shared" si="216"/>
        <v>RM3W-LS2@W</v>
      </c>
      <c r="M675" s="75" t="e">
        <f t="shared" si="213"/>
        <v>#N/A</v>
      </c>
      <c r="N675" s="75" t="e">
        <f t="shared" si="214"/>
        <v>#N/A</v>
      </c>
      <c r="R675" s="70" t="s">
        <v>238</v>
      </c>
      <c r="S675" s="70" t="s">
        <v>59</v>
      </c>
      <c r="T675" s="70" t="s">
        <v>57</v>
      </c>
      <c r="U675" s="70" t="s">
        <v>1563</v>
      </c>
      <c r="V675" s="70" t="s">
        <v>383</v>
      </c>
      <c r="X675" s="70" t="str">
        <f t="shared" si="225"/>
        <v>RM3W-W DT@W</v>
      </c>
      <c r="Y675" s="70" t="str">
        <f t="shared" si="226"/>
        <v>W DT-TEST@W</v>
      </c>
      <c r="Z675" s="70" t="str">
        <f t="shared" si="227"/>
        <v>TEST-EDT@W</v>
      </c>
      <c r="AA675" s="70" t="str">
        <f t="shared" si="228"/>
        <v>EDT-LS2@W</v>
      </c>
      <c r="AC675" s="70" t="str">
        <f t="shared" si="217"/>
        <v>365, 362, 361, 358, 357, 356, 355, 353, 352</v>
      </c>
      <c r="AD675" s="70" t="str">
        <f t="shared" si="218"/>
        <v>356, 355, 353, 352</v>
      </c>
      <c r="AE675" s="70" t="e">
        <f t="shared" si="219"/>
        <v>#N/A</v>
      </c>
      <c r="AF675" s="70" t="e">
        <f t="shared" si="220"/>
        <v>#N/A</v>
      </c>
      <c r="AH675" s="70" t="str">
        <f t="shared" si="221"/>
        <v>27, 04</v>
      </c>
      <c r="AI675" s="70">
        <f t="shared" si="222"/>
        <v>55</v>
      </c>
      <c r="AJ675" s="70" t="e">
        <f t="shared" si="223"/>
        <v>#N/A</v>
      </c>
      <c r="AK675" s="70" t="e">
        <f t="shared" si="224"/>
        <v>#N/A</v>
      </c>
      <c r="AN675" s="171"/>
      <c r="AO675" s="167"/>
      <c r="AP675" s="167"/>
    </row>
    <row r="676" spans="10:42" ht="20.100000000000001" customHeight="1" thickBot="1">
      <c r="J676" s="45" t="str">
        <f t="shared" si="215"/>
        <v>LS2</v>
      </c>
      <c r="K676" s="45" t="s">
        <v>131</v>
      </c>
      <c r="L676" s="45" t="str">
        <f t="shared" si="216"/>
        <v>HCTE-LS2@W</v>
      </c>
      <c r="M676" s="75" t="e">
        <f t="shared" si="213"/>
        <v>#N/A</v>
      </c>
      <c r="N676" s="75" t="e">
        <f t="shared" si="214"/>
        <v>#N/A</v>
      </c>
      <c r="R676" s="70" t="s">
        <v>246</v>
      </c>
      <c r="S676" s="70" t="s">
        <v>59</v>
      </c>
      <c r="T676" s="70" t="s">
        <v>57</v>
      </c>
      <c r="U676" s="70" t="s">
        <v>1563</v>
      </c>
      <c r="V676" s="70" t="s">
        <v>383</v>
      </c>
      <c r="X676" s="70" t="str">
        <f t="shared" si="225"/>
        <v>HCTE-W DT@W</v>
      </c>
      <c r="Y676" s="70" t="str">
        <f t="shared" si="226"/>
        <v>W DT-TEST@W</v>
      </c>
      <c r="Z676" s="70" t="str">
        <f t="shared" si="227"/>
        <v>TEST-EDT@W</v>
      </c>
      <c r="AA676" s="70" t="str">
        <f t="shared" si="228"/>
        <v>EDT-LS2@W</v>
      </c>
      <c r="AC676" s="70" t="str">
        <f t="shared" si="217"/>
        <v>368, 367, 361, 358, 357, 356, 355, 353, 352</v>
      </c>
      <c r="AD676" s="70" t="str">
        <f t="shared" si="218"/>
        <v>356, 355, 353, 352</v>
      </c>
      <c r="AE676" s="70" t="e">
        <f t="shared" si="219"/>
        <v>#N/A</v>
      </c>
      <c r="AF676" s="70" t="e">
        <f t="shared" si="220"/>
        <v>#N/A</v>
      </c>
      <c r="AH676" s="70" t="str">
        <f t="shared" si="221"/>
        <v>28, 04</v>
      </c>
      <c r="AI676" s="70">
        <f t="shared" si="222"/>
        <v>55</v>
      </c>
      <c r="AJ676" s="70" t="e">
        <f t="shared" si="223"/>
        <v>#N/A</v>
      </c>
      <c r="AK676" s="70" t="e">
        <f t="shared" si="224"/>
        <v>#N/A</v>
      </c>
      <c r="AN676" s="171"/>
      <c r="AO676" s="167"/>
      <c r="AP676" s="167"/>
    </row>
    <row r="677" spans="10:42" ht="20.100000000000001" customHeight="1" thickBot="1">
      <c r="J677" s="45" t="str">
        <f t="shared" si="215"/>
        <v>LS2</v>
      </c>
      <c r="K677" s="45" t="s">
        <v>131</v>
      </c>
      <c r="L677" s="45" t="str">
        <f t="shared" si="216"/>
        <v>HCTW-LS2@W</v>
      </c>
      <c r="M677" s="75" t="e">
        <f t="shared" si="213"/>
        <v>#N/A</v>
      </c>
      <c r="N677" s="75" t="e">
        <f t="shared" si="214"/>
        <v>#N/A</v>
      </c>
      <c r="R677" s="70" t="s">
        <v>254</v>
      </c>
      <c r="S677" s="70" t="s">
        <v>59</v>
      </c>
      <c r="T677" s="70" t="s">
        <v>57</v>
      </c>
      <c r="U677" s="70" t="s">
        <v>1563</v>
      </c>
      <c r="V677" s="70" t="s">
        <v>383</v>
      </c>
      <c r="X677" s="70" t="str">
        <f t="shared" si="225"/>
        <v>HCTW-W DT@W</v>
      </c>
      <c r="Y677" s="70" t="str">
        <f t="shared" si="226"/>
        <v>W DT-TEST@W</v>
      </c>
      <c r="Z677" s="70" t="str">
        <f t="shared" si="227"/>
        <v>TEST-EDT@W</v>
      </c>
      <c r="AA677" s="70" t="str">
        <f t="shared" si="228"/>
        <v>EDT-LS2@W</v>
      </c>
      <c r="AC677" s="70" t="str">
        <f t="shared" si="217"/>
        <v>368, 367, 361, 358, 357, 356, 355, 353, 352</v>
      </c>
      <c r="AD677" s="70" t="str">
        <f t="shared" si="218"/>
        <v>356, 355, 353, 352</v>
      </c>
      <c r="AE677" s="70" t="e">
        <f t="shared" si="219"/>
        <v>#N/A</v>
      </c>
      <c r="AF677" s="70" t="e">
        <f t="shared" si="220"/>
        <v>#N/A</v>
      </c>
      <c r="AH677" s="70" t="str">
        <f t="shared" si="221"/>
        <v>28, 04</v>
      </c>
      <c r="AI677" s="70">
        <f t="shared" si="222"/>
        <v>55</v>
      </c>
      <c r="AJ677" s="70" t="e">
        <f t="shared" si="223"/>
        <v>#N/A</v>
      </c>
      <c r="AK677" s="70" t="e">
        <f t="shared" si="224"/>
        <v>#N/A</v>
      </c>
      <c r="AN677" s="171"/>
      <c r="AO677" s="167"/>
      <c r="AP677" s="167"/>
    </row>
    <row r="678" spans="10:42" ht="20.100000000000001" customHeight="1" thickBot="1">
      <c r="J678" s="45" t="str">
        <f t="shared" si="215"/>
        <v>LS2</v>
      </c>
      <c r="K678" s="45" t="s">
        <v>131</v>
      </c>
      <c r="L678" s="45" t="str">
        <f t="shared" si="216"/>
        <v>1E-LS2@W</v>
      </c>
      <c r="M678" s="75" t="e">
        <f t="shared" si="213"/>
        <v>#N/A</v>
      </c>
      <c r="N678" s="75" t="e">
        <f t="shared" si="214"/>
        <v>#N/A</v>
      </c>
      <c r="R678" s="70" t="s">
        <v>261</v>
      </c>
      <c r="S678" s="70" t="s">
        <v>59</v>
      </c>
      <c r="T678" s="70" t="s">
        <v>57</v>
      </c>
      <c r="U678" s="70" t="s">
        <v>1563</v>
      </c>
      <c r="V678" s="70" t="s">
        <v>383</v>
      </c>
      <c r="X678" s="70" t="str">
        <f t="shared" si="225"/>
        <v>1E-W DT@W</v>
      </c>
      <c r="Y678" s="70" t="str">
        <f t="shared" si="226"/>
        <v>W DT-TEST@W</v>
      </c>
      <c r="Z678" s="70" t="str">
        <f t="shared" si="227"/>
        <v>TEST-EDT@W</v>
      </c>
      <c r="AA678" s="70" t="str">
        <f t="shared" si="228"/>
        <v>EDT-LS2@W</v>
      </c>
      <c r="AC678" s="70" t="str">
        <f t="shared" si="217"/>
        <v>368, 367, 361, 358, 357, 356, 355, 353, 352</v>
      </c>
      <c r="AD678" s="70" t="str">
        <f t="shared" si="218"/>
        <v>356, 355, 353, 352</v>
      </c>
      <c r="AE678" s="70" t="e">
        <f t="shared" si="219"/>
        <v>#N/A</v>
      </c>
      <c r="AF678" s="70" t="e">
        <f t="shared" si="220"/>
        <v>#N/A</v>
      </c>
      <c r="AH678" s="70" t="str">
        <f t="shared" si="221"/>
        <v>63, 56</v>
      </c>
      <c r="AI678" s="70">
        <f t="shared" si="222"/>
        <v>55</v>
      </c>
      <c r="AJ678" s="70" t="e">
        <f t="shared" si="223"/>
        <v>#N/A</v>
      </c>
      <c r="AK678" s="70" t="e">
        <f t="shared" si="224"/>
        <v>#N/A</v>
      </c>
      <c r="AN678" s="171"/>
      <c r="AO678" s="167"/>
      <c r="AP678" s="167"/>
    </row>
    <row r="679" spans="10:42" ht="20.100000000000001" customHeight="1" thickBot="1">
      <c r="J679" s="45" t="str">
        <f t="shared" si="215"/>
        <v>LS2</v>
      </c>
      <c r="K679" s="45" t="s">
        <v>131</v>
      </c>
      <c r="L679" s="45" t="str">
        <f t="shared" si="216"/>
        <v>1W-LS2@W</v>
      </c>
      <c r="M679" s="75" t="e">
        <f t="shared" si="213"/>
        <v>#N/A</v>
      </c>
      <c r="N679" s="75" t="e">
        <f t="shared" si="214"/>
        <v>#N/A</v>
      </c>
      <c r="R679" s="70" t="s">
        <v>269</v>
      </c>
      <c r="S679" s="70" t="s">
        <v>59</v>
      </c>
      <c r="T679" s="70" t="s">
        <v>57</v>
      </c>
      <c r="U679" s="70" t="s">
        <v>1563</v>
      </c>
      <c r="V679" s="70" t="s">
        <v>383</v>
      </c>
      <c r="X679" s="70" t="str">
        <f t="shared" si="225"/>
        <v>1W-W DT@W</v>
      </c>
      <c r="Y679" s="70" t="str">
        <f t="shared" si="226"/>
        <v>W DT-TEST@W</v>
      </c>
      <c r="Z679" s="70" t="str">
        <f t="shared" si="227"/>
        <v>TEST-EDT@W</v>
      </c>
      <c r="AA679" s="70" t="str">
        <f t="shared" si="228"/>
        <v>EDT-LS2@W</v>
      </c>
      <c r="AC679" s="70" t="str">
        <f t="shared" si="217"/>
        <v>368, 367, 361, 358, 357, 356, 355, 353, 352</v>
      </c>
      <c r="AD679" s="70" t="str">
        <f t="shared" si="218"/>
        <v>356, 355, 353, 352</v>
      </c>
      <c r="AE679" s="70" t="e">
        <f t="shared" si="219"/>
        <v>#N/A</v>
      </c>
      <c r="AF679" s="70" t="e">
        <f t="shared" si="220"/>
        <v>#N/A</v>
      </c>
      <c r="AH679" s="70" t="str">
        <f t="shared" si="221"/>
        <v>63, 56</v>
      </c>
      <c r="AI679" s="70">
        <f t="shared" si="222"/>
        <v>55</v>
      </c>
      <c r="AJ679" s="70" t="e">
        <f t="shared" si="223"/>
        <v>#N/A</v>
      </c>
      <c r="AK679" s="70" t="e">
        <f t="shared" si="224"/>
        <v>#N/A</v>
      </c>
      <c r="AN679" s="171"/>
      <c r="AO679" s="167"/>
      <c r="AP679" s="167"/>
    </row>
    <row r="680" spans="10:42" ht="20.100000000000001" customHeight="1" thickBot="1">
      <c r="J680" s="45" t="str">
        <f t="shared" si="215"/>
        <v>LS2</v>
      </c>
      <c r="K680" s="45" t="s">
        <v>131</v>
      </c>
      <c r="L680" s="45" t="str">
        <f t="shared" si="216"/>
        <v>2E-LS2@W</v>
      </c>
      <c r="M680" s="75" t="e">
        <f t="shared" si="213"/>
        <v>#N/A</v>
      </c>
      <c r="N680" s="75" t="e">
        <f t="shared" si="214"/>
        <v>#N/A</v>
      </c>
      <c r="R680" s="70" t="s">
        <v>276</v>
      </c>
      <c r="S680" s="70" t="s">
        <v>59</v>
      </c>
      <c r="T680" s="70" t="s">
        <v>57</v>
      </c>
      <c r="U680" s="70" t="s">
        <v>1563</v>
      </c>
      <c r="V680" s="70" t="s">
        <v>383</v>
      </c>
      <c r="X680" s="70" t="str">
        <f t="shared" si="225"/>
        <v>2E-W DT@W</v>
      </c>
      <c r="Y680" s="70" t="str">
        <f t="shared" si="226"/>
        <v>W DT-TEST@W</v>
      </c>
      <c r="Z680" s="70" t="str">
        <f t="shared" si="227"/>
        <v>TEST-EDT@W</v>
      </c>
      <c r="AA680" s="70" t="str">
        <f t="shared" si="228"/>
        <v>EDT-LS2@W</v>
      </c>
      <c r="AC680" s="70" t="str">
        <f t="shared" si="217"/>
        <v>370, 369, 367, 361, 358, 357, 356, 355, 353, 352</v>
      </c>
      <c r="AD680" s="70" t="str">
        <f t="shared" si="218"/>
        <v>356, 355, 353, 352</v>
      </c>
      <c r="AE680" s="70" t="e">
        <f t="shared" si="219"/>
        <v>#N/A</v>
      </c>
      <c r="AF680" s="70" t="e">
        <f t="shared" si="220"/>
        <v>#N/A</v>
      </c>
      <c r="AH680" s="70" t="str">
        <f t="shared" si="221"/>
        <v>64, 56</v>
      </c>
      <c r="AI680" s="70">
        <f t="shared" si="222"/>
        <v>55</v>
      </c>
      <c r="AJ680" s="70" t="e">
        <f t="shared" si="223"/>
        <v>#N/A</v>
      </c>
      <c r="AK680" s="70" t="e">
        <f t="shared" si="224"/>
        <v>#N/A</v>
      </c>
      <c r="AN680" s="171"/>
      <c r="AO680" s="167"/>
      <c r="AP680" s="167"/>
    </row>
    <row r="681" spans="10:42" ht="20.100000000000001" customHeight="1" thickBot="1">
      <c r="J681" s="45" t="str">
        <f t="shared" si="215"/>
        <v>LS2</v>
      </c>
      <c r="K681" s="45" t="s">
        <v>131</v>
      </c>
      <c r="L681" s="45" t="str">
        <f t="shared" si="216"/>
        <v>2W-LS2@W</v>
      </c>
      <c r="M681" s="75" t="e">
        <f t="shared" si="213"/>
        <v>#N/A</v>
      </c>
      <c r="N681" s="75" t="e">
        <f t="shared" si="214"/>
        <v>#N/A</v>
      </c>
      <c r="R681" s="70" t="s">
        <v>285</v>
      </c>
      <c r="S681" s="70" t="s">
        <v>59</v>
      </c>
      <c r="T681" s="70" t="s">
        <v>57</v>
      </c>
      <c r="U681" s="70" t="s">
        <v>1563</v>
      </c>
      <c r="V681" s="70" t="s">
        <v>383</v>
      </c>
      <c r="X681" s="70" t="str">
        <f t="shared" si="225"/>
        <v>2W-W DT@W</v>
      </c>
      <c r="Y681" s="70" t="str">
        <f t="shared" si="226"/>
        <v>W DT-TEST@W</v>
      </c>
      <c r="Z681" s="70" t="str">
        <f t="shared" si="227"/>
        <v>TEST-EDT@W</v>
      </c>
      <c r="AA681" s="70" t="str">
        <f t="shared" si="228"/>
        <v>EDT-LS2@W</v>
      </c>
      <c r="AC681" s="70" t="str">
        <f t="shared" si="217"/>
        <v>370, 369, 367, 361, 358, 357, 356, 355, 353, 352</v>
      </c>
      <c r="AD681" s="70" t="str">
        <f t="shared" si="218"/>
        <v>356, 355, 353, 352</v>
      </c>
      <c r="AE681" s="70" t="e">
        <f t="shared" si="219"/>
        <v>#N/A</v>
      </c>
      <c r="AF681" s="70" t="e">
        <f t="shared" si="220"/>
        <v>#N/A</v>
      </c>
      <c r="AH681" s="70" t="str">
        <f t="shared" si="221"/>
        <v>64, 56</v>
      </c>
      <c r="AI681" s="70">
        <f t="shared" si="222"/>
        <v>55</v>
      </c>
      <c r="AJ681" s="70" t="e">
        <f t="shared" si="223"/>
        <v>#N/A</v>
      </c>
      <c r="AK681" s="70" t="e">
        <f t="shared" si="224"/>
        <v>#N/A</v>
      </c>
      <c r="AN681" s="171"/>
      <c r="AO681" s="167"/>
      <c r="AP681" s="167"/>
    </row>
    <row r="682" spans="10:42" ht="20.100000000000001" customHeight="1" thickBot="1">
      <c r="J682" s="45" t="str">
        <f t="shared" si="215"/>
        <v>LS2</v>
      </c>
      <c r="K682" s="45" t="s">
        <v>131</v>
      </c>
      <c r="L682" s="45" t="str">
        <f t="shared" si="216"/>
        <v>3E-LS2@W</v>
      </c>
      <c r="M682" s="75" t="e">
        <f t="shared" si="213"/>
        <v>#N/A</v>
      </c>
      <c r="N682" s="75" t="e">
        <f t="shared" si="214"/>
        <v>#N/A</v>
      </c>
      <c r="R682" s="70" t="s">
        <v>293</v>
      </c>
      <c r="S682" s="70" t="s">
        <v>59</v>
      </c>
      <c r="T682" s="70" t="s">
        <v>57</v>
      </c>
      <c r="U682" s="70" t="s">
        <v>1563</v>
      </c>
      <c r="V682" s="70" t="s">
        <v>383</v>
      </c>
      <c r="X682" s="70" t="str">
        <f t="shared" si="225"/>
        <v>3E-W DT@W</v>
      </c>
      <c r="Y682" s="70" t="str">
        <f t="shared" si="226"/>
        <v>W DT-TEST@W</v>
      </c>
      <c r="Z682" s="70" t="str">
        <f t="shared" si="227"/>
        <v>TEST-EDT@W</v>
      </c>
      <c r="AA682" s="70" t="str">
        <f t="shared" si="228"/>
        <v>EDT-LS2@W</v>
      </c>
      <c r="AC682" s="70" t="str">
        <f t="shared" si="217"/>
        <v>370, 369, 367, 361, 358, 357, 356, 355, 353, 352</v>
      </c>
      <c r="AD682" s="70" t="str">
        <f t="shared" si="218"/>
        <v>356, 355, 353, 352</v>
      </c>
      <c r="AE682" s="70" t="e">
        <f t="shared" si="219"/>
        <v>#N/A</v>
      </c>
      <c r="AF682" s="70" t="e">
        <f t="shared" si="220"/>
        <v>#N/A</v>
      </c>
      <c r="AH682" s="70" t="str">
        <f t="shared" si="221"/>
        <v>65, 56</v>
      </c>
      <c r="AI682" s="70">
        <f t="shared" si="222"/>
        <v>55</v>
      </c>
      <c r="AJ682" s="70" t="e">
        <f t="shared" si="223"/>
        <v>#N/A</v>
      </c>
      <c r="AK682" s="70" t="e">
        <f t="shared" si="224"/>
        <v>#N/A</v>
      </c>
      <c r="AN682" s="171"/>
      <c r="AO682" s="167"/>
      <c r="AP682" s="167"/>
    </row>
    <row r="683" spans="10:42" ht="20.100000000000001" customHeight="1" thickBot="1">
      <c r="J683" s="45" t="str">
        <f t="shared" si="215"/>
        <v>LS2</v>
      </c>
      <c r="K683" s="45" t="s">
        <v>131</v>
      </c>
      <c r="L683" s="45" t="str">
        <f t="shared" si="216"/>
        <v>3W-LS2@W</v>
      </c>
      <c r="M683" s="75" t="e">
        <f t="shared" si="213"/>
        <v>#N/A</v>
      </c>
      <c r="N683" s="75" t="e">
        <f t="shared" si="214"/>
        <v>#N/A</v>
      </c>
      <c r="R683" s="70" t="s">
        <v>301</v>
      </c>
      <c r="S683" s="70" t="s">
        <v>59</v>
      </c>
      <c r="T683" s="70" t="s">
        <v>57</v>
      </c>
      <c r="U683" s="70" t="s">
        <v>1563</v>
      </c>
      <c r="V683" s="70" t="s">
        <v>383</v>
      </c>
      <c r="X683" s="70" t="str">
        <f t="shared" si="225"/>
        <v>3W-W DT@W</v>
      </c>
      <c r="Y683" s="70" t="str">
        <f t="shared" si="226"/>
        <v>W DT-TEST@W</v>
      </c>
      <c r="Z683" s="70" t="str">
        <f t="shared" si="227"/>
        <v>TEST-EDT@W</v>
      </c>
      <c r="AA683" s="70" t="str">
        <f t="shared" si="228"/>
        <v>EDT-LS2@W</v>
      </c>
      <c r="AC683" s="70" t="str">
        <f t="shared" si="217"/>
        <v>370, 369, 367, 361, 358, 357, 356, 355, 353, 352</v>
      </c>
      <c r="AD683" s="70" t="str">
        <f t="shared" si="218"/>
        <v>356, 355, 353, 352</v>
      </c>
      <c r="AE683" s="70" t="e">
        <f t="shared" si="219"/>
        <v>#N/A</v>
      </c>
      <c r="AF683" s="70" t="e">
        <f t="shared" si="220"/>
        <v>#N/A</v>
      </c>
      <c r="AH683" s="70" t="str">
        <f t="shared" si="221"/>
        <v>65, 56</v>
      </c>
      <c r="AI683" s="70">
        <f t="shared" si="222"/>
        <v>55</v>
      </c>
      <c r="AJ683" s="70" t="e">
        <f t="shared" si="223"/>
        <v>#N/A</v>
      </c>
      <c r="AK683" s="70" t="e">
        <f t="shared" si="224"/>
        <v>#N/A</v>
      </c>
      <c r="AN683" s="171"/>
      <c r="AO683" s="167"/>
      <c r="AP683" s="167"/>
    </row>
    <row r="684" spans="10:42" ht="20.100000000000001" customHeight="1" thickBot="1">
      <c r="J684" s="45" t="str">
        <f t="shared" si="215"/>
        <v>LS2</v>
      </c>
      <c r="K684" s="45" t="s">
        <v>131</v>
      </c>
      <c r="L684" s="45" t="str">
        <f t="shared" si="216"/>
        <v>4E-LS2@W</v>
      </c>
      <c r="M684" s="75" t="e">
        <f t="shared" si="213"/>
        <v>#N/A</v>
      </c>
      <c r="N684" s="75" t="e">
        <f t="shared" si="214"/>
        <v>#N/A</v>
      </c>
      <c r="R684" s="70" t="s">
        <v>309</v>
      </c>
      <c r="S684" s="70" t="s">
        <v>59</v>
      </c>
      <c r="T684" s="70" t="s">
        <v>57</v>
      </c>
      <c r="U684" s="70" t="s">
        <v>1563</v>
      </c>
      <c r="V684" s="70" t="s">
        <v>383</v>
      </c>
      <c r="X684" s="70" t="str">
        <f t="shared" si="225"/>
        <v>4E-W DT@W</v>
      </c>
      <c r="Y684" s="70" t="str">
        <f t="shared" si="226"/>
        <v>W DT-TEST@W</v>
      </c>
      <c r="Z684" s="70" t="str">
        <f t="shared" si="227"/>
        <v>TEST-EDT@W</v>
      </c>
      <c r="AA684" s="70" t="str">
        <f t="shared" si="228"/>
        <v>EDT-LS2@W</v>
      </c>
      <c r="AC684" s="70" t="str">
        <f t="shared" si="217"/>
        <v>369, 367, 361, 358, 357, 356, 355, 353, 352</v>
      </c>
      <c r="AD684" s="70" t="str">
        <f t="shared" si="218"/>
        <v>356, 355, 353, 352</v>
      </c>
      <c r="AE684" s="70" t="e">
        <f t="shared" si="219"/>
        <v>#N/A</v>
      </c>
      <c r="AF684" s="70" t="e">
        <f t="shared" si="220"/>
        <v>#N/A</v>
      </c>
      <c r="AH684" s="70" t="str">
        <f t="shared" si="221"/>
        <v>66, 56</v>
      </c>
      <c r="AI684" s="70">
        <f t="shared" si="222"/>
        <v>55</v>
      </c>
      <c r="AJ684" s="70" t="e">
        <f t="shared" si="223"/>
        <v>#N/A</v>
      </c>
      <c r="AK684" s="70" t="e">
        <f t="shared" si="224"/>
        <v>#N/A</v>
      </c>
      <c r="AN684" s="171"/>
      <c r="AO684" s="167"/>
      <c r="AP684" s="167"/>
    </row>
    <row r="685" spans="10:42" ht="20.100000000000001" customHeight="1" thickBot="1">
      <c r="J685" s="45" t="str">
        <f t="shared" si="215"/>
        <v>LS2</v>
      </c>
      <c r="K685" s="45" t="s">
        <v>131</v>
      </c>
      <c r="L685" s="45" t="str">
        <f t="shared" si="216"/>
        <v>4W-LS2@W</v>
      </c>
      <c r="M685" s="75" t="e">
        <f t="shared" si="213"/>
        <v>#N/A</v>
      </c>
      <c r="N685" s="75" t="e">
        <f t="shared" si="214"/>
        <v>#N/A</v>
      </c>
      <c r="R685" s="70" t="s">
        <v>318</v>
      </c>
      <c r="S685" s="70" t="s">
        <v>59</v>
      </c>
      <c r="T685" s="70" t="s">
        <v>57</v>
      </c>
      <c r="U685" s="70" t="s">
        <v>1563</v>
      </c>
      <c r="V685" s="70" t="s">
        <v>383</v>
      </c>
      <c r="X685" s="70" t="str">
        <f t="shared" si="225"/>
        <v>4W-W DT@W</v>
      </c>
      <c r="Y685" s="70" t="str">
        <f t="shared" si="226"/>
        <v>W DT-TEST@W</v>
      </c>
      <c r="Z685" s="70" t="str">
        <f t="shared" si="227"/>
        <v>TEST-EDT@W</v>
      </c>
      <c r="AA685" s="70" t="str">
        <f t="shared" si="228"/>
        <v>EDT-LS2@W</v>
      </c>
      <c r="AC685" s="70" t="str">
        <f t="shared" si="217"/>
        <v>369, 367, 361, 358, 357, 356, 355, 353, 352</v>
      </c>
      <c r="AD685" s="70" t="str">
        <f t="shared" si="218"/>
        <v>356, 355, 353, 352</v>
      </c>
      <c r="AE685" s="70" t="e">
        <f t="shared" si="219"/>
        <v>#N/A</v>
      </c>
      <c r="AF685" s="70" t="e">
        <f t="shared" si="220"/>
        <v>#N/A</v>
      </c>
      <c r="AH685" s="70" t="str">
        <f t="shared" si="221"/>
        <v>66, 56</v>
      </c>
      <c r="AI685" s="70">
        <f t="shared" si="222"/>
        <v>55</v>
      </c>
      <c r="AJ685" s="70" t="e">
        <f t="shared" si="223"/>
        <v>#N/A</v>
      </c>
      <c r="AK685" s="70" t="e">
        <f t="shared" si="224"/>
        <v>#N/A</v>
      </c>
      <c r="AN685" s="171"/>
      <c r="AO685" s="167"/>
      <c r="AP685" s="167"/>
    </row>
    <row r="686" spans="10:42" ht="20.100000000000001" customHeight="1" thickBot="1">
      <c r="J686" s="45" t="str">
        <f t="shared" si="215"/>
        <v>LS2</v>
      </c>
      <c r="K686" s="45" t="s">
        <v>131</v>
      </c>
      <c r="L686" s="45" t="str">
        <f t="shared" si="216"/>
        <v>5E-LS2@W</v>
      </c>
      <c r="M686" s="75" t="e">
        <f t="shared" si="213"/>
        <v>#N/A</v>
      </c>
      <c r="N686" s="75" t="e">
        <f t="shared" si="214"/>
        <v>#N/A</v>
      </c>
      <c r="R686" s="70" t="s">
        <v>325</v>
      </c>
      <c r="S686" s="70" t="s">
        <v>59</v>
      </c>
      <c r="T686" s="70" t="s">
        <v>57</v>
      </c>
      <c r="U686" s="70" t="s">
        <v>1563</v>
      </c>
      <c r="V686" s="70" t="s">
        <v>383</v>
      </c>
      <c r="X686" s="70" t="str">
        <f t="shared" si="225"/>
        <v>5E-W DT@W</v>
      </c>
      <c r="Y686" s="70" t="str">
        <f t="shared" si="226"/>
        <v>W DT-TEST@W</v>
      </c>
      <c r="Z686" s="70" t="str">
        <f t="shared" si="227"/>
        <v>TEST-EDT@W</v>
      </c>
      <c r="AA686" s="70" t="str">
        <f t="shared" si="228"/>
        <v>EDT-LS2@W</v>
      </c>
      <c r="AC686" s="70" t="str">
        <f t="shared" si="217"/>
        <v>375, 374, 360, 357, 356, 355, 353, 352</v>
      </c>
      <c r="AD686" s="70" t="str">
        <f t="shared" si="218"/>
        <v>356, 355, 353, 352</v>
      </c>
      <c r="AE686" s="70" t="e">
        <f t="shared" si="219"/>
        <v>#N/A</v>
      </c>
      <c r="AF686" s="70" t="e">
        <f t="shared" si="220"/>
        <v>#N/A</v>
      </c>
      <c r="AH686" s="70" t="str">
        <f t="shared" si="221"/>
        <v>67, 56</v>
      </c>
      <c r="AI686" s="70">
        <f t="shared" si="222"/>
        <v>55</v>
      </c>
      <c r="AJ686" s="70" t="e">
        <f t="shared" si="223"/>
        <v>#N/A</v>
      </c>
      <c r="AK686" s="70" t="e">
        <f t="shared" si="224"/>
        <v>#N/A</v>
      </c>
      <c r="AN686" s="171"/>
      <c r="AO686" s="167"/>
      <c r="AP686" s="167"/>
    </row>
    <row r="687" spans="10:42" ht="20.100000000000001" customHeight="1" thickBot="1">
      <c r="J687" s="45" t="str">
        <f t="shared" si="215"/>
        <v>LS2</v>
      </c>
      <c r="K687" s="45" t="s">
        <v>131</v>
      </c>
      <c r="L687" s="45" t="str">
        <f t="shared" si="216"/>
        <v>5W-LS2@W</v>
      </c>
      <c r="M687" s="75" t="e">
        <f t="shared" si="213"/>
        <v>#N/A</v>
      </c>
      <c r="N687" s="75" t="e">
        <f t="shared" si="214"/>
        <v>#N/A</v>
      </c>
      <c r="R687" s="70" t="s">
        <v>333</v>
      </c>
      <c r="S687" s="70" t="s">
        <v>59</v>
      </c>
      <c r="T687" s="70" t="s">
        <v>57</v>
      </c>
      <c r="U687" s="70" t="s">
        <v>1563</v>
      </c>
      <c r="V687" s="70" t="s">
        <v>383</v>
      </c>
      <c r="X687" s="70" t="str">
        <f t="shared" si="225"/>
        <v>5W-W DT@W</v>
      </c>
      <c r="Y687" s="70" t="str">
        <f t="shared" si="226"/>
        <v>W DT-TEST@W</v>
      </c>
      <c r="Z687" s="70" t="str">
        <f t="shared" si="227"/>
        <v>TEST-EDT@W</v>
      </c>
      <c r="AA687" s="70" t="str">
        <f t="shared" si="228"/>
        <v>EDT-LS2@W</v>
      </c>
      <c r="AC687" s="70" t="str">
        <f t="shared" si="217"/>
        <v>375, 374, 360, 357, 356, 355, 353, 352</v>
      </c>
      <c r="AD687" s="70" t="str">
        <f t="shared" si="218"/>
        <v>356, 355, 353, 352</v>
      </c>
      <c r="AE687" s="70" t="e">
        <f t="shared" si="219"/>
        <v>#N/A</v>
      </c>
      <c r="AF687" s="70" t="e">
        <f t="shared" si="220"/>
        <v>#N/A</v>
      </c>
      <c r="AH687" s="70" t="str">
        <f t="shared" si="221"/>
        <v>67, 56</v>
      </c>
      <c r="AI687" s="70">
        <f t="shared" si="222"/>
        <v>55</v>
      </c>
      <c r="AJ687" s="70" t="e">
        <f t="shared" si="223"/>
        <v>#N/A</v>
      </c>
      <c r="AK687" s="70" t="e">
        <f t="shared" si="224"/>
        <v>#N/A</v>
      </c>
      <c r="AN687" s="171"/>
      <c r="AO687" s="167"/>
      <c r="AP687" s="167"/>
    </row>
    <row r="688" spans="10:42" ht="20.100000000000001" customHeight="1" thickBot="1">
      <c r="J688" s="45" t="str">
        <f t="shared" si="215"/>
        <v>LS2</v>
      </c>
      <c r="K688" s="45" t="s">
        <v>131</v>
      </c>
      <c r="L688" s="45" t="str">
        <f t="shared" si="216"/>
        <v>6E-LS2@W</v>
      </c>
      <c r="M688" s="75" t="e">
        <f t="shared" si="213"/>
        <v>#N/A</v>
      </c>
      <c r="N688" s="75" t="e">
        <f t="shared" si="214"/>
        <v>#N/A</v>
      </c>
      <c r="R688" s="70" t="s">
        <v>339</v>
      </c>
      <c r="S688" s="70" t="s">
        <v>59</v>
      </c>
      <c r="T688" s="70" t="s">
        <v>57</v>
      </c>
      <c r="U688" s="70" t="s">
        <v>1563</v>
      </c>
      <c r="V688" s="70" t="s">
        <v>383</v>
      </c>
      <c r="X688" s="70" t="str">
        <f t="shared" si="225"/>
        <v>6E-W DT@W</v>
      </c>
      <c r="Y688" s="70" t="str">
        <f t="shared" si="226"/>
        <v>W DT-TEST@W</v>
      </c>
      <c r="Z688" s="70" t="str">
        <f t="shared" si="227"/>
        <v>TEST-EDT@W</v>
      </c>
      <c r="AA688" s="70" t="str">
        <f t="shared" si="228"/>
        <v>EDT-LS2@W</v>
      </c>
      <c r="AC688" s="70" t="str">
        <f t="shared" si="217"/>
        <v>375, 374, 360, 357, 356, 355, 353, 352</v>
      </c>
      <c r="AD688" s="70" t="str">
        <f t="shared" si="218"/>
        <v>356, 355, 353, 352</v>
      </c>
      <c r="AE688" s="70" t="e">
        <f t="shared" si="219"/>
        <v>#N/A</v>
      </c>
      <c r="AF688" s="70" t="e">
        <f t="shared" si="220"/>
        <v>#N/A</v>
      </c>
      <c r="AH688" s="70" t="str">
        <f t="shared" si="221"/>
        <v>68, 56</v>
      </c>
      <c r="AI688" s="70">
        <f t="shared" si="222"/>
        <v>55</v>
      </c>
      <c r="AJ688" s="70" t="e">
        <f t="shared" si="223"/>
        <v>#N/A</v>
      </c>
      <c r="AK688" s="70" t="e">
        <f t="shared" si="224"/>
        <v>#N/A</v>
      </c>
      <c r="AN688" s="171"/>
      <c r="AO688" s="167"/>
      <c r="AP688" s="167"/>
    </row>
    <row r="689" spans="10:42" ht="20.100000000000001" customHeight="1" thickBot="1">
      <c r="J689" s="45" t="str">
        <f t="shared" si="215"/>
        <v>LS2</v>
      </c>
      <c r="K689" s="45" t="s">
        <v>131</v>
      </c>
      <c r="L689" s="45" t="str">
        <f t="shared" si="216"/>
        <v>6W-LS2@W</v>
      </c>
      <c r="M689" s="75" t="e">
        <f t="shared" si="213"/>
        <v>#N/A</v>
      </c>
      <c r="N689" s="75" t="e">
        <f t="shared" si="214"/>
        <v>#N/A</v>
      </c>
      <c r="R689" s="70" t="s">
        <v>346</v>
      </c>
      <c r="S689" s="70" t="s">
        <v>59</v>
      </c>
      <c r="T689" s="70" t="s">
        <v>57</v>
      </c>
      <c r="U689" s="70" t="s">
        <v>1563</v>
      </c>
      <c r="V689" s="70" t="s">
        <v>383</v>
      </c>
      <c r="X689" s="70" t="str">
        <f t="shared" si="225"/>
        <v>6W-W DT@W</v>
      </c>
      <c r="Y689" s="70" t="str">
        <f t="shared" si="226"/>
        <v>W DT-TEST@W</v>
      </c>
      <c r="Z689" s="70" t="str">
        <f t="shared" si="227"/>
        <v>TEST-EDT@W</v>
      </c>
      <c r="AA689" s="70" t="str">
        <f t="shared" si="228"/>
        <v>EDT-LS2@W</v>
      </c>
      <c r="AC689" s="70" t="str">
        <f t="shared" si="217"/>
        <v>375, 374, 360, 357, 356, 355, 353, 352</v>
      </c>
      <c r="AD689" s="70" t="str">
        <f t="shared" si="218"/>
        <v>356, 355, 353, 352</v>
      </c>
      <c r="AE689" s="70" t="e">
        <f t="shared" si="219"/>
        <v>#N/A</v>
      </c>
      <c r="AF689" s="70" t="e">
        <f t="shared" si="220"/>
        <v>#N/A</v>
      </c>
      <c r="AH689" s="70" t="str">
        <f t="shared" si="221"/>
        <v>68, 56</v>
      </c>
      <c r="AI689" s="70">
        <f t="shared" si="222"/>
        <v>55</v>
      </c>
      <c r="AJ689" s="70" t="e">
        <f t="shared" si="223"/>
        <v>#N/A</v>
      </c>
      <c r="AK689" s="70" t="e">
        <f t="shared" si="224"/>
        <v>#N/A</v>
      </c>
      <c r="AN689" s="171"/>
      <c r="AO689" s="167"/>
      <c r="AP689" s="167"/>
    </row>
    <row r="690" spans="10:42" ht="20.100000000000001" customHeight="1" thickBot="1">
      <c r="J690" s="45" t="str">
        <f t="shared" si="215"/>
        <v>LS2</v>
      </c>
      <c r="K690" s="45" t="s">
        <v>131</v>
      </c>
      <c r="L690" s="45" t="str">
        <f t="shared" si="216"/>
        <v>7E-LS2@W</v>
      </c>
      <c r="M690" s="75" t="e">
        <f t="shared" si="213"/>
        <v>#N/A</v>
      </c>
      <c r="N690" s="75" t="e">
        <f t="shared" si="214"/>
        <v>#N/A</v>
      </c>
      <c r="R690" s="70" t="s">
        <v>354</v>
      </c>
      <c r="S690" s="70" t="s">
        <v>59</v>
      </c>
      <c r="T690" s="70" t="s">
        <v>57</v>
      </c>
      <c r="U690" s="70" t="s">
        <v>1563</v>
      </c>
      <c r="V690" s="70" t="s">
        <v>383</v>
      </c>
      <c r="X690" s="70" t="str">
        <f t="shared" si="225"/>
        <v>7E-W DT@W</v>
      </c>
      <c r="Y690" s="70" t="str">
        <f t="shared" si="226"/>
        <v>W DT-TEST@W</v>
      </c>
      <c r="Z690" s="70" t="str">
        <f t="shared" si="227"/>
        <v>TEST-EDT@W</v>
      </c>
      <c r="AA690" s="70" t="str">
        <f t="shared" si="228"/>
        <v>EDT-LS2@W</v>
      </c>
      <c r="AC690" s="70" t="str">
        <f t="shared" si="217"/>
        <v>376, 374, 360, 357, 356, 355, 353, 352</v>
      </c>
      <c r="AD690" s="70" t="str">
        <f t="shared" si="218"/>
        <v>356, 355, 353, 352</v>
      </c>
      <c r="AE690" s="70" t="e">
        <f t="shared" si="219"/>
        <v>#N/A</v>
      </c>
      <c r="AF690" s="70" t="e">
        <f t="shared" si="220"/>
        <v>#N/A</v>
      </c>
      <c r="AH690" s="70" t="str">
        <f t="shared" si="221"/>
        <v>69, 56</v>
      </c>
      <c r="AI690" s="70">
        <f t="shared" si="222"/>
        <v>55</v>
      </c>
      <c r="AJ690" s="70" t="e">
        <f t="shared" si="223"/>
        <v>#N/A</v>
      </c>
      <c r="AK690" s="70" t="e">
        <f t="shared" si="224"/>
        <v>#N/A</v>
      </c>
      <c r="AN690" s="171"/>
      <c r="AO690" s="167"/>
      <c r="AP690" s="167"/>
    </row>
    <row r="691" spans="10:42" ht="20.100000000000001" customHeight="1" thickBot="1">
      <c r="J691" s="45" t="str">
        <f t="shared" si="215"/>
        <v>LS2</v>
      </c>
      <c r="K691" s="45" t="s">
        <v>131</v>
      </c>
      <c r="L691" s="45" t="str">
        <f t="shared" si="216"/>
        <v>7W-LS2@W</v>
      </c>
      <c r="M691" s="75" t="e">
        <f t="shared" si="213"/>
        <v>#N/A</v>
      </c>
      <c r="N691" s="75" t="e">
        <f t="shared" si="214"/>
        <v>#N/A</v>
      </c>
      <c r="R691" s="70" t="s">
        <v>363</v>
      </c>
      <c r="S691" s="70" t="s">
        <v>59</v>
      </c>
      <c r="T691" s="70" t="s">
        <v>57</v>
      </c>
      <c r="U691" s="70" t="s">
        <v>1563</v>
      </c>
      <c r="V691" s="70" t="s">
        <v>383</v>
      </c>
      <c r="X691" s="70" t="str">
        <f t="shared" si="225"/>
        <v>7W-W DT@W</v>
      </c>
      <c r="Y691" s="70" t="str">
        <f t="shared" si="226"/>
        <v>W DT-TEST@W</v>
      </c>
      <c r="Z691" s="70" t="str">
        <f t="shared" si="227"/>
        <v>TEST-EDT@W</v>
      </c>
      <c r="AA691" s="70" t="str">
        <f t="shared" si="228"/>
        <v>EDT-LS2@W</v>
      </c>
      <c r="AC691" s="70" t="str">
        <f t="shared" si="217"/>
        <v>376, 374, 360, 357, 356, 355, 353, 352</v>
      </c>
      <c r="AD691" s="70" t="str">
        <f t="shared" si="218"/>
        <v>356, 355, 353, 352</v>
      </c>
      <c r="AE691" s="70" t="e">
        <f t="shared" si="219"/>
        <v>#N/A</v>
      </c>
      <c r="AF691" s="70" t="e">
        <f t="shared" si="220"/>
        <v>#N/A</v>
      </c>
      <c r="AH691" s="70" t="str">
        <f t="shared" si="221"/>
        <v>69, 56</v>
      </c>
      <c r="AI691" s="70">
        <f t="shared" si="222"/>
        <v>55</v>
      </c>
      <c r="AJ691" s="70" t="e">
        <f t="shared" si="223"/>
        <v>#N/A</v>
      </c>
      <c r="AK691" s="70" t="e">
        <f t="shared" si="224"/>
        <v>#N/A</v>
      </c>
      <c r="AN691" s="171"/>
      <c r="AO691" s="167"/>
      <c r="AP691" s="167"/>
    </row>
    <row r="692" spans="10:42" ht="20.100000000000001" customHeight="1" thickBot="1">
      <c r="J692" s="45" t="str">
        <f t="shared" si="215"/>
        <v>LS2</v>
      </c>
      <c r="K692" s="45" t="s">
        <v>131</v>
      </c>
      <c r="L692" s="45" t="str">
        <f t="shared" si="216"/>
        <v>8E-LS2@W</v>
      </c>
      <c r="M692" s="75" t="e">
        <f t="shared" si="213"/>
        <v>#N/A</v>
      </c>
      <c r="N692" s="75" t="e">
        <f t="shared" si="214"/>
        <v>#N/A</v>
      </c>
      <c r="R692" s="70" t="s">
        <v>370</v>
      </c>
      <c r="S692" s="70" t="s">
        <v>59</v>
      </c>
      <c r="T692" s="70" t="s">
        <v>57</v>
      </c>
      <c r="U692" s="70" t="s">
        <v>1563</v>
      </c>
      <c r="V692" s="70" t="s">
        <v>383</v>
      </c>
      <c r="X692" s="70" t="str">
        <f t="shared" si="225"/>
        <v>8E-W DT@W</v>
      </c>
      <c r="Y692" s="70" t="str">
        <f t="shared" si="226"/>
        <v>W DT-TEST@W</v>
      </c>
      <c r="Z692" s="70" t="str">
        <f t="shared" si="227"/>
        <v>TEST-EDT@W</v>
      </c>
      <c r="AA692" s="70" t="str">
        <f t="shared" si="228"/>
        <v>EDT-LS2@W</v>
      </c>
      <c r="AC692" s="70" t="str">
        <f t="shared" si="217"/>
        <v>376, 374, 360, 357, 356, 355, 353, 352</v>
      </c>
      <c r="AD692" s="70" t="str">
        <f t="shared" si="218"/>
        <v>356, 355, 353, 352</v>
      </c>
      <c r="AE692" s="70" t="e">
        <f t="shared" si="219"/>
        <v>#N/A</v>
      </c>
      <c r="AF692" s="70" t="e">
        <f t="shared" si="220"/>
        <v>#N/A</v>
      </c>
      <c r="AH692" s="70" t="str">
        <f t="shared" si="221"/>
        <v>70, 56</v>
      </c>
      <c r="AI692" s="70">
        <f t="shared" si="222"/>
        <v>55</v>
      </c>
      <c r="AJ692" s="70" t="e">
        <f t="shared" si="223"/>
        <v>#N/A</v>
      </c>
      <c r="AK692" s="70" t="e">
        <f t="shared" si="224"/>
        <v>#N/A</v>
      </c>
      <c r="AN692" s="171"/>
      <c r="AO692" s="167"/>
      <c r="AP692" s="167"/>
    </row>
    <row r="693" spans="10:42" ht="20.100000000000001" customHeight="1" thickBot="1">
      <c r="J693" s="45" t="str">
        <f t="shared" si="215"/>
        <v>LS2</v>
      </c>
      <c r="K693" s="45" t="s">
        <v>131</v>
      </c>
      <c r="L693" s="45" t="str">
        <f t="shared" si="216"/>
        <v>8W-LS2@W</v>
      </c>
      <c r="M693" s="75" t="e">
        <f t="shared" si="213"/>
        <v>#N/A</v>
      </c>
      <c r="N693" s="75" t="e">
        <f t="shared" si="214"/>
        <v>#N/A</v>
      </c>
      <c r="R693" s="70" t="s">
        <v>377</v>
      </c>
      <c r="S693" s="70" t="s">
        <v>59</v>
      </c>
      <c r="T693" s="70" t="s">
        <v>57</v>
      </c>
      <c r="U693" s="70" t="s">
        <v>1563</v>
      </c>
      <c r="V693" s="70" t="s">
        <v>383</v>
      </c>
      <c r="X693" s="70" t="str">
        <f t="shared" si="225"/>
        <v>8W-W DT@W</v>
      </c>
      <c r="Y693" s="70" t="str">
        <f t="shared" si="226"/>
        <v>W DT-TEST@W</v>
      </c>
      <c r="Z693" s="70" t="str">
        <f t="shared" si="227"/>
        <v>TEST-EDT@W</v>
      </c>
      <c r="AA693" s="70" t="str">
        <f t="shared" si="228"/>
        <v>EDT-LS2@W</v>
      </c>
      <c r="AC693" s="70" t="str">
        <f t="shared" si="217"/>
        <v>376, 374, 360, 357, 356, 355, 353, 352</v>
      </c>
      <c r="AD693" s="70" t="str">
        <f t="shared" si="218"/>
        <v>356, 355, 353, 352</v>
      </c>
      <c r="AE693" s="70" t="e">
        <f t="shared" si="219"/>
        <v>#N/A</v>
      </c>
      <c r="AF693" s="70" t="e">
        <f t="shared" si="220"/>
        <v>#N/A</v>
      </c>
      <c r="AH693" s="70" t="str">
        <f t="shared" si="221"/>
        <v>70, 56</v>
      </c>
      <c r="AI693" s="70">
        <f t="shared" si="222"/>
        <v>55</v>
      </c>
      <c r="AJ693" s="70" t="e">
        <f t="shared" si="223"/>
        <v>#N/A</v>
      </c>
      <c r="AK693" s="70" t="e">
        <f t="shared" si="224"/>
        <v>#N/A</v>
      </c>
      <c r="AN693" s="171"/>
      <c r="AO693" s="167"/>
      <c r="AP693" s="167"/>
    </row>
    <row r="694" spans="10:42" ht="20.100000000000001" customHeight="1" thickBot="1">
      <c r="J694" s="45" t="str">
        <f t="shared" si="215"/>
        <v>LS3</v>
      </c>
      <c r="K694" s="45" t="s">
        <v>131</v>
      </c>
      <c r="L694" s="45" t="str">
        <f t="shared" si="216"/>
        <v>RM1E-LS3@W</v>
      </c>
      <c r="M694" s="75" t="e">
        <f t="shared" si="213"/>
        <v>#N/A</v>
      </c>
      <c r="N694" s="75" t="e">
        <f t="shared" si="214"/>
        <v>#N/A</v>
      </c>
      <c r="R694" s="70" t="s">
        <v>200</v>
      </c>
      <c r="S694" s="70" t="s">
        <v>59</v>
      </c>
      <c r="T694" s="70" t="s">
        <v>57</v>
      </c>
      <c r="U694" s="70" t="s">
        <v>1563</v>
      </c>
      <c r="V694" s="70" t="s">
        <v>531</v>
      </c>
      <c r="X694" s="70" t="str">
        <f t="shared" si="225"/>
        <v>RM1E-W DT@W</v>
      </c>
      <c r="Y694" s="70" t="str">
        <f t="shared" si="226"/>
        <v>W DT-TEST@W</v>
      </c>
      <c r="Z694" s="70" t="str">
        <f t="shared" si="227"/>
        <v>TEST-EDT@W</v>
      </c>
      <c r="AA694" s="70" t="str">
        <f t="shared" si="228"/>
        <v>EDT-LS3@W</v>
      </c>
      <c r="AC694" s="70" t="str">
        <f t="shared" si="217"/>
        <v>364, 362, 361, 358, 357, 356, 355, 353, 352</v>
      </c>
      <c r="AD694" s="70" t="str">
        <f t="shared" si="218"/>
        <v>356, 355, 353, 352</v>
      </c>
      <c r="AE694" s="70" t="e">
        <f t="shared" si="219"/>
        <v>#N/A</v>
      </c>
      <c r="AF694" s="70" t="e">
        <f t="shared" si="220"/>
        <v>#N/A</v>
      </c>
      <c r="AH694" s="70" t="str">
        <f t="shared" si="221"/>
        <v>25, 04</v>
      </c>
      <c r="AI694" s="70">
        <f t="shared" si="222"/>
        <v>55</v>
      </c>
      <c r="AJ694" s="70" t="e">
        <f t="shared" si="223"/>
        <v>#N/A</v>
      </c>
      <c r="AK694" s="70" t="e">
        <f t="shared" si="224"/>
        <v>#N/A</v>
      </c>
      <c r="AN694" s="171"/>
      <c r="AO694" s="167"/>
      <c r="AP694" s="167"/>
    </row>
    <row r="695" spans="10:42" ht="20.100000000000001" customHeight="1" thickBot="1">
      <c r="J695" s="45" t="str">
        <f t="shared" si="215"/>
        <v>LS3</v>
      </c>
      <c r="K695" s="45" t="s">
        <v>131</v>
      </c>
      <c r="L695" s="45" t="str">
        <f t="shared" si="216"/>
        <v>RM1W-LS3@W</v>
      </c>
      <c r="M695" s="75" t="e">
        <f t="shared" si="213"/>
        <v>#N/A</v>
      </c>
      <c r="N695" s="75" t="e">
        <f t="shared" si="214"/>
        <v>#N/A</v>
      </c>
      <c r="R695" s="70" t="s">
        <v>208</v>
      </c>
      <c r="S695" s="70" t="s">
        <v>59</v>
      </c>
      <c r="T695" s="70" t="s">
        <v>57</v>
      </c>
      <c r="U695" s="70" t="s">
        <v>1563</v>
      </c>
      <c r="V695" s="70" t="s">
        <v>531</v>
      </c>
      <c r="X695" s="70" t="str">
        <f t="shared" si="225"/>
        <v>RM1W-W DT@W</v>
      </c>
      <c r="Y695" s="70" t="str">
        <f t="shared" si="226"/>
        <v>W DT-TEST@W</v>
      </c>
      <c r="Z695" s="70" t="str">
        <f t="shared" si="227"/>
        <v>TEST-EDT@W</v>
      </c>
      <c r="AA695" s="70" t="str">
        <f t="shared" si="228"/>
        <v>EDT-LS3@W</v>
      </c>
      <c r="AC695" s="70" t="str">
        <f t="shared" si="217"/>
        <v>364, 362, 361, 358, 357, 356, 355, 353, 352</v>
      </c>
      <c r="AD695" s="70" t="str">
        <f t="shared" si="218"/>
        <v>356, 355, 353, 352</v>
      </c>
      <c r="AE695" s="70" t="e">
        <f t="shared" si="219"/>
        <v>#N/A</v>
      </c>
      <c r="AF695" s="70" t="e">
        <f t="shared" si="220"/>
        <v>#N/A</v>
      </c>
      <c r="AH695" s="70" t="str">
        <f t="shared" si="221"/>
        <v>25, 04</v>
      </c>
      <c r="AI695" s="70">
        <f t="shared" si="222"/>
        <v>55</v>
      </c>
      <c r="AJ695" s="70" t="e">
        <f t="shared" si="223"/>
        <v>#N/A</v>
      </c>
      <c r="AK695" s="70" t="e">
        <f t="shared" si="224"/>
        <v>#N/A</v>
      </c>
      <c r="AN695" s="171"/>
      <c r="AO695" s="167"/>
      <c r="AP695" s="167"/>
    </row>
    <row r="696" spans="10:42" ht="20.100000000000001" customHeight="1" thickBot="1">
      <c r="J696" s="45" t="str">
        <f t="shared" si="215"/>
        <v>LS3</v>
      </c>
      <c r="K696" s="45" t="s">
        <v>131</v>
      </c>
      <c r="L696" s="45" t="str">
        <f t="shared" si="216"/>
        <v>RM2E-LS3@W</v>
      </c>
      <c r="M696" s="75" t="e">
        <f t="shared" si="213"/>
        <v>#N/A</v>
      </c>
      <c r="N696" s="75" t="e">
        <f t="shared" si="214"/>
        <v>#N/A</v>
      </c>
      <c r="R696" s="70" t="s">
        <v>216</v>
      </c>
      <c r="S696" s="70" t="s">
        <v>59</v>
      </c>
      <c r="T696" s="70" t="s">
        <v>57</v>
      </c>
      <c r="U696" s="70" t="s">
        <v>1563</v>
      </c>
      <c r="V696" s="70" t="s">
        <v>531</v>
      </c>
      <c r="X696" s="70" t="str">
        <f t="shared" si="225"/>
        <v>RM2E-W DT@W</v>
      </c>
      <c r="Y696" s="70" t="str">
        <f t="shared" si="226"/>
        <v>W DT-TEST@W</v>
      </c>
      <c r="Z696" s="70" t="str">
        <f t="shared" si="227"/>
        <v>TEST-EDT@W</v>
      </c>
      <c r="AA696" s="70" t="str">
        <f t="shared" si="228"/>
        <v>EDT-LS3@W</v>
      </c>
      <c r="AC696" s="70" t="str">
        <f t="shared" si="217"/>
        <v>365, 362, 361, 358, 357, 356, 355, 353, 352</v>
      </c>
      <c r="AD696" s="70" t="str">
        <f t="shared" si="218"/>
        <v>356, 355, 353, 352</v>
      </c>
      <c r="AE696" s="70" t="e">
        <f t="shared" si="219"/>
        <v>#N/A</v>
      </c>
      <c r="AF696" s="70" t="e">
        <f t="shared" si="220"/>
        <v>#N/A</v>
      </c>
      <c r="AH696" s="70" t="str">
        <f t="shared" si="221"/>
        <v>26, 04</v>
      </c>
      <c r="AI696" s="70">
        <f t="shared" si="222"/>
        <v>55</v>
      </c>
      <c r="AJ696" s="70" t="e">
        <f t="shared" si="223"/>
        <v>#N/A</v>
      </c>
      <c r="AK696" s="70" t="e">
        <f t="shared" si="224"/>
        <v>#N/A</v>
      </c>
      <c r="AN696" s="171"/>
      <c r="AO696" s="167"/>
      <c r="AP696" s="167"/>
    </row>
    <row r="697" spans="10:42" ht="20.100000000000001" customHeight="1" thickBot="1">
      <c r="J697" s="45" t="str">
        <f t="shared" si="215"/>
        <v>LS3</v>
      </c>
      <c r="K697" s="45" t="s">
        <v>131</v>
      </c>
      <c r="L697" s="45" t="str">
        <f t="shared" si="216"/>
        <v>RM2W-LS3@W</v>
      </c>
      <c r="M697" s="75" t="e">
        <f t="shared" si="213"/>
        <v>#N/A</v>
      </c>
      <c r="N697" s="75" t="e">
        <f t="shared" si="214"/>
        <v>#N/A</v>
      </c>
      <c r="R697" s="70" t="s">
        <v>224</v>
      </c>
      <c r="S697" s="70" t="s">
        <v>59</v>
      </c>
      <c r="T697" s="70" t="s">
        <v>57</v>
      </c>
      <c r="U697" s="70" t="s">
        <v>1563</v>
      </c>
      <c r="V697" s="70" t="s">
        <v>531</v>
      </c>
      <c r="X697" s="70" t="str">
        <f t="shared" si="225"/>
        <v>RM2W-W DT@W</v>
      </c>
      <c r="Y697" s="70" t="str">
        <f t="shared" si="226"/>
        <v>W DT-TEST@W</v>
      </c>
      <c r="Z697" s="70" t="str">
        <f t="shared" si="227"/>
        <v>TEST-EDT@W</v>
      </c>
      <c r="AA697" s="70" t="str">
        <f t="shared" si="228"/>
        <v>EDT-LS3@W</v>
      </c>
      <c r="AC697" s="70" t="str">
        <f t="shared" si="217"/>
        <v>365, 362, 361, 358, 357, 356, 355, 353, 352</v>
      </c>
      <c r="AD697" s="70" t="str">
        <f t="shared" si="218"/>
        <v>356, 355, 353, 352</v>
      </c>
      <c r="AE697" s="70" t="e">
        <f t="shared" si="219"/>
        <v>#N/A</v>
      </c>
      <c r="AF697" s="70" t="e">
        <f t="shared" si="220"/>
        <v>#N/A</v>
      </c>
      <c r="AH697" s="70" t="str">
        <f t="shared" si="221"/>
        <v>26, 04</v>
      </c>
      <c r="AI697" s="70">
        <f t="shared" si="222"/>
        <v>55</v>
      </c>
      <c r="AJ697" s="70" t="e">
        <f t="shared" si="223"/>
        <v>#N/A</v>
      </c>
      <c r="AK697" s="70" t="e">
        <f t="shared" si="224"/>
        <v>#N/A</v>
      </c>
      <c r="AN697" s="171"/>
      <c r="AO697" s="167"/>
      <c r="AP697" s="167"/>
    </row>
    <row r="698" spans="10:42" ht="20.100000000000001" customHeight="1" thickBot="1">
      <c r="J698" s="45" t="str">
        <f t="shared" si="215"/>
        <v>LS3</v>
      </c>
      <c r="K698" s="45" t="s">
        <v>131</v>
      </c>
      <c r="L698" s="45" t="str">
        <f t="shared" si="216"/>
        <v>RM3E-LS3@W</v>
      </c>
      <c r="M698" s="75" t="e">
        <f t="shared" si="213"/>
        <v>#N/A</v>
      </c>
      <c r="N698" s="75" t="e">
        <f t="shared" si="214"/>
        <v>#N/A</v>
      </c>
      <c r="R698" s="70" t="s">
        <v>231</v>
      </c>
      <c r="S698" s="70" t="s">
        <v>59</v>
      </c>
      <c r="T698" s="70" t="s">
        <v>57</v>
      </c>
      <c r="U698" s="70" t="s">
        <v>1563</v>
      </c>
      <c r="V698" s="70" t="s">
        <v>531</v>
      </c>
      <c r="X698" s="70" t="str">
        <f t="shared" si="225"/>
        <v>RM3E-W DT@W</v>
      </c>
      <c r="Y698" s="70" t="str">
        <f t="shared" si="226"/>
        <v>W DT-TEST@W</v>
      </c>
      <c r="Z698" s="70" t="str">
        <f t="shared" si="227"/>
        <v>TEST-EDT@W</v>
      </c>
      <c r="AA698" s="70" t="str">
        <f t="shared" si="228"/>
        <v>EDT-LS3@W</v>
      </c>
      <c r="AC698" s="70" t="str">
        <f t="shared" si="217"/>
        <v>365, 362, 361, 358, 357, 356, 355, 353, 352</v>
      </c>
      <c r="AD698" s="70" t="str">
        <f t="shared" si="218"/>
        <v>356, 355, 353, 352</v>
      </c>
      <c r="AE698" s="70" t="e">
        <f t="shared" si="219"/>
        <v>#N/A</v>
      </c>
      <c r="AF698" s="70" t="e">
        <f t="shared" si="220"/>
        <v>#N/A</v>
      </c>
      <c r="AH698" s="70" t="str">
        <f t="shared" si="221"/>
        <v>27, 04</v>
      </c>
      <c r="AI698" s="70">
        <f t="shared" si="222"/>
        <v>55</v>
      </c>
      <c r="AJ698" s="70" t="e">
        <f t="shared" si="223"/>
        <v>#N/A</v>
      </c>
      <c r="AK698" s="70" t="e">
        <f t="shared" si="224"/>
        <v>#N/A</v>
      </c>
      <c r="AN698" s="171"/>
      <c r="AO698" s="167"/>
      <c r="AP698" s="167"/>
    </row>
    <row r="699" spans="10:42" ht="20.100000000000001" customHeight="1" thickBot="1">
      <c r="J699" s="45" t="str">
        <f t="shared" si="215"/>
        <v>LS3</v>
      </c>
      <c r="K699" s="45" t="s">
        <v>131</v>
      </c>
      <c r="L699" s="45" t="str">
        <f t="shared" si="216"/>
        <v>RM3W-LS3@W</v>
      </c>
      <c r="M699" s="75" t="e">
        <f t="shared" si="213"/>
        <v>#N/A</v>
      </c>
      <c r="N699" s="75" t="e">
        <f t="shared" si="214"/>
        <v>#N/A</v>
      </c>
      <c r="R699" s="70" t="s">
        <v>238</v>
      </c>
      <c r="S699" s="70" t="s">
        <v>59</v>
      </c>
      <c r="T699" s="70" t="s">
        <v>57</v>
      </c>
      <c r="U699" s="70" t="s">
        <v>1563</v>
      </c>
      <c r="V699" s="70" t="s">
        <v>531</v>
      </c>
      <c r="X699" s="70" t="str">
        <f t="shared" si="225"/>
        <v>RM3W-W DT@W</v>
      </c>
      <c r="Y699" s="70" t="str">
        <f t="shared" si="226"/>
        <v>W DT-TEST@W</v>
      </c>
      <c r="Z699" s="70" t="str">
        <f t="shared" si="227"/>
        <v>TEST-EDT@W</v>
      </c>
      <c r="AA699" s="70" t="str">
        <f t="shared" si="228"/>
        <v>EDT-LS3@W</v>
      </c>
      <c r="AC699" s="70" t="str">
        <f t="shared" si="217"/>
        <v>365, 362, 361, 358, 357, 356, 355, 353, 352</v>
      </c>
      <c r="AD699" s="70" t="str">
        <f t="shared" si="218"/>
        <v>356, 355, 353, 352</v>
      </c>
      <c r="AE699" s="70" t="e">
        <f t="shared" si="219"/>
        <v>#N/A</v>
      </c>
      <c r="AF699" s="70" t="e">
        <f t="shared" si="220"/>
        <v>#N/A</v>
      </c>
      <c r="AH699" s="70" t="str">
        <f t="shared" si="221"/>
        <v>27, 04</v>
      </c>
      <c r="AI699" s="70">
        <f t="shared" si="222"/>
        <v>55</v>
      </c>
      <c r="AJ699" s="70" t="e">
        <f t="shared" si="223"/>
        <v>#N/A</v>
      </c>
      <c r="AK699" s="70" t="e">
        <f t="shared" si="224"/>
        <v>#N/A</v>
      </c>
      <c r="AN699" s="171"/>
      <c r="AO699" s="167"/>
      <c r="AP699" s="167"/>
    </row>
    <row r="700" spans="10:42" ht="20.100000000000001" customHeight="1" thickBot="1">
      <c r="J700" s="45" t="str">
        <f t="shared" si="215"/>
        <v>LS3</v>
      </c>
      <c r="K700" s="45" t="s">
        <v>131</v>
      </c>
      <c r="L700" s="45" t="str">
        <f t="shared" si="216"/>
        <v>HCTE-LS3@W</v>
      </c>
      <c r="M700" s="75" t="e">
        <f t="shared" si="213"/>
        <v>#N/A</v>
      </c>
      <c r="N700" s="75" t="e">
        <f t="shared" si="214"/>
        <v>#N/A</v>
      </c>
      <c r="R700" s="70" t="s">
        <v>246</v>
      </c>
      <c r="S700" s="70" t="s">
        <v>59</v>
      </c>
      <c r="T700" s="70" t="s">
        <v>57</v>
      </c>
      <c r="U700" s="70" t="s">
        <v>1563</v>
      </c>
      <c r="V700" s="70" t="s">
        <v>531</v>
      </c>
      <c r="X700" s="70" t="str">
        <f t="shared" si="225"/>
        <v>HCTE-W DT@W</v>
      </c>
      <c r="Y700" s="70" t="str">
        <f t="shared" si="226"/>
        <v>W DT-TEST@W</v>
      </c>
      <c r="Z700" s="70" t="str">
        <f t="shared" si="227"/>
        <v>TEST-EDT@W</v>
      </c>
      <c r="AA700" s="70" t="str">
        <f t="shared" si="228"/>
        <v>EDT-LS3@W</v>
      </c>
      <c r="AC700" s="70" t="str">
        <f t="shared" si="217"/>
        <v>368, 367, 361, 358, 357, 356, 355, 353, 352</v>
      </c>
      <c r="AD700" s="70" t="str">
        <f t="shared" si="218"/>
        <v>356, 355, 353, 352</v>
      </c>
      <c r="AE700" s="70" t="e">
        <f t="shared" si="219"/>
        <v>#N/A</v>
      </c>
      <c r="AF700" s="70" t="e">
        <f t="shared" si="220"/>
        <v>#N/A</v>
      </c>
      <c r="AH700" s="70" t="str">
        <f t="shared" si="221"/>
        <v>28, 04</v>
      </c>
      <c r="AI700" s="70">
        <f t="shared" si="222"/>
        <v>55</v>
      </c>
      <c r="AJ700" s="70" t="e">
        <f t="shared" si="223"/>
        <v>#N/A</v>
      </c>
      <c r="AK700" s="70" t="e">
        <f t="shared" si="224"/>
        <v>#N/A</v>
      </c>
      <c r="AN700" s="171"/>
      <c r="AO700" s="167"/>
      <c r="AP700" s="167"/>
    </row>
    <row r="701" spans="10:42" ht="20.100000000000001" customHeight="1" thickBot="1">
      <c r="J701" s="45" t="str">
        <f t="shared" si="215"/>
        <v>LS3</v>
      </c>
      <c r="K701" s="45" t="s">
        <v>131</v>
      </c>
      <c r="L701" s="45" t="str">
        <f t="shared" si="216"/>
        <v>HCTW-LS3@W</v>
      </c>
      <c r="M701" s="75" t="e">
        <f t="shared" si="213"/>
        <v>#N/A</v>
      </c>
      <c r="N701" s="75" t="e">
        <f t="shared" si="214"/>
        <v>#N/A</v>
      </c>
      <c r="R701" s="70" t="s">
        <v>254</v>
      </c>
      <c r="S701" s="70" t="s">
        <v>59</v>
      </c>
      <c r="T701" s="70" t="s">
        <v>57</v>
      </c>
      <c r="U701" s="70" t="s">
        <v>1563</v>
      </c>
      <c r="V701" s="70" t="s">
        <v>531</v>
      </c>
      <c r="X701" s="70" t="str">
        <f t="shared" si="225"/>
        <v>HCTW-W DT@W</v>
      </c>
      <c r="Y701" s="70" t="str">
        <f t="shared" si="226"/>
        <v>W DT-TEST@W</v>
      </c>
      <c r="Z701" s="70" t="str">
        <f t="shared" si="227"/>
        <v>TEST-EDT@W</v>
      </c>
      <c r="AA701" s="70" t="str">
        <f t="shared" si="228"/>
        <v>EDT-LS3@W</v>
      </c>
      <c r="AC701" s="70" t="str">
        <f t="shared" si="217"/>
        <v>368, 367, 361, 358, 357, 356, 355, 353, 352</v>
      </c>
      <c r="AD701" s="70" t="str">
        <f t="shared" si="218"/>
        <v>356, 355, 353, 352</v>
      </c>
      <c r="AE701" s="70" t="e">
        <f t="shared" si="219"/>
        <v>#N/A</v>
      </c>
      <c r="AF701" s="70" t="e">
        <f t="shared" si="220"/>
        <v>#N/A</v>
      </c>
      <c r="AH701" s="70" t="str">
        <f t="shared" si="221"/>
        <v>28, 04</v>
      </c>
      <c r="AI701" s="70">
        <f t="shared" si="222"/>
        <v>55</v>
      </c>
      <c r="AJ701" s="70" t="e">
        <f t="shared" si="223"/>
        <v>#N/A</v>
      </c>
      <c r="AK701" s="70" t="e">
        <f t="shared" si="224"/>
        <v>#N/A</v>
      </c>
      <c r="AN701" s="171"/>
      <c r="AO701" s="167"/>
      <c r="AP701" s="167"/>
    </row>
    <row r="702" spans="10:42" ht="20.100000000000001" customHeight="1" thickBot="1">
      <c r="J702" s="45" t="str">
        <f t="shared" si="215"/>
        <v>LS3</v>
      </c>
      <c r="K702" s="45" t="s">
        <v>131</v>
      </c>
      <c r="L702" s="45" t="str">
        <f t="shared" si="216"/>
        <v>1E-LS3@W</v>
      </c>
      <c r="M702" s="75" t="e">
        <f t="shared" si="213"/>
        <v>#N/A</v>
      </c>
      <c r="N702" s="75" t="e">
        <f t="shared" si="214"/>
        <v>#N/A</v>
      </c>
      <c r="R702" s="70" t="s">
        <v>261</v>
      </c>
      <c r="S702" s="70" t="s">
        <v>59</v>
      </c>
      <c r="T702" s="70" t="s">
        <v>57</v>
      </c>
      <c r="U702" s="70" t="s">
        <v>1563</v>
      </c>
      <c r="V702" s="70" t="s">
        <v>531</v>
      </c>
      <c r="X702" s="70" t="str">
        <f t="shared" si="225"/>
        <v>1E-W DT@W</v>
      </c>
      <c r="Y702" s="70" t="str">
        <f t="shared" si="226"/>
        <v>W DT-TEST@W</v>
      </c>
      <c r="Z702" s="70" t="str">
        <f t="shared" si="227"/>
        <v>TEST-EDT@W</v>
      </c>
      <c r="AA702" s="70" t="str">
        <f t="shared" si="228"/>
        <v>EDT-LS3@W</v>
      </c>
      <c r="AC702" s="70" t="str">
        <f t="shared" si="217"/>
        <v>368, 367, 361, 358, 357, 356, 355, 353, 352</v>
      </c>
      <c r="AD702" s="70" t="str">
        <f t="shared" si="218"/>
        <v>356, 355, 353, 352</v>
      </c>
      <c r="AE702" s="70" t="e">
        <f t="shared" si="219"/>
        <v>#N/A</v>
      </c>
      <c r="AF702" s="70" t="e">
        <f t="shared" si="220"/>
        <v>#N/A</v>
      </c>
      <c r="AH702" s="70" t="str">
        <f t="shared" si="221"/>
        <v>63, 56</v>
      </c>
      <c r="AI702" s="70">
        <f t="shared" si="222"/>
        <v>55</v>
      </c>
      <c r="AJ702" s="70" t="e">
        <f t="shared" si="223"/>
        <v>#N/A</v>
      </c>
      <c r="AK702" s="70" t="e">
        <f t="shared" si="224"/>
        <v>#N/A</v>
      </c>
      <c r="AN702" s="171"/>
      <c r="AO702" s="167"/>
      <c r="AP702" s="167"/>
    </row>
    <row r="703" spans="10:42" ht="20.100000000000001" customHeight="1" thickBot="1">
      <c r="J703" s="45" t="str">
        <f t="shared" si="215"/>
        <v>LS3</v>
      </c>
      <c r="K703" s="45" t="s">
        <v>131</v>
      </c>
      <c r="L703" s="45" t="str">
        <f t="shared" si="216"/>
        <v>1W-LS3@W</v>
      </c>
      <c r="M703" s="75" t="e">
        <f t="shared" si="213"/>
        <v>#N/A</v>
      </c>
      <c r="N703" s="75" t="e">
        <f t="shared" si="214"/>
        <v>#N/A</v>
      </c>
      <c r="R703" s="70" t="s">
        <v>269</v>
      </c>
      <c r="S703" s="70" t="s">
        <v>59</v>
      </c>
      <c r="T703" s="70" t="s">
        <v>57</v>
      </c>
      <c r="U703" s="70" t="s">
        <v>1563</v>
      </c>
      <c r="V703" s="70" t="s">
        <v>531</v>
      </c>
      <c r="X703" s="70" t="str">
        <f t="shared" si="225"/>
        <v>1W-W DT@W</v>
      </c>
      <c r="Y703" s="70" t="str">
        <f t="shared" si="226"/>
        <v>W DT-TEST@W</v>
      </c>
      <c r="Z703" s="70" t="str">
        <f t="shared" si="227"/>
        <v>TEST-EDT@W</v>
      </c>
      <c r="AA703" s="70" t="str">
        <f t="shared" si="228"/>
        <v>EDT-LS3@W</v>
      </c>
      <c r="AC703" s="70" t="str">
        <f t="shared" si="217"/>
        <v>368, 367, 361, 358, 357, 356, 355, 353, 352</v>
      </c>
      <c r="AD703" s="70" t="str">
        <f t="shared" si="218"/>
        <v>356, 355, 353, 352</v>
      </c>
      <c r="AE703" s="70" t="e">
        <f t="shared" si="219"/>
        <v>#N/A</v>
      </c>
      <c r="AF703" s="70" t="e">
        <f t="shared" si="220"/>
        <v>#N/A</v>
      </c>
      <c r="AH703" s="70" t="str">
        <f t="shared" si="221"/>
        <v>63, 56</v>
      </c>
      <c r="AI703" s="70">
        <f t="shared" si="222"/>
        <v>55</v>
      </c>
      <c r="AJ703" s="70" t="e">
        <f t="shared" si="223"/>
        <v>#N/A</v>
      </c>
      <c r="AK703" s="70" t="e">
        <f t="shared" si="224"/>
        <v>#N/A</v>
      </c>
      <c r="AN703" s="171"/>
      <c r="AO703" s="167"/>
      <c r="AP703" s="167"/>
    </row>
    <row r="704" spans="10:42" ht="20.100000000000001" customHeight="1" thickBot="1">
      <c r="J704" s="45" t="str">
        <f t="shared" si="215"/>
        <v>LS3</v>
      </c>
      <c r="K704" s="45" t="s">
        <v>131</v>
      </c>
      <c r="L704" s="45" t="str">
        <f t="shared" si="216"/>
        <v>2E-LS3@W</v>
      </c>
      <c r="M704" s="75" t="e">
        <f t="shared" si="213"/>
        <v>#N/A</v>
      </c>
      <c r="N704" s="75" t="e">
        <f t="shared" si="214"/>
        <v>#N/A</v>
      </c>
      <c r="R704" s="70" t="s">
        <v>276</v>
      </c>
      <c r="S704" s="70" t="s">
        <v>59</v>
      </c>
      <c r="T704" s="70" t="s">
        <v>57</v>
      </c>
      <c r="U704" s="70" t="s">
        <v>1563</v>
      </c>
      <c r="V704" s="70" t="s">
        <v>531</v>
      </c>
      <c r="X704" s="70" t="str">
        <f t="shared" si="225"/>
        <v>2E-W DT@W</v>
      </c>
      <c r="Y704" s="70" t="str">
        <f t="shared" si="226"/>
        <v>W DT-TEST@W</v>
      </c>
      <c r="Z704" s="70" t="str">
        <f t="shared" si="227"/>
        <v>TEST-EDT@W</v>
      </c>
      <c r="AA704" s="70" t="str">
        <f t="shared" si="228"/>
        <v>EDT-LS3@W</v>
      </c>
      <c r="AC704" s="70" t="str">
        <f t="shared" si="217"/>
        <v>370, 369, 367, 361, 358, 357, 356, 355, 353, 352</v>
      </c>
      <c r="AD704" s="70" t="str">
        <f t="shared" si="218"/>
        <v>356, 355, 353, 352</v>
      </c>
      <c r="AE704" s="70" t="e">
        <f t="shared" si="219"/>
        <v>#N/A</v>
      </c>
      <c r="AF704" s="70" t="e">
        <f t="shared" si="220"/>
        <v>#N/A</v>
      </c>
      <c r="AH704" s="70" t="str">
        <f t="shared" si="221"/>
        <v>64, 56</v>
      </c>
      <c r="AI704" s="70">
        <f t="shared" si="222"/>
        <v>55</v>
      </c>
      <c r="AJ704" s="70" t="e">
        <f t="shared" si="223"/>
        <v>#N/A</v>
      </c>
      <c r="AK704" s="70" t="e">
        <f t="shared" si="224"/>
        <v>#N/A</v>
      </c>
      <c r="AN704" s="171"/>
      <c r="AO704" s="167"/>
      <c r="AP704" s="167"/>
    </row>
    <row r="705" spans="10:42" ht="20.100000000000001" customHeight="1" thickBot="1">
      <c r="J705" s="45" t="str">
        <f t="shared" si="215"/>
        <v>LS3</v>
      </c>
      <c r="K705" s="45" t="s">
        <v>131</v>
      </c>
      <c r="L705" s="45" t="str">
        <f t="shared" si="216"/>
        <v>2W-LS3@W</v>
      </c>
      <c r="M705" s="75" t="e">
        <f t="shared" si="213"/>
        <v>#N/A</v>
      </c>
      <c r="N705" s="75" t="e">
        <f t="shared" si="214"/>
        <v>#N/A</v>
      </c>
      <c r="R705" s="70" t="s">
        <v>285</v>
      </c>
      <c r="S705" s="70" t="s">
        <v>59</v>
      </c>
      <c r="T705" s="70" t="s">
        <v>57</v>
      </c>
      <c r="U705" s="70" t="s">
        <v>1563</v>
      </c>
      <c r="V705" s="70" t="s">
        <v>531</v>
      </c>
      <c r="X705" s="70" t="str">
        <f t="shared" si="225"/>
        <v>2W-W DT@W</v>
      </c>
      <c r="Y705" s="70" t="str">
        <f t="shared" si="226"/>
        <v>W DT-TEST@W</v>
      </c>
      <c r="Z705" s="70" t="str">
        <f t="shared" si="227"/>
        <v>TEST-EDT@W</v>
      </c>
      <c r="AA705" s="70" t="str">
        <f t="shared" si="228"/>
        <v>EDT-LS3@W</v>
      </c>
      <c r="AC705" s="70" t="str">
        <f t="shared" si="217"/>
        <v>370, 369, 367, 361, 358, 357, 356, 355, 353, 352</v>
      </c>
      <c r="AD705" s="70" t="str">
        <f t="shared" si="218"/>
        <v>356, 355, 353, 352</v>
      </c>
      <c r="AE705" s="70" t="e">
        <f t="shared" si="219"/>
        <v>#N/A</v>
      </c>
      <c r="AF705" s="70" t="e">
        <f t="shared" si="220"/>
        <v>#N/A</v>
      </c>
      <c r="AH705" s="70" t="str">
        <f t="shared" si="221"/>
        <v>64, 56</v>
      </c>
      <c r="AI705" s="70">
        <f t="shared" si="222"/>
        <v>55</v>
      </c>
      <c r="AJ705" s="70" t="e">
        <f t="shared" si="223"/>
        <v>#N/A</v>
      </c>
      <c r="AK705" s="70" t="e">
        <f t="shared" si="224"/>
        <v>#N/A</v>
      </c>
      <c r="AN705" s="171"/>
      <c r="AO705" s="167"/>
      <c r="AP705" s="167"/>
    </row>
    <row r="706" spans="10:42" ht="20.100000000000001" customHeight="1" thickBot="1">
      <c r="J706" s="45" t="str">
        <f t="shared" si="215"/>
        <v>LS3</v>
      </c>
      <c r="K706" s="45" t="s">
        <v>131</v>
      </c>
      <c r="L706" s="45" t="str">
        <f t="shared" si="216"/>
        <v>3E-LS3@W</v>
      </c>
      <c r="M706" s="75" t="e">
        <f t="shared" ref="M706:M769" si="229">IF(AF706="",IF(AE706="",IF(AD706="",AC706,CONCATENATE(AC706,", ",AD706)),CONCATENATE(AC706,", ",AD706,", ",AE706)),CONCATENATE(AC706,", ",AD706,", ",AE706,", ",AF706))</f>
        <v>#N/A</v>
      </c>
      <c r="N706" s="75" t="e">
        <f t="shared" ref="N706:N769" si="230">IF(AK706="",IF(AJ706="",IF(AI706="",AH706,CONCATENATE(AH706,", ",AI706)),CONCATENATE(AH706,", ",AI706,", ",AJ706)),CONCATENATE(AH706,", ",AI706,", ",AJ706,", ",AK706))</f>
        <v>#N/A</v>
      </c>
      <c r="R706" s="70" t="s">
        <v>293</v>
      </c>
      <c r="S706" s="70" t="s">
        <v>59</v>
      </c>
      <c r="T706" s="70" t="s">
        <v>57</v>
      </c>
      <c r="U706" s="70" t="s">
        <v>1563</v>
      </c>
      <c r="V706" s="70" t="s">
        <v>531</v>
      </c>
      <c r="X706" s="70" t="str">
        <f t="shared" si="225"/>
        <v>3E-W DT@W</v>
      </c>
      <c r="Y706" s="70" t="str">
        <f t="shared" si="226"/>
        <v>W DT-TEST@W</v>
      </c>
      <c r="Z706" s="70" t="str">
        <f t="shared" si="227"/>
        <v>TEST-EDT@W</v>
      </c>
      <c r="AA706" s="70" t="str">
        <f t="shared" si="228"/>
        <v>EDT-LS3@W</v>
      </c>
      <c r="AC706" s="70" t="str">
        <f t="shared" si="217"/>
        <v>370, 369, 367, 361, 358, 357, 356, 355, 353, 352</v>
      </c>
      <c r="AD706" s="70" t="str">
        <f t="shared" si="218"/>
        <v>356, 355, 353, 352</v>
      </c>
      <c r="AE706" s="70" t="e">
        <f t="shared" si="219"/>
        <v>#N/A</v>
      </c>
      <c r="AF706" s="70" t="e">
        <f t="shared" si="220"/>
        <v>#N/A</v>
      </c>
      <c r="AH706" s="70" t="str">
        <f t="shared" si="221"/>
        <v>65, 56</v>
      </c>
      <c r="AI706" s="70">
        <f t="shared" si="222"/>
        <v>55</v>
      </c>
      <c r="AJ706" s="70" t="e">
        <f t="shared" si="223"/>
        <v>#N/A</v>
      </c>
      <c r="AK706" s="70" t="e">
        <f t="shared" si="224"/>
        <v>#N/A</v>
      </c>
      <c r="AN706" s="171"/>
      <c r="AO706" s="167"/>
      <c r="AP706" s="167"/>
    </row>
    <row r="707" spans="10:42" ht="20.100000000000001" customHeight="1" thickBot="1">
      <c r="J707" s="45" t="str">
        <f t="shared" ref="J707:J770" si="231">IF(V707="",IF(U707="",IF(T707="",S707,T707),U707),V707)</f>
        <v>LS3</v>
      </c>
      <c r="K707" s="45" t="s">
        <v>131</v>
      </c>
      <c r="L707" s="45" t="str">
        <f t="shared" ref="L707:L770" si="232">CONCATENATE(R707,"-",J707,"@",K707)</f>
        <v>3W-LS3@W</v>
      </c>
      <c r="M707" s="75" t="e">
        <f t="shared" si="229"/>
        <v>#N/A</v>
      </c>
      <c r="N707" s="75" t="e">
        <f t="shared" si="230"/>
        <v>#N/A</v>
      </c>
      <c r="R707" s="70" t="s">
        <v>301</v>
      </c>
      <c r="S707" s="70" t="s">
        <v>59</v>
      </c>
      <c r="T707" s="70" t="s">
        <v>57</v>
      </c>
      <c r="U707" s="70" t="s">
        <v>1563</v>
      </c>
      <c r="V707" s="70" t="s">
        <v>531</v>
      </c>
      <c r="X707" s="70" t="str">
        <f t="shared" si="225"/>
        <v>3W-W DT@W</v>
      </c>
      <c r="Y707" s="70" t="str">
        <f t="shared" si="226"/>
        <v>W DT-TEST@W</v>
      </c>
      <c r="Z707" s="70" t="str">
        <f t="shared" si="227"/>
        <v>TEST-EDT@W</v>
      </c>
      <c r="AA707" s="70" t="str">
        <f t="shared" si="228"/>
        <v>EDT-LS3@W</v>
      </c>
      <c r="AC707" s="70" t="str">
        <f t="shared" ref="AC707:AC770" si="233">IF(X707="","",VLOOKUP(X707,$AN$2:$AP$736,2,0))</f>
        <v>370, 369, 367, 361, 358, 357, 356, 355, 353, 352</v>
      </c>
      <c r="AD707" s="70" t="str">
        <f t="shared" ref="AD707:AD770" si="234">IF(Y707="","",VLOOKUP(Y707,$AN$2:$AP$736,2,0))</f>
        <v>356, 355, 353, 352</v>
      </c>
      <c r="AE707" s="70" t="e">
        <f t="shared" ref="AE707:AE770" si="235">IF(Z707="","",VLOOKUP(Z707,$AN$2:$AP$736,2,0))</f>
        <v>#N/A</v>
      </c>
      <c r="AF707" s="70" t="e">
        <f t="shared" ref="AF707:AF770" si="236">IF(AA707="","",VLOOKUP(AA707,$AN$2:$AP$736,2,0))</f>
        <v>#N/A</v>
      </c>
      <c r="AH707" s="70" t="str">
        <f t="shared" ref="AH707:AH770" si="237">IF(X707="","",VLOOKUP(X707,$AN$2:$AP$162,3,0))</f>
        <v>65, 56</v>
      </c>
      <c r="AI707" s="70">
        <f t="shared" ref="AI707:AI770" si="238">IF(Y707="","",VLOOKUP(Y707,$AN$2:$AP$162,3,0))</f>
        <v>55</v>
      </c>
      <c r="AJ707" s="70" t="e">
        <f t="shared" ref="AJ707:AJ770" si="239">IF(Z707="","",VLOOKUP(Z707,$AN$2:$AP$162,3,0))</f>
        <v>#N/A</v>
      </c>
      <c r="AK707" s="70" t="e">
        <f t="shared" ref="AK707:AK770" si="240">IF(AA707="","",VLOOKUP(AA707,$AN$2:$AP$162,3,0))</f>
        <v>#N/A</v>
      </c>
      <c r="AN707" s="171"/>
      <c r="AO707" s="167"/>
      <c r="AP707" s="167"/>
    </row>
    <row r="708" spans="10:42" ht="20.100000000000001" customHeight="1" thickBot="1">
      <c r="J708" s="45" t="str">
        <f t="shared" si="231"/>
        <v>LS3</v>
      </c>
      <c r="K708" s="45" t="s">
        <v>131</v>
      </c>
      <c r="L708" s="45" t="str">
        <f t="shared" si="232"/>
        <v>4E-LS3@W</v>
      </c>
      <c r="M708" s="75" t="e">
        <f t="shared" si="229"/>
        <v>#N/A</v>
      </c>
      <c r="N708" s="75" t="e">
        <f t="shared" si="230"/>
        <v>#N/A</v>
      </c>
      <c r="R708" s="70" t="s">
        <v>309</v>
      </c>
      <c r="S708" s="70" t="s">
        <v>59</v>
      </c>
      <c r="T708" s="70" t="s">
        <v>57</v>
      </c>
      <c r="U708" s="70" t="s">
        <v>1563</v>
      </c>
      <c r="V708" s="70" t="s">
        <v>531</v>
      </c>
      <c r="X708" s="70" t="str">
        <f t="shared" si="225"/>
        <v>4E-W DT@W</v>
      </c>
      <c r="Y708" s="70" t="str">
        <f t="shared" si="226"/>
        <v>W DT-TEST@W</v>
      </c>
      <c r="Z708" s="70" t="str">
        <f t="shared" si="227"/>
        <v>TEST-EDT@W</v>
      </c>
      <c r="AA708" s="70" t="str">
        <f t="shared" si="228"/>
        <v>EDT-LS3@W</v>
      </c>
      <c r="AC708" s="70" t="str">
        <f t="shared" si="233"/>
        <v>369, 367, 361, 358, 357, 356, 355, 353, 352</v>
      </c>
      <c r="AD708" s="70" t="str">
        <f t="shared" si="234"/>
        <v>356, 355, 353, 352</v>
      </c>
      <c r="AE708" s="70" t="e">
        <f t="shared" si="235"/>
        <v>#N/A</v>
      </c>
      <c r="AF708" s="70" t="e">
        <f t="shared" si="236"/>
        <v>#N/A</v>
      </c>
      <c r="AH708" s="70" t="str">
        <f t="shared" si="237"/>
        <v>66, 56</v>
      </c>
      <c r="AI708" s="70">
        <f t="shared" si="238"/>
        <v>55</v>
      </c>
      <c r="AJ708" s="70" t="e">
        <f t="shared" si="239"/>
        <v>#N/A</v>
      </c>
      <c r="AK708" s="70" t="e">
        <f t="shared" si="240"/>
        <v>#N/A</v>
      </c>
      <c r="AN708" s="171"/>
      <c r="AO708" s="167"/>
      <c r="AP708" s="167"/>
    </row>
    <row r="709" spans="10:42" ht="20.100000000000001" customHeight="1" thickBot="1">
      <c r="J709" s="45" t="str">
        <f t="shared" si="231"/>
        <v>LS3</v>
      </c>
      <c r="K709" s="45" t="s">
        <v>131</v>
      </c>
      <c r="L709" s="45" t="str">
        <f t="shared" si="232"/>
        <v>4W-LS3@W</v>
      </c>
      <c r="M709" s="75" t="e">
        <f t="shared" si="229"/>
        <v>#N/A</v>
      </c>
      <c r="N709" s="75" t="e">
        <f t="shared" si="230"/>
        <v>#N/A</v>
      </c>
      <c r="R709" s="70" t="s">
        <v>318</v>
      </c>
      <c r="S709" s="70" t="s">
        <v>59</v>
      </c>
      <c r="T709" s="70" t="s">
        <v>57</v>
      </c>
      <c r="U709" s="70" t="s">
        <v>1563</v>
      </c>
      <c r="V709" s="70" t="s">
        <v>531</v>
      </c>
      <c r="X709" s="70" t="str">
        <f t="shared" si="225"/>
        <v>4W-W DT@W</v>
      </c>
      <c r="Y709" s="70" t="str">
        <f t="shared" si="226"/>
        <v>W DT-TEST@W</v>
      </c>
      <c r="Z709" s="70" t="str">
        <f t="shared" si="227"/>
        <v>TEST-EDT@W</v>
      </c>
      <c r="AA709" s="70" t="str">
        <f t="shared" si="228"/>
        <v>EDT-LS3@W</v>
      </c>
      <c r="AC709" s="70" t="str">
        <f t="shared" si="233"/>
        <v>369, 367, 361, 358, 357, 356, 355, 353, 352</v>
      </c>
      <c r="AD709" s="70" t="str">
        <f t="shared" si="234"/>
        <v>356, 355, 353, 352</v>
      </c>
      <c r="AE709" s="70" t="e">
        <f t="shared" si="235"/>
        <v>#N/A</v>
      </c>
      <c r="AF709" s="70" t="e">
        <f t="shared" si="236"/>
        <v>#N/A</v>
      </c>
      <c r="AH709" s="70" t="str">
        <f t="shared" si="237"/>
        <v>66, 56</v>
      </c>
      <c r="AI709" s="70">
        <f t="shared" si="238"/>
        <v>55</v>
      </c>
      <c r="AJ709" s="70" t="e">
        <f t="shared" si="239"/>
        <v>#N/A</v>
      </c>
      <c r="AK709" s="70" t="e">
        <f t="shared" si="240"/>
        <v>#N/A</v>
      </c>
      <c r="AN709" s="171"/>
      <c r="AO709" s="167"/>
      <c r="AP709" s="167"/>
    </row>
    <row r="710" spans="10:42" ht="20.100000000000001" customHeight="1" thickBot="1">
      <c r="J710" s="45" t="str">
        <f t="shared" si="231"/>
        <v>LS3</v>
      </c>
      <c r="K710" s="45" t="s">
        <v>131</v>
      </c>
      <c r="L710" s="45" t="str">
        <f t="shared" si="232"/>
        <v>5E-LS3@W</v>
      </c>
      <c r="M710" s="75" t="e">
        <f t="shared" si="229"/>
        <v>#N/A</v>
      </c>
      <c r="N710" s="75" t="e">
        <f t="shared" si="230"/>
        <v>#N/A</v>
      </c>
      <c r="R710" s="70" t="s">
        <v>325</v>
      </c>
      <c r="S710" s="70" t="s">
        <v>59</v>
      </c>
      <c r="T710" s="70" t="s">
        <v>57</v>
      </c>
      <c r="U710" s="70" t="s">
        <v>1563</v>
      </c>
      <c r="V710" s="70" t="s">
        <v>531</v>
      </c>
      <c r="X710" s="70" t="str">
        <f t="shared" si="225"/>
        <v>5E-W DT@W</v>
      </c>
      <c r="Y710" s="70" t="str">
        <f t="shared" si="226"/>
        <v>W DT-TEST@W</v>
      </c>
      <c r="Z710" s="70" t="str">
        <f t="shared" si="227"/>
        <v>TEST-EDT@W</v>
      </c>
      <c r="AA710" s="70" t="str">
        <f t="shared" si="228"/>
        <v>EDT-LS3@W</v>
      </c>
      <c r="AC710" s="70" t="str">
        <f t="shared" si="233"/>
        <v>375, 374, 360, 357, 356, 355, 353, 352</v>
      </c>
      <c r="AD710" s="70" t="str">
        <f t="shared" si="234"/>
        <v>356, 355, 353, 352</v>
      </c>
      <c r="AE710" s="70" t="e">
        <f t="shared" si="235"/>
        <v>#N/A</v>
      </c>
      <c r="AF710" s="70" t="e">
        <f t="shared" si="236"/>
        <v>#N/A</v>
      </c>
      <c r="AH710" s="70" t="str">
        <f t="shared" si="237"/>
        <v>67, 56</v>
      </c>
      <c r="AI710" s="70">
        <f t="shared" si="238"/>
        <v>55</v>
      </c>
      <c r="AJ710" s="70" t="e">
        <f t="shared" si="239"/>
        <v>#N/A</v>
      </c>
      <c r="AK710" s="70" t="e">
        <f t="shared" si="240"/>
        <v>#N/A</v>
      </c>
      <c r="AN710" s="171"/>
      <c r="AO710" s="167"/>
      <c r="AP710" s="167"/>
    </row>
    <row r="711" spans="10:42" ht="20.100000000000001" customHeight="1" thickBot="1">
      <c r="J711" s="45" t="str">
        <f t="shared" si="231"/>
        <v>LS3</v>
      </c>
      <c r="K711" s="45" t="s">
        <v>131</v>
      </c>
      <c r="L711" s="45" t="str">
        <f t="shared" si="232"/>
        <v>5W-LS3@W</v>
      </c>
      <c r="M711" s="75" t="e">
        <f t="shared" si="229"/>
        <v>#N/A</v>
      </c>
      <c r="N711" s="75" t="e">
        <f t="shared" si="230"/>
        <v>#N/A</v>
      </c>
      <c r="R711" s="70" t="s">
        <v>333</v>
      </c>
      <c r="S711" s="70" t="s">
        <v>59</v>
      </c>
      <c r="T711" s="70" t="s">
        <v>57</v>
      </c>
      <c r="U711" s="70" t="s">
        <v>1563</v>
      </c>
      <c r="V711" s="70" t="s">
        <v>531</v>
      </c>
      <c r="X711" s="70" t="str">
        <f t="shared" si="225"/>
        <v>5W-W DT@W</v>
      </c>
      <c r="Y711" s="70" t="str">
        <f t="shared" si="226"/>
        <v>W DT-TEST@W</v>
      </c>
      <c r="Z711" s="70" t="str">
        <f t="shared" si="227"/>
        <v>TEST-EDT@W</v>
      </c>
      <c r="AA711" s="70" t="str">
        <f t="shared" si="228"/>
        <v>EDT-LS3@W</v>
      </c>
      <c r="AC711" s="70" t="str">
        <f t="shared" si="233"/>
        <v>375, 374, 360, 357, 356, 355, 353, 352</v>
      </c>
      <c r="AD711" s="70" t="str">
        <f t="shared" si="234"/>
        <v>356, 355, 353, 352</v>
      </c>
      <c r="AE711" s="70" t="e">
        <f t="shared" si="235"/>
        <v>#N/A</v>
      </c>
      <c r="AF711" s="70" t="e">
        <f t="shared" si="236"/>
        <v>#N/A</v>
      </c>
      <c r="AH711" s="70" t="str">
        <f t="shared" si="237"/>
        <v>67, 56</v>
      </c>
      <c r="AI711" s="70">
        <f t="shared" si="238"/>
        <v>55</v>
      </c>
      <c r="AJ711" s="70" t="e">
        <f t="shared" si="239"/>
        <v>#N/A</v>
      </c>
      <c r="AK711" s="70" t="e">
        <f t="shared" si="240"/>
        <v>#N/A</v>
      </c>
      <c r="AN711" s="171"/>
      <c r="AO711" s="167"/>
      <c r="AP711" s="167"/>
    </row>
    <row r="712" spans="10:42" ht="20.100000000000001" customHeight="1" thickBot="1">
      <c r="J712" s="45" t="str">
        <f t="shared" si="231"/>
        <v>LS3</v>
      </c>
      <c r="K712" s="45" t="s">
        <v>131</v>
      </c>
      <c r="L712" s="45" t="str">
        <f t="shared" si="232"/>
        <v>6E-LS3@W</v>
      </c>
      <c r="M712" s="75" t="e">
        <f t="shared" si="229"/>
        <v>#N/A</v>
      </c>
      <c r="N712" s="75" t="e">
        <f t="shared" si="230"/>
        <v>#N/A</v>
      </c>
      <c r="R712" s="70" t="s">
        <v>339</v>
      </c>
      <c r="S712" s="70" t="s">
        <v>59</v>
      </c>
      <c r="T712" s="70" t="s">
        <v>57</v>
      </c>
      <c r="U712" s="70" t="s">
        <v>1563</v>
      </c>
      <c r="V712" s="70" t="s">
        <v>531</v>
      </c>
      <c r="X712" s="70" t="str">
        <f t="shared" si="225"/>
        <v>6E-W DT@W</v>
      </c>
      <c r="Y712" s="70" t="str">
        <f t="shared" si="226"/>
        <v>W DT-TEST@W</v>
      </c>
      <c r="Z712" s="70" t="str">
        <f t="shared" si="227"/>
        <v>TEST-EDT@W</v>
      </c>
      <c r="AA712" s="70" t="str">
        <f t="shared" si="228"/>
        <v>EDT-LS3@W</v>
      </c>
      <c r="AC712" s="70" t="str">
        <f t="shared" si="233"/>
        <v>375, 374, 360, 357, 356, 355, 353, 352</v>
      </c>
      <c r="AD712" s="70" t="str">
        <f t="shared" si="234"/>
        <v>356, 355, 353, 352</v>
      </c>
      <c r="AE712" s="70" t="e">
        <f t="shared" si="235"/>
        <v>#N/A</v>
      </c>
      <c r="AF712" s="70" t="e">
        <f t="shared" si="236"/>
        <v>#N/A</v>
      </c>
      <c r="AH712" s="70" t="str">
        <f t="shared" si="237"/>
        <v>68, 56</v>
      </c>
      <c r="AI712" s="70">
        <f t="shared" si="238"/>
        <v>55</v>
      </c>
      <c r="AJ712" s="70" t="e">
        <f t="shared" si="239"/>
        <v>#N/A</v>
      </c>
      <c r="AK712" s="70" t="e">
        <f t="shared" si="240"/>
        <v>#N/A</v>
      </c>
      <c r="AN712" s="171"/>
      <c r="AO712" s="167"/>
      <c r="AP712" s="167"/>
    </row>
    <row r="713" spans="10:42" ht="20.100000000000001" customHeight="1" thickBot="1">
      <c r="J713" s="45" t="str">
        <f t="shared" si="231"/>
        <v>LS3</v>
      </c>
      <c r="K713" s="45" t="s">
        <v>131</v>
      </c>
      <c r="L713" s="45" t="str">
        <f t="shared" si="232"/>
        <v>6W-LS3@W</v>
      </c>
      <c r="M713" s="75" t="e">
        <f t="shared" si="229"/>
        <v>#N/A</v>
      </c>
      <c r="N713" s="75" t="e">
        <f t="shared" si="230"/>
        <v>#N/A</v>
      </c>
      <c r="R713" s="70" t="s">
        <v>346</v>
      </c>
      <c r="S713" s="70" t="s">
        <v>59</v>
      </c>
      <c r="T713" s="70" t="s">
        <v>57</v>
      </c>
      <c r="U713" s="70" t="s">
        <v>1563</v>
      </c>
      <c r="V713" s="70" t="s">
        <v>531</v>
      </c>
      <c r="X713" s="70" t="str">
        <f t="shared" si="225"/>
        <v>6W-W DT@W</v>
      </c>
      <c r="Y713" s="70" t="str">
        <f t="shared" si="226"/>
        <v>W DT-TEST@W</v>
      </c>
      <c r="Z713" s="70" t="str">
        <f t="shared" si="227"/>
        <v>TEST-EDT@W</v>
      </c>
      <c r="AA713" s="70" t="str">
        <f t="shared" si="228"/>
        <v>EDT-LS3@W</v>
      </c>
      <c r="AC713" s="70" t="str">
        <f t="shared" si="233"/>
        <v>375, 374, 360, 357, 356, 355, 353, 352</v>
      </c>
      <c r="AD713" s="70" t="str">
        <f t="shared" si="234"/>
        <v>356, 355, 353, 352</v>
      </c>
      <c r="AE713" s="70" t="e">
        <f t="shared" si="235"/>
        <v>#N/A</v>
      </c>
      <c r="AF713" s="70" t="e">
        <f t="shared" si="236"/>
        <v>#N/A</v>
      </c>
      <c r="AH713" s="70" t="str">
        <f t="shared" si="237"/>
        <v>68, 56</v>
      </c>
      <c r="AI713" s="70">
        <f t="shared" si="238"/>
        <v>55</v>
      </c>
      <c r="AJ713" s="70" t="e">
        <f t="shared" si="239"/>
        <v>#N/A</v>
      </c>
      <c r="AK713" s="70" t="e">
        <f t="shared" si="240"/>
        <v>#N/A</v>
      </c>
      <c r="AN713" s="171"/>
      <c r="AO713" s="167"/>
      <c r="AP713" s="167"/>
    </row>
    <row r="714" spans="10:42" ht="20.100000000000001" customHeight="1" thickBot="1">
      <c r="J714" s="45" t="str">
        <f t="shared" si="231"/>
        <v>LS3</v>
      </c>
      <c r="K714" s="45" t="s">
        <v>131</v>
      </c>
      <c r="L714" s="45" t="str">
        <f t="shared" si="232"/>
        <v>7E-LS3@W</v>
      </c>
      <c r="M714" s="75" t="e">
        <f t="shared" si="229"/>
        <v>#N/A</v>
      </c>
      <c r="N714" s="75" t="e">
        <f t="shared" si="230"/>
        <v>#N/A</v>
      </c>
      <c r="R714" s="70" t="s">
        <v>354</v>
      </c>
      <c r="S714" s="70" t="s">
        <v>59</v>
      </c>
      <c r="T714" s="70" t="s">
        <v>57</v>
      </c>
      <c r="U714" s="70" t="s">
        <v>1563</v>
      </c>
      <c r="V714" s="70" t="s">
        <v>531</v>
      </c>
      <c r="X714" s="70" t="str">
        <f t="shared" si="225"/>
        <v>7E-W DT@W</v>
      </c>
      <c r="Y714" s="70" t="str">
        <f t="shared" si="226"/>
        <v>W DT-TEST@W</v>
      </c>
      <c r="Z714" s="70" t="str">
        <f t="shared" si="227"/>
        <v>TEST-EDT@W</v>
      </c>
      <c r="AA714" s="70" t="str">
        <f t="shared" si="228"/>
        <v>EDT-LS3@W</v>
      </c>
      <c r="AC714" s="70" t="str">
        <f t="shared" si="233"/>
        <v>376, 374, 360, 357, 356, 355, 353, 352</v>
      </c>
      <c r="AD714" s="70" t="str">
        <f t="shared" si="234"/>
        <v>356, 355, 353, 352</v>
      </c>
      <c r="AE714" s="70" t="e">
        <f t="shared" si="235"/>
        <v>#N/A</v>
      </c>
      <c r="AF714" s="70" t="e">
        <f t="shared" si="236"/>
        <v>#N/A</v>
      </c>
      <c r="AH714" s="70" t="str">
        <f t="shared" si="237"/>
        <v>69, 56</v>
      </c>
      <c r="AI714" s="70">
        <f t="shared" si="238"/>
        <v>55</v>
      </c>
      <c r="AJ714" s="70" t="e">
        <f t="shared" si="239"/>
        <v>#N/A</v>
      </c>
      <c r="AK714" s="70" t="e">
        <f t="shared" si="240"/>
        <v>#N/A</v>
      </c>
      <c r="AN714" s="171"/>
      <c r="AO714" s="167"/>
      <c r="AP714" s="167"/>
    </row>
    <row r="715" spans="10:42" ht="20.100000000000001" customHeight="1" thickBot="1">
      <c r="J715" s="45" t="str">
        <f t="shared" si="231"/>
        <v>LS3</v>
      </c>
      <c r="K715" s="45" t="s">
        <v>131</v>
      </c>
      <c r="L715" s="45" t="str">
        <f t="shared" si="232"/>
        <v>7W-LS3@W</v>
      </c>
      <c r="M715" s="75" t="e">
        <f t="shared" si="229"/>
        <v>#N/A</v>
      </c>
      <c r="N715" s="75" t="e">
        <f t="shared" si="230"/>
        <v>#N/A</v>
      </c>
      <c r="R715" s="70" t="s">
        <v>363</v>
      </c>
      <c r="S715" s="70" t="s">
        <v>59</v>
      </c>
      <c r="T715" s="70" t="s">
        <v>57</v>
      </c>
      <c r="U715" s="70" t="s">
        <v>1563</v>
      </c>
      <c r="V715" s="70" t="s">
        <v>531</v>
      </c>
      <c r="X715" s="70" t="str">
        <f t="shared" si="225"/>
        <v>7W-W DT@W</v>
      </c>
      <c r="Y715" s="70" t="str">
        <f t="shared" si="226"/>
        <v>W DT-TEST@W</v>
      </c>
      <c r="Z715" s="70" t="str">
        <f t="shared" si="227"/>
        <v>TEST-EDT@W</v>
      </c>
      <c r="AA715" s="70" t="str">
        <f t="shared" si="228"/>
        <v>EDT-LS3@W</v>
      </c>
      <c r="AC715" s="70" t="str">
        <f t="shared" si="233"/>
        <v>376, 374, 360, 357, 356, 355, 353, 352</v>
      </c>
      <c r="AD715" s="70" t="str">
        <f t="shared" si="234"/>
        <v>356, 355, 353, 352</v>
      </c>
      <c r="AE715" s="70" t="e">
        <f t="shared" si="235"/>
        <v>#N/A</v>
      </c>
      <c r="AF715" s="70" t="e">
        <f t="shared" si="236"/>
        <v>#N/A</v>
      </c>
      <c r="AH715" s="70" t="str">
        <f t="shared" si="237"/>
        <v>69, 56</v>
      </c>
      <c r="AI715" s="70">
        <f t="shared" si="238"/>
        <v>55</v>
      </c>
      <c r="AJ715" s="70" t="e">
        <f t="shared" si="239"/>
        <v>#N/A</v>
      </c>
      <c r="AK715" s="70" t="e">
        <f t="shared" si="240"/>
        <v>#N/A</v>
      </c>
      <c r="AN715" s="171"/>
      <c r="AO715" s="167"/>
      <c r="AP715" s="167"/>
    </row>
    <row r="716" spans="10:42" ht="20.100000000000001" customHeight="1" thickBot="1">
      <c r="J716" s="45" t="str">
        <f t="shared" si="231"/>
        <v>LS3</v>
      </c>
      <c r="K716" s="45" t="s">
        <v>131</v>
      </c>
      <c r="L716" s="45" t="str">
        <f t="shared" si="232"/>
        <v>8E-LS3@W</v>
      </c>
      <c r="M716" s="75" t="e">
        <f t="shared" si="229"/>
        <v>#N/A</v>
      </c>
      <c r="N716" s="75" t="e">
        <f t="shared" si="230"/>
        <v>#N/A</v>
      </c>
      <c r="R716" s="70" t="s">
        <v>370</v>
      </c>
      <c r="S716" s="70" t="s">
        <v>59</v>
      </c>
      <c r="T716" s="70" t="s">
        <v>57</v>
      </c>
      <c r="U716" s="70" t="s">
        <v>1563</v>
      </c>
      <c r="V716" s="70" t="s">
        <v>531</v>
      </c>
      <c r="X716" s="70" t="str">
        <f t="shared" si="225"/>
        <v>8E-W DT@W</v>
      </c>
      <c r="Y716" s="70" t="str">
        <f t="shared" si="226"/>
        <v>W DT-TEST@W</v>
      </c>
      <c r="Z716" s="70" t="str">
        <f t="shared" si="227"/>
        <v>TEST-EDT@W</v>
      </c>
      <c r="AA716" s="70" t="str">
        <f t="shared" si="228"/>
        <v>EDT-LS3@W</v>
      </c>
      <c r="AC716" s="70" t="str">
        <f t="shared" si="233"/>
        <v>376, 374, 360, 357, 356, 355, 353, 352</v>
      </c>
      <c r="AD716" s="70" t="str">
        <f t="shared" si="234"/>
        <v>356, 355, 353, 352</v>
      </c>
      <c r="AE716" s="70" t="e">
        <f t="shared" si="235"/>
        <v>#N/A</v>
      </c>
      <c r="AF716" s="70" t="e">
        <f t="shared" si="236"/>
        <v>#N/A</v>
      </c>
      <c r="AH716" s="70" t="str">
        <f t="shared" si="237"/>
        <v>70, 56</v>
      </c>
      <c r="AI716" s="70">
        <f t="shared" si="238"/>
        <v>55</v>
      </c>
      <c r="AJ716" s="70" t="e">
        <f t="shared" si="239"/>
        <v>#N/A</v>
      </c>
      <c r="AK716" s="70" t="e">
        <f t="shared" si="240"/>
        <v>#N/A</v>
      </c>
      <c r="AN716" s="171"/>
      <c r="AO716" s="167"/>
      <c r="AP716" s="167"/>
    </row>
    <row r="717" spans="10:42" ht="20.100000000000001" customHeight="1" thickBot="1">
      <c r="J717" s="45" t="str">
        <f t="shared" si="231"/>
        <v>LS3</v>
      </c>
      <c r="K717" s="45" t="s">
        <v>131</v>
      </c>
      <c r="L717" s="45" t="str">
        <f t="shared" si="232"/>
        <v>8W-LS3@W</v>
      </c>
      <c r="M717" s="75" t="e">
        <f t="shared" si="229"/>
        <v>#N/A</v>
      </c>
      <c r="N717" s="75" t="e">
        <f t="shared" si="230"/>
        <v>#N/A</v>
      </c>
      <c r="R717" s="70" t="s">
        <v>377</v>
      </c>
      <c r="S717" s="70" t="s">
        <v>59</v>
      </c>
      <c r="T717" s="70" t="s">
        <v>57</v>
      </c>
      <c r="U717" s="70" t="s">
        <v>1563</v>
      </c>
      <c r="V717" s="70" t="s">
        <v>531</v>
      </c>
      <c r="X717" s="70" t="str">
        <f t="shared" si="225"/>
        <v>8W-W DT@W</v>
      </c>
      <c r="Y717" s="70" t="str">
        <f t="shared" si="226"/>
        <v>W DT-TEST@W</v>
      </c>
      <c r="Z717" s="70" t="str">
        <f t="shared" si="227"/>
        <v>TEST-EDT@W</v>
      </c>
      <c r="AA717" s="70" t="str">
        <f t="shared" si="228"/>
        <v>EDT-LS3@W</v>
      </c>
      <c r="AC717" s="70" t="str">
        <f t="shared" si="233"/>
        <v>376, 374, 360, 357, 356, 355, 353, 352</v>
      </c>
      <c r="AD717" s="70" t="str">
        <f t="shared" si="234"/>
        <v>356, 355, 353, 352</v>
      </c>
      <c r="AE717" s="70" t="e">
        <f t="shared" si="235"/>
        <v>#N/A</v>
      </c>
      <c r="AF717" s="70" t="e">
        <f t="shared" si="236"/>
        <v>#N/A</v>
      </c>
      <c r="AH717" s="70" t="str">
        <f t="shared" si="237"/>
        <v>70, 56</v>
      </c>
      <c r="AI717" s="70">
        <f t="shared" si="238"/>
        <v>55</v>
      </c>
      <c r="AJ717" s="70" t="e">
        <f t="shared" si="239"/>
        <v>#N/A</v>
      </c>
      <c r="AK717" s="70" t="e">
        <f t="shared" si="240"/>
        <v>#N/A</v>
      </c>
      <c r="AN717" s="171"/>
      <c r="AO717" s="167"/>
      <c r="AP717" s="167"/>
    </row>
    <row r="718" spans="10:42" ht="20.100000000000001" customHeight="1" thickBot="1">
      <c r="J718" s="45" t="str">
        <f t="shared" si="231"/>
        <v>M1</v>
      </c>
      <c r="K718" s="45" t="s">
        <v>131</v>
      </c>
      <c r="L718" s="45" t="str">
        <f t="shared" si="232"/>
        <v>RM1E-M1@W</v>
      </c>
      <c r="M718" s="75" t="e">
        <f t="shared" si="229"/>
        <v>#N/A</v>
      </c>
      <c r="N718" s="75" t="e">
        <f t="shared" si="230"/>
        <v>#N/A</v>
      </c>
      <c r="R718" s="70" t="s">
        <v>200</v>
      </c>
      <c r="S718" s="70" t="s">
        <v>59</v>
      </c>
      <c r="T718" s="70" t="s">
        <v>57</v>
      </c>
      <c r="U718" s="70" t="s">
        <v>1563</v>
      </c>
      <c r="V718" s="70" t="s">
        <v>863</v>
      </c>
      <c r="X718" s="70" t="str">
        <f t="shared" si="225"/>
        <v>RM1E-W DT@W</v>
      </c>
      <c r="Y718" s="70" t="str">
        <f t="shared" si="226"/>
        <v>W DT-TEST@W</v>
      </c>
      <c r="Z718" s="70" t="str">
        <f t="shared" si="227"/>
        <v>TEST-EDT@W</v>
      </c>
      <c r="AA718" s="70" t="str">
        <f t="shared" si="228"/>
        <v>EDT-M1@W</v>
      </c>
      <c r="AC718" s="70" t="str">
        <f t="shared" si="233"/>
        <v>364, 362, 361, 358, 357, 356, 355, 353, 352</v>
      </c>
      <c r="AD718" s="70" t="str">
        <f t="shared" si="234"/>
        <v>356, 355, 353, 352</v>
      </c>
      <c r="AE718" s="70" t="e">
        <f t="shared" si="235"/>
        <v>#N/A</v>
      </c>
      <c r="AF718" s="70" t="e">
        <f t="shared" si="236"/>
        <v>#N/A</v>
      </c>
      <c r="AH718" s="70" t="str">
        <f t="shared" si="237"/>
        <v>25, 04</v>
      </c>
      <c r="AI718" s="70">
        <f t="shared" si="238"/>
        <v>55</v>
      </c>
      <c r="AJ718" s="70" t="e">
        <f t="shared" si="239"/>
        <v>#N/A</v>
      </c>
      <c r="AK718" s="70" t="e">
        <f t="shared" si="240"/>
        <v>#N/A</v>
      </c>
      <c r="AN718" s="171"/>
      <c r="AO718" s="167"/>
      <c r="AP718" s="167"/>
    </row>
    <row r="719" spans="10:42" ht="20.100000000000001" customHeight="1" thickBot="1">
      <c r="J719" s="45" t="str">
        <f t="shared" si="231"/>
        <v>M1</v>
      </c>
      <c r="K719" s="45" t="s">
        <v>131</v>
      </c>
      <c r="L719" s="45" t="str">
        <f t="shared" si="232"/>
        <v>RM1W-M1@W</v>
      </c>
      <c r="M719" s="75" t="e">
        <f t="shared" si="229"/>
        <v>#N/A</v>
      </c>
      <c r="N719" s="75" t="e">
        <f t="shared" si="230"/>
        <v>#N/A</v>
      </c>
      <c r="R719" s="70" t="s">
        <v>208</v>
      </c>
      <c r="S719" s="70" t="s">
        <v>59</v>
      </c>
      <c r="T719" s="70" t="s">
        <v>57</v>
      </c>
      <c r="U719" s="70" t="s">
        <v>1563</v>
      </c>
      <c r="V719" s="70" t="s">
        <v>863</v>
      </c>
      <c r="X719" s="70" t="str">
        <f t="shared" si="225"/>
        <v>RM1W-W DT@W</v>
      </c>
      <c r="Y719" s="70" t="str">
        <f t="shared" si="226"/>
        <v>W DT-TEST@W</v>
      </c>
      <c r="Z719" s="70" t="str">
        <f t="shared" si="227"/>
        <v>TEST-EDT@W</v>
      </c>
      <c r="AA719" s="70" t="str">
        <f t="shared" si="228"/>
        <v>EDT-M1@W</v>
      </c>
      <c r="AC719" s="70" t="str">
        <f t="shared" si="233"/>
        <v>364, 362, 361, 358, 357, 356, 355, 353, 352</v>
      </c>
      <c r="AD719" s="70" t="str">
        <f t="shared" si="234"/>
        <v>356, 355, 353, 352</v>
      </c>
      <c r="AE719" s="70" t="e">
        <f t="shared" si="235"/>
        <v>#N/A</v>
      </c>
      <c r="AF719" s="70" t="e">
        <f t="shared" si="236"/>
        <v>#N/A</v>
      </c>
      <c r="AH719" s="70" t="str">
        <f t="shared" si="237"/>
        <v>25, 04</v>
      </c>
      <c r="AI719" s="70">
        <f t="shared" si="238"/>
        <v>55</v>
      </c>
      <c r="AJ719" s="70" t="e">
        <f t="shared" si="239"/>
        <v>#N/A</v>
      </c>
      <c r="AK719" s="70" t="e">
        <f t="shared" si="240"/>
        <v>#N/A</v>
      </c>
      <c r="AN719" s="171"/>
      <c r="AO719" s="167"/>
      <c r="AP719" s="167"/>
    </row>
    <row r="720" spans="10:42" ht="20.100000000000001" customHeight="1" thickBot="1">
      <c r="J720" s="45" t="str">
        <f t="shared" si="231"/>
        <v>M1</v>
      </c>
      <c r="K720" s="45" t="s">
        <v>131</v>
      </c>
      <c r="L720" s="45" t="str">
        <f t="shared" si="232"/>
        <v>RM2E-M1@W</v>
      </c>
      <c r="M720" s="75" t="e">
        <f t="shared" si="229"/>
        <v>#N/A</v>
      </c>
      <c r="N720" s="75" t="e">
        <f t="shared" si="230"/>
        <v>#N/A</v>
      </c>
      <c r="R720" s="70" t="s">
        <v>216</v>
      </c>
      <c r="S720" s="70" t="s">
        <v>59</v>
      </c>
      <c r="T720" s="70" t="s">
        <v>57</v>
      </c>
      <c r="U720" s="70" t="s">
        <v>1563</v>
      </c>
      <c r="V720" s="70" t="s">
        <v>863</v>
      </c>
      <c r="X720" s="70" t="str">
        <f t="shared" si="225"/>
        <v>RM2E-W DT@W</v>
      </c>
      <c r="Y720" s="70" t="str">
        <f t="shared" si="226"/>
        <v>W DT-TEST@W</v>
      </c>
      <c r="Z720" s="70" t="str">
        <f t="shared" si="227"/>
        <v>TEST-EDT@W</v>
      </c>
      <c r="AA720" s="70" t="str">
        <f t="shared" si="228"/>
        <v>EDT-M1@W</v>
      </c>
      <c r="AC720" s="70" t="str">
        <f t="shared" si="233"/>
        <v>365, 362, 361, 358, 357, 356, 355, 353, 352</v>
      </c>
      <c r="AD720" s="70" t="str">
        <f t="shared" si="234"/>
        <v>356, 355, 353, 352</v>
      </c>
      <c r="AE720" s="70" t="e">
        <f t="shared" si="235"/>
        <v>#N/A</v>
      </c>
      <c r="AF720" s="70" t="e">
        <f t="shared" si="236"/>
        <v>#N/A</v>
      </c>
      <c r="AH720" s="70" t="str">
        <f t="shared" si="237"/>
        <v>26, 04</v>
      </c>
      <c r="AI720" s="70">
        <f t="shared" si="238"/>
        <v>55</v>
      </c>
      <c r="AJ720" s="70" t="e">
        <f t="shared" si="239"/>
        <v>#N/A</v>
      </c>
      <c r="AK720" s="70" t="e">
        <f t="shared" si="240"/>
        <v>#N/A</v>
      </c>
      <c r="AN720" s="171"/>
      <c r="AO720" s="167"/>
      <c r="AP720" s="167"/>
    </row>
    <row r="721" spans="10:42" ht="20.100000000000001" customHeight="1" thickBot="1">
      <c r="J721" s="45" t="str">
        <f t="shared" si="231"/>
        <v>M1</v>
      </c>
      <c r="K721" s="45" t="s">
        <v>131</v>
      </c>
      <c r="L721" s="45" t="str">
        <f t="shared" si="232"/>
        <v>RM2W-M1@W</v>
      </c>
      <c r="M721" s="75" t="e">
        <f t="shared" si="229"/>
        <v>#N/A</v>
      </c>
      <c r="N721" s="75" t="e">
        <f t="shared" si="230"/>
        <v>#N/A</v>
      </c>
      <c r="R721" s="70" t="s">
        <v>224</v>
      </c>
      <c r="S721" s="70" t="s">
        <v>59</v>
      </c>
      <c r="T721" s="70" t="s">
        <v>57</v>
      </c>
      <c r="U721" s="70" t="s">
        <v>1563</v>
      </c>
      <c r="V721" s="70" t="s">
        <v>863</v>
      </c>
      <c r="X721" s="70" t="str">
        <f t="shared" si="225"/>
        <v>RM2W-W DT@W</v>
      </c>
      <c r="Y721" s="70" t="str">
        <f t="shared" si="226"/>
        <v>W DT-TEST@W</v>
      </c>
      <c r="Z721" s="70" t="str">
        <f t="shared" si="227"/>
        <v>TEST-EDT@W</v>
      </c>
      <c r="AA721" s="70" t="str">
        <f t="shared" si="228"/>
        <v>EDT-M1@W</v>
      </c>
      <c r="AC721" s="70" t="str">
        <f t="shared" si="233"/>
        <v>365, 362, 361, 358, 357, 356, 355, 353, 352</v>
      </c>
      <c r="AD721" s="70" t="str">
        <f t="shared" si="234"/>
        <v>356, 355, 353, 352</v>
      </c>
      <c r="AE721" s="70" t="e">
        <f t="shared" si="235"/>
        <v>#N/A</v>
      </c>
      <c r="AF721" s="70" t="e">
        <f t="shared" si="236"/>
        <v>#N/A</v>
      </c>
      <c r="AH721" s="70" t="str">
        <f t="shared" si="237"/>
        <v>26, 04</v>
      </c>
      <c r="AI721" s="70">
        <f t="shared" si="238"/>
        <v>55</v>
      </c>
      <c r="AJ721" s="70" t="e">
        <f t="shared" si="239"/>
        <v>#N/A</v>
      </c>
      <c r="AK721" s="70" t="e">
        <f t="shared" si="240"/>
        <v>#N/A</v>
      </c>
      <c r="AN721" s="171"/>
      <c r="AO721" s="167"/>
      <c r="AP721" s="167"/>
    </row>
    <row r="722" spans="10:42" ht="20.100000000000001" customHeight="1" thickBot="1">
      <c r="J722" s="45" t="str">
        <f t="shared" si="231"/>
        <v>M1</v>
      </c>
      <c r="K722" s="45" t="s">
        <v>131</v>
      </c>
      <c r="L722" s="45" t="str">
        <f t="shared" si="232"/>
        <v>RM3E-M1@W</v>
      </c>
      <c r="M722" s="75" t="e">
        <f t="shared" si="229"/>
        <v>#N/A</v>
      </c>
      <c r="N722" s="75" t="e">
        <f t="shared" si="230"/>
        <v>#N/A</v>
      </c>
      <c r="R722" s="70" t="s">
        <v>231</v>
      </c>
      <c r="S722" s="70" t="s">
        <v>59</v>
      </c>
      <c r="T722" s="70" t="s">
        <v>57</v>
      </c>
      <c r="U722" s="70" t="s">
        <v>1563</v>
      </c>
      <c r="V722" s="70" t="s">
        <v>863</v>
      </c>
      <c r="X722" s="70" t="str">
        <f t="shared" si="225"/>
        <v>RM3E-W DT@W</v>
      </c>
      <c r="Y722" s="70" t="str">
        <f t="shared" si="226"/>
        <v>W DT-TEST@W</v>
      </c>
      <c r="Z722" s="70" t="str">
        <f t="shared" si="227"/>
        <v>TEST-EDT@W</v>
      </c>
      <c r="AA722" s="70" t="str">
        <f t="shared" si="228"/>
        <v>EDT-M1@W</v>
      </c>
      <c r="AC722" s="70" t="str">
        <f t="shared" si="233"/>
        <v>365, 362, 361, 358, 357, 356, 355, 353, 352</v>
      </c>
      <c r="AD722" s="70" t="str">
        <f t="shared" si="234"/>
        <v>356, 355, 353, 352</v>
      </c>
      <c r="AE722" s="70" t="e">
        <f t="shared" si="235"/>
        <v>#N/A</v>
      </c>
      <c r="AF722" s="70" t="e">
        <f t="shared" si="236"/>
        <v>#N/A</v>
      </c>
      <c r="AH722" s="70" t="str">
        <f t="shared" si="237"/>
        <v>27, 04</v>
      </c>
      <c r="AI722" s="70">
        <f t="shared" si="238"/>
        <v>55</v>
      </c>
      <c r="AJ722" s="70" t="e">
        <f t="shared" si="239"/>
        <v>#N/A</v>
      </c>
      <c r="AK722" s="70" t="e">
        <f t="shared" si="240"/>
        <v>#N/A</v>
      </c>
      <c r="AN722" s="171"/>
      <c r="AO722" s="167"/>
      <c r="AP722" s="167"/>
    </row>
    <row r="723" spans="10:42" ht="20.100000000000001" customHeight="1" thickBot="1">
      <c r="J723" s="45" t="str">
        <f t="shared" si="231"/>
        <v>M1</v>
      </c>
      <c r="K723" s="45" t="s">
        <v>131</v>
      </c>
      <c r="L723" s="45" t="str">
        <f t="shared" si="232"/>
        <v>RM3W-M1@W</v>
      </c>
      <c r="M723" s="75" t="e">
        <f t="shared" si="229"/>
        <v>#N/A</v>
      </c>
      <c r="N723" s="75" t="e">
        <f t="shared" si="230"/>
        <v>#N/A</v>
      </c>
      <c r="R723" s="70" t="s">
        <v>238</v>
      </c>
      <c r="S723" s="70" t="s">
        <v>59</v>
      </c>
      <c r="T723" s="70" t="s">
        <v>57</v>
      </c>
      <c r="U723" s="70" t="s">
        <v>1563</v>
      </c>
      <c r="V723" s="70" t="s">
        <v>863</v>
      </c>
      <c r="X723" s="70" t="str">
        <f t="shared" ref="X723:X786" si="241">IF(S723="","",CONCATENATE(R723,"-",S723,"@",$K723))</f>
        <v>RM3W-W DT@W</v>
      </c>
      <c r="Y723" s="70" t="str">
        <f t="shared" ref="Y723:Y786" si="242">IF(T723="","",CONCATENATE(S723,"-",T723,"@",$K723))</f>
        <v>W DT-TEST@W</v>
      </c>
      <c r="Z723" s="70" t="str">
        <f t="shared" ref="Z723:Z786" si="243">IF(U723="","",CONCATENATE(T723,"-",U723,"@",$K723))</f>
        <v>TEST-EDT@W</v>
      </c>
      <c r="AA723" s="70" t="str">
        <f t="shared" ref="AA723:AA786" si="244">IF(V723="","",CONCATENATE(U723,"-",V723,"@",$K723))</f>
        <v>EDT-M1@W</v>
      </c>
      <c r="AC723" s="70" t="str">
        <f t="shared" si="233"/>
        <v>365, 362, 361, 358, 357, 356, 355, 353, 352</v>
      </c>
      <c r="AD723" s="70" t="str">
        <f t="shared" si="234"/>
        <v>356, 355, 353, 352</v>
      </c>
      <c r="AE723" s="70" t="e">
        <f t="shared" si="235"/>
        <v>#N/A</v>
      </c>
      <c r="AF723" s="70" t="e">
        <f t="shared" si="236"/>
        <v>#N/A</v>
      </c>
      <c r="AH723" s="70" t="str">
        <f t="shared" si="237"/>
        <v>27, 04</v>
      </c>
      <c r="AI723" s="70">
        <f t="shared" si="238"/>
        <v>55</v>
      </c>
      <c r="AJ723" s="70" t="e">
        <f t="shared" si="239"/>
        <v>#N/A</v>
      </c>
      <c r="AK723" s="70" t="e">
        <f t="shared" si="240"/>
        <v>#N/A</v>
      </c>
      <c r="AN723" s="171"/>
      <c r="AO723" s="167"/>
      <c r="AP723" s="167"/>
    </row>
    <row r="724" spans="10:42" ht="20.100000000000001" customHeight="1" thickBot="1">
      <c r="J724" s="45" t="str">
        <f t="shared" si="231"/>
        <v>M1</v>
      </c>
      <c r="K724" s="45" t="s">
        <v>131</v>
      </c>
      <c r="L724" s="45" t="str">
        <f t="shared" si="232"/>
        <v>HCTE-M1@W</v>
      </c>
      <c r="M724" s="75" t="e">
        <f t="shared" si="229"/>
        <v>#N/A</v>
      </c>
      <c r="N724" s="75" t="e">
        <f t="shared" si="230"/>
        <v>#N/A</v>
      </c>
      <c r="R724" s="70" t="s">
        <v>246</v>
      </c>
      <c r="S724" s="70" t="s">
        <v>59</v>
      </c>
      <c r="T724" s="70" t="s">
        <v>57</v>
      </c>
      <c r="U724" s="70" t="s">
        <v>1563</v>
      </c>
      <c r="V724" s="70" t="s">
        <v>863</v>
      </c>
      <c r="X724" s="70" t="str">
        <f t="shared" si="241"/>
        <v>HCTE-W DT@W</v>
      </c>
      <c r="Y724" s="70" t="str">
        <f t="shared" si="242"/>
        <v>W DT-TEST@W</v>
      </c>
      <c r="Z724" s="70" t="str">
        <f t="shared" si="243"/>
        <v>TEST-EDT@W</v>
      </c>
      <c r="AA724" s="70" t="str">
        <f t="shared" si="244"/>
        <v>EDT-M1@W</v>
      </c>
      <c r="AC724" s="70" t="str">
        <f t="shared" si="233"/>
        <v>368, 367, 361, 358, 357, 356, 355, 353, 352</v>
      </c>
      <c r="AD724" s="70" t="str">
        <f t="shared" si="234"/>
        <v>356, 355, 353, 352</v>
      </c>
      <c r="AE724" s="70" t="e">
        <f t="shared" si="235"/>
        <v>#N/A</v>
      </c>
      <c r="AF724" s="70" t="e">
        <f t="shared" si="236"/>
        <v>#N/A</v>
      </c>
      <c r="AH724" s="70" t="str">
        <f t="shared" si="237"/>
        <v>28, 04</v>
      </c>
      <c r="AI724" s="70">
        <f t="shared" si="238"/>
        <v>55</v>
      </c>
      <c r="AJ724" s="70" t="e">
        <f t="shared" si="239"/>
        <v>#N/A</v>
      </c>
      <c r="AK724" s="70" t="e">
        <f t="shared" si="240"/>
        <v>#N/A</v>
      </c>
      <c r="AN724" s="171"/>
      <c r="AO724" s="167"/>
      <c r="AP724" s="167"/>
    </row>
    <row r="725" spans="10:42" ht="20.100000000000001" customHeight="1" thickBot="1">
      <c r="J725" s="45" t="str">
        <f t="shared" si="231"/>
        <v>M1</v>
      </c>
      <c r="K725" s="45" t="s">
        <v>131</v>
      </c>
      <c r="L725" s="45" t="str">
        <f t="shared" si="232"/>
        <v>HCTW-M1@W</v>
      </c>
      <c r="M725" s="75" t="e">
        <f t="shared" si="229"/>
        <v>#N/A</v>
      </c>
      <c r="N725" s="75" t="e">
        <f t="shared" si="230"/>
        <v>#N/A</v>
      </c>
      <c r="R725" s="70" t="s">
        <v>254</v>
      </c>
      <c r="S725" s="70" t="s">
        <v>59</v>
      </c>
      <c r="T725" s="70" t="s">
        <v>57</v>
      </c>
      <c r="U725" s="70" t="s">
        <v>1563</v>
      </c>
      <c r="V725" s="70" t="s">
        <v>863</v>
      </c>
      <c r="X725" s="70" t="str">
        <f t="shared" si="241"/>
        <v>HCTW-W DT@W</v>
      </c>
      <c r="Y725" s="70" t="str">
        <f t="shared" si="242"/>
        <v>W DT-TEST@W</v>
      </c>
      <c r="Z725" s="70" t="str">
        <f t="shared" si="243"/>
        <v>TEST-EDT@W</v>
      </c>
      <c r="AA725" s="70" t="str">
        <f t="shared" si="244"/>
        <v>EDT-M1@W</v>
      </c>
      <c r="AC725" s="70" t="str">
        <f t="shared" si="233"/>
        <v>368, 367, 361, 358, 357, 356, 355, 353, 352</v>
      </c>
      <c r="AD725" s="70" t="str">
        <f t="shared" si="234"/>
        <v>356, 355, 353, 352</v>
      </c>
      <c r="AE725" s="70" t="e">
        <f t="shared" si="235"/>
        <v>#N/A</v>
      </c>
      <c r="AF725" s="70" t="e">
        <f t="shared" si="236"/>
        <v>#N/A</v>
      </c>
      <c r="AH725" s="70" t="str">
        <f t="shared" si="237"/>
        <v>28, 04</v>
      </c>
      <c r="AI725" s="70">
        <f t="shared" si="238"/>
        <v>55</v>
      </c>
      <c r="AJ725" s="70" t="e">
        <f t="shared" si="239"/>
        <v>#N/A</v>
      </c>
      <c r="AK725" s="70" t="e">
        <f t="shared" si="240"/>
        <v>#N/A</v>
      </c>
      <c r="AN725" s="171"/>
      <c r="AO725" s="167"/>
      <c r="AP725" s="167"/>
    </row>
    <row r="726" spans="10:42" ht="20.100000000000001" customHeight="1" thickBot="1">
      <c r="J726" s="45" t="str">
        <f t="shared" si="231"/>
        <v>M1</v>
      </c>
      <c r="K726" s="45" t="s">
        <v>131</v>
      </c>
      <c r="L726" s="45" t="str">
        <f t="shared" si="232"/>
        <v>1E-M1@W</v>
      </c>
      <c r="M726" s="75" t="e">
        <f t="shared" si="229"/>
        <v>#N/A</v>
      </c>
      <c r="N726" s="75" t="e">
        <f t="shared" si="230"/>
        <v>#N/A</v>
      </c>
      <c r="R726" s="70" t="s">
        <v>261</v>
      </c>
      <c r="S726" s="70" t="s">
        <v>59</v>
      </c>
      <c r="T726" s="70" t="s">
        <v>57</v>
      </c>
      <c r="U726" s="70" t="s">
        <v>1563</v>
      </c>
      <c r="V726" s="70" t="s">
        <v>863</v>
      </c>
      <c r="X726" s="70" t="str">
        <f t="shared" si="241"/>
        <v>1E-W DT@W</v>
      </c>
      <c r="Y726" s="70" t="str">
        <f t="shared" si="242"/>
        <v>W DT-TEST@W</v>
      </c>
      <c r="Z726" s="70" t="str">
        <f t="shared" si="243"/>
        <v>TEST-EDT@W</v>
      </c>
      <c r="AA726" s="70" t="str">
        <f t="shared" si="244"/>
        <v>EDT-M1@W</v>
      </c>
      <c r="AC726" s="70" t="str">
        <f t="shared" si="233"/>
        <v>368, 367, 361, 358, 357, 356, 355, 353, 352</v>
      </c>
      <c r="AD726" s="70" t="str">
        <f t="shared" si="234"/>
        <v>356, 355, 353, 352</v>
      </c>
      <c r="AE726" s="70" t="e">
        <f t="shared" si="235"/>
        <v>#N/A</v>
      </c>
      <c r="AF726" s="70" t="e">
        <f t="shared" si="236"/>
        <v>#N/A</v>
      </c>
      <c r="AH726" s="70" t="str">
        <f t="shared" si="237"/>
        <v>63, 56</v>
      </c>
      <c r="AI726" s="70">
        <f t="shared" si="238"/>
        <v>55</v>
      </c>
      <c r="AJ726" s="70" t="e">
        <f t="shared" si="239"/>
        <v>#N/A</v>
      </c>
      <c r="AK726" s="70" t="e">
        <f t="shared" si="240"/>
        <v>#N/A</v>
      </c>
      <c r="AN726" s="171"/>
      <c r="AO726" s="167"/>
      <c r="AP726" s="167"/>
    </row>
    <row r="727" spans="10:42" ht="20.100000000000001" customHeight="1" thickBot="1">
      <c r="J727" s="45" t="str">
        <f t="shared" si="231"/>
        <v>M1</v>
      </c>
      <c r="K727" s="45" t="s">
        <v>131</v>
      </c>
      <c r="L727" s="45" t="str">
        <f t="shared" si="232"/>
        <v>1W-M1@W</v>
      </c>
      <c r="M727" s="75" t="e">
        <f t="shared" si="229"/>
        <v>#N/A</v>
      </c>
      <c r="N727" s="75" t="e">
        <f t="shared" si="230"/>
        <v>#N/A</v>
      </c>
      <c r="R727" s="70" t="s">
        <v>269</v>
      </c>
      <c r="S727" s="70" t="s">
        <v>59</v>
      </c>
      <c r="T727" s="70" t="s">
        <v>57</v>
      </c>
      <c r="U727" s="70" t="s">
        <v>1563</v>
      </c>
      <c r="V727" s="70" t="s">
        <v>863</v>
      </c>
      <c r="X727" s="70" t="str">
        <f t="shared" si="241"/>
        <v>1W-W DT@W</v>
      </c>
      <c r="Y727" s="70" t="str">
        <f t="shared" si="242"/>
        <v>W DT-TEST@W</v>
      </c>
      <c r="Z727" s="70" t="str">
        <f t="shared" si="243"/>
        <v>TEST-EDT@W</v>
      </c>
      <c r="AA727" s="70" t="str">
        <f t="shared" si="244"/>
        <v>EDT-M1@W</v>
      </c>
      <c r="AC727" s="70" t="str">
        <f t="shared" si="233"/>
        <v>368, 367, 361, 358, 357, 356, 355, 353, 352</v>
      </c>
      <c r="AD727" s="70" t="str">
        <f t="shared" si="234"/>
        <v>356, 355, 353, 352</v>
      </c>
      <c r="AE727" s="70" t="e">
        <f t="shared" si="235"/>
        <v>#N/A</v>
      </c>
      <c r="AF727" s="70" t="e">
        <f t="shared" si="236"/>
        <v>#N/A</v>
      </c>
      <c r="AH727" s="70" t="str">
        <f t="shared" si="237"/>
        <v>63, 56</v>
      </c>
      <c r="AI727" s="70">
        <f t="shared" si="238"/>
        <v>55</v>
      </c>
      <c r="AJ727" s="70" t="e">
        <f t="shared" si="239"/>
        <v>#N/A</v>
      </c>
      <c r="AK727" s="70" t="e">
        <f t="shared" si="240"/>
        <v>#N/A</v>
      </c>
      <c r="AN727" s="171"/>
      <c r="AO727" s="167"/>
      <c r="AP727" s="167"/>
    </row>
    <row r="728" spans="10:42" ht="20.100000000000001" customHeight="1" thickBot="1">
      <c r="J728" s="45" t="str">
        <f t="shared" si="231"/>
        <v>M1</v>
      </c>
      <c r="K728" s="45" t="s">
        <v>131</v>
      </c>
      <c r="L728" s="45" t="str">
        <f t="shared" si="232"/>
        <v>2E-M1@W</v>
      </c>
      <c r="M728" s="75" t="e">
        <f t="shared" si="229"/>
        <v>#N/A</v>
      </c>
      <c r="N728" s="75" t="e">
        <f t="shared" si="230"/>
        <v>#N/A</v>
      </c>
      <c r="R728" s="70" t="s">
        <v>276</v>
      </c>
      <c r="S728" s="70" t="s">
        <v>59</v>
      </c>
      <c r="T728" s="70" t="s">
        <v>57</v>
      </c>
      <c r="U728" s="70" t="s">
        <v>1563</v>
      </c>
      <c r="V728" s="70" t="s">
        <v>863</v>
      </c>
      <c r="X728" s="70" t="str">
        <f t="shared" si="241"/>
        <v>2E-W DT@W</v>
      </c>
      <c r="Y728" s="70" t="str">
        <f t="shared" si="242"/>
        <v>W DT-TEST@W</v>
      </c>
      <c r="Z728" s="70" t="str">
        <f t="shared" si="243"/>
        <v>TEST-EDT@W</v>
      </c>
      <c r="AA728" s="70" t="str">
        <f t="shared" si="244"/>
        <v>EDT-M1@W</v>
      </c>
      <c r="AC728" s="70" t="str">
        <f t="shared" si="233"/>
        <v>370, 369, 367, 361, 358, 357, 356, 355, 353, 352</v>
      </c>
      <c r="AD728" s="70" t="str">
        <f t="shared" si="234"/>
        <v>356, 355, 353, 352</v>
      </c>
      <c r="AE728" s="70" t="e">
        <f t="shared" si="235"/>
        <v>#N/A</v>
      </c>
      <c r="AF728" s="70" t="e">
        <f t="shared" si="236"/>
        <v>#N/A</v>
      </c>
      <c r="AH728" s="70" t="str">
        <f t="shared" si="237"/>
        <v>64, 56</v>
      </c>
      <c r="AI728" s="70">
        <f t="shared" si="238"/>
        <v>55</v>
      </c>
      <c r="AJ728" s="70" t="e">
        <f t="shared" si="239"/>
        <v>#N/A</v>
      </c>
      <c r="AK728" s="70" t="e">
        <f t="shared" si="240"/>
        <v>#N/A</v>
      </c>
      <c r="AN728" s="171"/>
      <c r="AO728" s="167"/>
      <c r="AP728" s="167"/>
    </row>
    <row r="729" spans="10:42" ht="20.100000000000001" customHeight="1" thickBot="1">
      <c r="J729" s="45" t="str">
        <f t="shared" si="231"/>
        <v>M1</v>
      </c>
      <c r="K729" s="45" t="s">
        <v>131</v>
      </c>
      <c r="L729" s="45" t="str">
        <f t="shared" si="232"/>
        <v>2W-M1@W</v>
      </c>
      <c r="M729" s="75" t="e">
        <f t="shared" si="229"/>
        <v>#N/A</v>
      </c>
      <c r="N729" s="75" t="e">
        <f t="shared" si="230"/>
        <v>#N/A</v>
      </c>
      <c r="R729" s="70" t="s">
        <v>285</v>
      </c>
      <c r="S729" s="70" t="s">
        <v>59</v>
      </c>
      <c r="T729" s="70" t="s">
        <v>57</v>
      </c>
      <c r="U729" s="70" t="s">
        <v>1563</v>
      </c>
      <c r="V729" s="70" t="s">
        <v>863</v>
      </c>
      <c r="X729" s="70" t="str">
        <f t="shared" si="241"/>
        <v>2W-W DT@W</v>
      </c>
      <c r="Y729" s="70" t="str">
        <f t="shared" si="242"/>
        <v>W DT-TEST@W</v>
      </c>
      <c r="Z729" s="70" t="str">
        <f t="shared" si="243"/>
        <v>TEST-EDT@W</v>
      </c>
      <c r="AA729" s="70" t="str">
        <f t="shared" si="244"/>
        <v>EDT-M1@W</v>
      </c>
      <c r="AC729" s="70" t="str">
        <f t="shared" si="233"/>
        <v>370, 369, 367, 361, 358, 357, 356, 355, 353, 352</v>
      </c>
      <c r="AD729" s="70" t="str">
        <f t="shared" si="234"/>
        <v>356, 355, 353, 352</v>
      </c>
      <c r="AE729" s="70" t="e">
        <f t="shared" si="235"/>
        <v>#N/A</v>
      </c>
      <c r="AF729" s="70" t="e">
        <f t="shared" si="236"/>
        <v>#N/A</v>
      </c>
      <c r="AH729" s="70" t="str">
        <f t="shared" si="237"/>
        <v>64, 56</v>
      </c>
      <c r="AI729" s="70">
        <f t="shared" si="238"/>
        <v>55</v>
      </c>
      <c r="AJ729" s="70" t="e">
        <f t="shared" si="239"/>
        <v>#N/A</v>
      </c>
      <c r="AK729" s="70" t="e">
        <f t="shared" si="240"/>
        <v>#N/A</v>
      </c>
      <c r="AN729" s="171"/>
      <c r="AO729" s="167"/>
      <c r="AP729" s="167"/>
    </row>
    <row r="730" spans="10:42" ht="20.100000000000001" customHeight="1" thickBot="1">
      <c r="J730" s="45" t="str">
        <f t="shared" si="231"/>
        <v>M1</v>
      </c>
      <c r="K730" s="45" t="s">
        <v>131</v>
      </c>
      <c r="L730" s="45" t="str">
        <f t="shared" si="232"/>
        <v>3E-M1@W</v>
      </c>
      <c r="M730" s="75" t="e">
        <f t="shared" si="229"/>
        <v>#N/A</v>
      </c>
      <c r="N730" s="75" t="e">
        <f t="shared" si="230"/>
        <v>#N/A</v>
      </c>
      <c r="R730" s="70" t="s">
        <v>293</v>
      </c>
      <c r="S730" s="70" t="s">
        <v>59</v>
      </c>
      <c r="T730" s="70" t="s">
        <v>57</v>
      </c>
      <c r="U730" s="70" t="s">
        <v>1563</v>
      </c>
      <c r="V730" s="70" t="s">
        <v>863</v>
      </c>
      <c r="X730" s="70" t="str">
        <f t="shared" si="241"/>
        <v>3E-W DT@W</v>
      </c>
      <c r="Y730" s="70" t="str">
        <f t="shared" si="242"/>
        <v>W DT-TEST@W</v>
      </c>
      <c r="Z730" s="70" t="str">
        <f t="shared" si="243"/>
        <v>TEST-EDT@W</v>
      </c>
      <c r="AA730" s="70" t="str">
        <f t="shared" si="244"/>
        <v>EDT-M1@W</v>
      </c>
      <c r="AC730" s="70" t="str">
        <f t="shared" si="233"/>
        <v>370, 369, 367, 361, 358, 357, 356, 355, 353, 352</v>
      </c>
      <c r="AD730" s="70" t="str">
        <f t="shared" si="234"/>
        <v>356, 355, 353, 352</v>
      </c>
      <c r="AE730" s="70" t="e">
        <f t="shared" si="235"/>
        <v>#N/A</v>
      </c>
      <c r="AF730" s="70" t="e">
        <f t="shared" si="236"/>
        <v>#N/A</v>
      </c>
      <c r="AH730" s="70" t="str">
        <f t="shared" si="237"/>
        <v>65, 56</v>
      </c>
      <c r="AI730" s="70">
        <f t="shared" si="238"/>
        <v>55</v>
      </c>
      <c r="AJ730" s="70" t="e">
        <f t="shared" si="239"/>
        <v>#N/A</v>
      </c>
      <c r="AK730" s="70" t="e">
        <f t="shared" si="240"/>
        <v>#N/A</v>
      </c>
      <c r="AN730" s="171"/>
      <c r="AO730" s="167"/>
      <c r="AP730" s="167"/>
    </row>
    <row r="731" spans="10:42" ht="20.100000000000001" customHeight="1" thickBot="1">
      <c r="J731" s="45" t="str">
        <f t="shared" si="231"/>
        <v>M1</v>
      </c>
      <c r="K731" s="45" t="s">
        <v>131</v>
      </c>
      <c r="L731" s="45" t="str">
        <f t="shared" si="232"/>
        <v>3W-M1@W</v>
      </c>
      <c r="M731" s="75" t="e">
        <f t="shared" si="229"/>
        <v>#N/A</v>
      </c>
      <c r="N731" s="75" t="e">
        <f t="shared" si="230"/>
        <v>#N/A</v>
      </c>
      <c r="R731" s="70" t="s">
        <v>301</v>
      </c>
      <c r="S731" s="70" t="s">
        <v>59</v>
      </c>
      <c r="T731" s="70" t="s">
        <v>57</v>
      </c>
      <c r="U731" s="70" t="s">
        <v>1563</v>
      </c>
      <c r="V731" s="70" t="s">
        <v>863</v>
      </c>
      <c r="X731" s="70" t="str">
        <f t="shared" si="241"/>
        <v>3W-W DT@W</v>
      </c>
      <c r="Y731" s="70" t="str">
        <f t="shared" si="242"/>
        <v>W DT-TEST@W</v>
      </c>
      <c r="Z731" s="70" t="str">
        <f t="shared" si="243"/>
        <v>TEST-EDT@W</v>
      </c>
      <c r="AA731" s="70" t="str">
        <f t="shared" si="244"/>
        <v>EDT-M1@W</v>
      </c>
      <c r="AC731" s="70" t="str">
        <f t="shared" si="233"/>
        <v>370, 369, 367, 361, 358, 357, 356, 355, 353, 352</v>
      </c>
      <c r="AD731" s="70" t="str">
        <f t="shared" si="234"/>
        <v>356, 355, 353, 352</v>
      </c>
      <c r="AE731" s="70" t="e">
        <f t="shared" si="235"/>
        <v>#N/A</v>
      </c>
      <c r="AF731" s="70" t="e">
        <f t="shared" si="236"/>
        <v>#N/A</v>
      </c>
      <c r="AH731" s="70" t="str">
        <f t="shared" si="237"/>
        <v>65, 56</v>
      </c>
      <c r="AI731" s="70">
        <f t="shared" si="238"/>
        <v>55</v>
      </c>
      <c r="AJ731" s="70" t="e">
        <f t="shared" si="239"/>
        <v>#N/A</v>
      </c>
      <c r="AK731" s="70" t="e">
        <f t="shared" si="240"/>
        <v>#N/A</v>
      </c>
      <c r="AN731" s="171"/>
      <c r="AO731" s="167"/>
      <c r="AP731" s="167"/>
    </row>
    <row r="732" spans="10:42" ht="20.100000000000001" customHeight="1" thickBot="1">
      <c r="J732" s="45" t="str">
        <f t="shared" si="231"/>
        <v>M1</v>
      </c>
      <c r="K732" s="45" t="s">
        <v>131</v>
      </c>
      <c r="L732" s="45" t="str">
        <f t="shared" si="232"/>
        <v>4E-M1@W</v>
      </c>
      <c r="M732" s="75" t="e">
        <f t="shared" si="229"/>
        <v>#N/A</v>
      </c>
      <c r="N732" s="75" t="e">
        <f t="shared" si="230"/>
        <v>#N/A</v>
      </c>
      <c r="R732" s="70" t="s">
        <v>309</v>
      </c>
      <c r="S732" s="70" t="s">
        <v>59</v>
      </c>
      <c r="T732" s="70" t="s">
        <v>57</v>
      </c>
      <c r="U732" s="70" t="s">
        <v>1563</v>
      </c>
      <c r="V732" s="70" t="s">
        <v>863</v>
      </c>
      <c r="X732" s="70" t="str">
        <f t="shared" si="241"/>
        <v>4E-W DT@W</v>
      </c>
      <c r="Y732" s="70" t="str">
        <f t="shared" si="242"/>
        <v>W DT-TEST@W</v>
      </c>
      <c r="Z732" s="70" t="str">
        <f t="shared" si="243"/>
        <v>TEST-EDT@W</v>
      </c>
      <c r="AA732" s="70" t="str">
        <f t="shared" si="244"/>
        <v>EDT-M1@W</v>
      </c>
      <c r="AC732" s="70" t="str">
        <f t="shared" si="233"/>
        <v>369, 367, 361, 358, 357, 356, 355, 353, 352</v>
      </c>
      <c r="AD732" s="70" t="str">
        <f t="shared" si="234"/>
        <v>356, 355, 353, 352</v>
      </c>
      <c r="AE732" s="70" t="e">
        <f t="shared" si="235"/>
        <v>#N/A</v>
      </c>
      <c r="AF732" s="70" t="e">
        <f t="shared" si="236"/>
        <v>#N/A</v>
      </c>
      <c r="AH732" s="70" t="str">
        <f t="shared" si="237"/>
        <v>66, 56</v>
      </c>
      <c r="AI732" s="70">
        <f t="shared" si="238"/>
        <v>55</v>
      </c>
      <c r="AJ732" s="70" t="e">
        <f t="shared" si="239"/>
        <v>#N/A</v>
      </c>
      <c r="AK732" s="70" t="e">
        <f t="shared" si="240"/>
        <v>#N/A</v>
      </c>
      <c r="AN732" s="171"/>
      <c r="AO732" s="167"/>
      <c r="AP732" s="167"/>
    </row>
    <row r="733" spans="10:42" ht="20.100000000000001" customHeight="1" thickBot="1">
      <c r="J733" s="45" t="str">
        <f t="shared" si="231"/>
        <v>M1</v>
      </c>
      <c r="K733" s="45" t="s">
        <v>131</v>
      </c>
      <c r="L733" s="45" t="str">
        <f t="shared" si="232"/>
        <v>4W-M1@W</v>
      </c>
      <c r="M733" s="75" t="e">
        <f t="shared" si="229"/>
        <v>#N/A</v>
      </c>
      <c r="N733" s="75" t="e">
        <f t="shared" si="230"/>
        <v>#N/A</v>
      </c>
      <c r="R733" s="70" t="s">
        <v>318</v>
      </c>
      <c r="S733" s="70" t="s">
        <v>59</v>
      </c>
      <c r="T733" s="70" t="s">
        <v>57</v>
      </c>
      <c r="U733" s="70" t="s">
        <v>1563</v>
      </c>
      <c r="V733" s="70" t="s">
        <v>863</v>
      </c>
      <c r="X733" s="70" t="str">
        <f t="shared" si="241"/>
        <v>4W-W DT@W</v>
      </c>
      <c r="Y733" s="70" t="str">
        <f t="shared" si="242"/>
        <v>W DT-TEST@W</v>
      </c>
      <c r="Z733" s="70" t="str">
        <f t="shared" si="243"/>
        <v>TEST-EDT@W</v>
      </c>
      <c r="AA733" s="70" t="str">
        <f t="shared" si="244"/>
        <v>EDT-M1@W</v>
      </c>
      <c r="AC733" s="70" t="str">
        <f t="shared" si="233"/>
        <v>369, 367, 361, 358, 357, 356, 355, 353, 352</v>
      </c>
      <c r="AD733" s="70" t="str">
        <f t="shared" si="234"/>
        <v>356, 355, 353, 352</v>
      </c>
      <c r="AE733" s="70" t="e">
        <f t="shared" si="235"/>
        <v>#N/A</v>
      </c>
      <c r="AF733" s="70" t="e">
        <f t="shared" si="236"/>
        <v>#N/A</v>
      </c>
      <c r="AH733" s="70" t="str">
        <f t="shared" si="237"/>
        <v>66, 56</v>
      </c>
      <c r="AI733" s="70">
        <f t="shared" si="238"/>
        <v>55</v>
      </c>
      <c r="AJ733" s="70" t="e">
        <f t="shared" si="239"/>
        <v>#N/A</v>
      </c>
      <c r="AK733" s="70" t="e">
        <f t="shared" si="240"/>
        <v>#N/A</v>
      </c>
      <c r="AN733" s="171"/>
      <c r="AO733" s="167"/>
      <c r="AP733" s="167"/>
    </row>
    <row r="734" spans="10:42" ht="20.100000000000001" customHeight="1" thickBot="1">
      <c r="J734" s="45" t="str">
        <f t="shared" si="231"/>
        <v>M1</v>
      </c>
      <c r="K734" s="45" t="s">
        <v>131</v>
      </c>
      <c r="L734" s="45" t="str">
        <f t="shared" si="232"/>
        <v>5E-M1@W</v>
      </c>
      <c r="M734" s="75" t="e">
        <f t="shared" si="229"/>
        <v>#N/A</v>
      </c>
      <c r="N734" s="75" t="e">
        <f t="shared" si="230"/>
        <v>#N/A</v>
      </c>
      <c r="R734" s="70" t="s">
        <v>325</v>
      </c>
      <c r="S734" s="70" t="s">
        <v>59</v>
      </c>
      <c r="T734" s="70" t="s">
        <v>57</v>
      </c>
      <c r="U734" s="70" t="s">
        <v>1563</v>
      </c>
      <c r="V734" s="70" t="s">
        <v>863</v>
      </c>
      <c r="X734" s="70" t="str">
        <f t="shared" si="241"/>
        <v>5E-W DT@W</v>
      </c>
      <c r="Y734" s="70" t="str">
        <f t="shared" si="242"/>
        <v>W DT-TEST@W</v>
      </c>
      <c r="Z734" s="70" t="str">
        <f t="shared" si="243"/>
        <v>TEST-EDT@W</v>
      </c>
      <c r="AA734" s="70" t="str">
        <f t="shared" si="244"/>
        <v>EDT-M1@W</v>
      </c>
      <c r="AC734" s="70" t="str">
        <f t="shared" si="233"/>
        <v>375, 374, 360, 357, 356, 355, 353, 352</v>
      </c>
      <c r="AD734" s="70" t="str">
        <f t="shared" si="234"/>
        <v>356, 355, 353, 352</v>
      </c>
      <c r="AE734" s="70" t="e">
        <f t="shared" si="235"/>
        <v>#N/A</v>
      </c>
      <c r="AF734" s="70" t="e">
        <f t="shared" si="236"/>
        <v>#N/A</v>
      </c>
      <c r="AH734" s="70" t="str">
        <f t="shared" si="237"/>
        <v>67, 56</v>
      </c>
      <c r="AI734" s="70">
        <f t="shared" si="238"/>
        <v>55</v>
      </c>
      <c r="AJ734" s="70" t="e">
        <f t="shared" si="239"/>
        <v>#N/A</v>
      </c>
      <c r="AK734" s="70" t="e">
        <f t="shared" si="240"/>
        <v>#N/A</v>
      </c>
      <c r="AN734" s="171"/>
      <c r="AO734" s="167"/>
      <c r="AP734" s="167"/>
    </row>
    <row r="735" spans="10:42" ht="20.100000000000001" customHeight="1" thickBot="1">
      <c r="J735" s="45" t="str">
        <f t="shared" si="231"/>
        <v>M1</v>
      </c>
      <c r="K735" s="45" t="s">
        <v>131</v>
      </c>
      <c r="L735" s="45" t="str">
        <f t="shared" si="232"/>
        <v>5W-M1@W</v>
      </c>
      <c r="M735" s="75" t="e">
        <f t="shared" si="229"/>
        <v>#N/A</v>
      </c>
      <c r="N735" s="75" t="e">
        <f t="shared" si="230"/>
        <v>#N/A</v>
      </c>
      <c r="R735" s="70" t="s">
        <v>333</v>
      </c>
      <c r="S735" s="70" t="s">
        <v>59</v>
      </c>
      <c r="T735" s="70" t="s">
        <v>57</v>
      </c>
      <c r="U735" s="70" t="s">
        <v>1563</v>
      </c>
      <c r="V735" s="70" t="s">
        <v>863</v>
      </c>
      <c r="X735" s="70" t="str">
        <f t="shared" si="241"/>
        <v>5W-W DT@W</v>
      </c>
      <c r="Y735" s="70" t="str">
        <f t="shared" si="242"/>
        <v>W DT-TEST@W</v>
      </c>
      <c r="Z735" s="70" t="str">
        <f t="shared" si="243"/>
        <v>TEST-EDT@W</v>
      </c>
      <c r="AA735" s="70" t="str">
        <f t="shared" si="244"/>
        <v>EDT-M1@W</v>
      </c>
      <c r="AC735" s="70" t="str">
        <f t="shared" si="233"/>
        <v>375, 374, 360, 357, 356, 355, 353, 352</v>
      </c>
      <c r="AD735" s="70" t="str">
        <f t="shared" si="234"/>
        <v>356, 355, 353, 352</v>
      </c>
      <c r="AE735" s="70" t="e">
        <f t="shared" si="235"/>
        <v>#N/A</v>
      </c>
      <c r="AF735" s="70" t="e">
        <f t="shared" si="236"/>
        <v>#N/A</v>
      </c>
      <c r="AH735" s="70" t="str">
        <f t="shared" si="237"/>
        <v>67, 56</v>
      </c>
      <c r="AI735" s="70">
        <f t="shared" si="238"/>
        <v>55</v>
      </c>
      <c r="AJ735" s="70" t="e">
        <f t="shared" si="239"/>
        <v>#N/A</v>
      </c>
      <c r="AK735" s="70" t="e">
        <f t="shared" si="240"/>
        <v>#N/A</v>
      </c>
      <c r="AN735" s="171"/>
      <c r="AO735" s="167"/>
      <c r="AP735" s="167"/>
    </row>
    <row r="736" spans="10:42" ht="20.100000000000001" customHeight="1" thickBot="1">
      <c r="J736" s="45" t="str">
        <f t="shared" si="231"/>
        <v>M1</v>
      </c>
      <c r="K736" s="45" t="s">
        <v>131</v>
      </c>
      <c r="L736" s="45" t="str">
        <f t="shared" si="232"/>
        <v>6E-M1@W</v>
      </c>
      <c r="M736" s="75" t="e">
        <f t="shared" si="229"/>
        <v>#N/A</v>
      </c>
      <c r="N736" s="75" t="e">
        <f t="shared" si="230"/>
        <v>#N/A</v>
      </c>
      <c r="R736" s="70" t="s">
        <v>339</v>
      </c>
      <c r="S736" s="70" t="s">
        <v>59</v>
      </c>
      <c r="T736" s="70" t="s">
        <v>57</v>
      </c>
      <c r="U736" s="70" t="s">
        <v>1563</v>
      </c>
      <c r="V736" s="70" t="s">
        <v>863</v>
      </c>
      <c r="X736" s="70" t="str">
        <f t="shared" si="241"/>
        <v>6E-W DT@W</v>
      </c>
      <c r="Y736" s="70" t="str">
        <f t="shared" si="242"/>
        <v>W DT-TEST@W</v>
      </c>
      <c r="Z736" s="70" t="str">
        <f t="shared" si="243"/>
        <v>TEST-EDT@W</v>
      </c>
      <c r="AA736" s="70" t="str">
        <f t="shared" si="244"/>
        <v>EDT-M1@W</v>
      </c>
      <c r="AC736" s="70" t="str">
        <f t="shared" si="233"/>
        <v>375, 374, 360, 357, 356, 355, 353, 352</v>
      </c>
      <c r="AD736" s="70" t="str">
        <f t="shared" si="234"/>
        <v>356, 355, 353, 352</v>
      </c>
      <c r="AE736" s="70" t="e">
        <f t="shared" si="235"/>
        <v>#N/A</v>
      </c>
      <c r="AF736" s="70" t="e">
        <f t="shared" si="236"/>
        <v>#N/A</v>
      </c>
      <c r="AH736" s="70" t="str">
        <f t="shared" si="237"/>
        <v>68, 56</v>
      </c>
      <c r="AI736" s="70">
        <f t="shared" si="238"/>
        <v>55</v>
      </c>
      <c r="AJ736" s="70" t="e">
        <f t="shared" si="239"/>
        <v>#N/A</v>
      </c>
      <c r="AK736" s="70" t="e">
        <f t="shared" si="240"/>
        <v>#N/A</v>
      </c>
      <c r="AN736" s="171"/>
      <c r="AO736" s="167"/>
      <c r="AP736" s="167"/>
    </row>
    <row r="737" spans="10:40" ht="20.100000000000001" customHeight="1" thickBot="1">
      <c r="J737" s="45" t="str">
        <f t="shared" si="231"/>
        <v>M1</v>
      </c>
      <c r="K737" s="45" t="s">
        <v>131</v>
      </c>
      <c r="L737" s="45" t="str">
        <f t="shared" si="232"/>
        <v>6W-M1@W</v>
      </c>
      <c r="M737" s="75" t="e">
        <f t="shared" si="229"/>
        <v>#N/A</v>
      </c>
      <c r="N737" s="75" t="e">
        <f t="shared" si="230"/>
        <v>#N/A</v>
      </c>
      <c r="R737" s="70" t="s">
        <v>346</v>
      </c>
      <c r="S737" s="70" t="s">
        <v>59</v>
      </c>
      <c r="T737" s="70" t="s">
        <v>57</v>
      </c>
      <c r="U737" s="70" t="s">
        <v>1563</v>
      </c>
      <c r="V737" s="70" t="s">
        <v>863</v>
      </c>
      <c r="X737" s="70" t="str">
        <f t="shared" si="241"/>
        <v>6W-W DT@W</v>
      </c>
      <c r="Y737" s="70" t="str">
        <f t="shared" si="242"/>
        <v>W DT-TEST@W</v>
      </c>
      <c r="Z737" s="70" t="str">
        <f t="shared" si="243"/>
        <v>TEST-EDT@W</v>
      </c>
      <c r="AA737" s="70" t="str">
        <f t="shared" si="244"/>
        <v>EDT-M1@W</v>
      </c>
      <c r="AC737" s="70" t="str">
        <f t="shared" si="233"/>
        <v>375, 374, 360, 357, 356, 355, 353, 352</v>
      </c>
      <c r="AD737" s="70" t="str">
        <f t="shared" si="234"/>
        <v>356, 355, 353, 352</v>
      </c>
      <c r="AE737" s="70" t="e">
        <f t="shared" si="235"/>
        <v>#N/A</v>
      </c>
      <c r="AF737" s="70" t="e">
        <f t="shared" si="236"/>
        <v>#N/A</v>
      </c>
      <c r="AH737" s="70" t="str">
        <f t="shared" si="237"/>
        <v>68, 56</v>
      </c>
      <c r="AI737" s="70">
        <f t="shared" si="238"/>
        <v>55</v>
      </c>
      <c r="AJ737" s="70" t="e">
        <f t="shared" si="239"/>
        <v>#N/A</v>
      </c>
      <c r="AK737" s="70" t="e">
        <f t="shared" si="240"/>
        <v>#N/A</v>
      </c>
      <c r="AN737" s="170"/>
    </row>
    <row r="738" spans="10:40" ht="20.100000000000001" customHeight="1" thickBot="1">
      <c r="J738" s="45" t="str">
        <f t="shared" si="231"/>
        <v>M1</v>
      </c>
      <c r="K738" s="45" t="s">
        <v>131</v>
      </c>
      <c r="L738" s="45" t="str">
        <f t="shared" si="232"/>
        <v>7E-M1@W</v>
      </c>
      <c r="M738" s="75" t="e">
        <f t="shared" si="229"/>
        <v>#N/A</v>
      </c>
      <c r="N738" s="75" t="e">
        <f t="shared" si="230"/>
        <v>#N/A</v>
      </c>
      <c r="R738" s="70" t="s">
        <v>354</v>
      </c>
      <c r="S738" s="70" t="s">
        <v>59</v>
      </c>
      <c r="T738" s="70" t="s">
        <v>57</v>
      </c>
      <c r="U738" s="70" t="s">
        <v>1563</v>
      </c>
      <c r="V738" s="70" t="s">
        <v>863</v>
      </c>
      <c r="X738" s="70" t="str">
        <f t="shared" si="241"/>
        <v>7E-W DT@W</v>
      </c>
      <c r="Y738" s="70" t="str">
        <f t="shared" si="242"/>
        <v>W DT-TEST@W</v>
      </c>
      <c r="Z738" s="70" t="str">
        <f t="shared" si="243"/>
        <v>TEST-EDT@W</v>
      </c>
      <c r="AA738" s="70" t="str">
        <f t="shared" si="244"/>
        <v>EDT-M1@W</v>
      </c>
      <c r="AC738" s="70" t="str">
        <f t="shared" si="233"/>
        <v>376, 374, 360, 357, 356, 355, 353, 352</v>
      </c>
      <c r="AD738" s="70" t="str">
        <f t="shared" si="234"/>
        <v>356, 355, 353, 352</v>
      </c>
      <c r="AE738" s="70" t="e">
        <f t="shared" si="235"/>
        <v>#N/A</v>
      </c>
      <c r="AF738" s="70" t="e">
        <f t="shared" si="236"/>
        <v>#N/A</v>
      </c>
      <c r="AH738" s="70" t="str">
        <f t="shared" si="237"/>
        <v>69, 56</v>
      </c>
      <c r="AI738" s="70">
        <f t="shared" si="238"/>
        <v>55</v>
      </c>
      <c r="AJ738" s="70" t="e">
        <f t="shared" si="239"/>
        <v>#N/A</v>
      </c>
      <c r="AK738" s="70" t="e">
        <f t="shared" si="240"/>
        <v>#N/A</v>
      </c>
      <c r="AN738" s="170"/>
    </row>
    <row r="739" spans="10:40" ht="20.100000000000001" customHeight="1" thickBot="1">
      <c r="J739" s="45" t="str">
        <f t="shared" si="231"/>
        <v>M1</v>
      </c>
      <c r="K739" s="45" t="s">
        <v>131</v>
      </c>
      <c r="L739" s="45" t="str">
        <f t="shared" si="232"/>
        <v>7W-M1@W</v>
      </c>
      <c r="M739" s="75" t="e">
        <f t="shared" si="229"/>
        <v>#N/A</v>
      </c>
      <c r="N739" s="75" t="e">
        <f t="shared" si="230"/>
        <v>#N/A</v>
      </c>
      <c r="R739" s="70" t="s">
        <v>363</v>
      </c>
      <c r="S739" s="70" t="s">
        <v>59</v>
      </c>
      <c r="T739" s="70" t="s">
        <v>57</v>
      </c>
      <c r="U739" s="70" t="s">
        <v>1563</v>
      </c>
      <c r="V739" s="70" t="s">
        <v>863</v>
      </c>
      <c r="X739" s="70" t="str">
        <f t="shared" si="241"/>
        <v>7W-W DT@W</v>
      </c>
      <c r="Y739" s="70" t="str">
        <f t="shared" si="242"/>
        <v>W DT-TEST@W</v>
      </c>
      <c r="Z739" s="70" t="str">
        <f t="shared" si="243"/>
        <v>TEST-EDT@W</v>
      </c>
      <c r="AA739" s="70" t="str">
        <f t="shared" si="244"/>
        <v>EDT-M1@W</v>
      </c>
      <c r="AC739" s="70" t="str">
        <f t="shared" si="233"/>
        <v>376, 374, 360, 357, 356, 355, 353, 352</v>
      </c>
      <c r="AD739" s="70" t="str">
        <f t="shared" si="234"/>
        <v>356, 355, 353, 352</v>
      </c>
      <c r="AE739" s="70" t="e">
        <f t="shared" si="235"/>
        <v>#N/A</v>
      </c>
      <c r="AF739" s="70" t="e">
        <f t="shared" si="236"/>
        <v>#N/A</v>
      </c>
      <c r="AH739" s="70" t="str">
        <f t="shared" si="237"/>
        <v>69, 56</v>
      </c>
      <c r="AI739" s="70">
        <f t="shared" si="238"/>
        <v>55</v>
      </c>
      <c r="AJ739" s="70" t="e">
        <f t="shared" si="239"/>
        <v>#N/A</v>
      </c>
      <c r="AK739" s="70" t="e">
        <f t="shared" si="240"/>
        <v>#N/A</v>
      </c>
      <c r="AN739" s="170"/>
    </row>
    <row r="740" spans="10:40" ht="20.100000000000001" customHeight="1" thickBot="1">
      <c r="J740" s="45" t="str">
        <f t="shared" si="231"/>
        <v>M1</v>
      </c>
      <c r="K740" s="45" t="s">
        <v>131</v>
      </c>
      <c r="L740" s="45" t="str">
        <f t="shared" si="232"/>
        <v>8E-M1@W</v>
      </c>
      <c r="M740" s="75" t="e">
        <f t="shared" si="229"/>
        <v>#N/A</v>
      </c>
      <c r="N740" s="75" t="e">
        <f t="shared" si="230"/>
        <v>#N/A</v>
      </c>
      <c r="R740" s="70" t="s">
        <v>370</v>
      </c>
      <c r="S740" s="70" t="s">
        <v>59</v>
      </c>
      <c r="T740" s="70" t="s">
        <v>57</v>
      </c>
      <c r="U740" s="70" t="s">
        <v>1563</v>
      </c>
      <c r="V740" s="70" t="s">
        <v>863</v>
      </c>
      <c r="X740" s="70" t="str">
        <f t="shared" si="241"/>
        <v>8E-W DT@W</v>
      </c>
      <c r="Y740" s="70" t="str">
        <f t="shared" si="242"/>
        <v>W DT-TEST@W</v>
      </c>
      <c r="Z740" s="70" t="str">
        <f t="shared" si="243"/>
        <v>TEST-EDT@W</v>
      </c>
      <c r="AA740" s="70" t="str">
        <f t="shared" si="244"/>
        <v>EDT-M1@W</v>
      </c>
      <c r="AC740" s="70" t="str">
        <f t="shared" si="233"/>
        <v>376, 374, 360, 357, 356, 355, 353, 352</v>
      </c>
      <c r="AD740" s="70" t="str">
        <f t="shared" si="234"/>
        <v>356, 355, 353, 352</v>
      </c>
      <c r="AE740" s="70" t="e">
        <f t="shared" si="235"/>
        <v>#N/A</v>
      </c>
      <c r="AF740" s="70" t="e">
        <f t="shared" si="236"/>
        <v>#N/A</v>
      </c>
      <c r="AH740" s="70" t="str">
        <f t="shared" si="237"/>
        <v>70, 56</v>
      </c>
      <c r="AI740" s="70">
        <f t="shared" si="238"/>
        <v>55</v>
      </c>
      <c r="AJ740" s="70" t="e">
        <f t="shared" si="239"/>
        <v>#N/A</v>
      </c>
      <c r="AK740" s="70" t="e">
        <f t="shared" si="240"/>
        <v>#N/A</v>
      </c>
      <c r="AN740" s="170"/>
    </row>
    <row r="741" spans="10:40" ht="20.100000000000001" customHeight="1" thickBot="1">
      <c r="J741" s="45" t="str">
        <f t="shared" si="231"/>
        <v>M1</v>
      </c>
      <c r="K741" s="45" t="s">
        <v>131</v>
      </c>
      <c r="L741" s="45" t="str">
        <f t="shared" si="232"/>
        <v>8W-M1@W</v>
      </c>
      <c r="M741" s="75" t="e">
        <f t="shared" si="229"/>
        <v>#N/A</v>
      </c>
      <c r="N741" s="75" t="e">
        <f t="shared" si="230"/>
        <v>#N/A</v>
      </c>
      <c r="R741" s="70" t="s">
        <v>377</v>
      </c>
      <c r="S741" s="70" t="s">
        <v>59</v>
      </c>
      <c r="T741" s="70" t="s">
        <v>57</v>
      </c>
      <c r="U741" s="70" t="s">
        <v>1563</v>
      </c>
      <c r="V741" s="70" t="s">
        <v>863</v>
      </c>
      <c r="X741" s="70" t="str">
        <f t="shared" si="241"/>
        <v>8W-W DT@W</v>
      </c>
      <c r="Y741" s="70" t="str">
        <f t="shared" si="242"/>
        <v>W DT-TEST@W</v>
      </c>
      <c r="Z741" s="70" t="str">
        <f t="shared" si="243"/>
        <v>TEST-EDT@W</v>
      </c>
      <c r="AA741" s="70" t="str">
        <f t="shared" si="244"/>
        <v>EDT-M1@W</v>
      </c>
      <c r="AC741" s="70" t="str">
        <f t="shared" si="233"/>
        <v>376, 374, 360, 357, 356, 355, 353, 352</v>
      </c>
      <c r="AD741" s="70" t="str">
        <f t="shared" si="234"/>
        <v>356, 355, 353, 352</v>
      </c>
      <c r="AE741" s="70" t="e">
        <f t="shared" si="235"/>
        <v>#N/A</v>
      </c>
      <c r="AF741" s="70" t="e">
        <f t="shared" si="236"/>
        <v>#N/A</v>
      </c>
      <c r="AH741" s="70" t="str">
        <f t="shared" si="237"/>
        <v>70, 56</v>
      </c>
      <c r="AI741" s="70">
        <f t="shared" si="238"/>
        <v>55</v>
      </c>
      <c r="AJ741" s="70" t="e">
        <f t="shared" si="239"/>
        <v>#N/A</v>
      </c>
      <c r="AK741" s="70" t="e">
        <f t="shared" si="240"/>
        <v>#N/A</v>
      </c>
      <c r="AN741" s="170"/>
    </row>
    <row r="742" spans="10:40" ht="20.100000000000001" customHeight="1" thickBot="1">
      <c r="J742" s="45" t="str">
        <f t="shared" si="231"/>
        <v>M2</v>
      </c>
      <c r="K742" s="45" t="s">
        <v>131</v>
      </c>
      <c r="L742" s="45" t="str">
        <f t="shared" si="232"/>
        <v>RM2E-M2@W</v>
      </c>
      <c r="M742" s="75" t="e">
        <f t="shared" si="229"/>
        <v>#N/A</v>
      </c>
      <c r="N742" s="75" t="e">
        <f t="shared" si="230"/>
        <v>#N/A</v>
      </c>
      <c r="R742" s="70" t="s">
        <v>216</v>
      </c>
      <c r="S742" s="70" t="s">
        <v>59</v>
      </c>
      <c r="T742" s="70" t="s">
        <v>57</v>
      </c>
      <c r="U742" s="70" t="s">
        <v>1563</v>
      </c>
      <c r="V742" s="70" t="s">
        <v>994</v>
      </c>
      <c r="X742" s="70" t="str">
        <f t="shared" si="241"/>
        <v>RM2E-W DT@W</v>
      </c>
      <c r="Y742" s="70" t="str">
        <f t="shared" si="242"/>
        <v>W DT-TEST@W</v>
      </c>
      <c r="Z742" s="70" t="str">
        <f t="shared" si="243"/>
        <v>TEST-EDT@W</v>
      </c>
      <c r="AA742" s="70" t="str">
        <f t="shared" si="244"/>
        <v>EDT-M2@W</v>
      </c>
      <c r="AC742" s="70" t="str">
        <f t="shared" si="233"/>
        <v>365, 362, 361, 358, 357, 356, 355, 353, 352</v>
      </c>
      <c r="AD742" s="70" t="str">
        <f t="shared" si="234"/>
        <v>356, 355, 353, 352</v>
      </c>
      <c r="AE742" s="70" t="e">
        <f t="shared" si="235"/>
        <v>#N/A</v>
      </c>
      <c r="AF742" s="70" t="e">
        <f t="shared" si="236"/>
        <v>#N/A</v>
      </c>
      <c r="AH742" s="70" t="str">
        <f t="shared" si="237"/>
        <v>26, 04</v>
      </c>
      <c r="AI742" s="70">
        <f t="shared" si="238"/>
        <v>55</v>
      </c>
      <c r="AJ742" s="70" t="e">
        <f t="shared" si="239"/>
        <v>#N/A</v>
      </c>
      <c r="AK742" s="70" t="e">
        <f t="shared" si="240"/>
        <v>#N/A</v>
      </c>
      <c r="AN742" s="170"/>
    </row>
    <row r="743" spans="10:40" ht="20.100000000000001" customHeight="1" thickBot="1">
      <c r="J743" s="45" t="str">
        <f t="shared" si="231"/>
        <v>M2</v>
      </c>
      <c r="K743" s="45" t="s">
        <v>131</v>
      </c>
      <c r="L743" s="45" t="str">
        <f t="shared" si="232"/>
        <v>RM2W-M2@W</v>
      </c>
      <c r="M743" s="75" t="e">
        <f t="shared" si="229"/>
        <v>#N/A</v>
      </c>
      <c r="N743" s="75" t="e">
        <f t="shared" si="230"/>
        <v>#N/A</v>
      </c>
      <c r="R743" s="70" t="s">
        <v>224</v>
      </c>
      <c r="S743" s="70" t="s">
        <v>59</v>
      </c>
      <c r="T743" s="70" t="s">
        <v>57</v>
      </c>
      <c r="U743" s="70" t="s">
        <v>1563</v>
      </c>
      <c r="V743" s="70" t="s">
        <v>994</v>
      </c>
      <c r="X743" s="70" t="str">
        <f t="shared" si="241"/>
        <v>RM2W-W DT@W</v>
      </c>
      <c r="Y743" s="70" t="str">
        <f t="shared" si="242"/>
        <v>W DT-TEST@W</v>
      </c>
      <c r="Z743" s="70" t="str">
        <f t="shared" si="243"/>
        <v>TEST-EDT@W</v>
      </c>
      <c r="AA743" s="70" t="str">
        <f t="shared" si="244"/>
        <v>EDT-M2@W</v>
      </c>
      <c r="AC743" s="70" t="str">
        <f t="shared" si="233"/>
        <v>365, 362, 361, 358, 357, 356, 355, 353, 352</v>
      </c>
      <c r="AD743" s="70" t="str">
        <f t="shared" si="234"/>
        <v>356, 355, 353, 352</v>
      </c>
      <c r="AE743" s="70" t="e">
        <f t="shared" si="235"/>
        <v>#N/A</v>
      </c>
      <c r="AF743" s="70" t="e">
        <f t="shared" si="236"/>
        <v>#N/A</v>
      </c>
      <c r="AH743" s="70" t="str">
        <f t="shared" si="237"/>
        <v>26, 04</v>
      </c>
      <c r="AI743" s="70">
        <f t="shared" si="238"/>
        <v>55</v>
      </c>
      <c r="AJ743" s="70" t="e">
        <f t="shared" si="239"/>
        <v>#N/A</v>
      </c>
      <c r="AK743" s="70" t="e">
        <f t="shared" si="240"/>
        <v>#N/A</v>
      </c>
      <c r="AN743" s="170"/>
    </row>
    <row r="744" spans="10:40" ht="20.100000000000001" customHeight="1" thickBot="1">
      <c r="J744" s="45" t="str">
        <f t="shared" si="231"/>
        <v>M2</v>
      </c>
      <c r="K744" s="45" t="s">
        <v>131</v>
      </c>
      <c r="L744" s="45" t="str">
        <f t="shared" si="232"/>
        <v>RM2E-M2@W</v>
      </c>
      <c r="M744" s="75" t="e">
        <f t="shared" si="229"/>
        <v>#N/A</v>
      </c>
      <c r="N744" s="75" t="e">
        <f t="shared" si="230"/>
        <v>#N/A</v>
      </c>
      <c r="R744" s="70" t="s">
        <v>216</v>
      </c>
      <c r="S744" s="70" t="s">
        <v>59</v>
      </c>
      <c r="T744" s="70" t="s">
        <v>57</v>
      </c>
      <c r="U744" s="70" t="s">
        <v>1563</v>
      </c>
      <c r="V744" s="70" t="s">
        <v>994</v>
      </c>
      <c r="X744" s="70" t="str">
        <f t="shared" si="241"/>
        <v>RM2E-W DT@W</v>
      </c>
      <c r="Y744" s="70" t="str">
        <f t="shared" si="242"/>
        <v>W DT-TEST@W</v>
      </c>
      <c r="Z744" s="70" t="str">
        <f t="shared" si="243"/>
        <v>TEST-EDT@W</v>
      </c>
      <c r="AA744" s="70" t="str">
        <f t="shared" si="244"/>
        <v>EDT-M2@W</v>
      </c>
      <c r="AC744" s="70" t="str">
        <f t="shared" si="233"/>
        <v>365, 362, 361, 358, 357, 356, 355, 353, 352</v>
      </c>
      <c r="AD744" s="70" t="str">
        <f t="shared" si="234"/>
        <v>356, 355, 353, 352</v>
      </c>
      <c r="AE744" s="70" t="e">
        <f t="shared" si="235"/>
        <v>#N/A</v>
      </c>
      <c r="AF744" s="70" t="e">
        <f t="shared" si="236"/>
        <v>#N/A</v>
      </c>
      <c r="AH744" s="70" t="str">
        <f t="shared" si="237"/>
        <v>26, 04</v>
      </c>
      <c r="AI744" s="70">
        <f t="shared" si="238"/>
        <v>55</v>
      </c>
      <c r="AJ744" s="70" t="e">
        <f t="shared" si="239"/>
        <v>#N/A</v>
      </c>
      <c r="AK744" s="70" t="e">
        <f t="shared" si="240"/>
        <v>#N/A</v>
      </c>
      <c r="AN744" s="170"/>
    </row>
    <row r="745" spans="10:40" ht="20.100000000000001" customHeight="1" thickBot="1">
      <c r="J745" s="45" t="str">
        <f t="shared" si="231"/>
        <v>M2</v>
      </c>
      <c r="K745" s="45" t="s">
        <v>131</v>
      </c>
      <c r="L745" s="45" t="str">
        <f t="shared" si="232"/>
        <v>RM2W-M2@W</v>
      </c>
      <c r="M745" s="75" t="e">
        <f t="shared" si="229"/>
        <v>#N/A</v>
      </c>
      <c r="N745" s="75" t="e">
        <f t="shared" si="230"/>
        <v>#N/A</v>
      </c>
      <c r="R745" s="70" t="s">
        <v>224</v>
      </c>
      <c r="S745" s="70" t="s">
        <v>59</v>
      </c>
      <c r="T745" s="70" t="s">
        <v>57</v>
      </c>
      <c r="U745" s="70" t="s">
        <v>1563</v>
      </c>
      <c r="V745" s="70" t="s">
        <v>994</v>
      </c>
      <c r="X745" s="70" t="str">
        <f t="shared" si="241"/>
        <v>RM2W-W DT@W</v>
      </c>
      <c r="Y745" s="70" t="str">
        <f t="shared" si="242"/>
        <v>W DT-TEST@W</v>
      </c>
      <c r="Z745" s="70" t="str">
        <f t="shared" si="243"/>
        <v>TEST-EDT@W</v>
      </c>
      <c r="AA745" s="70" t="str">
        <f t="shared" si="244"/>
        <v>EDT-M2@W</v>
      </c>
      <c r="AC745" s="70" t="str">
        <f t="shared" si="233"/>
        <v>365, 362, 361, 358, 357, 356, 355, 353, 352</v>
      </c>
      <c r="AD745" s="70" t="str">
        <f t="shared" si="234"/>
        <v>356, 355, 353, 352</v>
      </c>
      <c r="AE745" s="70" t="e">
        <f t="shared" si="235"/>
        <v>#N/A</v>
      </c>
      <c r="AF745" s="70" t="e">
        <f t="shared" si="236"/>
        <v>#N/A</v>
      </c>
      <c r="AH745" s="70" t="str">
        <f t="shared" si="237"/>
        <v>26, 04</v>
      </c>
      <c r="AI745" s="70">
        <f t="shared" si="238"/>
        <v>55</v>
      </c>
      <c r="AJ745" s="70" t="e">
        <f t="shared" si="239"/>
        <v>#N/A</v>
      </c>
      <c r="AK745" s="70" t="e">
        <f t="shared" si="240"/>
        <v>#N/A</v>
      </c>
      <c r="AN745" s="170"/>
    </row>
    <row r="746" spans="10:40" ht="20.100000000000001" customHeight="1" thickBot="1">
      <c r="J746" s="45" t="str">
        <f t="shared" si="231"/>
        <v>M2</v>
      </c>
      <c r="K746" s="45" t="s">
        <v>131</v>
      </c>
      <c r="L746" s="45" t="str">
        <f t="shared" si="232"/>
        <v>RM3E-M2@W</v>
      </c>
      <c r="M746" s="75" t="e">
        <f t="shared" si="229"/>
        <v>#N/A</v>
      </c>
      <c r="N746" s="75" t="e">
        <f t="shared" si="230"/>
        <v>#N/A</v>
      </c>
      <c r="R746" s="70" t="s">
        <v>231</v>
      </c>
      <c r="S746" s="70" t="s">
        <v>59</v>
      </c>
      <c r="T746" s="70" t="s">
        <v>57</v>
      </c>
      <c r="U746" s="70" t="s">
        <v>1563</v>
      </c>
      <c r="V746" s="70" t="s">
        <v>994</v>
      </c>
      <c r="X746" s="70" t="str">
        <f t="shared" si="241"/>
        <v>RM3E-W DT@W</v>
      </c>
      <c r="Y746" s="70" t="str">
        <f t="shared" si="242"/>
        <v>W DT-TEST@W</v>
      </c>
      <c r="Z746" s="70" t="str">
        <f t="shared" si="243"/>
        <v>TEST-EDT@W</v>
      </c>
      <c r="AA746" s="70" t="str">
        <f t="shared" si="244"/>
        <v>EDT-M2@W</v>
      </c>
      <c r="AC746" s="70" t="str">
        <f t="shared" si="233"/>
        <v>365, 362, 361, 358, 357, 356, 355, 353, 352</v>
      </c>
      <c r="AD746" s="70" t="str">
        <f t="shared" si="234"/>
        <v>356, 355, 353, 352</v>
      </c>
      <c r="AE746" s="70" t="e">
        <f t="shared" si="235"/>
        <v>#N/A</v>
      </c>
      <c r="AF746" s="70" t="e">
        <f t="shared" si="236"/>
        <v>#N/A</v>
      </c>
      <c r="AH746" s="70" t="str">
        <f t="shared" si="237"/>
        <v>27, 04</v>
      </c>
      <c r="AI746" s="70">
        <f t="shared" si="238"/>
        <v>55</v>
      </c>
      <c r="AJ746" s="70" t="e">
        <f t="shared" si="239"/>
        <v>#N/A</v>
      </c>
      <c r="AK746" s="70" t="e">
        <f t="shared" si="240"/>
        <v>#N/A</v>
      </c>
      <c r="AN746" s="170"/>
    </row>
    <row r="747" spans="10:40" ht="20.100000000000001" customHeight="1" thickBot="1">
      <c r="J747" s="45" t="str">
        <f t="shared" si="231"/>
        <v>M2</v>
      </c>
      <c r="K747" s="45" t="s">
        <v>131</v>
      </c>
      <c r="L747" s="45" t="str">
        <f t="shared" si="232"/>
        <v>RM3W-M2@W</v>
      </c>
      <c r="M747" s="75" t="e">
        <f t="shared" si="229"/>
        <v>#N/A</v>
      </c>
      <c r="N747" s="75" t="e">
        <f t="shared" si="230"/>
        <v>#N/A</v>
      </c>
      <c r="R747" s="70" t="s">
        <v>238</v>
      </c>
      <c r="S747" s="70" t="s">
        <v>59</v>
      </c>
      <c r="T747" s="70" t="s">
        <v>57</v>
      </c>
      <c r="U747" s="70" t="s">
        <v>1563</v>
      </c>
      <c r="V747" s="70" t="s">
        <v>994</v>
      </c>
      <c r="X747" s="70" t="str">
        <f t="shared" si="241"/>
        <v>RM3W-W DT@W</v>
      </c>
      <c r="Y747" s="70" t="str">
        <f t="shared" si="242"/>
        <v>W DT-TEST@W</v>
      </c>
      <c r="Z747" s="70" t="str">
        <f t="shared" si="243"/>
        <v>TEST-EDT@W</v>
      </c>
      <c r="AA747" s="70" t="str">
        <f t="shared" si="244"/>
        <v>EDT-M2@W</v>
      </c>
      <c r="AC747" s="70" t="str">
        <f t="shared" si="233"/>
        <v>365, 362, 361, 358, 357, 356, 355, 353, 352</v>
      </c>
      <c r="AD747" s="70" t="str">
        <f t="shared" si="234"/>
        <v>356, 355, 353, 352</v>
      </c>
      <c r="AE747" s="70" t="e">
        <f t="shared" si="235"/>
        <v>#N/A</v>
      </c>
      <c r="AF747" s="70" t="e">
        <f t="shared" si="236"/>
        <v>#N/A</v>
      </c>
      <c r="AH747" s="70" t="str">
        <f t="shared" si="237"/>
        <v>27, 04</v>
      </c>
      <c r="AI747" s="70">
        <f t="shared" si="238"/>
        <v>55</v>
      </c>
      <c r="AJ747" s="70" t="e">
        <f t="shared" si="239"/>
        <v>#N/A</v>
      </c>
      <c r="AK747" s="70" t="e">
        <f t="shared" si="240"/>
        <v>#N/A</v>
      </c>
      <c r="AN747" s="170"/>
    </row>
    <row r="748" spans="10:40" ht="20.100000000000001" customHeight="1" thickBot="1">
      <c r="J748" s="45" t="str">
        <f t="shared" si="231"/>
        <v>M2</v>
      </c>
      <c r="K748" s="45" t="s">
        <v>131</v>
      </c>
      <c r="L748" s="45" t="str">
        <f t="shared" si="232"/>
        <v>HCTE-M2@W</v>
      </c>
      <c r="M748" s="75" t="e">
        <f t="shared" si="229"/>
        <v>#N/A</v>
      </c>
      <c r="N748" s="75" t="e">
        <f t="shared" si="230"/>
        <v>#N/A</v>
      </c>
      <c r="R748" s="70" t="s">
        <v>246</v>
      </c>
      <c r="S748" s="70" t="s">
        <v>59</v>
      </c>
      <c r="T748" s="70" t="s">
        <v>57</v>
      </c>
      <c r="U748" s="70" t="s">
        <v>1563</v>
      </c>
      <c r="V748" s="70" t="s">
        <v>994</v>
      </c>
      <c r="X748" s="70" t="str">
        <f t="shared" si="241"/>
        <v>HCTE-W DT@W</v>
      </c>
      <c r="Y748" s="70" t="str">
        <f t="shared" si="242"/>
        <v>W DT-TEST@W</v>
      </c>
      <c r="Z748" s="70" t="str">
        <f t="shared" si="243"/>
        <v>TEST-EDT@W</v>
      </c>
      <c r="AA748" s="70" t="str">
        <f t="shared" si="244"/>
        <v>EDT-M2@W</v>
      </c>
      <c r="AC748" s="70" t="str">
        <f t="shared" si="233"/>
        <v>368, 367, 361, 358, 357, 356, 355, 353, 352</v>
      </c>
      <c r="AD748" s="70" t="str">
        <f t="shared" si="234"/>
        <v>356, 355, 353, 352</v>
      </c>
      <c r="AE748" s="70" t="e">
        <f t="shared" si="235"/>
        <v>#N/A</v>
      </c>
      <c r="AF748" s="70" t="e">
        <f t="shared" si="236"/>
        <v>#N/A</v>
      </c>
      <c r="AH748" s="70" t="str">
        <f t="shared" si="237"/>
        <v>28, 04</v>
      </c>
      <c r="AI748" s="70">
        <f t="shared" si="238"/>
        <v>55</v>
      </c>
      <c r="AJ748" s="70" t="e">
        <f t="shared" si="239"/>
        <v>#N/A</v>
      </c>
      <c r="AK748" s="70" t="e">
        <f t="shared" si="240"/>
        <v>#N/A</v>
      </c>
      <c r="AN748" s="170"/>
    </row>
    <row r="749" spans="10:40" ht="20.100000000000001" customHeight="1" thickBot="1">
      <c r="J749" s="45" t="str">
        <f t="shared" si="231"/>
        <v>M2</v>
      </c>
      <c r="K749" s="45" t="s">
        <v>131</v>
      </c>
      <c r="L749" s="45" t="str">
        <f t="shared" si="232"/>
        <v>HCTW-M2@W</v>
      </c>
      <c r="M749" s="75" t="e">
        <f t="shared" si="229"/>
        <v>#N/A</v>
      </c>
      <c r="N749" s="75" t="e">
        <f t="shared" si="230"/>
        <v>#N/A</v>
      </c>
      <c r="R749" s="70" t="s">
        <v>254</v>
      </c>
      <c r="S749" s="70" t="s">
        <v>59</v>
      </c>
      <c r="T749" s="70" t="s">
        <v>57</v>
      </c>
      <c r="U749" s="70" t="s">
        <v>1563</v>
      </c>
      <c r="V749" s="70" t="s">
        <v>994</v>
      </c>
      <c r="X749" s="70" t="str">
        <f t="shared" si="241"/>
        <v>HCTW-W DT@W</v>
      </c>
      <c r="Y749" s="70" t="str">
        <f t="shared" si="242"/>
        <v>W DT-TEST@W</v>
      </c>
      <c r="Z749" s="70" t="str">
        <f t="shared" si="243"/>
        <v>TEST-EDT@W</v>
      </c>
      <c r="AA749" s="70" t="str">
        <f t="shared" si="244"/>
        <v>EDT-M2@W</v>
      </c>
      <c r="AC749" s="70" t="str">
        <f t="shared" si="233"/>
        <v>368, 367, 361, 358, 357, 356, 355, 353, 352</v>
      </c>
      <c r="AD749" s="70" t="str">
        <f t="shared" si="234"/>
        <v>356, 355, 353, 352</v>
      </c>
      <c r="AE749" s="70" t="e">
        <f t="shared" si="235"/>
        <v>#N/A</v>
      </c>
      <c r="AF749" s="70" t="e">
        <f t="shared" si="236"/>
        <v>#N/A</v>
      </c>
      <c r="AH749" s="70" t="str">
        <f t="shared" si="237"/>
        <v>28, 04</v>
      </c>
      <c r="AI749" s="70">
        <f t="shared" si="238"/>
        <v>55</v>
      </c>
      <c r="AJ749" s="70" t="e">
        <f t="shared" si="239"/>
        <v>#N/A</v>
      </c>
      <c r="AK749" s="70" t="e">
        <f t="shared" si="240"/>
        <v>#N/A</v>
      </c>
      <c r="AN749" s="170"/>
    </row>
    <row r="750" spans="10:40" ht="20.100000000000001" customHeight="1" thickBot="1">
      <c r="J750" s="45" t="str">
        <f t="shared" si="231"/>
        <v>M2</v>
      </c>
      <c r="K750" s="45" t="s">
        <v>131</v>
      </c>
      <c r="L750" s="45" t="str">
        <f t="shared" si="232"/>
        <v>1E-M2@W</v>
      </c>
      <c r="M750" s="75" t="e">
        <f t="shared" si="229"/>
        <v>#N/A</v>
      </c>
      <c r="N750" s="75" t="e">
        <f t="shared" si="230"/>
        <v>#N/A</v>
      </c>
      <c r="R750" s="70" t="s">
        <v>261</v>
      </c>
      <c r="S750" s="70" t="s">
        <v>59</v>
      </c>
      <c r="T750" s="70" t="s">
        <v>57</v>
      </c>
      <c r="U750" s="70" t="s">
        <v>1563</v>
      </c>
      <c r="V750" s="70" t="s">
        <v>994</v>
      </c>
      <c r="X750" s="70" t="str">
        <f t="shared" si="241"/>
        <v>1E-W DT@W</v>
      </c>
      <c r="Y750" s="70" t="str">
        <f t="shared" si="242"/>
        <v>W DT-TEST@W</v>
      </c>
      <c r="Z750" s="70" t="str">
        <f t="shared" si="243"/>
        <v>TEST-EDT@W</v>
      </c>
      <c r="AA750" s="70" t="str">
        <f t="shared" si="244"/>
        <v>EDT-M2@W</v>
      </c>
      <c r="AC750" s="70" t="str">
        <f t="shared" si="233"/>
        <v>368, 367, 361, 358, 357, 356, 355, 353, 352</v>
      </c>
      <c r="AD750" s="70" t="str">
        <f t="shared" si="234"/>
        <v>356, 355, 353, 352</v>
      </c>
      <c r="AE750" s="70" t="e">
        <f t="shared" si="235"/>
        <v>#N/A</v>
      </c>
      <c r="AF750" s="70" t="e">
        <f t="shared" si="236"/>
        <v>#N/A</v>
      </c>
      <c r="AH750" s="70" t="str">
        <f t="shared" si="237"/>
        <v>63, 56</v>
      </c>
      <c r="AI750" s="70">
        <f t="shared" si="238"/>
        <v>55</v>
      </c>
      <c r="AJ750" s="70" t="e">
        <f t="shared" si="239"/>
        <v>#N/A</v>
      </c>
      <c r="AK750" s="70" t="e">
        <f t="shared" si="240"/>
        <v>#N/A</v>
      </c>
      <c r="AN750" s="170"/>
    </row>
    <row r="751" spans="10:40" ht="20.100000000000001" customHeight="1" thickBot="1">
      <c r="J751" s="45" t="str">
        <f t="shared" si="231"/>
        <v>M2</v>
      </c>
      <c r="K751" s="45" t="s">
        <v>131</v>
      </c>
      <c r="L751" s="45" t="str">
        <f t="shared" si="232"/>
        <v>1W-M2@W</v>
      </c>
      <c r="M751" s="75" t="e">
        <f t="shared" si="229"/>
        <v>#N/A</v>
      </c>
      <c r="N751" s="75" t="e">
        <f t="shared" si="230"/>
        <v>#N/A</v>
      </c>
      <c r="R751" s="70" t="s">
        <v>269</v>
      </c>
      <c r="S751" s="70" t="s">
        <v>59</v>
      </c>
      <c r="T751" s="70" t="s">
        <v>57</v>
      </c>
      <c r="U751" s="70" t="s">
        <v>1563</v>
      </c>
      <c r="V751" s="70" t="s">
        <v>994</v>
      </c>
      <c r="X751" s="70" t="str">
        <f t="shared" si="241"/>
        <v>1W-W DT@W</v>
      </c>
      <c r="Y751" s="70" t="str">
        <f t="shared" si="242"/>
        <v>W DT-TEST@W</v>
      </c>
      <c r="Z751" s="70" t="str">
        <f t="shared" si="243"/>
        <v>TEST-EDT@W</v>
      </c>
      <c r="AA751" s="70" t="str">
        <f t="shared" si="244"/>
        <v>EDT-M2@W</v>
      </c>
      <c r="AC751" s="70" t="str">
        <f t="shared" si="233"/>
        <v>368, 367, 361, 358, 357, 356, 355, 353, 352</v>
      </c>
      <c r="AD751" s="70" t="str">
        <f t="shared" si="234"/>
        <v>356, 355, 353, 352</v>
      </c>
      <c r="AE751" s="70" t="e">
        <f t="shared" si="235"/>
        <v>#N/A</v>
      </c>
      <c r="AF751" s="70" t="e">
        <f t="shared" si="236"/>
        <v>#N/A</v>
      </c>
      <c r="AH751" s="70" t="str">
        <f t="shared" si="237"/>
        <v>63, 56</v>
      </c>
      <c r="AI751" s="70">
        <f t="shared" si="238"/>
        <v>55</v>
      </c>
      <c r="AJ751" s="70" t="e">
        <f t="shared" si="239"/>
        <v>#N/A</v>
      </c>
      <c r="AK751" s="70" t="e">
        <f t="shared" si="240"/>
        <v>#N/A</v>
      </c>
      <c r="AN751" s="170"/>
    </row>
    <row r="752" spans="10:40" ht="20.100000000000001" customHeight="1" thickBot="1">
      <c r="J752" s="45" t="str">
        <f t="shared" si="231"/>
        <v>M2</v>
      </c>
      <c r="K752" s="45" t="s">
        <v>131</v>
      </c>
      <c r="L752" s="45" t="str">
        <f t="shared" si="232"/>
        <v>2E-M2@W</v>
      </c>
      <c r="M752" s="75" t="e">
        <f t="shared" si="229"/>
        <v>#N/A</v>
      </c>
      <c r="N752" s="75" t="e">
        <f t="shared" si="230"/>
        <v>#N/A</v>
      </c>
      <c r="R752" s="70" t="s">
        <v>276</v>
      </c>
      <c r="S752" s="70" t="s">
        <v>59</v>
      </c>
      <c r="T752" s="70" t="s">
        <v>57</v>
      </c>
      <c r="U752" s="70" t="s">
        <v>1563</v>
      </c>
      <c r="V752" s="70" t="s">
        <v>994</v>
      </c>
      <c r="X752" s="70" t="str">
        <f t="shared" si="241"/>
        <v>2E-W DT@W</v>
      </c>
      <c r="Y752" s="70" t="str">
        <f t="shared" si="242"/>
        <v>W DT-TEST@W</v>
      </c>
      <c r="Z752" s="70" t="str">
        <f t="shared" si="243"/>
        <v>TEST-EDT@W</v>
      </c>
      <c r="AA752" s="70" t="str">
        <f t="shared" si="244"/>
        <v>EDT-M2@W</v>
      </c>
      <c r="AC752" s="70" t="str">
        <f t="shared" si="233"/>
        <v>370, 369, 367, 361, 358, 357, 356, 355, 353, 352</v>
      </c>
      <c r="AD752" s="70" t="str">
        <f t="shared" si="234"/>
        <v>356, 355, 353, 352</v>
      </c>
      <c r="AE752" s="70" t="e">
        <f t="shared" si="235"/>
        <v>#N/A</v>
      </c>
      <c r="AF752" s="70" t="e">
        <f t="shared" si="236"/>
        <v>#N/A</v>
      </c>
      <c r="AH752" s="70" t="str">
        <f t="shared" si="237"/>
        <v>64, 56</v>
      </c>
      <c r="AI752" s="70">
        <f t="shared" si="238"/>
        <v>55</v>
      </c>
      <c r="AJ752" s="70" t="e">
        <f t="shared" si="239"/>
        <v>#N/A</v>
      </c>
      <c r="AK752" s="70" t="e">
        <f t="shared" si="240"/>
        <v>#N/A</v>
      </c>
      <c r="AN752" s="170"/>
    </row>
    <row r="753" spans="10:40" ht="20.100000000000001" customHeight="1" thickBot="1">
      <c r="J753" s="45" t="str">
        <f t="shared" si="231"/>
        <v>M2</v>
      </c>
      <c r="K753" s="45" t="s">
        <v>131</v>
      </c>
      <c r="L753" s="45" t="str">
        <f t="shared" si="232"/>
        <v>2W-M2@W</v>
      </c>
      <c r="M753" s="75" t="e">
        <f t="shared" si="229"/>
        <v>#N/A</v>
      </c>
      <c r="N753" s="75" t="e">
        <f t="shared" si="230"/>
        <v>#N/A</v>
      </c>
      <c r="R753" s="70" t="s">
        <v>285</v>
      </c>
      <c r="S753" s="70" t="s">
        <v>59</v>
      </c>
      <c r="T753" s="70" t="s">
        <v>57</v>
      </c>
      <c r="U753" s="70" t="s">
        <v>1563</v>
      </c>
      <c r="V753" s="70" t="s">
        <v>994</v>
      </c>
      <c r="X753" s="70" t="str">
        <f t="shared" si="241"/>
        <v>2W-W DT@W</v>
      </c>
      <c r="Y753" s="70" t="str">
        <f t="shared" si="242"/>
        <v>W DT-TEST@W</v>
      </c>
      <c r="Z753" s="70" t="str">
        <f t="shared" si="243"/>
        <v>TEST-EDT@W</v>
      </c>
      <c r="AA753" s="70" t="str">
        <f t="shared" si="244"/>
        <v>EDT-M2@W</v>
      </c>
      <c r="AC753" s="70" t="str">
        <f t="shared" si="233"/>
        <v>370, 369, 367, 361, 358, 357, 356, 355, 353, 352</v>
      </c>
      <c r="AD753" s="70" t="str">
        <f t="shared" si="234"/>
        <v>356, 355, 353, 352</v>
      </c>
      <c r="AE753" s="70" t="e">
        <f t="shared" si="235"/>
        <v>#N/A</v>
      </c>
      <c r="AF753" s="70" t="e">
        <f t="shared" si="236"/>
        <v>#N/A</v>
      </c>
      <c r="AH753" s="70" t="str">
        <f t="shared" si="237"/>
        <v>64, 56</v>
      </c>
      <c r="AI753" s="70">
        <f t="shared" si="238"/>
        <v>55</v>
      </c>
      <c r="AJ753" s="70" t="e">
        <f t="shared" si="239"/>
        <v>#N/A</v>
      </c>
      <c r="AK753" s="70" t="e">
        <f t="shared" si="240"/>
        <v>#N/A</v>
      </c>
      <c r="AN753" s="170"/>
    </row>
    <row r="754" spans="10:40" ht="20.100000000000001" customHeight="1" thickBot="1">
      <c r="J754" s="45" t="str">
        <f t="shared" si="231"/>
        <v>M2</v>
      </c>
      <c r="K754" s="45" t="s">
        <v>131</v>
      </c>
      <c r="L754" s="45" t="str">
        <f t="shared" si="232"/>
        <v>3E-M2@W</v>
      </c>
      <c r="M754" s="75" t="e">
        <f t="shared" si="229"/>
        <v>#N/A</v>
      </c>
      <c r="N754" s="75" t="e">
        <f t="shared" si="230"/>
        <v>#N/A</v>
      </c>
      <c r="R754" s="70" t="s">
        <v>293</v>
      </c>
      <c r="S754" s="70" t="s">
        <v>59</v>
      </c>
      <c r="T754" s="70" t="s">
        <v>57</v>
      </c>
      <c r="U754" s="70" t="s">
        <v>1563</v>
      </c>
      <c r="V754" s="70" t="s">
        <v>994</v>
      </c>
      <c r="X754" s="70" t="str">
        <f t="shared" si="241"/>
        <v>3E-W DT@W</v>
      </c>
      <c r="Y754" s="70" t="str">
        <f t="shared" si="242"/>
        <v>W DT-TEST@W</v>
      </c>
      <c r="Z754" s="70" t="str">
        <f t="shared" si="243"/>
        <v>TEST-EDT@W</v>
      </c>
      <c r="AA754" s="70" t="str">
        <f t="shared" si="244"/>
        <v>EDT-M2@W</v>
      </c>
      <c r="AC754" s="70" t="str">
        <f t="shared" si="233"/>
        <v>370, 369, 367, 361, 358, 357, 356, 355, 353, 352</v>
      </c>
      <c r="AD754" s="70" t="str">
        <f t="shared" si="234"/>
        <v>356, 355, 353, 352</v>
      </c>
      <c r="AE754" s="70" t="e">
        <f t="shared" si="235"/>
        <v>#N/A</v>
      </c>
      <c r="AF754" s="70" t="e">
        <f t="shared" si="236"/>
        <v>#N/A</v>
      </c>
      <c r="AH754" s="70" t="str">
        <f t="shared" si="237"/>
        <v>65, 56</v>
      </c>
      <c r="AI754" s="70">
        <f t="shared" si="238"/>
        <v>55</v>
      </c>
      <c r="AJ754" s="70" t="e">
        <f t="shared" si="239"/>
        <v>#N/A</v>
      </c>
      <c r="AK754" s="70" t="e">
        <f t="shared" si="240"/>
        <v>#N/A</v>
      </c>
      <c r="AN754" s="170"/>
    </row>
    <row r="755" spans="10:40" ht="20.100000000000001" customHeight="1" thickBot="1">
      <c r="J755" s="45" t="str">
        <f t="shared" si="231"/>
        <v>M2</v>
      </c>
      <c r="K755" s="45" t="s">
        <v>131</v>
      </c>
      <c r="L755" s="45" t="str">
        <f t="shared" si="232"/>
        <v>3W-M2@W</v>
      </c>
      <c r="M755" s="75" t="e">
        <f t="shared" si="229"/>
        <v>#N/A</v>
      </c>
      <c r="N755" s="75" t="e">
        <f t="shared" si="230"/>
        <v>#N/A</v>
      </c>
      <c r="R755" s="70" t="s">
        <v>301</v>
      </c>
      <c r="S755" s="70" t="s">
        <v>59</v>
      </c>
      <c r="T755" s="70" t="s">
        <v>57</v>
      </c>
      <c r="U755" s="70" t="s">
        <v>1563</v>
      </c>
      <c r="V755" s="70" t="s">
        <v>994</v>
      </c>
      <c r="X755" s="70" t="str">
        <f t="shared" si="241"/>
        <v>3W-W DT@W</v>
      </c>
      <c r="Y755" s="70" t="str">
        <f t="shared" si="242"/>
        <v>W DT-TEST@W</v>
      </c>
      <c r="Z755" s="70" t="str">
        <f t="shared" si="243"/>
        <v>TEST-EDT@W</v>
      </c>
      <c r="AA755" s="70" t="str">
        <f t="shared" si="244"/>
        <v>EDT-M2@W</v>
      </c>
      <c r="AC755" s="70" t="str">
        <f t="shared" si="233"/>
        <v>370, 369, 367, 361, 358, 357, 356, 355, 353, 352</v>
      </c>
      <c r="AD755" s="70" t="str">
        <f t="shared" si="234"/>
        <v>356, 355, 353, 352</v>
      </c>
      <c r="AE755" s="70" t="e">
        <f t="shared" si="235"/>
        <v>#N/A</v>
      </c>
      <c r="AF755" s="70" t="e">
        <f t="shared" si="236"/>
        <v>#N/A</v>
      </c>
      <c r="AH755" s="70" t="str">
        <f t="shared" si="237"/>
        <v>65, 56</v>
      </c>
      <c r="AI755" s="70">
        <f t="shared" si="238"/>
        <v>55</v>
      </c>
      <c r="AJ755" s="70" t="e">
        <f t="shared" si="239"/>
        <v>#N/A</v>
      </c>
      <c r="AK755" s="70" t="e">
        <f t="shared" si="240"/>
        <v>#N/A</v>
      </c>
      <c r="AN755" s="170"/>
    </row>
    <row r="756" spans="10:40" ht="20.100000000000001" customHeight="1" thickBot="1">
      <c r="J756" s="45" t="str">
        <f t="shared" si="231"/>
        <v>M2</v>
      </c>
      <c r="K756" s="45" t="s">
        <v>131</v>
      </c>
      <c r="L756" s="45" t="str">
        <f t="shared" si="232"/>
        <v>4E-M2@W</v>
      </c>
      <c r="M756" s="75" t="e">
        <f t="shared" si="229"/>
        <v>#N/A</v>
      </c>
      <c r="N756" s="75" t="e">
        <f t="shared" si="230"/>
        <v>#N/A</v>
      </c>
      <c r="R756" s="70" t="s">
        <v>309</v>
      </c>
      <c r="S756" s="70" t="s">
        <v>59</v>
      </c>
      <c r="T756" s="70" t="s">
        <v>57</v>
      </c>
      <c r="U756" s="70" t="s">
        <v>1563</v>
      </c>
      <c r="V756" s="70" t="s">
        <v>994</v>
      </c>
      <c r="X756" s="70" t="str">
        <f t="shared" si="241"/>
        <v>4E-W DT@W</v>
      </c>
      <c r="Y756" s="70" t="str">
        <f t="shared" si="242"/>
        <v>W DT-TEST@W</v>
      </c>
      <c r="Z756" s="70" t="str">
        <f t="shared" si="243"/>
        <v>TEST-EDT@W</v>
      </c>
      <c r="AA756" s="70" t="str">
        <f t="shared" si="244"/>
        <v>EDT-M2@W</v>
      </c>
      <c r="AC756" s="70" t="str">
        <f t="shared" si="233"/>
        <v>369, 367, 361, 358, 357, 356, 355, 353, 352</v>
      </c>
      <c r="AD756" s="70" t="str">
        <f t="shared" si="234"/>
        <v>356, 355, 353, 352</v>
      </c>
      <c r="AE756" s="70" t="e">
        <f t="shared" si="235"/>
        <v>#N/A</v>
      </c>
      <c r="AF756" s="70" t="e">
        <f t="shared" si="236"/>
        <v>#N/A</v>
      </c>
      <c r="AH756" s="70" t="str">
        <f t="shared" si="237"/>
        <v>66, 56</v>
      </c>
      <c r="AI756" s="70">
        <f t="shared" si="238"/>
        <v>55</v>
      </c>
      <c r="AJ756" s="70" t="e">
        <f t="shared" si="239"/>
        <v>#N/A</v>
      </c>
      <c r="AK756" s="70" t="e">
        <f t="shared" si="240"/>
        <v>#N/A</v>
      </c>
      <c r="AN756" s="170"/>
    </row>
    <row r="757" spans="10:40" ht="20.100000000000001" customHeight="1" thickBot="1">
      <c r="J757" s="45" t="str">
        <f t="shared" si="231"/>
        <v>M2</v>
      </c>
      <c r="K757" s="45" t="s">
        <v>131</v>
      </c>
      <c r="L757" s="45" t="str">
        <f t="shared" si="232"/>
        <v>4W-M2@W</v>
      </c>
      <c r="M757" s="75" t="e">
        <f t="shared" si="229"/>
        <v>#N/A</v>
      </c>
      <c r="N757" s="75" t="e">
        <f t="shared" si="230"/>
        <v>#N/A</v>
      </c>
      <c r="R757" s="70" t="s">
        <v>318</v>
      </c>
      <c r="S757" s="70" t="s">
        <v>59</v>
      </c>
      <c r="T757" s="70" t="s">
        <v>57</v>
      </c>
      <c r="U757" s="70" t="s">
        <v>1563</v>
      </c>
      <c r="V757" s="70" t="s">
        <v>994</v>
      </c>
      <c r="X757" s="70" t="str">
        <f t="shared" si="241"/>
        <v>4W-W DT@W</v>
      </c>
      <c r="Y757" s="70" t="str">
        <f t="shared" si="242"/>
        <v>W DT-TEST@W</v>
      </c>
      <c r="Z757" s="70" t="str">
        <f t="shared" si="243"/>
        <v>TEST-EDT@W</v>
      </c>
      <c r="AA757" s="70" t="str">
        <f t="shared" si="244"/>
        <v>EDT-M2@W</v>
      </c>
      <c r="AC757" s="70" t="str">
        <f t="shared" si="233"/>
        <v>369, 367, 361, 358, 357, 356, 355, 353, 352</v>
      </c>
      <c r="AD757" s="70" t="str">
        <f t="shared" si="234"/>
        <v>356, 355, 353, 352</v>
      </c>
      <c r="AE757" s="70" t="e">
        <f t="shared" si="235"/>
        <v>#N/A</v>
      </c>
      <c r="AF757" s="70" t="e">
        <f t="shared" si="236"/>
        <v>#N/A</v>
      </c>
      <c r="AH757" s="70" t="str">
        <f t="shared" si="237"/>
        <v>66, 56</v>
      </c>
      <c r="AI757" s="70">
        <f t="shared" si="238"/>
        <v>55</v>
      </c>
      <c r="AJ757" s="70" t="e">
        <f t="shared" si="239"/>
        <v>#N/A</v>
      </c>
      <c r="AK757" s="70" t="e">
        <f t="shared" si="240"/>
        <v>#N/A</v>
      </c>
      <c r="AN757" s="170"/>
    </row>
    <row r="758" spans="10:40" ht="20.100000000000001" customHeight="1" thickBot="1">
      <c r="J758" s="45" t="str">
        <f t="shared" si="231"/>
        <v>M2</v>
      </c>
      <c r="K758" s="45" t="s">
        <v>131</v>
      </c>
      <c r="L758" s="45" t="str">
        <f t="shared" si="232"/>
        <v>5E-M2@W</v>
      </c>
      <c r="M758" s="75" t="e">
        <f t="shared" si="229"/>
        <v>#N/A</v>
      </c>
      <c r="N758" s="75" t="e">
        <f t="shared" si="230"/>
        <v>#N/A</v>
      </c>
      <c r="R758" s="70" t="s">
        <v>325</v>
      </c>
      <c r="S758" s="70" t="s">
        <v>59</v>
      </c>
      <c r="T758" s="70" t="s">
        <v>57</v>
      </c>
      <c r="U758" s="70" t="s">
        <v>1563</v>
      </c>
      <c r="V758" s="70" t="s">
        <v>994</v>
      </c>
      <c r="X758" s="70" t="str">
        <f t="shared" si="241"/>
        <v>5E-W DT@W</v>
      </c>
      <c r="Y758" s="70" t="str">
        <f t="shared" si="242"/>
        <v>W DT-TEST@W</v>
      </c>
      <c r="Z758" s="70" t="str">
        <f t="shared" si="243"/>
        <v>TEST-EDT@W</v>
      </c>
      <c r="AA758" s="70" t="str">
        <f t="shared" si="244"/>
        <v>EDT-M2@W</v>
      </c>
      <c r="AC758" s="70" t="str">
        <f t="shared" si="233"/>
        <v>375, 374, 360, 357, 356, 355, 353, 352</v>
      </c>
      <c r="AD758" s="70" t="str">
        <f t="shared" si="234"/>
        <v>356, 355, 353, 352</v>
      </c>
      <c r="AE758" s="70" t="e">
        <f t="shared" si="235"/>
        <v>#N/A</v>
      </c>
      <c r="AF758" s="70" t="e">
        <f t="shared" si="236"/>
        <v>#N/A</v>
      </c>
      <c r="AH758" s="70" t="str">
        <f t="shared" si="237"/>
        <v>67, 56</v>
      </c>
      <c r="AI758" s="70">
        <f t="shared" si="238"/>
        <v>55</v>
      </c>
      <c r="AJ758" s="70" t="e">
        <f t="shared" si="239"/>
        <v>#N/A</v>
      </c>
      <c r="AK758" s="70" t="e">
        <f t="shared" si="240"/>
        <v>#N/A</v>
      </c>
      <c r="AN758" s="170"/>
    </row>
    <row r="759" spans="10:40" ht="20.100000000000001" customHeight="1" thickBot="1">
      <c r="J759" s="45" t="str">
        <f t="shared" si="231"/>
        <v>M2</v>
      </c>
      <c r="K759" s="45" t="s">
        <v>131</v>
      </c>
      <c r="L759" s="45" t="str">
        <f t="shared" si="232"/>
        <v>5W-M2@W</v>
      </c>
      <c r="M759" s="75" t="e">
        <f t="shared" si="229"/>
        <v>#N/A</v>
      </c>
      <c r="N759" s="75" t="e">
        <f t="shared" si="230"/>
        <v>#N/A</v>
      </c>
      <c r="R759" s="70" t="s">
        <v>333</v>
      </c>
      <c r="S759" s="70" t="s">
        <v>59</v>
      </c>
      <c r="T759" s="70" t="s">
        <v>57</v>
      </c>
      <c r="U759" s="70" t="s">
        <v>1563</v>
      </c>
      <c r="V759" s="70" t="s">
        <v>994</v>
      </c>
      <c r="X759" s="70" t="str">
        <f t="shared" si="241"/>
        <v>5W-W DT@W</v>
      </c>
      <c r="Y759" s="70" t="str">
        <f t="shared" si="242"/>
        <v>W DT-TEST@W</v>
      </c>
      <c r="Z759" s="70" t="str">
        <f t="shared" si="243"/>
        <v>TEST-EDT@W</v>
      </c>
      <c r="AA759" s="70" t="str">
        <f t="shared" si="244"/>
        <v>EDT-M2@W</v>
      </c>
      <c r="AC759" s="70" t="str">
        <f t="shared" si="233"/>
        <v>375, 374, 360, 357, 356, 355, 353, 352</v>
      </c>
      <c r="AD759" s="70" t="str">
        <f t="shared" si="234"/>
        <v>356, 355, 353, 352</v>
      </c>
      <c r="AE759" s="70" t="e">
        <f t="shared" si="235"/>
        <v>#N/A</v>
      </c>
      <c r="AF759" s="70" t="e">
        <f t="shared" si="236"/>
        <v>#N/A</v>
      </c>
      <c r="AH759" s="70" t="str">
        <f t="shared" si="237"/>
        <v>67, 56</v>
      </c>
      <c r="AI759" s="70">
        <f t="shared" si="238"/>
        <v>55</v>
      </c>
      <c r="AJ759" s="70" t="e">
        <f t="shared" si="239"/>
        <v>#N/A</v>
      </c>
      <c r="AK759" s="70" t="e">
        <f t="shared" si="240"/>
        <v>#N/A</v>
      </c>
      <c r="AN759" s="170"/>
    </row>
    <row r="760" spans="10:40" ht="20.100000000000001" customHeight="1" thickBot="1">
      <c r="J760" s="45" t="str">
        <f t="shared" si="231"/>
        <v>M2</v>
      </c>
      <c r="K760" s="45" t="s">
        <v>131</v>
      </c>
      <c r="L760" s="45" t="str">
        <f t="shared" si="232"/>
        <v>6E-M2@W</v>
      </c>
      <c r="M760" s="75" t="e">
        <f t="shared" si="229"/>
        <v>#N/A</v>
      </c>
      <c r="N760" s="75" t="e">
        <f t="shared" si="230"/>
        <v>#N/A</v>
      </c>
      <c r="R760" s="70" t="s">
        <v>339</v>
      </c>
      <c r="S760" s="70" t="s">
        <v>59</v>
      </c>
      <c r="T760" s="70" t="s">
        <v>57</v>
      </c>
      <c r="U760" s="70" t="s">
        <v>1563</v>
      </c>
      <c r="V760" s="70" t="s">
        <v>994</v>
      </c>
      <c r="X760" s="70" t="str">
        <f t="shared" si="241"/>
        <v>6E-W DT@W</v>
      </c>
      <c r="Y760" s="70" t="str">
        <f t="shared" si="242"/>
        <v>W DT-TEST@W</v>
      </c>
      <c r="Z760" s="70" t="str">
        <f t="shared" si="243"/>
        <v>TEST-EDT@W</v>
      </c>
      <c r="AA760" s="70" t="str">
        <f t="shared" si="244"/>
        <v>EDT-M2@W</v>
      </c>
      <c r="AC760" s="70" t="str">
        <f t="shared" si="233"/>
        <v>375, 374, 360, 357, 356, 355, 353, 352</v>
      </c>
      <c r="AD760" s="70" t="str">
        <f t="shared" si="234"/>
        <v>356, 355, 353, 352</v>
      </c>
      <c r="AE760" s="70" t="e">
        <f t="shared" si="235"/>
        <v>#N/A</v>
      </c>
      <c r="AF760" s="70" t="e">
        <f t="shared" si="236"/>
        <v>#N/A</v>
      </c>
      <c r="AH760" s="70" t="str">
        <f t="shared" si="237"/>
        <v>68, 56</v>
      </c>
      <c r="AI760" s="70">
        <f t="shared" si="238"/>
        <v>55</v>
      </c>
      <c r="AJ760" s="70" t="e">
        <f t="shared" si="239"/>
        <v>#N/A</v>
      </c>
      <c r="AK760" s="70" t="e">
        <f t="shared" si="240"/>
        <v>#N/A</v>
      </c>
      <c r="AN760" s="170"/>
    </row>
    <row r="761" spans="10:40" ht="20.100000000000001" customHeight="1" thickBot="1">
      <c r="J761" s="45" t="str">
        <f t="shared" si="231"/>
        <v>M2</v>
      </c>
      <c r="K761" s="45" t="s">
        <v>131</v>
      </c>
      <c r="L761" s="45" t="str">
        <f t="shared" si="232"/>
        <v>6W-M2@W</v>
      </c>
      <c r="M761" s="75" t="e">
        <f t="shared" si="229"/>
        <v>#N/A</v>
      </c>
      <c r="N761" s="75" t="e">
        <f t="shared" si="230"/>
        <v>#N/A</v>
      </c>
      <c r="R761" s="70" t="s">
        <v>346</v>
      </c>
      <c r="S761" s="70" t="s">
        <v>59</v>
      </c>
      <c r="T761" s="70" t="s">
        <v>57</v>
      </c>
      <c r="U761" s="70" t="s">
        <v>1563</v>
      </c>
      <c r="V761" s="70" t="s">
        <v>994</v>
      </c>
      <c r="X761" s="70" t="str">
        <f t="shared" si="241"/>
        <v>6W-W DT@W</v>
      </c>
      <c r="Y761" s="70" t="str">
        <f t="shared" si="242"/>
        <v>W DT-TEST@W</v>
      </c>
      <c r="Z761" s="70" t="str">
        <f t="shared" si="243"/>
        <v>TEST-EDT@W</v>
      </c>
      <c r="AA761" s="70" t="str">
        <f t="shared" si="244"/>
        <v>EDT-M2@W</v>
      </c>
      <c r="AC761" s="70" t="str">
        <f t="shared" si="233"/>
        <v>375, 374, 360, 357, 356, 355, 353, 352</v>
      </c>
      <c r="AD761" s="70" t="str">
        <f t="shared" si="234"/>
        <v>356, 355, 353, 352</v>
      </c>
      <c r="AE761" s="70" t="e">
        <f t="shared" si="235"/>
        <v>#N/A</v>
      </c>
      <c r="AF761" s="70" t="e">
        <f t="shared" si="236"/>
        <v>#N/A</v>
      </c>
      <c r="AH761" s="70" t="str">
        <f t="shared" si="237"/>
        <v>68, 56</v>
      </c>
      <c r="AI761" s="70">
        <f t="shared" si="238"/>
        <v>55</v>
      </c>
      <c r="AJ761" s="70" t="e">
        <f t="shared" si="239"/>
        <v>#N/A</v>
      </c>
      <c r="AK761" s="70" t="e">
        <f t="shared" si="240"/>
        <v>#N/A</v>
      </c>
      <c r="AN761" s="170"/>
    </row>
    <row r="762" spans="10:40" ht="20.100000000000001" customHeight="1" thickBot="1">
      <c r="J762" s="45" t="str">
        <f t="shared" si="231"/>
        <v>M2</v>
      </c>
      <c r="K762" s="45" t="s">
        <v>131</v>
      </c>
      <c r="L762" s="45" t="str">
        <f t="shared" si="232"/>
        <v>7E-M2@W</v>
      </c>
      <c r="M762" s="75" t="e">
        <f t="shared" si="229"/>
        <v>#N/A</v>
      </c>
      <c r="N762" s="75" t="e">
        <f t="shared" si="230"/>
        <v>#N/A</v>
      </c>
      <c r="R762" s="70" t="s">
        <v>354</v>
      </c>
      <c r="S762" s="70" t="s">
        <v>59</v>
      </c>
      <c r="T762" s="70" t="s">
        <v>57</v>
      </c>
      <c r="U762" s="70" t="s">
        <v>1563</v>
      </c>
      <c r="V762" s="70" t="s">
        <v>994</v>
      </c>
      <c r="X762" s="70" t="str">
        <f t="shared" si="241"/>
        <v>7E-W DT@W</v>
      </c>
      <c r="Y762" s="70" t="str">
        <f t="shared" si="242"/>
        <v>W DT-TEST@W</v>
      </c>
      <c r="Z762" s="70" t="str">
        <f t="shared" si="243"/>
        <v>TEST-EDT@W</v>
      </c>
      <c r="AA762" s="70" t="str">
        <f t="shared" si="244"/>
        <v>EDT-M2@W</v>
      </c>
      <c r="AC762" s="70" t="str">
        <f t="shared" si="233"/>
        <v>376, 374, 360, 357, 356, 355, 353, 352</v>
      </c>
      <c r="AD762" s="70" t="str">
        <f t="shared" si="234"/>
        <v>356, 355, 353, 352</v>
      </c>
      <c r="AE762" s="70" t="e">
        <f t="shared" si="235"/>
        <v>#N/A</v>
      </c>
      <c r="AF762" s="70" t="e">
        <f t="shared" si="236"/>
        <v>#N/A</v>
      </c>
      <c r="AH762" s="70" t="str">
        <f t="shared" si="237"/>
        <v>69, 56</v>
      </c>
      <c r="AI762" s="70">
        <f t="shared" si="238"/>
        <v>55</v>
      </c>
      <c r="AJ762" s="70" t="e">
        <f t="shared" si="239"/>
        <v>#N/A</v>
      </c>
      <c r="AK762" s="70" t="e">
        <f t="shared" si="240"/>
        <v>#N/A</v>
      </c>
      <c r="AN762" s="170"/>
    </row>
    <row r="763" spans="10:40" ht="20.100000000000001" customHeight="1" thickBot="1">
      <c r="J763" s="45" t="str">
        <f t="shared" si="231"/>
        <v>M2</v>
      </c>
      <c r="K763" s="45" t="s">
        <v>131</v>
      </c>
      <c r="L763" s="45" t="str">
        <f t="shared" si="232"/>
        <v>7W-M2@W</v>
      </c>
      <c r="M763" s="75" t="e">
        <f t="shared" si="229"/>
        <v>#N/A</v>
      </c>
      <c r="N763" s="75" t="e">
        <f t="shared" si="230"/>
        <v>#N/A</v>
      </c>
      <c r="R763" s="70" t="s">
        <v>363</v>
      </c>
      <c r="S763" s="70" t="s">
        <v>59</v>
      </c>
      <c r="T763" s="70" t="s">
        <v>57</v>
      </c>
      <c r="U763" s="70" t="s">
        <v>1563</v>
      </c>
      <c r="V763" s="70" t="s">
        <v>994</v>
      </c>
      <c r="X763" s="70" t="str">
        <f t="shared" si="241"/>
        <v>7W-W DT@W</v>
      </c>
      <c r="Y763" s="70" t="str">
        <f t="shared" si="242"/>
        <v>W DT-TEST@W</v>
      </c>
      <c r="Z763" s="70" t="str">
        <f t="shared" si="243"/>
        <v>TEST-EDT@W</v>
      </c>
      <c r="AA763" s="70" t="str">
        <f t="shared" si="244"/>
        <v>EDT-M2@W</v>
      </c>
      <c r="AC763" s="70" t="str">
        <f t="shared" si="233"/>
        <v>376, 374, 360, 357, 356, 355, 353, 352</v>
      </c>
      <c r="AD763" s="70" t="str">
        <f t="shared" si="234"/>
        <v>356, 355, 353, 352</v>
      </c>
      <c r="AE763" s="70" t="e">
        <f t="shared" si="235"/>
        <v>#N/A</v>
      </c>
      <c r="AF763" s="70" t="e">
        <f t="shared" si="236"/>
        <v>#N/A</v>
      </c>
      <c r="AH763" s="70" t="str">
        <f t="shared" si="237"/>
        <v>69, 56</v>
      </c>
      <c r="AI763" s="70">
        <f t="shared" si="238"/>
        <v>55</v>
      </c>
      <c r="AJ763" s="70" t="e">
        <f t="shared" si="239"/>
        <v>#N/A</v>
      </c>
      <c r="AK763" s="70" t="e">
        <f t="shared" si="240"/>
        <v>#N/A</v>
      </c>
      <c r="AN763" s="170"/>
    </row>
    <row r="764" spans="10:40" ht="20.100000000000001" customHeight="1" thickBot="1">
      <c r="J764" s="45" t="str">
        <f t="shared" si="231"/>
        <v>M2</v>
      </c>
      <c r="K764" s="45" t="s">
        <v>131</v>
      </c>
      <c r="L764" s="45" t="str">
        <f t="shared" si="232"/>
        <v>8E-M2@W</v>
      </c>
      <c r="M764" s="75" t="e">
        <f t="shared" si="229"/>
        <v>#N/A</v>
      </c>
      <c r="N764" s="75" t="e">
        <f t="shared" si="230"/>
        <v>#N/A</v>
      </c>
      <c r="R764" s="70" t="s">
        <v>370</v>
      </c>
      <c r="S764" s="70" t="s">
        <v>59</v>
      </c>
      <c r="T764" s="70" t="s">
        <v>57</v>
      </c>
      <c r="U764" s="70" t="s">
        <v>1563</v>
      </c>
      <c r="V764" s="70" t="s">
        <v>994</v>
      </c>
      <c r="X764" s="70" t="str">
        <f t="shared" si="241"/>
        <v>8E-W DT@W</v>
      </c>
      <c r="Y764" s="70" t="str">
        <f t="shared" si="242"/>
        <v>W DT-TEST@W</v>
      </c>
      <c r="Z764" s="70" t="str">
        <f t="shared" si="243"/>
        <v>TEST-EDT@W</v>
      </c>
      <c r="AA764" s="70" t="str">
        <f t="shared" si="244"/>
        <v>EDT-M2@W</v>
      </c>
      <c r="AC764" s="70" t="str">
        <f t="shared" si="233"/>
        <v>376, 374, 360, 357, 356, 355, 353, 352</v>
      </c>
      <c r="AD764" s="70" t="str">
        <f t="shared" si="234"/>
        <v>356, 355, 353, 352</v>
      </c>
      <c r="AE764" s="70" t="e">
        <f t="shared" si="235"/>
        <v>#N/A</v>
      </c>
      <c r="AF764" s="70" t="e">
        <f t="shared" si="236"/>
        <v>#N/A</v>
      </c>
      <c r="AH764" s="70" t="str">
        <f t="shared" si="237"/>
        <v>70, 56</v>
      </c>
      <c r="AI764" s="70">
        <f t="shared" si="238"/>
        <v>55</v>
      </c>
      <c r="AJ764" s="70" t="e">
        <f t="shared" si="239"/>
        <v>#N/A</v>
      </c>
      <c r="AK764" s="70" t="e">
        <f t="shared" si="240"/>
        <v>#N/A</v>
      </c>
      <c r="AN764" s="170"/>
    </row>
    <row r="765" spans="10:40" ht="20.100000000000001" customHeight="1" thickBot="1">
      <c r="J765" s="45" t="str">
        <f t="shared" si="231"/>
        <v>M2</v>
      </c>
      <c r="K765" s="45" t="s">
        <v>131</v>
      </c>
      <c r="L765" s="45" t="str">
        <f t="shared" si="232"/>
        <v>8W-M2@W</v>
      </c>
      <c r="M765" s="75" t="e">
        <f t="shared" si="229"/>
        <v>#N/A</v>
      </c>
      <c r="N765" s="75" t="e">
        <f t="shared" si="230"/>
        <v>#N/A</v>
      </c>
      <c r="R765" s="70" t="s">
        <v>377</v>
      </c>
      <c r="S765" s="70" t="s">
        <v>59</v>
      </c>
      <c r="T765" s="70" t="s">
        <v>57</v>
      </c>
      <c r="U765" s="70" t="s">
        <v>1563</v>
      </c>
      <c r="V765" s="70" t="s">
        <v>994</v>
      </c>
      <c r="X765" s="70" t="str">
        <f t="shared" si="241"/>
        <v>8W-W DT@W</v>
      </c>
      <c r="Y765" s="70" t="str">
        <f t="shared" si="242"/>
        <v>W DT-TEST@W</v>
      </c>
      <c r="Z765" s="70" t="str">
        <f t="shared" si="243"/>
        <v>TEST-EDT@W</v>
      </c>
      <c r="AA765" s="70" t="str">
        <f t="shared" si="244"/>
        <v>EDT-M2@W</v>
      </c>
      <c r="AC765" s="70" t="str">
        <f t="shared" si="233"/>
        <v>376, 374, 360, 357, 356, 355, 353, 352</v>
      </c>
      <c r="AD765" s="70" t="str">
        <f t="shared" si="234"/>
        <v>356, 355, 353, 352</v>
      </c>
      <c r="AE765" s="70" t="e">
        <f t="shared" si="235"/>
        <v>#N/A</v>
      </c>
      <c r="AF765" s="70" t="e">
        <f t="shared" si="236"/>
        <v>#N/A</v>
      </c>
      <c r="AH765" s="70" t="str">
        <f t="shared" si="237"/>
        <v>70, 56</v>
      </c>
      <c r="AI765" s="70">
        <f t="shared" si="238"/>
        <v>55</v>
      </c>
      <c r="AJ765" s="70" t="e">
        <f t="shared" si="239"/>
        <v>#N/A</v>
      </c>
      <c r="AK765" s="70" t="e">
        <f t="shared" si="240"/>
        <v>#N/A</v>
      </c>
      <c r="AN765" s="170"/>
    </row>
    <row r="766" spans="10:40" ht="20.100000000000001" customHeight="1" thickBot="1">
      <c r="J766" s="45" t="str">
        <f t="shared" si="231"/>
        <v>M3</v>
      </c>
      <c r="K766" s="45" t="s">
        <v>131</v>
      </c>
      <c r="L766" s="45" t="str">
        <f t="shared" si="232"/>
        <v>RM3E-M3@W</v>
      </c>
      <c r="M766" s="75" t="e">
        <f t="shared" si="229"/>
        <v>#N/A</v>
      </c>
      <c r="N766" s="75" t="e">
        <f t="shared" si="230"/>
        <v>#N/A</v>
      </c>
      <c r="R766" s="70" t="s">
        <v>231</v>
      </c>
      <c r="S766" s="70" t="s">
        <v>59</v>
      </c>
      <c r="T766" s="70" t="s">
        <v>57</v>
      </c>
      <c r="U766" s="70" t="s">
        <v>1563</v>
      </c>
      <c r="V766" s="70" t="s">
        <v>1142</v>
      </c>
      <c r="X766" s="70" t="str">
        <f t="shared" si="241"/>
        <v>RM3E-W DT@W</v>
      </c>
      <c r="Y766" s="70" t="str">
        <f t="shared" si="242"/>
        <v>W DT-TEST@W</v>
      </c>
      <c r="Z766" s="70" t="str">
        <f t="shared" si="243"/>
        <v>TEST-EDT@W</v>
      </c>
      <c r="AA766" s="70" t="str">
        <f t="shared" si="244"/>
        <v>EDT-M3@W</v>
      </c>
      <c r="AC766" s="70" t="str">
        <f t="shared" si="233"/>
        <v>365, 362, 361, 358, 357, 356, 355, 353, 352</v>
      </c>
      <c r="AD766" s="70" t="str">
        <f t="shared" si="234"/>
        <v>356, 355, 353, 352</v>
      </c>
      <c r="AE766" s="70" t="e">
        <f t="shared" si="235"/>
        <v>#N/A</v>
      </c>
      <c r="AF766" s="70" t="e">
        <f t="shared" si="236"/>
        <v>#N/A</v>
      </c>
      <c r="AH766" s="70" t="str">
        <f t="shared" si="237"/>
        <v>27, 04</v>
      </c>
      <c r="AI766" s="70">
        <f t="shared" si="238"/>
        <v>55</v>
      </c>
      <c r="AJ766" s="70" t="e">
        <f t="shared" si="239"/>
        <v>#N/A</v>
      </c>
      <c r="AK766" s="70" t="e">
        <f t="shared" si="240"/>
        <v>#N/A</v>
      </c>
      <c r="AN766" s="170"/>
    </row>
    <row r="767" spans="10:40" ht="20.100000000000001" customHeight="1" thickBot="1">
      <c r="J767" s="45" t="str">
        <f t="shared" si="231"/>
        <v>M3</v>
      </c>
      <c r="K767" s="45" t="s">
        <v>131</v>
      </c>
      <c r="L767" s="45" t="str">
        <f t="shared" si="232"/>
        <v>RM3W-M3@W</v>
      </c>
      <c r="M767" s="75" t="e">
        <f t="shared" si="229"/>
        <v>#N/A</v>
      </c>
      <c r="N767" s="75" t="e">
        <f t="shared" si="230"/>
        <v>#N/A</v>
      </c>
      <c r="R767" s="70" t="s">
        <v>238</v>
      </c>
      <c r="S767" s="70" t="s">
        <v>59</v>
      </c>
      <c r="T767" s="70" t="s">
        <v>57</v>
      </c>
      <c r="U767" s="70" t="s">
        <v>1563</v>
      </c>
      <c r="V767" s="70" t="s">
        <v>1142</v>
      </c>
      <c r="X767" s="70" t="str">
        <f t="shared" si="241"/>
        <v>RM3W-W DT@W</v>
      </c>
      <c r="Y767" s="70" t="str">
        <f t="shared" si="242"/>
        <v>W DT-TEST@W</v>
      </c>
      <c r="Z767" s="70" t="str">
        <f t="shared" si="243"/>
        <v>TEST-EDT@W</v>
      </c>
      <c r="AA767" s="70" t="str">
        <f t="shared" si="244"/>
        <v>EDT-M3@W</v>
      </c>
      <c r="AC767" s="70" t="str">
        <f t="shared" si="233"/>
        <v>365, 362, 361, 358, 357, 356, 355, 353, 352</v>
      </c>
      <c r="AD767" s="70" t="str">
        <f t="shared" si="234"/>
        <v>356, 355, 353, 352</v>
      </c>
      <c r="AE767" s="70" t="e">
        <f t="shared" si="235"/>
        <v>#N/A</v>
      </c>
      <c r="AF767" s="70" t="e">
        <f t="shared" si="236"/>
        <v>#N/A</v>
      </c>
      <c r="AH767" s="70" t="str">
        <f t="shared" si="237"/>
        <v>27, 04</v>
      </c>
      <c r="AI767" s="70">
        <f t="shared" si="238"/>
        <v>55</v>
      </c>
      <c r="AJ767" s="70" t="e">
        <f t="shared" si="239"/>
        <v>#N/A</v>
      </c>
      <c r="AK767" s="70" t="e">
        <f t="shared" si="240"/>
        <v>#N/A</v>
      </c>
      <c r="AN767" s="170"/>
    </row>
    <row r="768" spans="10:40" ht="20.100000000000001" customHeight="1" thickBot="1">
      <c r="J768" s="45" t="str">
        <f t="shared" si="231"/>
        <v>M3</v>
      </c>
      <c r="K768" s="45" t="s">
        <v>131</v>
      </c>
      <c r="L768" s="45" t="str">
        <f t="shared" si="232"/>
        <v>RM2E-M3@W</v>
      </c>
      <c r="M768" s="75" t="e">
        <f t="shared" si="229"/>
        <v>#N/A</v>
      </c>
      <c r="N768" s="75" t="e">
        <f t="shared" si="230"/>
        <v>#N/A</v>
      </c>
      <c r="R768" s="70" t="s">
        <v>216</v>
      </c>
      <c r="S768" s="70" t="s">
        <v>59</v>
      </c>
      <c r="T768" s="70" t="s">
        <v>57</v>
      </c>
      <c r="U768" s="70" t="s">
        <v>1563</v>
      </c>
      <c r="V768" s="70" t="s">
        <v>1142</v>
      </c>
      <c r="X768" s="70" t="str">
        <f t="shared" si="241"/>
        <v>RM2E-W DT@W</v>
      </c>
      <c r="Y768" s="70" t="str">
        <f t="shared" si="242"/>
        <v>W DT-TEST@W</v>
      </c>
      <c r="Z768" s="70" t="str">
        <f t="shared" si="243"/>
        <v>TEST-EDT@W</v>
      </c>
      <c r="AA768" s="70" t="str">
        <f t="shared" si="244"/>
        <v>EDT-M3@W</v>
      </c>
      <c r="AC768" s="70" t="str">
        <f t="shared" si="233"/>
        <v>365, 362, 361, 358, 357, 356, 355, 353, 352</v>
      </c>
      <c r="AD768" s="70" t="str">
        <f t="shared" si="234"/>
        <v>356, 355, 353, 352</v>
      </c>
      <c r="AE768" s="70" t="e">
        <f t="shared" si="235"/>
        <v>#N/A</v>
      </c>
      <c r="AF768" s="70" t="e">
        <f t="shared" si="236"/>
        <v>#N/A</v>
      </c>
      <c r="AH768" s="70" t="str">
        <f t="shared" si="237"/>
        <v>26, 04</v>
      </c>
      <c r="AI768" s="70">
        <f t="shared" si="238"/>
        <v>55</v>
      </c>
      <c r="AJ768" s="70" t="e">
        <f t="shared" si="239"/>
        <v>#N/A</v>
      </c>
      <c r="AK768" s="70" t="e">
        <f t="shared" si="240"/>
        <v>#N/A</v>
      </c>
      <c r="AN768" s="170"/>
    </row>
    <row r="769" spans="10:40" ht="20.100000000000001" customHeight="1" thickBot="1">
      <c r="J769" s="45" t="str">
        <f t="shared" si="231"/>
        <v>M3</v>
      </c>
      <c r="K769" s="45" t="s">
        <v>131</v>
      </c>
      <c r="L769" s="45" t="str">
        <f t="shared" si="232"/>
        <v>RM2W-M3@W</v>
      </c>
      <c r="M769" s="75" t="e">
        <f t="shared" si="229"/>
        <v>#N/A</v>
      </c>
      <c r="N769" s="75" t="e">
        <f t="shared" si="230"/>
        <v>#N/A</v>
      </c>
      <c r="R769" s="70" t="s">
        <v>224</v>
      </c>
      <c r="S769" s="70" t="s">
        <v>59</v>
      </c>
      <c r="T769" s="70" t="s">
        <v>57</v>
      </c>
      <c r="U769" s="70" t="s">
        <v>1563</v>
      </c>
      <c r="V769" s="70" t="s">
        <v>1142</v>
      </c>
      <c r="X769" s="70" t="str">
        <f t="shared" si="241"/>
        <v>RM2W-W DT@W</v>
      </c>
      <c r="Y769" s="70" t="str">
        <f t="shared" si="242"/>
        <v>W DT-TEST@W</v>
      </c>
      <c r="Z769" s="70" t="str">
        <f t="shared" si="243"/>
        <v>TEST-EDT@W</v>
      </c>
      <c r="AA769" s="70" t="str">
        <f t="shared" si="244"/>
        <v>EDT-M3@W</v>
      </c>
      <c r="AC769" s="70" t="str">
        <f t="shared" si="233"/>
        <v>365, 362, 361, 358, 357, 356, 355, 353, 352</v>
      </c>
      <c r="AD769" s="70" t="str">
        <f t="shared" si="234"/>
        <v>356, 355, 353, 352</v>
      </c>
      <c r="AE769" s="70" t="e">
        <f t="shared" si="235"/>
        <v>#N/A</v>
      </c>
      <c r="AF769" s="70" t="e">
        <f t="shared" si="236"/>
        <v>#N/A</v>
      </c>
      <c r="AH769" s="70" t="str">
        <f t="shared" si="237"/>
        <v>26, 04</v>
      </c>
      <c r="AI769" s="70">
        <f t="shared" si="238"/>
        <v>55</v>
      </c>
      <c r="AJ769" s="70" t="e">
        <f t="shared" si="239"/>
        <v>#N/A</v>
      </c>
      <c r="AK769" s="70" t="e">
        <f t="shared" si="240"/>
        <v>#N/A</v>
      </c>
      <c r="AN769" s="170"/>
    </row>
    <row r="770" spans="10:40" ht="20.100000000000001" customHeight="1" thickBot="1">
      <c r="J770" s="45" t="str">
        <f t="shared" si="231"/>
        <v>M3</v>
      </c>
      <c r="K770" s="45" t="s">
        <v>131</v>
      </c>
      <c r="L770" s="45" t="str">
        <f t="shared" si="232"/>
        <v>RM3E-M3@W</v>
      </c>
      <c r="M770" s="75" t="e">
        <f t="shared" ref="M770:M837" si="245">IF(AF770="",IF(AE770="",IF(AD770="",AC770,CONCATENATE(AC770,", ",AD770)),CONCATENATE(AC770,", ",AD770,", ",AE770)),CONCATENATE(AC770,", ",AD770,", ",AE770,", ",AF770))</f>
        <v>#N/A</v>
      </c>
      <c r="N770" s="75" t="e">
        <f t="shared" ref="N770:N837" si="246">IF(AK770="",IF(AJ770="",IF(AI770="",AH770,CONCATENATE(AH770,", ",AI770)),CONCATENATE(AH770,", ",AI770,", ",AJ770)),CONCATENATE(AH770,", ",AI770,", ",AJ770,", ",AK770))</f>
        <v>#N/A</v>
      </c>
      <c r="R770" s="70" t="s">
        <v>231</v>
      </c>
      <c r="S770" s="70" t="s">
        <v>59</v>
      </c>
      <c r="T770" s="70" t="s">
        <v>57</v>
      </c>
      <c r="U770" s="70" t="s">
        <v>1563</v>
      </c>
      <c r="V770" s="70" t="s">
        <v>1142</v>
      </c>
      <c r="X770" s="70" t="str">
        <f t="shared" si="241"/>
        <v>RM3E-W DT@W</v>
      </c>
      <c r="Y770" s="70" t="str">
        <f t="shared" si="242"/>
        <v>W DT-TEST@W</v>
      </c>
      <c r="Z770" s="70" t="str">
        <f t="shared" si="243"/>
        <v>TEST-EDT@W</v>
      </c>
      <c r="AA770" s="70" t="str">
        <f t="shared" si="244"/>
        <v>EDT-M3@W</v>
      </c>
      <c r="AC770" s="70" t="str">
        <f t="shared" si="233"/>
        <v>365, 362, 361, 358, 357, 356, 355, 353, 352</v>
      </c>
      <c r="AD770" s="70" t="str">
        <f t="shared" si="234"/>
        <v>356, 355, 353, 352</v>
      </c>
      <c r="AE770" s="70" t="e">
        <f t="shared" si="235"/>
        <v>#N/A</v>
      </c>
      <c r="AF770" s="70" t="e">
        <f t="shared" si="236"/>
        <v>#N/A</v>
      </c>
      <c r="AH770" s="70" t="str">
        <f t="shared" si="237"/>
        <v>27, 04</v>
      </c>
      <c r="AI770" s="70">
        <f t="shared" si="238"/>
        <v>55</v>
      </c>
      <c r="AJ770" s="70" t="e">
        <f t="shared" si="239"/>
        <v>#N/A</v>
      </c>
      <c r="AK770" s="70" t="e">
        <f t="shared" si="240"/>
        <v>#N/A</v>
      </c>
      <c r="AN770" s="170"/>
    </row>
    <row r="771" spans="10:40" ht="20.100000000000001" customHeight="1" thickBot="1">
      <c r="J771" s="45" t="str">
        <f t="shared" ref="J771:J834" si="247">IF(V771="",IF(U771="",IF(T771="",S771,T771),U771),V771)</f>
        <v>M3</v>
      </c>
      <c r="K771" s="45" t="s">
        <v>131</v>
      </c>
      <c r="L771" s="45" t="str">
        <f t="shared" ref="L771:L834" si="248">CONCATENATE(R771,"-",J771,"@",K771)</f>
        <v>RM3W-M3@W</v>
      </c>
      <c r="M771" s="75" t="e">
        <f t="shared" si="245"/>
        <v>#N/A</v>
      </c>
      <c r="N771" s="75" t="e">
        <f t="shared" si="246"/>
        <v>#N/A</v>
      </c>
      <c r="R771" s="70" t="s">
        <v>238</v>
      </c>
      <c r="S771" s="70" t="s">
        <v>59</v>
      </c>
      <c r="T771" s="70" t="s">
        <v>57</v>
      </c>
      <c r="U771" s="70" t="s">
        <v>1563</v>
      </c>
      <c r="V771" s="70" t="s">
        <v>1142</v>
      </c>
      <c r="X771" s="70" t="str">
        <f t="shared" si="241"/>
        <v>RM3W-W DT@W</v>
      </c>
      <c r="Y771" s="70" t="str">
        <f t="shared" si="242"/>
        <v>W DT-TEST@W</v>
      </c>
      <c r="Z771" s="70" t="str">
        <f t="shared" si="243"/>
        <v>TEST-EDT@W</v>
      </c>
      <c r="AA771" s="70" t="str">
        <f t="shared" si="244"/>
        <v>EDT-M3@W</v>
      </c>
      <c r="AC771" s="70" t="str">
        <f t="shared" ref="AC771:AC834" si="249">IF(X771="","",VLOOKUP(X771,$AN$2:$AP$736,2,0))</f>
        <v>365, 362, 361, 358, 357, 356, 355, 353, 352</v>
      </c>
      <c r="AD771" s="70" t="str">
        <f t="shared" ref="AD771:AD834" si="250">IF(Y771="","",VLOOKUP(Y771,$AN$2:$AP$736,2,0))</f>
        <v>356, 355, 353, 352</v>
      </c>
      <c r="AE771" s="70" t="e">
        <f t="shared" ref="AE771:AE834" si="251">IF(Z771="","",VLOOKUP(Z771,$AN$2:$AP$736,2,0))</f>
        <v>#N/A</v>
      </c>
      <c r="AF771" s="70" t="e">
        <f t="shared" ref="AF771:AF834" si="252">IF(AA771="","",VLOOKUP(AA771,$AN$2:$AP$736,2,0))</f>
        <v>#N/A</v>
      </c>
      <c r="AH771" s="70" t="str">
        <f t="shared" ref="AH771:AH834" si="253">IF(X771="","",VLOOKUP(X771,$AN$2:$AP$162,3,0))</f>
        <v>27, 04</v>
      </c>
      <c r="AI771" s="70">
        <f t="shared" ref="AI771:AI834" si="254">IF(Y771="","",VLOOKUP(Y771,$AN$2:$AP$162,3,0))</f>
        <v>55</v>
      </c>
      <c r="AJ771" s="70" t="e">
        <f t="shared" ref="AJ771:AJ834" si="255">IF(Z771="","",VLOOKUP(Z771,$AN$2:$AP$162,3,0))</f>
        <v>#N/A</v>
      </c>
      <c r="AK771" s="70" t="e">
        <f t="shared" ref="AK771:AK834" si="256">IF(AA771="","",VLOOKUP(AA771,$AN$2:$AP$162,3,0))</f>
        <v>#N/A</v>
      </c>
      <c r="AN771" s="170"/>
    </row>
    <row r="772" spans="10:40" ht="20.100000000000001" customHeight="1" thickBot="1">
      <c r="J772" s="45" t="str">
        <f t="shared" si="247"/>
        <v>M3</v>
      </c>
      <c r="K772" s="45" t="s">
        <v>131</v>
      </c>
      <c r="L772" s="45" t="str">
        <f t="shared" si="248"/>
        <v>HCTE-M3@W</v>
      </c>
      <c r="M772" s="75" t="e">
        <f t="shared" si="245"/>
        <v>#N/A</v>
      </c>
      <c r="N772" s="75" t="e">
        <f t="shared" si="246"/>
        <v>#N/A</v>
      </c>
      <c r="R772" s="70" t="s">
        <v>246</v>
      </c>
      <c r="S772" s="70" t="s">
        <v>59</v>
      </c>
      <c r="T772" s="70" t="s">
        <v>57</v>
      </c>
      <c r="U772" s="70" t="s">
        <v>1563</v>
      </c>
      <c r="V772" s="70" t="s">
        <v>1142</v>
      </c>
      <c r="X772" s="70" t="str">
        <f t="shared" si="241"/>
        <v>HCTE-W DT@W</v>
      </c>
      <c r="Y772" s="70" t="str">
        <f t="shared" si="242"/>
        <v>W DT-TEST@W</v>
      </c>
      <c r="Z772" s="70" t="str">
        <f t="shared" si="243"/>
        <v>TEST-EDT@W</v>
      </c>
      <c r="AA772" s="70" t="str">
        <f t="shared" si="244"/>
        <v>EDT-M3@W</v>
      </c>
      <c r="AC772" s="70" t="str">
        <f t="shared" si="249"/>
        <v>368, 367, 361, 358, 357, 356, 355, 353, 352</v>
      </c>
      <c r="AD772" s="70" t="str">
        <f t="shared" si="250"/>
        <v>356, 355, 353, 352</v>
      </c>
      <c r="AE772" s="70" t="e">
        <f t="shared" si="251"/>
        <v>#N/A</v>
      </c>
      <c r="AF772" s="70" t="e">
        <f t="shared" si="252"/>
        <v>#N/A</v>
      </c>
      <c r="AH772" s="70" t="str">
        <f t="shared" si="253"/>
        <v>28, 04</v>
      </c>
      <c r="AI772" s="70">
        <f t="shared" si="254"/>
        <v>55</v>
      </c>
      <c r="AJ772" s="70" t="e">
        <f t="shared" si="255"/>
        <v>#N/A</v>
      </c>
      <c r="AK772" s="70" t="e">
        <f t="shared" si="256"/>
        <v>#N/A</v>
      </c>
      <c r="AN772" s="170"/>
    </row>
    <row r="773" spans="10:40" ht="20.100000000000001" customHeight="1" thickBot="1">
      <c r="J773" s="45" t="str">
        <f t="shared" si="247"/>
        <v>M3</v>
      </c>
      <c r="K773" s="45" t="s">
        <v>131</v>
      </c>
      <c r="L773" s="45" t="str">
        <f t="shared" si="248"/>
        <v>HCTW-M3@W</v>
      </c>
      <c r="M773" s="75" t="e">
        <f t="shared" si="245"/>
        <v>#N/A</v>
      </c>
      <c r="N773" s="75" t="e">
        <f t="shared" si="246"/>
        <v>#N/A</v>
      </c>
      <c r="R773" s="70" t="s">
        <v>254</v>
      </c>
      <c r="S773" s="70" t="s">
        <v>59</v>
      </c>
      <c r="T773" s="70" t="s">
        <v>57</v>
      </c>
      <c r="U773" s="70" t="s">
        <v>1563</v>
      </c>
      <c r="V773" s="70" t="s">
        <v>1142</v>
      </c>
      <c r="X773" s="70" t="str">
        <f t="shared" si="241"/>
        <v>HCTW-W DT@W</v>
      </c>
      <c r="Y773" s="70" t="str">
        <f t="shared" si="242"/>
        <v>W DT-TEST@W</v>
      </c>
      <c r="Z773" s="70" t="str">
        <f t="shared" si="243"/>
        <v>TEST-EDT@W</v>
      </c>
      <c r="AA773" s="70" t="str">
        <f t="shared" si="244"/>
        <v>EDT-M3@W</v>
      </c>
      <c r="AC773" s="70" t="str">
        <f t="shared" si="249"/>
        <v>368, 367, 361, 358, 357, 356, 355, 353, 352</v>
      </c>
      <c r="AD773" s="70" t="str">
        <f t="shared" si="250"/>
        <v>356, 355, 353, 352</v>
      </c>
      <c r="AE773" s="70" t="e">
        <f t="shared" si="251"/>
        <v>#N/A</v>
      </c>
      <c r="AF773" s="70" t="e">
        <f t="shared" si="252"/>
        <v>#N/A</v>
      </c>
      <c r="AH773" s="70" t="str">
        <f t="shared" si="253"/>
        <v>28, 04</v>
      </c>
      <c r="AI773" s="70">
        <f t="shared" si="254"/>
        <v>55</v>
      </c>
      <c r="AJ773" s="70" t="e">
        <f t="shared" si="255"/>
        <v>#N/A</v>
      </c>
      <c r="AK773" s="70" t="e">
        <f t="shared" si="256"/>
        <v>#N/A</v>
      </c>
      <c r="AN773" s="170"/>
    </row>
    <row r="774" spans="10:40" ht="20.100000000000001" customHeight="1" thickBot="1">
      <c r="J774" s="45" t="str">
        <f t="shared" si="247"/>
        <v>M3</v>
      </c>
      <c r="K774" s="45" t="s">
        <v>131</v>
      </c>
      <c r="L774" s="45" t="str">
        <f t="shared" si="248"/>
        <v>1E-M3@W</v>
      </c>
      <c r="M774" s="75" t="e">
        <f t="shared" si="245"/>
        <v>#N/A</v>
      </c>
      <c r="N774" s="75" t="e">
        <f t="shared" si="246"/>
        <v>#N/A</v>
      </c>
      <c r="R774" s="70" t="s">
        <v>261</v>
      </c>
      <c r="S774" s="70" t="s">
        <v>59</v>
      </c>
      <c r="T774" s="70" t="s">
        <v>57</v>
      </c>
      <c r="U774" s="70" t="s">
        <v>1563</v>
      </c>
      <c r="V774" s="70" t="s">
        <v>1142</v>
      </c>
      <c r="X774" s="70" t="str">
        <f t="shared" si="241"/>
        <v>1E-W DT@W</v>
      </c>
      <c r="Y774" s="70" t="str">
        <f t="shared" si="242"/>
        <v>W DT-TEST@W</v>
      </c>
      <c r="Z774" s="70" t="str">
        <f t="shared" si="243"/>
        <v>TEST-EDT@W</v>
      </c>
      <c r="AA774" s="70" t="str">
        <f t="shared" si="244"/>
        <v>EDT-M3@W</v>
      </c>
      <c r="AC774" s="70" t="str">
        <f t="shared" si="249"/>
        <v>368, 367, 361, 358, 357, 356, 355, 353, 352</v>
      </c>
      <c r="AD774" s="70" t="str">
        <f t="shared" si="250"/>
        <v>356, 355, 353, 352</v>
      </c>
      <c r="AE774" s="70" t="e">
        <f t="shared" si="251"/>
        <v>#N/A</v>
      </c>
      <c r="AF774" s="70" t="e">
        <f t="shared" si="252"/>
        <v>#N/A</v>
      </c>
      <c r="AH774" s="70" t="str">
        <f t="shared" si="253"/>
        <v>63, 56</v>
      </c>
      <c r="AI774" s="70">
        <f t="shared" si="254"/>
        <v>55</v>
      </c>
      <c r="AJ774" s="70" t="e">
        <f t="shared" si="255"/>
        <v>#N/A</v>
      </c>
      <c r="AK774" s="70" t="e">
        <f t="shared" si="256"/>
        <v>#N/A</v>
      </c>
      <c r="AN774" s="170"/>
    </row>
    <row r="775" spans="10:40" ht="20.100000000000001" customHeight="1" thickBot="1">
      <c r="J775" s="45" t="str">
        <f t="shared" si="247"/>
        <v>M3</v>
      </c>
      <c r="K775" s="45" t="s">
        <v>131</v>
      </c>
      <c r="L775" s="45" t="str">
        <f t="shared" si="248"/>
        <v>1W-M3@W</v>
      </c>
      <c r="M775" s="75" t="e">
        <f t="shared" si="245"/>
        <v>#N/A</v>
      </c>
      <c r="N775" s="75" t="e">
        <f t="shared" si="246"/>
        <v>#N/A</v>
      </c>
      <c r="R775" s="70" t="s">
        <v>269</v>
      </c>
      <c r="S775" s="70" t="s">
        <v>59</v>
      </c>
      <c r="T775" s="70" t="s">
        <v>57</v>
      </c>
      <c r="U775" s="70" t="s">
        <v>1563</v>
      </c>
      <c r="V775" s="70" t="s">
        <v>1142</v>
      </c>
      <c r="X775" s="70" t="str">
        <f t="shared" si="241"/>
        <v>1W-W DT@W</v>
      </c>
      <c r="Y775" s="70" t="str">
        <f t="shared" si="242"/>
        <v>W DT-TEST@W</v>
      </c>
      <c r="Z775" s="70" t="str">
        <f t="shared" si="243"/>
        <v>TEST-EDT@W</v>
      </c>
      <c r="AA775" s="70" t="str">
        <f t="shared" si="244"/>
        <v>EDT-M3@W</v>
      </c>
      <c r="AC775" s="70" t="str">
        <f t="shared" si="249"/>
        <v>368, 367, 361, 358, 357, 356, 355, 353, 352</v>
      </c>
      <c r="AD775" s="70" t="str">
        <f t="shared" si="250"/>
        <v>356, 355, 353, 352</v>
      </c>
      <c r="AE775" s="70" t="e">
        <f t="shared" si="251"/>
        <v>#N/A</v>
      </c>
      <c r="AF775" s="70" t="e">
        <f t="shared" si="252"/>
        <v>#N/A</v>
      </c>
      <c r="AH775" s="70" t="str">
        <f t="shared" si="253"/>
        <v>63, 56</v>
      </c>
      <c r="AI775" s="70">
        <f t="shared" si="254"/>
        <v>55</v>
      </c>
      <c r="AJ775" s="70" t="e">
        <f t="shared" si="255"/>
        <v>#N/A</v>
      </c>
      <c r="AK775" s="70" t="e">
        <f t="shared" si="256"/>
        <v>#N/A</v>
      </c>
      <c r="AN775" s="170"/>
    </row>
    <row r="776" spans="10:40" ht="20.100000000000001" customHeight="1" thickBot="1">
      <c r="J776" s="45" t="str">
        <f t="shared" si="247"/>
        <v>M3</v>
      </c>
      <c r="K776" s="45" t="s">
        <v>131</v>
      </c>
      <c r="L776" s="45" t="str">
        <f t="shared" si="248"/>
        <v>2E-M3@W</v>
      </c>
      <c r="M776" s="75" t="e">
        <f t="shared" si="245"/>
        <v>#N/A</v>
      </c>
      <c r="N776" s="75" t="e">
        <f t="shared" si="246"/>
        <v>#N/A</v>
      </c>
      <c r="R776" s="70" t="s">
        <v>276</v>
      </c>
      <c r="S776" s="70" t="s">
        <v>59</v>
      </c>
      <c r="T776" s="70" t="s">
        <v>57</v>
      </c>
      <c r="U776" s="70" t="s">
        <v>1563</v>
      </c>
      <c r="V776" s="70" t="s">
        <v>1142</v>
      </c>
      <c r="X776" s="70" t="str">
        <f t="shared" si="241"/>
        <v>2E-W DT@W</v>
      </c>
      <c r="Y776" s="70" t="str">
        <f t="shared" si="242"/>
        <v>W DT-TEST@W</v>
      </c>
      <c r="Z776" s="70" t="str">
        <f t="shared" si="243"/>
        <v>TEST-EDT@W</v>
      </c>
      <c r="AA776" s="70" t="str">
        <f t="shared" si="244"/>
        <v>EDT-M3@W</v>
      </c>
      <c r="AC776" s="70" t="str">
        <f t="shared" si="249"/>
        <v>370, 369, 367, 361, 358, 357, 356, 355, 353, 352</v>
      </c>
      <c r="AD776" s="70" t="str">
        <f t="shared" si="250"/>
        <v>356, 355, 353, 352</v>
      </c>
      <c r="AE776" s="70" t="e">
        <f t="shared" si="251"/>
        <v>#N/A</v>
      </c>
      <c r="AF776" s="70" t="e">
        <f t="shared" si="252"/>
        <v>#N/A</v>
      </c>
      <c r="AH776" s="70" t="str">
        <f t="shared" si="253"/>
        <v>64, 56</v>
      </c>
      <c r="AI776" s="70">
        <f t="shared" si="254"/>
        <v>55</v>
      </c>
      <c r="AJ776" s="70" t="e">
        <f t="shared" si="255"/>
        <v>#N/A</v>
      </c>
      <c r="AK776" s="70" t="e">
        <f t="shared" si="256"/>
        <v>#N/A</v>
      </c>
      <c r="AN776" s="170"/>
    </row>
    <row r="777" spans="10:40" ht="20.100000000000001" customHeight="1" thickBot="1">
      <c r="J777" s="45" t="str">
        <f t="shared" si="247"/>
        <v>M3</v>
      </c>
      <c r="K777" s="45" t="s">
        <v>131</v>
      </c>
      <c r="L777" s="45" t="str">
        <f t="shared" si="248"/>
        <v>2W-M3@W</v>
      </c>
      <c r="M777" s="75" t="e">
        <f t="shared" si="245"/>
        <v>#N/A</v>
      </c>
      <c r="N777" s="75" t="e">
        <f t="shared" si="246"/>
        <v>#N/A</v>
      </c>
      <c r="R777" s="70" t="s">
        <v>285</v>
      </c>
      <c r="S777" s="70" t="s">
        <v>59</v>
      </c>
      <c r="T777" s="70" t="s">
        <v>57</v>
      </c>
      <c r="U777" s="70" t="s">
        <v>1563</v>
      </c>
      <c r="V777" s="70" t="s">
        <v>1142</v>
      </c>
      <c r="X777" s="70" t="str">
        <f t="shared" si="241"/>
        <v>2W-W DT@W</v>
      </c>
      <c r="Y777" s="70" t="str">
        <f t="shared" si="242"/>
        <v>W DT-TEST@W</v>
      </c>
      <c r="Z777" s="70" t="str">
        <f t="shared" si="243"/>
        <v>TEST-EDT@W</v>
      </c>
      <c r="AA777" s="70" t="str">
        <f t="shared" si="244"/>
        <v>EDT-M3@W</v>
      </c>
      <c r="AC777" s="70" t="str">
        <f t="shared" si="249"/>
        <v>370, 369, 367, 361, 358, 357, 356, 355, 353, 352</v>
      </c>
      <c r="AD777" s="70" t="str">
        <f t="shared" si="250"/>
        <v>356, 355, 353, 352</v>
      </c>
      <c r="AE777" s="70" t="e">
        <f t="shared" si="251"/>
        <v>#N/A</v>
      </c>
      <c r="AF777" s="70" t="e">
        <f t="shared" si="252"/>
        <v>#N/A</v>
      </c>
      <c r="AH777" s="70" t="str">
        <f t="shared" si="253"/>
        <v>64, 56</v>
      </c>
      <c r="AI777" s="70">
        <f t="shared" si="254"/>
        <v>55</v>
      </c>
      <c r="AJ777" s="70" t="e">
        <f t="shared" si="255"/>
        <v>#N/A</v>
      </c>
      <c r="AK777" s="70" t="e">
        <f t="shared" si="256"/>
        <v>#N/A</v>
      </c>
      <c r="AN777" s="170"/>
    </row>
    <row r="778" spans="10:40" ht="20.100000000000001" customHeight="1" thickBot="1">
      <c r="J778" s="45" t="str">
        <f t="shared" si="247"/>
        <v>M3</v>
      </c>
      <c r="K778" s="45" t="s">
        <v>131</v>
      </c>
      <c r="L778" s="45" t="str">
        <f t="shared" si="248"/>
        <v>3E-M3@W</v>
      </c>
      <c r="M778" s="75" t="e">
        <f t="shared" si="245"/>
        <v>#N/A</v>
      </c>
      <c r="N778" s="75" t="e">
        <f t="shared" si="246"/>
        <v>#N/A</v>
      </c>
      <c r="R778" s="70" t="s">
        <v>293</v>
      </c>
      <c r="S778" s="70" t="s">
        <v>59</v>
      </c>
      <c r="T778" s="70" t="s">
        <v>57</v>
      </c>
      <c r="U778" s="70" t="s">
        <v>1563</v>
      </c>
      <c r="V778" s="70" t="s">
        <v>1142</v>
      </c>
      <c r="X778" s="70" t="str">
        <f t="shared" si="241"/>
        <v>3E-W DT@W</v>
      </c>
      <c r="Y778" s="70" t="str">
        <f t="shared" si="242"/>
        <v>W DT-TEST@W</v>
      </c>
      <c r="Z778" s="70" t="str">
        <f t="shared" si="243"/>
        <v>TEST-EDT@W</v>
      </c>
      <c r="AA778" s="70" t="str">
        <f t="shared" si="244"/>
        <v>EDT-M3@W</v>
      </c>
      <c r="AC778" s="70" t="str">
        <f t="shared" si="249"/>
        <v>370, 369, 367, 361, 358, 357, 356, 355, 353, 352</v>
      </c>
      <c r="AD778" s="70" t="str">
        <f t="shared" si="250"/>
        <v>356, 355, 353, 352</v>
      </c>
      <c r="AE778" s="70" t="e">
        <f t="shared" si="251"/>
        <v>#N/A</v>
      </c>
      <c r="AF778" s="70" t="e">
        <f t="shared" si="252"/>
        <v>#N/A</v>
      </c>
      <c r="AH778" s="70" t="str">
        <f t="shared" si="253"/>
        <v>65, 56</v>
      </c>
      <c r="AI778" s="70">
        <f t="shared" si="254"/>
        <v>55</v>
      </c>
      <c r="AJ778" s="70" t="e">
        <f t="shared" si="255"/>
        <v>#N/A</v>
      </c>
      <c r="AK778" s="70" t="e">
        <f t="shared" si="256"/>
        <v>#N/A</v>
      </c>
      <c r="AN778" s="170"/>
    </row>
    <row r="779" spans="10:40" ht="20.100000000000001" customHeight="1" thickBot="1">
      <c r="J779" s="45" t="str">
        <f t="shared" si="247"/>
        <v>M3</v>
      </c>
      <c r="K779" s="45" t="s">
        <v>131</v>
      </c>
      <c r="L779" s="45" t="str">
        <f t="shared" si="248"/>
        <v>3W-M3@W</v>
      </c>
      <c r="M779" s="75" t="e">
        <f t="shared" si="245"/>
        <v>#N/A</v>
      </c>
      <c r="N779" s="75" t="e">
        <f t="shared" si="246"/>
        <v>#N/A</v>
      </c>
      <c r="R779" s="70" t="s">
        <v>301</v>
      </c>
      <c r="S779" s="70" t="s">
        <v>59</v>
      </c>
      <c r="T779" s="70" t="s">
        <v>57</v>
      </c>
      <c r="U779" s="70" t="s">
        <v>1563</v>
      </c>
      <c r="V779" s="70" t="s">
        <v>1142</v>
      </c>
      <c r="X779" s="70" t="str">
        <f t="shared" si="241"/>
        <v>3W-W DT@W</v>
      </c>
      <c r="Y779" s="70" t="str">
        <f t="shared" si="242"/>
        <v>W DT-TEST@W</v>
      </c>
      <c r="Z779" s="70" t="str">
        <f t="shared" si="243"/>
        <v>TEST-EDT@W</v>
      </c>
      <c r="AA779" s="70" t="str">
        <f t="shared" si="244"/>
        <v>EDT-M3@W</v>
      </c>
      <c r="AC779" s="70" t="str">
        <f t="shared" si="249"/>
        <v>370, 369, 367, 361, 358, 357, 356, 355, 353, 352</v>
      </c>
      <c r="AD779" s="70" t="str">
        <f t="shared" si="250"/>
        <v>356, 355, 353, 352</v>
      </c>
      <c r="AE779" s="70" t="e">
        <f t="shared" si="251"/>
        <v>#N/A</v>
      </c>
      <c r="AF779" s="70" t="e">
        <f t="shared" si="252"/>
        <v>#N/A</v>
      </c>
      <c r="AH779" s="70" t="str">
        <f t="shared" si="253"/>
        <v>65, 56</v>
      </c>
      <c r="AI779" s="70">
        <f t="shared" si="254"/>
        <v>55</v>
      </c>
      <c r="AJ779" s="70" t="e">
        <f t="shared" si="255"/>
        <v>#N/A</v>
      </c>
      <c r="AK779" s="70" t="e">
        <f t="shared" si="256"/>
        <v>#N/A</v>
      </c>
      <c r="AN779" s="170"/>
    </row>
    <row r="780" spans="10:40" ht="20.100000000000001" customHeight="1" thickBot="1">
      <c r="J780" s="45" t="str">
        <f t="shared" si="247"/>
        <v>M3</v>
      </c>
      <c r="K780" s="45" t="s">
        <v>131</v>
      </c>
      <c r="L780" s="45" t="str">
        <f t="shared" si="248"/>
        <v>4E-M3@W</v>
      </c>
      <c r="M780" s="75" t="e">
        <f t="shared" si="245"/>
        <v>#N/A</v>
      </c>
      <c r="N780" s="75" t="e">
        <f t="shared" si="246"/>
        <v>#N/A</v>
      </c>
      <c r="R780" s="70" t="s">
        <v>309</v>
      </c>
      <c r="S780" s="70" t="s">
        <v>59</v>
      </c>
      <c r="T780" s="70" t="s">
        <v>57</v>
      </c>
      <c r="U780" s="70" t="s">
        <v>1563</v>
      </c>
      <c r="V780" s="70" t="s">
        <v>1142</v>
      </c>
      <c r="X780" s="70" t="str">
        <f t="shared" si="241"/>
        <v>4E-W DT@W</v>
      </c>
      <c r="Y780" s="70" t="str">
        <f t="shared" si="242"/>
        <v>W DT-TEST@W</v>
      </c>
      <c r="Z780" s="70" t="str">
        <f t="shared" si="243"/>
        <v>TEST-EDT@W</v>
      </c>
      <c r="AA780" s="70" t="str">
        <f t="shared" si="244"/>
        <v>EDT-M3@W</v>
      </c>
      <c r="AC780" s="70" t="str">
        <f t="shared" si="249"/>
        <v>369, 367, 361, 358, 357, 356, 355, 353, 352</v>
      </c>
      <c r="AD780" s="70" t="str">
        <f t="shared" si="250"/>
        <v>356, 355, 353, 352</v>
      </c>
      <c r="AE780" s="70" t="e">
        <f t="shared" si="251"/>
        <v>#N/A</v>
      </c>
      <c r="AF780" s="70" t="e">
        <f t="shared" si="252"/>
        <v>#N/A</v>
      </c>
      <c r="AH780" s="70" t="str">
        <f t="shared" si="253"/>
        <v>66, 56</v>
      </c>
      <c r="AI780" s="70">
        <f t="shared" si="254"/>
        <v>55</v>
      </c>
      <c r="AJ780" s="70" t="e">
        <f t="shared" si="255"/>
        <v>#N/A</v>
      </c>
      <c r="AK780" s="70" t="e">
        <f t="shared" si="256"/>
        <v>#N/A</v>
      </c>
      <c r="AN780" s="170"/>
    </row>
    <row r="781" spans="10:40" ht="20.100000000000001" customHeight="1" thickBot="1">
      <c r="J781" s="45" t="str">
        <f t="shared" si="247"/>
        <v>M3</v>
      </c>
      <c r="K781" s="45" t="s">
        <v>131</v>
      </c>
      <c r="L781" s="45" t="str">
        <f t="shared" si="248"/>
        <v>4W-M3@W</v>
      </c>
      <c r="M781" s="75" t="e">
        <f t="shared" si="245"/>
        <v>#N/A</v>
      </c>
      <c r="N781" s="75" t="e">
        <f t="shared" si="246"/>
        <v>#N/A</v>
      </c>
      <c r="R781" s="70" t="s">
        <v>318</v>
      </c>
      <c r="S781" s="70" t="s">
        <v>59</v>
      </c>
      <c r="T781" s="70" t="s">
        <v>57</v>
      </c>
      <c r="U781" s="70" t="s">
        <v>1563</v>
      </c>
      <c r="V781" s="70" t="s">
        <v>1142</v>
      </c>
      <c r="X781" s="70" t="str">
        <f t="shared" si="241"/>
        <v>4W-W DT@W</v>
      </c>
      <c r="Y781" s="70" t="str">
        <f t="shared" si="242"/>
        <v>W DT-TEST@W</v>
      </c>
      <c r="Z781" s="70" t="str">
        <f t="shared" si="243"/>
        <v>TEST-EDT@W</v>
      </c>
      <c r="AA781" s="70" t="str">
        <f t="shared" si="244"/>
        <v>EDT-M3@W</v>
      </c>
      <c r="AC781" s="70" t="str">
        <f t="shared" si="249"/>
        <v>369, 367, 361, 358, 357, 356, 355, 353, 352</v>
      </c>
      <c r="AD781" s="70" t="str">
        <f t="shared" si="250"/>
        <v>356, 355, 353, 352</v>
      </c>
      <c r="AE781" s="70" t="e">
        <f t="shared" si="251"/>
        <v>#N/A</v>
      </c>
      <c r="AF781" s="70" t="e">
        <f t="shared" si="252"/>
        <v>#N/A</v>
      </c>
      <c r="AH781" s="70" t="str">
        <f t="shared" si="253"/>
        <v>66, 56</v>
      </c>
      <c r="AI781" s="70">
        <f t="shared" si="254"/>
        <v>55</v>
      </c>
      <c r="AJ781" s="70" t="e">
        <f t="shared" si="255"/>
        <v>#N/A</v>
      </c>
      <c r="AK781" s="70" t="e">
        <f t="shared" si="256"/>
        <v>#N/A</v>
      </c>
      <c r="AN781" s="170"/>
    </row>
    <row r="782" spans="10:40" ht="20.100000000000001" customHeight="1" thickBot="1">
      <c r="J782" s="45" t="str">
        <f t="shared" si="247"/>
        <v>M3</v>
      </c>
      <c r="K782" s="45" t="s">
        <v>131</v>
      </c>
      <c r="L782" s="45" t="str">
        <f t="shared" si="248"/>
        <v>5E-M3@W</v>
      </c>
      <c r="M782" s="75" t="e">
        <f t="shared" si="245"/>
        <v>#N/A</v>
      </c>
      <c r="N782" s="75" t="e">
        <f t="shared" si="246"/>
        <v>#N/A</v>
      </c>
      <c r="R782" s="70" t="s">
        <v>325</v>
      </c>
      <c r="S782" s="70" t="s">
        <v>59</v>
      </c>
      <c r="T782" s="70" t="s">
        <v>57</v>
      </c>
      <c r="U782" s="70" t="s">
        <v>1563</v>
      </c>
      <c r="V782" s="70" t="s">
        <v>1142</v>
      </c>
      <c r="X782" s="70" t="str">
        <f t="shared" si="241"/>
        <v>5E-W DT@W</v>
      </c>
      <c r="Y782" s="70" t="str">
        <f t="shared" si="242"/>
        <v>W DT-TEST@W</v>
      </c>
      <c r="Z782" s="70" t="str">
        <f t="shared" si="243"/>
        <v>TEST-EDT@W</v>
      </c>
      <c r="AA782" s="70" t="str">
        <f t="shared" si="244"/>
        <v>EDT-M3@W</v>
      </c>
      <c r="AC782" s="70" t="str">
        <f t="shared" si="249"/>
        <v>375, 374, 360, 357, 356, 355, 353, 352</v>
      </c>
      <c r="AD782" s="70" t="str">
        <f t="shared" si="250"/>
        <v>356, 355, 353, 352</v>
      </c>
      <c r="AE782" s="70" t="e">
        <f t="shared" si="251"/>
        <v>#N/A</v>
      </c>
      <c r="AF782" s="70" t="e">
        <f t="shared" si="252"/>
        <v>#N/A</v>
      </c>
      <c r="AH782" s="70" t="str">
        <f t="shared" si="253"/>
        <v>67, 56</v>
      </c>
      <c r="AI782" s="70">
        <f t="shared" si="254"/>
        <v>55</v>
      </c>
      <c r="AJ782" s="70" t="e">
        <f t="shared" si="255"/>
        <v>#N/A</v>
      </c>
      <c r="AK782" s="70" t="e">
        <f t="shared" si="256"/>
        <v>#N/A</v>
      </c>
      <c r="AN782" s="170"/>
    </row>
    <row r="783" spans="10:40" ht="20.100000000000001" customHeight="1" thickBot="1">
      <c r="J783" s="45" t="str">
        <f t="shared" si="247"/>
        <v>M3</v>
      </c>
      <c r="K783" s="45" t="s">
        <v>131</v>
      </c>
      <c r="L783" s="45" t="str">
        <f t="shared" si="248"/>
        <v>5W-M3@W</v>
      </c>
      <c r="M783" s="75" t="e">
        <f t="shared" si="245"/>
        <v>#N/A</v>
      </c>
      <c r="N783" s="75" t="e">
        <f t="shared" si="246"/>
        <v>#N/A</v>
      </c>
      <c r="R783" s="70" t="s">
        <v>333</v>
      </c>
      <c r="S783" s="70" t="s">
        <v>59</v>
      </c>
      <c r="T783" s="70" t="s">
        <v>57</v>
      </c>
      <c r="U783" s="70" t="s">
        <v>1563</v>
      </c>
      <c r="V783" s="70" t="s">
        <v>1142</v>
      </c>
      <c r="X783" s="70" t="str">
        <f t="shared" si="241"/>
        <v>5W-W DT@W</v>
      </c>
      <c r="Y783" s="70" t="str">
        <f t="shared" si="242"/>
        <v>W DT-TEST@W</v>
      </c>
      <c r="Z783" s="70" t="str">
        <f t="shared" si="243"/>
        <v>TEST-EDT@W</v>
      </c>
      <c r="AA783" s="70" t="str">
        <f t="shared" si="244"/>
        <v>EDT-M3@W</v>
      </c>
      <c r="AC783" s="70" t="str">
        <f t="shared" si="249"/>
        <v>375, 374, 360, 357, 356, 355, 353, 352</v>
      </c>
      <c r="AD783" s="70" t="str">
        <f t="shared" si="250"/>
        <v>356, 355, 353, 352</v>
      </c>
      <c r="AE783" s="70" t="e">
        <f t="shared" si="251"/>
        <v>#N/A</v>
      </c>
      <c r="AF783" s="70" t="e">
        <f t="shared" si="252"/>
        <v>#N/A</v>
      </c>
      <c r="AH783" s="70" t="str">
        <f t="shared" si="253"/>
        <v>67, 56</v>
      </c>
      <c r="AI783" s="70">
        <f t="shared" si="254"/>
        <v>55</v>
      </c>
      <c r="AJ783" s="70" t="e">
        <f t="shared" si="255"/>
        <v>#N/A</v>
      </c>
      <c r="AK783" s="70" t="e">
        <f t="shared" si="256"/>
        <v>#N/A</v>
      </c>
      <c r="AN783" s="170"/>
    </row>
    <row r="784" spans="10:40" ht="20.100000000000001" customHeight="1" thickBot="1">
      <c r="J784" s="45" t="str">
        <f t="shared" si="247"/>
        <v>M3</v>
      </c>
      <c r="K784" s="45" t="s">
        <v>131</v>
      </c>
      <c r="L784" s="45" t="str">
        <f t="shared" si="248"/>
        <v>6E-M3@W</v>
      </c>
      <c r="M784" s="75" t="e">
        <f t="shared" si="245"/>
        <v>#N/A</v>
      </c>
      <c r="N784" s="75" t="e">
        <f t="shared" si="246"/>
        <v>#N/A</v>
      </c>
      <c r="R784" s="70" t="s">
        <v>339</v>
      </c>
      <c r="S784" s="70" t="s">
        <v>59</v>
      </c>
      <c r="T784" s="70" t="s">
        <v>57</v>
      </c>
      <c r="U784" s="70" t="s">
        <v>1563</v>
      </c>
      <c r="V784" s="70" t="s">
        <v>1142</v>
      </c>
      <c r="X784" s="70" t="str">
        <f t="shared" si="241"/>
        <v>6E-W DT@W</v>
      </c>
      <c r="Y784" s="70" t="str">
        <f t="shared" si="242"/>
        <v>W DT-TEST@W</v>
      </c>
      <c r="Z784" s="70" t="str">
        <f t="shared" si="243"/>
        <v>TEST-EDT@W</v>
      </c>
      <c r="AA784" s="70" t="str">
        <f t="shared" si="244"/>
        <v>EDT-M3@W</v>
      </c>
      <c r="AC784" s="70" t="str">
        <f t="shared" si="249"/>
        <v>375, 374, 360, 357, 356, 355, 353, 352</v>
      </c>
      <c r="AD784" s="70" t="str">
        <f t="shared" si="250"/>
        <v>356, 355, 353, 352</v>
      </c>
      <c r="AE784" s="70" t="e">
        <f t="shared" si="251"/>
        <v>#N/A</v>
      </c>
      <c r="AF784" s="70" t="e">
        <f t="shared" si="252"/>
        <v>#N/A</v>
      </c>
      <c r="AH784" s="70" t="str">
        <f t="shared" si="253"/>
        <v>68, 56</v>
      </c>
      <c r="AI784" s="70">
        <f t="shared" si="254"/>
        <v>55</v>
      </c>
      <c r="AJ784" s="70" t="e">
        <f t="shared" si="255"/>
        <v>#N/A</v>
      </c>
      <c r="AK784" s="70" t="e">
        <f t="shared" si="256"/>
        <v>#N/A</v>
      </c>
      <c r="AN784" s="170"/>
    </row>
    <row r="785" spans="10:40" ht="20.100000000000001" customHeight="1" thickBot="1">
      <c r="J785" s="45" t="str">
        <f t="shared" si="247"/>
        <v>M3</v>
      </c>
      <c r="K785" s="45" t="s">
        <v>131</v>
      </c>
      <c r="L785" s="45" t="str">
        <f t="shared" si="248"/>
        <v>6W-M3@W</v>
      </c>
      <c r="M785" s="75" t="e">
        <f t="shared" si="245"/>
        <v>#N/A</v>
      </c>
      <c r="N785" s="75" t="e">
        <f t="shared" si="246"/>
        <v>#N/A</v>
      </c>
      <c r="R785" s="70" t="s">
        <v>346</v>
      </c>
      <c r="S785" s="70" t="s">
        <v>59</v>
      </c>
      <c r="T785" s="70" t="s">
        <v>57</v>
      </c>
      <c r="U785" s="70" t="s">
        <v>1563</v>
      </c>
      <c r="V785" s="70" t="s">
        <v>1142</v>
      </c>
      <c r="X785" s="70" t="str">
        <f t="shared" si="241"/>
        <v>6W-W DT@W</v>
      </c>
      <c r="Y785" s="70" t="str">
        <f t="shared" si="242"/>
        <v>W DT-TEST@W</v>
      </c>
      <c r="Z785" s="70" t="str">
        <f t="shared" si="243"/>
        <v>TEST-EDT@W</v>
      </c>
      <c r="AA785" s="70" t="str">
        <f t="shared" si="244"/>
        <v>EDT-M3@W</v>
      </c>
      <c r="AC785" s="70" t="str">
        <f t="shared" si="249"/>
        <v>375, 374, 360, 357, 356, 355, 353, 352</v>
      </c>
      <c r="AD785" s="70" t="str">
        <f t="shared" si="250"/>
        <v>356, 355, 353, 352</v>
      </c>
      <c r="AE785" s="70" t="e">
        <f t="shared" si="251"/>
        <v>#N/A</v>
      </c>
      <c r="AF785" s="70" t="e">
        <f t="shared" si="252"/>
        <v>#N/A</v>
      </c>
      <c r="AH785" s="70" t="str">
        <f t="shared" si="253"/>
        <v>68, 56</v>
      </c>
      <c r="AI785" s="70">
        <f t="shared" si="254"/>
        <v>55</v>
      </c>
      <c r="AJ785" s="70" t="e">
        <f t="shared" si="255"/>
        <v>#N/A</v>
      </c>
      <c r="AK785" s="70" t="e">
        <f t="shared" si="256"/>
        <v>#N/A</v>
      </c>
      <c r="AN785" s="170"/>
    </row>
    <row r="786" spans="10:40" ht="20.100000000000001" customHeight="1" thickBot="1">
      <c r="J786" s="45" t="str">
        <f t="shared" si="247"/>
        <v>M3</v>
      </c>
      <c r="K786" s="45" t="s">
        <v>131</v>
      </c>
      <c r="L786" s="45" t="str">
        <f t="shared" si="248"/>
        <v>7E-M3@W</v>
      </c>
      <c r="M786" s="75" t="e">
        <f t="shared" si="245"/>
        <v>#N/A</v>
      </c>
      <c r="N786" s="75" t="e">
        <f t="shared" si="246"/>
        <v>#N/A</v>
      </c>
      <c r="R786" s="70" t="s">
        <v>354</v>
      </c>
      <c r="S786" s="70" t="s">
        <v>59</v>
      </c>
      <c r="T786" s="70" t="s">
        <v>57</v>
      </c>
      <c r="U786" s="70" t="s">
        <v>1563</v>
      </c>
      <c r="V786" s="70" t="s">
        <v>1142</v>
      </c>
      <c r="X786" s="70" t="str">
        <f t="shared" si="241"/>
        <v>7E-W DT@W</v>
      </c>
      <c r="Y786" s="70" t="str">
        <f t="shared" si="242"/>
        <v>W DT-TEST@W</v>
      </c>
      <c r="Z786" s="70" t="str">
        <f t="shared" si="243"/>
        <v>TEST-EDT@W</v>
      </c>
      <c r="AA786" s="70" t="str">
        <f t="shared" si="244"/>
        <v>EDT-M3@W</v>
      </c>
      <c r="AC786" s="70" t="str">
        <f t="shared" si="249"/>
        <v>376, 374, 360, 357, 356, 355, 353, 352</v>
      </c>
      <c r="AD786" s="70" t="str">
        <f t="shared" si="250"/>
        <v>356, 355, 353, 352</v>
      </c>
      <c r="AE786" s="70" t="e">
        <f t="shared" si="251"/>
        <v>#N/A</v>
      </c>
      <c r="AF786" s="70" t="e">
        <f t="shared" si="252"/>
        <v>#N/A</v>
      </c>
      <c r="AH786" s="70" t="str">
        <f t="shared" si="253"/>
        <v>69, 56</v>
      </c>
      <c r="AI786" s="70">
        <f t="shared" si="254"/>
        <v>55</v>
      </c>
      <c r="AJ786" s="70" t="e">
        <f t="shared" si="255"/>
        <v>#N/A</v>
      </c>
      <c r="AK786" s="70" t="e">
        <f t="shared" si="256"/>
        <v>#N/A</v>
      </c>
      <c r="AN786" s="170"/>
    </row>
    <row r="787" spans="10:40" ht="20.100000000000001" customHeight="1" thickBot="1">
      <c r="J787" s="45" t="str">
        <f t="shared" si="247"/>
        <v>M3</v>
      </c>
      <c r="K787" s="45" t="s">
        <v>131</v>
      </c>
      <c r="L787" s="45" t="str">
        <f t="shared" si="248"/>
        <v>7W-M3@W</v>
      </c>
      <c r="M787" s="75" t="e">
        <f t="shared" si="245"/>
        <v>#N/A</v>
      </c>
      <c r="N787" s="75" t="e">
        <f t="shared" si="246"/>
        <v>#N/A</v>
      </c>
      <c r="R787" s="70" t="s">
        <v>363</v>
      </c>
      <c r="S787" s="70" t="s">
        <v>59</v>
      </c>
      <c r="T787" s="70" t="s">
        <v>57</v>
      </c>
      <c r="U787" s="70" t="s">
        <v>1563</v>
      </c>
      <c r="V787" s="70" t="s">
        <v>1142</v>
      </c>
      <c r="X787" s="70" t="str">
        <f t="shared" ref="X787:X850" si="257">IF(S787="","",CONCATENATE(R787,"-",S787,"@",$K787))</f>
        <v>7W-W DT@W</v>
      </c>
      <c r="Y787" s="70" t="str">
        <f t="shared" ref="Y787:Y850" si="258">IF(T787="","",CONCATENATE(S787,"-",T787,"@",$K787))</f>
        <v>W DT-TEST@W</v>
      </c>
      <c r="Z787" s="70" t="str">
        <f t="shared" ref="Z787:Z850" si="259">IF(U787="","",CONCATENATE(T787,"-",U787,"@",$K787))</f>
        <v>TEST-EDT@W</v>
      </c>
      <c r="AA787" s="70" t="str">
        <f t="shared" ref="AA787:AA850" si="260">IF(V787="","",CONCATENATE(U787,"-",V787,"@",$K787))</f>
        <v>EDT-M3@W</v>
      </c>
      <c r="AC787" s="70" t="str">
        <f t="shared" si="249"/>
        <v>376, 374, 360, 357, 356, 355, 353, 352</v>
      </c>
      <c r="AD787" s="70" t="str">
        <f t="shared" si="250"/>
        <v>356, 355, 353, 352</v>
      </c>
      <c r="AE787" s="70" t="e">
        <f t="shared" si="251"/>
        <v>#N/A</v>
      </c>
      <c r="AF787" s="70" t="e">
        <f t="shared" si="252"/>
        <v>#N/A</v>
      </c>
      <c r="AH787" s="70" t="str">
        <f t="shared" si="253"/>
        <v>69, 56</v>
      </c>
      <c r="AI787" s="70">
        <f t="shared" si="254"/>
        <v>55</v>
      </c>
      <c r="AJ787" s="70" t="e">
        <f t="shared" si="255"/>
        <v>#N/A</v>
      </c>
      <c r="AK787" s="70" t="e">
        <f t="shared" si="256"/>
        <v>#N/A</v>
      </c>
      <c r="AN787" s="170"/>
    </row>
    <row r="788" spans="10:40" ht="20.100000000000001" customHeight="1" thickBot="1">
      <c r="J788" s="45" t="str">
        <f t="shared" si="247"/>
        <v>M3</v>
      </c>
      <c r="K788" s="45" t="s">
        <v>131</v>
      </c>
      <c r="L788" s="45" t="str">
        <f t="shared" si="248"/>
        <v>8E-M3@W</v>
      </c>
      <c r="M788" s="75" t="e">
        <f t="shared" si="245"/>
        <v>#N/A</v>
      </c>
      <c r="N788" s="75" t="e">
        <f t="shared" si="246"/>
        <v>#N/A</v>
      </c>
      <c r="R788" s="70" t="s">
        <v>370</v>
      </c>
      <c r="S788" s="70" t="s">
        <v>59</v>
      </c>
      <c r="T788" s="70" t="s">
        <v>57</v>
      </c>
      <c r="U788" s="70" t="s">
        <v>1563</v>
      </c>
      <c r="V788" s="70" t="s">
        <v>1142</v>
      </c>
      <c r="X788" s="70" t="str">
        <f t="shared" si="257"/>
        <v>8E-W DT@W</v>
      </c>
      <c r="Y788" s="70" t="str">
        <f t="shared" si="258"/>
        <v>W DT-TEST@W</v>
      </c>
      <c r="Z788" s="70" t="str">
        <f t="shared" si="259"/>
        <v>TEST-EDT@W</v>
      </c>
      <c r="AA788" s="70" t="str">
        <f t="shared" si="260"/>
        <v>EDT-M3@W</v>
      </c>
      <c r="AC788" s="70" t="str">
        <f t="shared" si="249"/>
        <v>376, 374, 360, 357, 356, 355, 353, 352</v>
      </c>
      <c r="AD788" s="70" t="str">
        <f t="shared" si="250"/>
        <v>356, 355, 353, 352</v>
      </c>
      <c r="AE788" s="70" t="e">
        <f t="shared" si="251"/>
        <v>#N/A</v>
      </c>
      <c r="AF788" s="70" t="e">
        <f t="shared" si="252"/>
        <v>#N/A</v>
      </c>
      <c r="AH788" s="70" t="str">
        <f t="shared" si="253"/>
        <v>70, 56</v>
      </c>
      <c r="AI788" s="70">
        <f t="shared" si="254"/>
        <v>55</v>
      </c>
      <c r="AJ788" s="70" t="e">
        <f t="shared" si="255"/>
        <v>#N/A</v>
      </c>
      <c r="AK788" s="70" t="e">
        <f t="shared" si="256"/>
        <v>#N/A</v>
      </c>
      <c r="AN788" s="170"/>
    </row>
    <row r="789" spans="10:40" ht="20.100000000000001" customHeight="1" thickBot="1">
      <c r="J789" s="45" t="str">
        <f t="shared" si="247"/>
        <v>M3</v>
      </c>
      <c r="K789" s="45" t="s">
        <v>131</v>
      </c>
      <c r="L789" s="45" t="str">
        <f t="shared" si="248"/>
        <v>8W-M3@W</v>
      </c>
      <c r="M789" s="75" t="e">
        <f t="shared" si="245"/>
        <v>#N/A</v>
      </c>
      <c r="N789" s="75" t="e">
        <f t="shared" si="246"/>
        <v>#N/A</v>
      </c>
      <c r="R789" s="70" t="s">
        <v>377</v>
      </c>
      <c r="S789" s="70" t="s">
        <v>59</v>
      </c>
      <c r="T789" s="70" t="s">
        <v>57</v>
      </c>
      <c r="U789" s="70" t="s">
        <v>1563</v>
      </c>
      <c r="V789" s="70" t="s">
        <v>1142</v>
      </c>
      <c r="X789" s="70" t="str">
        <f t="shared" si="257"/>
        <v>8W-W DT@W</v>
      </c>
      <c r="Y789" s="70" t="str">
        <f t="shared" si="258"/>
        <v>W DT-TEST@W</v>
      </c>
      <c r="Z789" s="70" t="str">
        <f t="shared" si="259"/>
        <v>TEST-EDT@W</v>
      </c>
      <c r="AA789" s="70" t="str">
        <f t="shared" si="260"/>
        <v>EDT-M3@W</v>
      </c>
      <c r="AC789" s="70" t="str">
        <f t="shared" si="249"/>
        <v>376, 374, 360, 357, 356, 355, 353, 352</v>
      </c>
      <c r="AD789" s="70" t="str">
        <f t="shared" si="250"/>
        <v>356, 355, 353, 352</v>
      </c>
      <c r="AE789" s="70" t="e">
        <f t="shared" si="251"/>
        <v>#N/A</v>
      </c>
      <c r="AF789" s="70" t="e">
        <f t="shared" si="252"/>
        <v>#N/A</v>
      </c>
      <c r="AH789" s="70" t="str">
        <f t="shared" si="253"/>
        <v>70, 56</v>
      </c>
      <c r="AI789" s="70">
        <f t="shared" si="254"/>
        <v>55</v>
      </c>
      <c r="AJ789" s="70" t="e">
        <f t="shared" si="255"/>
        <v>#N/A</v>
      </c>
      <c r="AK789" s="70" t="e">
        <f t="shared" si="256"/>
        <v>#N/A</v>
      </c>
      <c r="AN789" s="170"/>
    </row>
    <row r="790" spans="10:40" ht="20.100000000000001" customHeight="1" thickBot="1">
      <c r="J790" s="45" t="str">
        <f t="shared" si="247"/>
        <v>M4</v>
      </c>
      <c r="K790" s="45" t="s">
        <v>131</v>
      </c>
      <c r="L790" s="45" t="str">
        <f t="shared" si="248"/>
        <v>RM4E-M4@W</v>
      </c>
      <c r="M790" s="75" t="e">
        <f t="shared" si="245"/>
        <v>#N/A</v>
      </c>
      <c r="N790" s="75" t="e">
        <f t="shared" si="246"/>
        <v>#N/A</v>
      </c>
      <c r="R790" s="70" t="s">
        <v>1564</v>
      </c>
      <c r="S790" s="70" t="s">
        <v>59</v>
      </c>
      <c r="T790" s="70" t="s">
        <v>57</v>
      </c>
      <c r="U790" s="70" t="s">
        <v>1563</v>
      </c>
      <c r="V790" s="70" t="s">
        <v>331</v>
      </c>
      <c r="X790" s="70" t="str">
        <f t="shared" si="257"/>
        <v>RM4E-W DT@W</v>
      </c>
      <c r="Y790" s="70" t="str">
        <f t="shared" si="258"/>
        <v>W DT-TEST@W</v>
      </c>
      <c r="Z790" s="70" t="str">
        <f t="shared" si="259"/>
        <v>TEST-EDT@W</v>
      </c>
      <c r="AA790" s="70" t="str">
        <f t="shared" si="260"/>
        <v>EDT-M4@W</v>
      </c>
      <c r="AC790" s="70" t="e">
        <f t="shared" si="249"/>
        <v>#N/A</v>
      </c>
      <c r="AD790" s="70" t="str">
        <f t="shared" si="250"/>
        <v>356, 355, 353, 352</v>
      </c>
      <c r="AE790" s="70" t="e">
        <f t="shared" si="251"/>
        <v>#N/A</v>
      </c>
      <c r="AF790" s="70" t="e">
        <f t="shared" si="252"/>
        <v>#N/A</v>
      </c>
      <c r="AH790" s="70" t="e">
        <f t="shared" si="253"/>
        <v>#N/A</v>
      </c>
      <c r="AI790" s="70">
        <f t="shared" si="254"/>
        <v>55</v>
      </c>
      <c r="AJ790" s="70" t="e">
        <f t="shared" si="255"/>
        <v>#N/A</v>
      </c>
      <c r="AK790" s="70" t="e">
        <f t="shared" si="256"/>
        <v>#N/A</v>
      </c>
      <c r="AN790" s="170"/>
    </row>
    <row r="791" spans="10:40" ht="20.100000000000001" customHeight="1" thickBot="1">
      <c r="J791" s="45" t="str">
        <f t="shared" si="247"/>
        <v>M4</v>
      </c>
      <c r="K791" s="45" t="s">
        <v>131</v>
      </c>
      <c r="L791" s="45" t="str">
        <f t="shared" si="248"/>
        <v>RM4W-M4@W</v>
      </c>
      <c r="M791" s="75" t="e">
        <f t="shared" si="245"/>
        <v>#N/A</v>
      </c>
      <c r="N791" s="75" t="e">
        <f t="shared" si="246"/>
        <v>#N/A</v>
      </c>
      <c r="R791" s="70" t="s">
        <v>1565</v>
      </c>
      <c r="S791" s="70" t="s">
        <v>59</v>
      </c>
      <c r="T791" s="70" t="s">
        <v>57</v>
      </c>
      <c r="U791" s="70" t="s">
        <v>1563</v>
      </c>
      <c r="V791" s="70" t="s">
        <v>331</v>
      </c>
      <c r="X791" s="70" t="str">
        <f t="shared" si="257"/>
        <v>RM4W-W DT@W</v>
      </c>
      <c r="Y791" s="70" t="str">
        <f t="shared" si="258"/>
        <v>W DT-TEST@W</v>
      </c>
      <c r="Z791" s="70" t="str">
        <f t="shared" si="259"/>
        <v>TEST-EDT@W</v>
      </c>
      <c r="AA791" s="70" t="str">
        <f t="shared" si="260"/>
        <v>EDT-M4@W</v>
      </c>
      <c r="AC791" s="70" t="e">
        <f t="shared" si="249"/>
        <v>#N/A</v>
      </c>
      <c r="AD791" s="70" t="str">
        <f t="shared" si="250"/>
        <v>356, 355, 353, 352</v>
      </c>
      <c r="AE791" s="70" t="e">
        <f t="shared" si="251"/>
        <v>#N/A</v>
      </c>
      <c r="AF791" s="70" t="e">
        <f t="shared" si="252"/>
        <v>#N/A</v>
      </c>
      <c r="AH791" s="70" t="e">
        <f t="shared" si="253"/>
        <v>#N/A</v>
      </c>
      <c r="AI791" s="70">
        <f t="shared" si="254"/>
        <v>55</v>
      </c>
      <c r="AJ791" s="70" t="e">
        <f t="shared" si="255"/>
        <v>#N/A</v>
      </c>
      <c r="AK791" s="70" t="e">
        <f t="shared" si="256"/>
        <v>#N/A</v>
      </c>
      <c r="AN791" s="170"/>
    </row>
    <row r="792" spans="10:40" ht="20.100000000000001" customHeight="1" thickBot="1">
      <c r="J792" s="45" t="str">
        <f t="shared" si="247"/>
        <v>M4</v>
      </c>
      <c r="K792" s="45" t="s">
        <v>131</v>
      </c>
      <c r="L792" s="45" t="str">
        <f t="shared" si="248"/>
        <v>RM2E-M4@W</v>
      </c>
      <c r="M792" s="75" t="e">
        <f t="shared" si="245"/>
        <v>#N/A</v>
      </c>
      <c r="N792" s="75" t="e">
        <f t="shared" si="246"/>
        <v>#N/A</v>
      </c>
      <c r="R792" s="70" t="s">
        <v>216</v>
      </c>
      <c r="S792" s="70" t="s">
        <v>59</v>
      </c>
      <c r="T792" s="70" t="s">
        <v>57</v>
      </c>
      <c r="U792" s="70" t="s">
        <v>1563</v>
      </c>
      <c r="V792" s="70" t="s">
        <v>331</v>
      </c>
      <c r="X792" s="70" t="str">
        <f t="shared" si="257"/>
        <v>RM2E-W DT@W</v>
      </c>
      <c r="Y792" s="70" t="str">
        <f t="shared" si="258"/>
        <v>W DT-TEST@W</v>
      </c>
      <c r="Z792" s="70" t="str">
        <f t="shared" si="259"/>
        <v>TEST-EDT@W</v>
      </c>
      <c r="AA792" s="70" t="str">
        <f t="shared" si="260"/>
        <v>EDT-M4@W</v>
      </c>
      <c r="AC792" s="70" t="str">
        <f t="shared" si="249"/>
        <v>365, 362, 361, 358, 357, 356, 355, 353, 352</v>
      </c>
      <c r="AD792" s="70" t="str">
        <f t="shared" si="250"/>
        <v>356, 355, 353, 352</v>
      </c>
      <c r="AE792" s="70" t="e">
        <f t="shared" si="251"/>
        <v>#N/A</v>
      </c>
      <c r="AF792" s="70" t="e">
        <f t="shared" si="252"/>
        <v>#N/A</v>
      </c>
      <c r="AH792" s="70" t="str">
        <f t="shared" si="253"/>
        <v>26, 04</v>
      </c>
      <c r="AI792" s="70">
        <f t="shared" si="254"/>
        <v>55</v>
      </c>
      <c r="AJ792" s="70" t="e">
        <f t="shared" si="255"/>
        <v>#N/A</v>
      </c>
      <c r="AK792" s="70" t="e">
        <f t="shared" si="256"/>
        <v>#N/A</v>
      </c>
      <c r="AN792" s="170"/>
    </row>
    <row r="793" spans="10:40" ht="20.100000000000001" customHeight="1" thickBot="1">
      <c r="J793" s="45" t="str">
        <f t="shared" si="247"/>
        <v>M4</v>
      </c>
      <c r="K793" s="45" t="s">
        <v>131</v>
      </c>
      <c r="L793" s="45" t="str">
        <f t="shared" si="248"/>
        <v>RM2W-M4@W</v>
      </c>
      <c r="M793" s="75" t="e">
        <f t="shared" si="245"/>
        <v>#N/A</v>
      </c>
      <c r="N793" s="75" t="e">
        <f t="shared" si="246"/>
        <v>#N/A</v>
      </c>
      <c r="R793" s="70" t="s">
        <v>224</v>
      </c>
      <c r="S793" s="70" t="s">
        <v>59</v>
      </c>
      <c r="T793" s="70" t="s">
        <v>57</v>
      </c>
      <c r="U793" s="70" t="s">
        <v>1563</v>
      </c>
      <c r="V793" s="70" t="s">
        <v>331</v>
      </c>
      <c r="X793" s="70" t="str">
        <f t="shared" si="257"/>
        <v>RM2W-W DT@W</v>
      </c>
      <c r="Y793" s="70" t="str">
        <f t="shared" si="258"/>
        <v>W DT-TEST@W</v>
      </c>
      <c r="Z793" s="70" t="str">
        <f t="shared" si="259"/>
        <v>TEST-EDT@W</v>
      </c>
      <c r="AA793" s="70" t="str">
        <f t="shared" si="260"/>
        <v>EDT-M4@W</v>
      </c>
      <c r="AC793" s="70" t="str">
        <f t="shared" si="249"/>
        <v>365, 362, 361, 358, 357, 356, 355, 353, 352</v>
      </c>
      <c r="AD793" s="70" t="str">
        <f t="shared" si="250"/>
        <v>356, 355, 353, 352</v>
      </c>
      <c r="AE793" s="70" t="e">
        <f t="shared" si="251"/>
        <v>#N/A</v>
      </c>
      <c r="AF793" s="70" t="e">
        <f t="shared" si="252"/>
        <v>#N/A</v>
      </c>
      <c r="AH793" s="70" t="str">
        <f t="shared" si="253"/>
        <v>26, 04</v>
      </c>
      <c r="AI793" s="70">
        <f t="shared" si="254"/>
        <v>55</v>
      </c>
      <c r="AJ793" s="70" t="e">
        <f t="shared" si="255"/>
        <v>#N/A</v>
      </c>
      <c r="AK793" s="70" t="e">
        <f t="shared" si="256"/>
        <v>#N/A</v>
      </c>
      <c r="AN793" s="170"/>
    </row>
    <row r="794" spans="10:40" ht="20.100000000000001" customHeight="1" thickBot="1">
      <c r="J794" s="45" t="str">
        <f t="shared" si="247"/>
        <v>M4</v>
      </c>
      <c r="K794" s="45" t="s">
        <v>131</v>
      </c>
      <c r="L794" s="45" t="str">
        <f t="shared" si="248"/>
        <v>RM3E-M4@W</v>
      </c>
      <c r="M794" s="75" t="e">
        <f t="shared" si="245"/>
        <v>#N/A</v>
      </c>
      <c r="N794" s="75" t="e">
        <f t="shared" si="246"/>
        <v>#N/A</v>
      </c>
      <c r="R794" s="70" t="s">
        <v>231</v>
      </c>
      <c r="S794" s="70" t="s">
        <v>59</v>
      </c>
      <c r="T794" s="70" t="s">
        <v>57</v>
      </c>
      <c r="U794" s="70" t="s">
        <v>1563</v>
      </c>
      <c r="V794" s="70" t="s">
        <v>331</v>
      </c>
      <c r="X794" s="70" t="str">
        <f t="shared" si="257"/>
        <v>RM3E-W DT@W</v>
      </c>
      <c r="Y794" s="70" t="str">
        <f t="shared" si="258"/>
        <v>W DT-TEST@W</v>
      </c>
      <c r="Z794" s="70" t="str">
        <f t="shared" si="259"/>
        <v>TEST-EDT@W</v>
      </c>
      <c r="AA794" s="70" t="str">
        <f t="shared" si="260"/>
        <v>EDT-M4@W</v>
      </c>
      <c r="AC794" s="70" t="str">
        <f t="shared" si="249"/>
        <v>365, 362, 361, 358, 357, 356, 355, 353, 352</v>
      </c>
      <c r="AD794" s="70" t="str">
        <f t="shared" si="250"/>
        <v>356, 355, 353, 352</v>
      </c>
      <c r="AE794" s="70" t="e">
        <f t="shared" si="251"/>
        <v>#N/A</v>
      </c>
      <c r="AF794" s="70" t="e">
        <f t="shared" si="252"/>
        <v>#N/A</v>
      </c>
      <c r="AH794" s="70" t="str">
        <f t="shared" si="253"/>
        <v>27, 04</v>
      </c>
      <c r="AI794" s="70">
        <f t="shared" si="254"/>
        <v>55</v>
      </c>
      <c r="AJ794" s="70" t="e">
        <f t="shared" si="255"/>
        <v>#N/A</v>
      </c>
      <c r="AK794" s="70" t="e">
        <f t="shared" si="256"/>
        <v>#N/A</v>
      </c>
      <c r="AN794" s="170"/>
    </row>
    <row r="795" spans="10:40" ht="20.100000000000001" customHeight="1" thickBot="1">
      <c r="J795" s="45" t="str">
        <f t="shared" si="247"/>
        <v>M4</v>
      </c>
      <c r="K795" s="45" t="s">
        <v>131</v>
      </c>
      <c r="L795" s="45" t="str">
        <f t="shared" si="248"/>
        <v>RM3W-M4@W</v>
      </c>
      <c r="M795" s="75" t="e">
        <f t="shared" si="245"/>
        <v>#N/A</v>
      </c>
      <c r="N795" s="75" t="e">
        <f t="shared" si="246"/>
        <v>#N/A</v>
      </c>
      <c r="R795" s="70" t="s">
        <v>238</v>
      </c>
      <c r="S795" s="70" t="s">
        <v>59</v>
      </c>
      <c r="T795" s="70" t="s">
        <v>57</v>
      </c>
      <c r="U795" s="70" t="s">
        <v>1563</v>
      </c>
      <c r="V795" s="70" t="s">
        <v>331</v>
      </c>
      <c r="X795" s="70" t="str">
        <f t="shared" si="257"/>
        <v>RM3W-W DT@W</v>
      </c>
      <c r="Y795" s="70" t="str">
        <f t="shared" si="258"/>
        <v>W DT-TEST@W</v>
      </c>
      <c r="Z795" s="70" t="str">
        <f t="shared" si="259"/>
        <v>TEST-EDT@W</v>
      </c>
      <c r="AA795" s="70" t="str">
        <f t="shared" si="260"/>
        <v>EDT-M4@W</v>
      </c>
      <c r="AC795" s="70" t="str">
        <f t="shared" si="249"/>
        <v>365, 362, 361, 358, 357, 356, 355, 353, 352</v>
      </c>
      <c r="AD795" s="70" t="str">
        <f t="shared" si="250"/>
        <v>356, 355, 353, 352</v>
      </c>
      <c r="AE795" s="70" t="e">
        <f t="shared" si="251"/>
        <v>#N/A</v>
      </c>
      <c r="AF795" s="70" t="e">
        <f t="shared" si="252"/>
        <v>#N/A</v>
      </c>
      <c r="AH795" s="70" t="str">
        <f t="shared" si="253"/>
        <v>27, 04</v>
      </c>
      <c r="AI795" s="70">
        <f t="shared" si="254"/>
        <v>55</v>
      </c>
      <c r="AJ795" s="70" t="e">
        <f t="shared" si="255"/>
        <v>#N/A</v>
      </c>
      <c r="AK795" s="70" t="e">
        <f t="shared" si="256"/>
        <v>#N/A</v>
      </c>
      <c r="AN795" s="170"/>
    </row>
    <row r="796" spans="10:40" ht="20.100000000000001" customHeight="1" thickBot="1">
      <c r="J796" s="45" t="str">
        <f t="shared" si="247"/>
        <v>M4</v>
      </c>
      <c r="K796" s="45" t="s">
        <v>131</v>
      </c>
      <c r="L796" s="45" t="str">
        <f t="shared" si="248"/>
        <v>HCTE-M4@W</v>
      </c>
      <c r="M796" s="75" t="e">
        <f t="shared" si="245"/>
        <v>#N/A</v>
      </c>
      <c r="N796" s="75" t="e">
        <f t="shared" si="246"/>
        <v>#N/A</v>
      </c>
      <c r="R796" s="70" t="s">
        <v>246</v>
      </c>
      <c r="S796" s="70" t="s">
        <v>59</v>
      </c>
      <c r="T796" s="70" t="s">
        <v>57</v>
      </c>
      <c r="U796" s="70" t="s">
        <v>1563</v>
      </c>
      <c r="V796" s="70" t="s">
        <v>331</v>
      </c>
      <c r="X796" s="70" t="str">
        <f t="shared" si="257"/>
        <v>HCTE-W DT@W</v>
      </c>
      <c r="Y796" s="70" t="str">
        <f t="shared" si="258"/>
        <v>W DT-TEST@W</v>
      </c>
      <c r="Z796" s="70" t="str">
        <f t="shared" si="259"/>
        <v>TEST-EDT@W</v>
      </c>
      <c r="AA796" s="70" t="str">
        <f t="shared" si="260"/>
        <v>EDT-M4@W</v>
      </c>
      <c r="AC796" s="70" t="str">
        <f t="shared" si="249"/>
        <v>368, 367, 361, 358, 357, 356, 355, 353, 352</v>
      </c>
      <c r="AD796" s="70" t="str">
        <f t="shared" si="250"/>
        <v>356, 355, 353, 352</v>
      </c>
      <c r="AE796" s="70" t="e">
        <f t="shared" si="251"/>
        <v>#N/A</v>
      </c>
      <c r="AF796" s="70" t="e">
        <f t="shared" si="252"/>
        <v>#N/A</v>
      </c>
      <c r="AH796" s="70" t="str">
        <f t="shared" si="253"/>
        <v>28, 04</v>
      </c>
      <c r="AI796" s="70">
        <f t="shared" si="254"/>
        <v>55</v>
      </c>
      <c r="AJ796" s="70" t="e">
        <f t="shared" si="255"/>
        <v>#N/A</v>
      </c>
      <c r="AK796" s="70" t="e">
        <f t="shared" si="256"/>
        <v>#N/A</v>
      </c>
      <c r="AN796" s="170"/>
    </row>
    <row r="797" spans="10:40" ht="20.100000000000001" customHeight="1" thickBot="1">
      <c r="J797" s="45" t="str">
        <f t="shared" si="247"/>
        <v>M4</v>
      </c>
      <c r="K797" s="45" t="s">
        <v>131</v>
      </c>
      <c r="L797" s="45" t="str">
        <f t="shared" si="248"/>
        <v>HCTW-M4@W</v>
      </c>
      <c r="M797" s="75" t="e">
        <f t="shared" si="245"/>
        <v>#N/A</v>
      </c>
      <c r="N797" s="75" t="e">
        <f t="shared" si="246"/>
        <v>#N/A</v>
      </c>
      <c r="R797" s="70" t="s">
        <v>254</v>
      </c>
      <c r="S797" s="70" t="s">
        <v>59</v>
      </c>
      <c r="T797" s="70" t="s">
        <v>57</v>
      </c>
      <c r="U797" s="70" t="s">
        <v>1563</v>
      </c>
      <c r="V797" s="70" t="s">
        <v>331</v>
      </c>
      <c r="X797" s="70" t="str">
        <f t="shared" si="257"/>
        <v>HCTW-W DT@W</v>
      </c>
      <c r="Y797" s="70" t="str">
        <f t="shared" si="258"/>
        <v>W DT-TEST@W</v>
      </c>
      <c r="Z797" s="70" t="str">
        <f t="shared" si="259"/>
        <v>TEST-EDT@W</v>
      </c>
      <c r="AA797" s="70" t="str">
        <f t="shared" si="260"/>
        <v>EDT-M4@W</v>
      </c>
      <c r="AC797" s="70" t="str">
        <f t="shared" si="249"/>
        <v>368, 367, 361, 358, 357, 356, 355, 353, 352</v>
      </c>
      <c r="AD797" s="70" t="str">
        <f t="shared" si="250"/>
        <v>356, 355, 353, 352</v>
      </c>
      <c r="AE797" s="70" t="e">
        <f t="shared" si="251"/>
        <v>#N/A</v>
      </c>
      <c r="AF797" s="70" t="e">
        <f t="shared" si="252"/>
        <v>#N/A</v>
      </c>
      <c r="AH797" s="70" t="str">
        <f t="shared" si="253"/>
        <v>28, 04</v>
      </c>
      <c r="AI797" s="70">
        <f t="shared" si="254"/>
        <v>55</v>
      </c>
      <c r="AJ797" s="70" t="e">
        <f t="shared" si="255"/>
        <v>#N/A</v>
      </c>
      <c r="AK797" s="70" t="e">
        <f t="shared" si="256"/>
        <v>#N/A</v>
      </c>
      <c r="AN797" s="170"/>
    </row>
    <row r="798" spans="10:40" ht="20.100000000000001" customHeight="1" thickBot="1">
      <c r="J798" s="45" t="str">
        <f t="shared" si="247"/>
        <v>M4</v>
      </c>
      <c r="K798" s="45" t="s">
        <v>131</v>
      </c>
      <c r="L798" s="45" t="str">
        <f t="shared" si="248"/>
        <v>1E-M4@W</v>
      </c>
      <c r="M798" s="75" t="e">
        <f t="shared" si="245"/>
        <v>#N/A</v>
      </c>
      <c r="N798" s="75" t="e">
        <f t="shared" si="246"/>
        <v>#N/A</v>
      </c>
      <c r="R798" s="70" t="s">
        <v>261</v>
      </c>
      <c r="S798" s="70" t="s">
        <v>59</v>
      </c>
      <c r="T798" s="70" t="s">
        <v>57</v>
      </c>
      <c r="U798" s="70" t="s">
        <v>1563</v>
      </c>
      <c r="V798" s="70" t="s">
        <v>331</v>
      </c>
      <c r="X798" s="70" t="str">
        <f t="shared" si="257"/>
        <v>1E-W DT@W</v>
      </c>
      <c r="Y798" s="70" t="str">
        <f t="shared" si="258"/>
        <v>W DT-TEST@W</v>
      </c>
      <c r="Z798" s="70" t="str">
        <f t="shared" si="259"/>
        <v>TEST-EDT@W</v>
      </c>
      <c r="AA798" s="70" t="str">
        <f t="shared" si="260"/>
        <v>EDT-M4@W</v>
      </c>
      <c r="AC798" s="70" t="str">
        <f t="shared" si="249"/>
        <v>368, 367, 361, 358, 357, 356, 355, 353, 352</v>
      </c>
      <c r="AD798" s="70" t="str">
        <f t="shared" si="250"/>
        <v>356, 355, 353, 352</v>
      </c>
      <c r="AE798" s="70" t="e">
        <f t="shared" si="251"/>
        <v>#N/A</v>
      </c>
      <c r="AF798" s="70" t="e">
        <f t="shared" si="252"/>
        <v>#N/A</v>
      </c>
      <c r="AH798" s="70" t="str">
        <f t="shared" si="253"/>
        <v>63, 56</v>
      </c>
      <c r="AI798" s="70">
        <f t="shared" si="254"/>
        <v>55</v>
      </c>
      <c r="AJ798" s="70" t="e">
        <f t="shared" si="255"/>
        <v>#N/A</v>
      </c>
      <c r="AK798" s="70" t="e">
        <f t="shared" si="256"/>
        <v>#N/A</v>
      </c>
      <c r="AN798" s="170"/>
    </row>
    <row r="799" spans="10:40" ht="20.100000000000001" customHeight="1" thickBot="1">
      <c r="J799" s="45" t="str">
        <f t="shared" si="247"/>
        <v>M4</v>
      </c>
      <c r="K799" s="45" t="s">
        <v>131</v>
      </c>
      <c r="L799" s="45" t="str">
        <f t="shared" si="248"/>
        <v>1W-M4@W</v>
      </c>
      <c r="M799" s="75" t="e">
        <f t="shared" si="245"/>
        <v>#N/A</v>
      </c>
      <c r="N799" s="75" t="e">
        <f t="shared" si="246"/>
        <v>#N/A</v>
      </c>
      <c r="R799" s="70" t="s">
        <v>269</v>
      </c>
      <c r="S799" s="70" t="s">
        <v>59</v>
      </c>
      <c r="T799" s="70" t="s">
        <v>57</v>
      </c>
      <c r="U799" s="70" t="s">
        <v>1563</v>
      </c>
      <c r="V799" s="70" t="s">
        <v>331</v>
      </c>
      <c r="X799" s="70" t="str">
        <f t="shared" si="257"/>
        <v>1W-W DT@W</v>
      </c>
      <c r="Y799" s="70" t="str">
        <f t="shared" si="258"/>
        <v>W DT-TEST@W</v>
      </c>
      <c r="Z799" s="70" t="str">
        <f t="shared" si="259"/>
        <v>TEST-EDT@W</v>
      </c>
      <c r="AA799" s="70" t="str">
        <f t="shared" si="260"/>
        <v>EDT-M4@W</v>
      </c>
      <c r="AC799" s="70" t="str">
        <f t="shared" si="249"/>
        <v>368, 367, 361, 358, 357, 356, 355, 353, 352</v>
      </c>
      <c r="AD799" s="70" t="str">
        <f t="shared" si="250"/>
        <v>356, 355, 353, 352</v>
      </c>
      <c r="AE799" s="70" t="e">
        <f t="shared" si="251"/>
        <v>#N/A</v>
      </c>
      <c r="AF799" s="70" t="e">
        <f t="shared" si="252"/>
        <v>#N/A</v>
      </c>
      <c r="AH799" s="70" t="str">
        <f t="shared" si="253"/>
        <v>63, 56</v>
      </c>
      <c r="AI799" s="70">
        <f t="shared" si="254"/>
        <v>55</v>
      </c>
      <c r="AJ799" s="70" t="e">
        <f t="shared" si="255"/>
        <v>#N/A</v>
      </c>
      <c r="AK799" s="70" t="e">
        <f t="shared" si="256"/>
        <v>#N/A</v>
      </c>
      <c r="AN799" s="170"/>
    </row>
    <row r="800" spans="10:40" ht="20.100000000000001" customHeight="1" thickBot="1">
      <c r="J800" s="45" t="str">
        <f t="shared" si="247"/>
        <v>M4</v>
      </c>
      <c r="K800" s="45" t="s">
        <v>131</v>
      </c>
      <c r="L800" s="45" t="str">
        <f t="shared" si="248"/>
        <v>2E-M4@W</v>
      </c>
      <c r="M800" s="75" t="e">
        <f t="shared" si="245"/>
        <v>#N/A</v>
      </c>
      <c r="N800" s="75" t="e">
        <f t="shared" si="246"/>
        <v>#N/A</v>
      </c>
      <c r="R800" s="70" t="s">
        <v>276</v>
      </c>
      <c r="S800" s="70" t="s">
        <v>59</v>
      </c>
      <c r="T800" s="70" t="s">
        <v>57</v>
      </c>
      <c r="U800" s="70" t="s">
        <v>1563</v>
      </c>
      <c r="V800" s="70" t="s">
        <v>331</v>
      </c>
      <c r="X800" s="70" t="str">
        <f t="shared" si="257"/>
        <v>2E-W DT@W</v>
      </c>
      <c r="Y800" s="70" t="str">
        <f t="shared" si="258"/>
        <v>W DT-TEST@W</v>
      </c>
      <c r="Z800" s="70" t="str">
        <f t="shared" si="259"/>
        <v>TEST-EDT@W</v>
      </c>
      <c r="AA800" s="70" t="str">
        <f t="shared" si="260"/>
        <v>EDT-M4@W</v>
      </c>
      <c r="AC800" s="70" t="str">
        <f t="shared" si="249"/>
        <v>370, 369, 367, 361, 358, 357, 356, 355, 353, 352</v>
      </c>
      <c r="AD800" s="70" t="str">
        <f t="shared" si="250"/>
        <v>356, 355, 353, 352</v>
      </c>
      <c r="AE800" s="70" t="e">
        <f t="shared" si="251"/>
        <v>#N/A</v>
      </c>
      <c r="AF800" s="70" t="e">
        <f t="shared" si="252"/>
        <v>#N/A</v>
      </c>
      <c r="AH800" s="70" t="str">
        <f t="shared" si="253"/>
        <v>64, 56</v>
      </c>
      <c r="AI800" s="70">
        <f t="shared" si="254"/>
        <v>55</v>
      </c>
      <c r="AJ800" s="70" t="e">
        <f t="shared" si="255"/>
        <v>#N/A</v>
      </c>
      <c r="AK800" s="70" t="e">
        <f t="shared" si="256"/>
        <v>#N/A</v>
      </c>
      <c r="AN800" s="170"/>
    </row>
    <row r="801" spans="10:40" ht="20.100000000000001" customHeight="1" thickBot="1">
      <c r="J801" s="45" t="str">
        <f t="shared" si="247"/>
        <v>M4</v>
      </c>
      <c r="K801" s="45" t="s">
        <v>131</v>
      </c>
      <c r="L801" s="45" t="str">
        <f t="shared" si="248"/>
        <v>2W-M4@W</v>
      </c>
      <c r="M801" s="75" t="e">
        <f t="shared" si="245"/>
        <v>#N/A</v>
      </c>
      <c r="N801" s="75" t="e">
        <f t="shared" si="246"/>
        <v>#N/A</v>
      </c>
      <c r="R801" s="70" t="s">
        <v>285</v>
      </c>
      <c r="S801" s="70" t="s">
        <v>59</v>
      </c>
      <c r="T801" s="70" t="s">
        <v>57</v>
      </c>
      <c r="U801" s="70" t="s">
        <v>1563</v>
      </c>
      <c r="V801" s="70" t="s">
        <v>331</v>
      </c>
      <c r="X801" s="70" t="str">
        <f t="shared" si="257"/>
        <v>2W-W DT@W</v>
      </c>
      <c r="Y801" s="70" t="str">
        <f t="shared" si="258"/>
        <v>W DT-TEST@W</v>
      </c>
      <c r="Z801" s="70" t="str">
        <f t="shared" si="259"/>
        <v>TEST-EDT@W</v>
      </c>
      <c r="AA801" s="70" t="str">
        <f t="shared" si="260"/>
        <v>EDT-M4@W</v>
      </c>
      <c r="AC801" s="70" t="str">
        <f t="shared" si="249"/>
        <v>370, 369, 367, 361, 358, 357, 356, 355, 353, 352</v>
      </c>
      <c r="AD801" s="70" t="str">
        <f t="shared" si="250"/>
        <v>356, 355, 353, 352</v>
      </c>
      <c r="AE801" s="70" t="e">
        <f t="shared" si="251"/>
        <v>#N/A</v>
      </c>
      <c r="AF801" s="70" t="e">
        <f t="shared" si="252"/>
        <v>#N/A</v>
      </c>
      <c r="AH801" s="70" t="str">
        <f t="shared" si="253"/>
        <v>64, 56</v>
      </c>
      <c r="AI801" s="70">
        <f t="shared" si="254"/>
        <v>55</v>
      </c>
      <c r="AJ801" s="70" t="e">
        <f t="shared" si="255"/>
        <v>#N/A</v>
      </c>
      <c r="AK801" s="70" t="e">
        <f t="shared" si="256"/>
        <v>#N/A</v>
      </c>
      <c r="AN801" s="170"/>
    </row>
    <row r="802" spans="10:40" ht="20.100000000000001" customHeight="1" thickBot="1">
      <c r="J802" s="45" t="str">
        <f t="shared" si="247"/>
        <v>M4</v>
      </c>
      <c r="K802" s="45" t="s">
        <v>131</v>
      </c>
      <c r="L802" s="45" t="str">
        <f t="shared" si="248"/>
        <v>3E-M4@W</v>
      </c>
      <c r="M802" s="75" t="e">
        <f t="shared" si="245"/>
        <v>#N/A</v>
      </c>
      <c r="N802" s="75" t="e">
        <f t="shared" si="246"/>
        <v>#N/A</v>
      </c>
      <c r="R802" s="70" t="s">
        <v>293</v>
      </c>
      <c r="S802" s="70" t="s">
        <v>59</v>
      </c>
      <c r="T802" s="70" t="s">
        <v>57</v>
      </c>
      <c r="U802" s="70" t="s">
        <v>1563</v>
      </c>
      <c r="V802" s="70" t="s">
        <v>331</v>
      </c>
      <c r="X802" s="70" t="str">
        <f t="shared" si="257"/>
        <v>3E-W DT@W</v>
      </c>
      <c r="Y802" s="70" t="str">
        <f t="shared" si="258"/>
        <v>W DT-TEST@W</v>
      </c>
      <c r="Z802" s="70" t="str">
        <f t="shared" si="259"/>
        <v>TEST-EDT@W</v>
      </c>
      <c r="AA802" s="70" t="str">
        <f t="shared" si="260"/>
        <v>EDT-M4@W</v>
      </c>
      <c r="AC802" s="70" t="str">
        <f t="shared" si="249"/>
        <v>370, 369, 367, 361, 358, 357, 356, 355, 353, 352</v>
      </c>
      <c r="AD802" s="70" t="str">
        <f t="shared" si="250"/>
        <v>356, 355, 353, 352</v>
      </c>
      <c r="AE802" s="70" t="e">
        <f t="shared" si="251"/>
        <v>#N/A</v>
      </c>
      <c r="AF802" s="70" t="e">
        <f t="shared" si="252"/>
        <v>#N/A</v>
      </c>
      <c r="AH802" s="70" t="str">
        <f t="shared" si="253"/>
        <v>65, 56</v>
      </c>
      <c r="AI802" s="70">
        <f t="shared" si="254"/>
        <v>55</v>
      </c>
      <c r="AJ802" s="70" t="e">
        <f t="shared" si="255"/>
        <v>#N/A</v>
      </c>
      <c r="AK802" s="70" t="e">
        <f t="shared" si="256"/>
        <v>#N/A</v>
      </c>
      <c r="AN802" s="170"/>
    </row>
    <row r="803" spans="10:40" ht="20.100000000000001" customHeight="1" thickBot="1">
      <c r="J803" s="45" t="str">
        <f t="shared" si="247"/>
        <v>M4</v>
      </c>
      <c r="K803" s="45" t="s">
        <v>131</v>
      </c>
      <c r="L803" s="45" t="str">
        <f t="shared" si="248"/>
        <v>3W-M4@W</v>
      </c>
      <c r="M803" s="75" t="e">
        <f t="shared" si="245"/>
        <v>#N/A</v>
      </c>
      <c r="N803" s="75" t="e">
        <f t="shared" si="246"/>
        <v>#N/A</v>
      </c>
      <c r="R803" s="70" t="s">
        <v>301</v>
      </c>
      <c r="S803" s="70" t="s">
        <v>59</v>
      </c>
      <c r="T803" s="70" t="s">
        <v>57</v>
      </c>
      <c r="U803" s="70" t="s">
        <v>1563</v>
      </c>
      <c r="V803" s="70" t="s">
        <v>331</v>
      </c>
      <c r="X803" s="70" t="str">
        <f t="shared" si="257"/>
        <v>3W-W DT@W</v>
      </c>
      <c r="Y803" s="70" t="str">
        <f t="shared" si="258"/>
        <v>W DT-TEST@W</v>
      </c>
      <c r="Z803" s="70" t="str">
        <f t="shared" si="259"/>
        <v>TEST-EDT@W</v>
      </c>
      <c r="AA803" s="70" t="str">
        <f t="shared" si="260"/>
        <v>EDT-M4@W</v>
      </c>
      <c r="AC803" s="70" t="str">
        <f t="shared" si="249"/>
        <v>370, 369, 367, 361, 358, 357, 356, 355, 353, 352</v>
      </c>
      <c r="AD803" s="70" t="str">
        <f t="shared" si="250"/>
        <v>356, 355, 353, 352</v>
      </c>
      <c r="AE803" s="70" t="e">
        <f t="shared" si="251"/>
        <v>#N/A</v>
      </c>
      <c r="AF803" s="70" t="e">
        <f t="shared" si="252"/>
        <v>#N/A</v>
      </c>
      <c r="AH803" s="70" t="str">
        <f t="shared" si="253"/>
        <v>65, 56</v>
      </c>
      <c r="AI803" s="70">
        <f t="shared" si="254"/>
        <v>55</v>
      </c>
      <c r="AJ803" s="70" t="e">
        <f t="shared" si="255"/>
        <v>#N/A</v>
      </c>
      <c r="AK803" s="70" t="e">
        <f t="shared" si="256"/>
        <v>#N/A</v>
      </c>
      <c r="AN803" s="170"/>
    </row>
    <row r="804" spans="10:40" ht="20.100000000000001" customHeight="1" thickBot="1">
      <c r="J804" s="45" t="str">
        <f t="shared" si="247"/>
        <v>M4</v>
      </c>
      <c r="K804" s="45" t="s">
        <v>131</v>
      </c>
      <c r="L804" s="45" t="str">
        <f t="shared" si="248"/>
        <v>4E-M4@W</v>
      </c>
      <c r="M804" s="75" t="e">
        <f t="shared" si="245"/>
        <v>#N/A</v>
      </c>
      <c r="N804" s="75" t="e">
        <f t="shared" si="246"/>
        <v>#N/A</v>
      </c>
      <c r="R804" s="70" t="s">
        <v>309</v>
      </c>
      <c r="S804" s="70" t="s">
        <v>59</v>
      </c>
      <c r="T804" s="70" t="s">
        <v>57</v>
      </c>
      <c r="U804" s="70" t="s">
        <v>1563</v>
      </c>
      <c r="V804" s="70" t="s">
        <v>331</v>
      </c>
      <c r="X804" s="70" t="str">
        <f t="shared" si="257"/>
        <v>4E-W DT@W</v>
      </c>
      <c r="Y804" s="70" t="str">
        <f t="shared" si="258"/>
        <v>W DT-TEST@W</v>
      </c>
      <c r="Z804" s="70" t="str">
        <f t="shared" si="259"/>
        <v>TEST-EDT@W</v>
      </c>
      <c r="AA804" s="70" t="str">
        <f t="shared" si="260"/>
        <v>EDT-M4@W</v>
      </c>
      <c r="AC804" s="70" t="str">
        <f t="shared" si="249"/>
        <v>369, 367, 361, 358, 357, 356, 355, 353, 352</v>
      </c>
      <c r="AD804" s="70" t="str">
        <f t="shared" si="250"/>
        <v>356, 355, 353, 352</v>
      </c>
      <c r="AE804" s="70" t="e">
        <f t="shared" si="251"/>
        <v>#N/A</v>
      </c>
      <c r="AF804" s="70" t="e">
        <f t="shared" si="252"/>
        <v>#N/A</v>
      </c>
      <c r="AH804" s="70" t="str">
        <f t="shared" si="253"/>
        <v>66, 56</v>
      </c>
      <c r="AI804" s="70">
        <f t="shared" si="254"/>
        <v>55</v>
      </c>
      <c r="AJ804" s="70" t="e">
        <f t="shared" si="255"/>
        <v>#N/A</v>
      </c>
      <c r="AK804" s="70" t="e">
        <f t="shared" si="256"/>
        <v>#N/A</v>
      </c>
      <c r="AN804" s="170"/>
    </row>
    <row r="805" spans="10:40" ht="20.100000000000001" customHeight="1" thickBot="1">
      <c r="J805" s="45" t="str">
        <f t="shared" si="247"/>
        <v>M4</v>
      </c>
      <c r="K805" s="45" t="s">
        <v>131</v>
      </c>
      <c r="L805" s="45" t="str">
        <f t="shared" si="248"/>
        <v>4W-M4@W</v>
      </c>
      <c r="M805" s="75" t="e">
        <f t="shared" si="245"/>
        <v>#N/A</v>
      </c>
      <c r="N805" s="75" t="e">
        <f t="shared" si="246"/>
        <v>#N/A</v>
      </c>
      <c r="R805" s="70" t="s">
        <v>318</v>
      </c>
      <c r="S805" s="70" t="s">
        <v>59</v>
      </c>
      <c r="T805" s="70" t="s">
        <v>57</v>
      </c>
      <c r="U805" s="70" t="s">
        <v>1563</v>
      </c>
      <c r="V805" s="70" t="s">
        <v>331</v>
      </c>
      <c r="X805" s="70" t="str">
        <f t="shared" si="257"/>
        <v>4W-W DT@W</v>
      </c>
      <c r="Y805" s="70" t="str">
        <f t="shared" si="258"/>
        <v>W DT-TEST@W</v>
      </c>
      <c r="Z805" s="70" t="str">
        <f t="shared" si="259"/>
        <v>TEST-EDT@W</v>
      </c>
      <c r="AA805" s="70" t="str">
        <f t="shared" si="260"/>
        <v>EDT-M4@W</v>
      </c>
      <c r="AC805" s="70" t="str">
        <f t="shared" si="249"/>
        <v>369, 367, 361, 358, 357, 356, 355, 353, 352</v>
      </c>
      <c r="AD805" s="70" t="str">
        <f t="shared" si="250"/>
        <v>356, 355, 353, 352</v>
      </c>
      <c r="AE805" s="70" t="e">
        <f t="shared" si="251"/>
        <v>#N/A</v>
      </c>
      <c r="AF805" s="70" t="e">
        <f t="shared" si="252"/>
        <v>#N/A</v>
      </c>
      <c r="AH805" s="70" t="str">
        <f t="shared" si="253"/>
        <v>66, 56</v>
      </c>
      <c r="AI805" s="70">
        <f t="shared" si="254"/>
        <v>55</v>
      </c>
      <c r="AJ805" s="70" t="e">
        <f t="shared" si="255"/>
        <v>#N/A</v>
      </c>
      <c r="AK805" s="70" t="e">
        <f t="shared" si="256"/>
        <v>#N/A</v>
      </c>
      <c r="AN805" s="170"/>
    </row>
    <row r="806" spans="10:40" ht="20.100000000000001" customHeight="1" thickBot="1">
      <c r="J806" s="45" t="str">
        <f t="shared" si="247"/>
        <v>M4</v>
      </c>
      <c r="K806" s="45" t="s">
        <v>131</v>
      </c>
      <c r="L806" s="45" t="str">
        <f t="shared" si="248"/>
        <v>5E-M4@W</v>
      </c>
      <c r="M806" s="75" t="e">
        <f t="shared" si="245"/>
        <v>#N/A</v>
      </c>
      <c r="N806" s="75" t="e">
        <f t="shared" si="246"/>
        <v>#N/A</v>
      </c>
      <c r="R806" s="70" t="s">
        <v>325</v>
      </c>
      <c r="S806" s="70" t="s">
        <v>59</v>
      </c>
      <c r="T806" s="70" t="s">
        <v>57</v>
      </c>
      <c r="U806" s="70" t="s">
        <v>1563</v>
      </c>
      <c r="V806" s="70" t="s">
        <v>331</v>
      </c>
      <c r="X806" s="70" t="str">
        <f t="shared" si="257"/>
        <v>5E-W DT@W</v>
      </c>
      <c r="Y806" s="70" t="str">
        <f t="shared" si="258"/>
        <v>W DT-TEST@W</v>
      </c>
      <c r="Z806" s="70" t="str">
        <f t="shared" si="259"/>
        <v>TEST-EDT@W</v>
      </c>
      <c r="AA806" s="70" t="str">
        <f t="shared" si="260"/>
        <v>EDT-M4@W</v>
      </c>
      <c r="AC806" s="70" t="str">
        <f t="shared" si="249"/>
        <v>375, 374, 360, 357, 356, 355, 353, 352</v>
      </c>
      <c r="AD806" s="70" t="str">
        <f t="shared" si="250"/>
        <v>356, 355, 353, 352</v>
      </c>
      <c r="AE806" s="70" t="e">
        <f t="shared" si="251"/>
        <v>#N/A</v>
      </c>
      <c r="AF806" s="70" t="e">
        <f t="shared" si="252"/>
        <v>#N/A</v>
      </c>
      <c r="AH806" s="70" t="str">
        <f t="shared" si="253"/>
        <v>67, 56</v>
      </c>
      <c r="AI806" s="70">
        <f t="shared" si="254"/>
        <v>55</v>
      </c>
      <c r="AJ806" s="70" t="e">
        <f t="shared" si="255"/>
        <v>#N/A</v>
      </c>
      <c r="AK806" s="70" t="e">
        <f t="shared" si="256"/>
        <v>#N/A</v>
      </c>
      <c r="AN806" s="170"/>
    </row>
    <row r="807" spans="10:40" ht="20.100000000000001" customHeight="1" thickBot="1">
      <c r="J807" s="45" t="str">
        <f t="shared" si="247"/>
        <v>M4</v>
      </c>
      <c r="K807" s="45" t="s">
        <v>131</v>
      </c>
      <c r="L807" s="45" t="str">
        <f t="shared" si="248"/>
        <v>5W-M4@W</v>
      </c>
      <c r="M807" s="75" t="e">
        <f t="shared" si="245"/>
        <v>#N/A</v>
      </c>
      <c r="N807" s="75" t="e">
        <f t="shared" si="246"/>
        <v>#N/A</v>
      </c>
      <c r="R807" s="70" t="s">
        <v>333</v>
      </c>
      <c r="S807" s="70" t="s">
        <v>59</v>
      </c>
      <c r="T807" s="70" t="s">
        <v>57</v>
      </c>
      <c r="U807" s="70" t="s">
        <v>1563</v>
      </c>
      <c r="V807" s="70" t="s">
        <v>331</v>
      </c>
      <c r="X807" s="70" t="str">
        <f t="shared" si="257"/>
        <v>5W-W DT@W</v>
      </c>
      <c r="Y807" s="70" t="str">
        <f t="shared" si="258"/>
        <v>W DT-TEST@W</v>
      </c>
      <c r="Z807" s="70" t="str">
        <f t="shared" si="259"/>
        <v>TEST-EDT@W</v>
      </c>
      <c r="AA807" s="70" t="str">
        <f t="shared" si="260"/>
        <v>EDT-M4@W</v>
      </c>
      <c r="AC807" s="70" t="str">
        <f t="shared" si="249"/>
        <v>375, 374, 360, 357, 356, 355, 353, 352</v>
      </c>
      <c r="AD807" s="70" t="str">
        <f t="shared" si="250"/>
        <v>356, 355, 353, 352</v>
      </c>
      <c r="AE807" s="70" t="e">
        <f t="shared" si="251"/>
        <v>#N/A</v>
      </c>
      <c r="AF807" s="70" t="e">
        <f t="shared" si="252"/>
        <v>#N/A</v>
      </c>
      <c r="AH807" s="70" t="str">
        <f t="shared" si="253"/>
        <v>67, 56</v>
      </c>
      <c r="AI807" s="70">
        <f t="shared" si="254"/>
        <v>55</v>
      </c>
      <c r="AJ807" s="70" t="e">
        <f t="shared" si="255"/>
        <v>#N/A</v>
      </c>
      <c r="AK807" s="70" t="e">
        <f t="shared" si="256"/>
        <v>#N/A</v>
      </c>
      <c r="AN807" s="170"/>
    </row>
    <row r="808" spans="10:40" ht="20.100000000000001" customHeight="1" thickBot="1">
      <c r="J808" s="45" t="str">
        <f t="shared" si="247"/>
        <v>M4</v>
      </c>
      <c r="K808" s="45" t="s">
        <v>131</v>
      </c>
      <c r="L808" s="45" t="str">
        <f t="shared" si="248"/>
        <v>6E-M4@W</v>
      </c>
      <c r="M808" s="75" t="e">
        <f t="shared" si="245"/>
        <v>#N/A</v>
      </c>
      <c r="N808" s="75" t="e">
        <f t="shared" si="246"/>
        <v>#N/A</v>
      </c>
      <c r="R808" s="70" t="s">
        <v>339</v>
      </c>
      <c r="S808" s="70" t="s">
        <v>59</v>
      </c>
      <c r="T808" s="70" t="s">
        <v>57</v>
      </c>
      <c r="U808" s="70" t="s">
        <v>1563</v>
      </c>
      <c r="V808" s="70" t="s">
        <v>331</v>
      </c>
      <c r="X808" s="70" t="str">
        <f t="shared" si="257"/>
        <v>6E-W DT@W</v>
      </c>
      <c r="Y808" s="70" t="str">
        <f t="shared" si="258"/>
        <v>W DT-TEST@W</v>
      </c>
      <c r="Z808" s="70" t="str">
        <f t="shared" si="259"/>
        <v>TEST-EDT@W</v>
      </c>
      <c r="AA808" s="70" t="str">
        <f t="shared" si="260"/>
        <v>EDT-M4@W</v>
      </c>
      <c r="AC808" s="70" t="str">
        <f t="shared" si="249"/>
        <v>375, 374, 360, 357, 356, 355, 353, 352</v>
      </c>
      <c r="AD808" s="70" t="str">
        <f t="shared" si="250"/>
        <v>356, 355, 353, 352</v>
      </c>
      <c r="AE808" s="70" t="e">
        <f t="shared" si="251"/>
        <v>#N/A</v>
      </c>
      <c r="AF808" s="70" t="e">
        <f t="shared" si="252"/>
        <v>#N/A</v>
      </c>
      <c r="AH808" s="70" t="str">
        <f t="shared" si="253"/>
        <v>68, 56</v>
      </c>
      <c r="AI808" s="70">
        <f t="shared" si="254"/>
        <v>55</v>
      </c>
      <c r="AJ808" s="70" t="e">
        <f t="shared" si="255"/>
        <v>#N/A</v>
      </c>
      <c r="AK808" s="70" t="e">
        <f t="shared" si="256"/>
        <v>#N/A</v>
      </c>
      <c r="AN808" s="170"/>
    </row>
    <row r="809" spans="10:40" ht="20.100000000000001" customHeight="1" thickBot="1">
      <c r="J809" s="45" t="str">
        <f t="shared" si="247"/>
        <v>M4</v>
      </c>
      <c r="K809" s="45" t="s">
        <v>131</v>
      </c>
      <c r="L809" s="45" t="str">
        <f t="shared" si="248"/>
        <v>6W-M4@W</v>
      </c>
      <c r="M809" s="75" t="e">
        <f t="shared" si="245"/>
        <v>#N/A</v>
      </c>
      <c r="N809" s="75" t="e">
        <f t="shared" si="246"/>
        <v>#N/A</v>
      </c>
      <c r="R809" s="70" t="s">
        <v>346</v>
      </c>
      <c r="S809" s="70" t="s">
        <v>59</v>
      </c>
      <c r="T809" s="70" t="s">
        <v>57</v>
      </c>
      <c r="U809" s="70" t="s">
        <v>1563</v>
      </c>
      <c r="V809" s="70" t="s">
        <v>331</v>
      </c>
      <c r="X809" s="70" t="str">
        <f t="shared" si="257"/>
        <v>6W-W DT@W</v>
      </c>
      <c r="Y809" s="70" t="str">
        <f t="shared" si="258"/>
        <v>W DT-TEST@W</v>
      </c>
      <c r="Z809" s="70" t="str">
        <f t="shared" si="259"/>
        <v>TEST-EDT@W</v>
      </c>
      <c r="AA809" s="70" t="str">
        <f t="shared" si="260"/>
        <v>EDT-M4@W</v>
      </c>
      <c r="AC809" s="70" t="str">
        <f t="shared" si="249"/>
        <v>375, 374, 360, 357, 356, 355, 353, 352</v>
      </c>
      <c r="AD809" s="70" t="str">
        <f t="shared" si="250"/>
        <v>356, 355, 353, 352</v>
      </c>
      <c r="AE809" s="70" t="e">
        <f t="shared" si="251"/>
        <v>#N/A</v>
      </c>
      <c r="AF809" s="70" t="e">
        <f t="shared" si="252"/>
        <v>#N/A</v>
      </c>
      <c r="AH809" s="70" t="str">
        <f t="shared" si="253"/>
        <v>68, 56</v>
      </c>
      <c r="AI809" s="70">
        <f t="shared" si="254"/>
        <v>55</v>
      </c>
      <c r="AJ809" s="70" t="e">
        <f t="shared" si="255"/>
        <v>#N/A</v>
      </c>
      <c r="AK809" s="70" t="e">
        <f t="shared" si="256"/>
        <v>#N/A</v>
      </c>
      <c r="AN809" s="170"/>
    </row>
    <row r="810" spans="10:40" ht="20.100000000000001" customHeight="1" thickBot="1">
      <c r="J810" s="45" t="str">
        <f t="shared" si="247"/>
        <v>M4</v>
      </c>
      <c r="K810" s="45" t="s">
        <v>131</v>
      </c>
      <c r="L810" s="45" t="str">
        <f t="shared" si="248"/>
        <v>7E-M4@W</v>
      </c>
      <c r="M810" s="75" t="e">
        <f t="shared" si="245"/>
        <v>#N/A</v>
      </c>
      <c r="N810" s="75" t="e">
        <f t="shared" si="246"/>
        <v>#N/A</v>
      </c>
      <c r="R810" s="70" t="s">
        <v>354</v>
      </c>
      <c r="S810" s="70" t="s">
        <v>59</v>
      </c>
      <c r="T810" s="70" t="s">
        <v>57</v>
      </c>
      <c r="U810" s="70" t="s">
        <v>1563</v>
      </c>
      <c r="V810" s="70" t="s">
        <v>331</v>
      </c>
      <c r="X810" s="70" t="str">
        <f t="shared" si="257"/>
        <v>7E-W DT@W</v>
      </c>
      <c r="Y810" s="70" t="str">
        <f t="shared" si="258"/>
        <v>W DT-TEST@W</v>
      </c>
      <c r="Z810" s="70" t="str">
        <f t="shared" si="259"/>
        <v>TEST-EDT@W</v>
      </c>
      <c r="AA810" s="70" t="str">
        <f t="shared" si="260"/>
        <v>EDT-M4@W</v>
      </c>
      <c r="AC810" s="70" t="str">
        <f t="shared" si="249"/>
        <v>376, 374, 360, 357, 356, 355, 353, 352</v>
      </c>
      <c r="AD810" s="70" t="str">
        <f t="shared" si="250"/>
        <v>356, 355, 353, 352</v>
      </c>
      <c r="AE810" s="70" t="e">
        <f t="shared" si="251"/>
        <v>#N/A</v>
      </c>
      <c r="AF810" s="70" t="e">
        <f t="shared" si="252"/>
        <v>#N/A</v>
      </c>
      <c r="AH810" s="70" t="str">
        <f t="shared" si="253"/>
        <v>69, 56</v>
      </c>
      <c r="AI810" s="70">
        <f t="shared" si="254"/>
        <v>55</v>
      </c>
      <c r="AJ810" s="70" t="e">
        <f t="shared" si="255"/>
        <v>#N/A</v>
      </c>
      <c r="AK810" s="70" t="e">
        <f t="shared" si="256"/>
        <v>#N/A</v>
      </c>
      <c r="AN810" s="170"/>
    </row>
    <row r="811" spans="10:40" ht="20.100000000000001" customHeight="1" thickBot="1">
      <c r="J811" s="45" t="str">
        <f t="shared" si="247"/>
        <v>M4</v>
      </c>
      <c r="K811" s="45" t="s">
        <v>131</v>
      </c>
      <c r="L811" s="45" t="str">
        <f t="shared" si="248"/>
        <v>7W-M4@W</v>
      </c>
      <c r="M811" s="75" t="e">
        <f t="shared" si="245"/>
        <v>#N/A</v>
      </c>
      <c r="N811" s="75" t="e">
        <f t="shared" si="246"/>
        <v>#N/A</v>
      </c>
      <c r="R811" s="70" t="s">
        <v>363</v>
      </c>
      <c r="S811" s="70" t="s">
        <v>59</v>
      </c>
      <c r="T811" s="70" t="s">
        <v>57</v>
      </c>
      <c r="U811" s="70" t="s">
        <v>1563</v>
      </c>
      <c r="V811" s="70" t="s">
        <v>331</v>
      </c>
      <c r="X811" s="70" t="str">
        <f t="shared" si="257"/>
        <v>7W-W DT@W</v>
      </c>
      <c r="Y811" s="70" t="str">
        <f t="shared" si="258"/>
        <v>W DT-TEST@W</v>
      </c>
      <c r="Z811" s="70" t="str">
        <f t="shared" si="259"/>
        <v>TEST-EDT@W</v>
      </c>
      <c r="AA811" s="70" t="str">
        <f t="shared" si="260"/>
        <v>EDT-M4@W</v>
      </c>
      <c r="AC811" s="70" t="str">
        <f t="shared" si="249"/>
        <v>376, 374, 360, 357, 356, 355, 353, 352</v>
      </c>
      <c r="AD811" s="70" t="str">
        <f t="shared" si="250"/>
        <v>356, 355, 353, 352</v>
      </c>
      <c r="AE811" s="70" t="e">
        <f t="shared" si="251"/>
        <v>#N/A</v>
      </c>
      <c r="AF811" s="70" t="e">
        <f t="shared" si="252"/>
        <v>#N/A</v>
      </c>
      <c r="AH811" s="70" t="str">
        <f t="shared" si="253"/>
        <v>69, 56</v>
      </c>
      <c r="AI811" s="70">
        <f t="shared" si="254"/>
        <v>55</v>
      </c>
      <c r="AJ811" s="70" t="e">
        <f t="shared" si="255"/>
        <v>#N/A</v>
      </c>
      <c r="AK811" s="70" t="e">
        <f t="shared" si="256"/>
        <v>#N/A</v>
      </c>
      <c r="AN811" s="170"/>
    </row>
    <row r="812" spans="10:40" ht="20.100000000000001" customHeight="1" thickBot="1">
      <c r="J812" s="45" t="str">
        <f t="shared" si="247"/>
        <v>M4</v>
      </c>
      <c r="K812" s="45" t="s">
        <v>131</v>
      </c>
      <c r="L812" s="45" t="str">
        <f t="shared" si="248"/>
        <v>8E-M4@W</v>
      </c>
      <c r="M812" s="75" t="e">
        <f t="shared" si="245"/>
        <v>#N/A</v>
      </c>
      <c r="N812" s="75" t="e">
        <f t="shared" si="246"/>
        <v>#N/A</v>
      </c>
      <c r="R812" s="70" t="s">
        <v>370</v>
      </c>
      <c r="S812" s="70" t="s">
        <v>59</v>
      </c>
      <c r="T812" s="70" t="s">
        <v>57</v>
      </c>
      <c r="U812" s="70" t="s">
        <v>1563</v>
      </c>
      <c r="V812" s="70" t="s">
        <v>331</v>
      </c>
      <c r="X812" s="70" t="str">
        <f t="shared" si="257"/>
        <v>8E-W DT@W</v>
      </c>
      <c r="Y812" s="70" t="str">
        <f t="shared" si="258"/>
        <v>W DT-TEST@W</v>
      </c>
      <c r="Z812" s="70" t="str">
        <f t="shared" si="259"/>
        <v>TEST-EDT@W</v>
      </c>
      <c r="AA812" s="70" t="str">
        <f t="shared" si="260"/>
        <v>EDT-M4@W</v>
      </c>
      <c r="AC812" s="70" t="str">
        <f t="shared" si="249"/>
        <v>376, 374, 360, 357, 356, 355, 353, 352</v>
      </c>
      <c r="AD812" s="70" t="str">
        <f t="shared" si="250"/>
        <v>356, 355, 353, 352</v>
      </c>
      <c r="AE812" s="70" t="e">
        <f t="shared" si="251"/>
        <v>#N/A</v>
      </c>
      <c r="AF812" s="70" t="e">
        <f t="shared" si="252"/>
        <v>#N/A</v>
      </c>
      <c r="AH812" s="70" t="str">
        <f t="shared" si="253"/>
        <v>70, 56</v>
      </c>
      <c r="AI812" s="70">
        <f t="shared" si="254"/>
        <v>55</v>
      </c>
      <c r="AJ812" s="70" t="e">
        <f t="shared" si="255"/>
        <v>#N/A</v>
      </c>
      <c r="AK812" s="70" t="e">
        <f t="shared" si="256"/>
        <v>#N/A</v>
      </c>
      <c r="AN812" s="170"/>
    </row>
    <row r="813" spans="10:40" ht="20.100000000000001" customHeight="1" thickBot="1">
      <c r="J813" s="45" t="str">
        <f t="shared" si="247"/>
        <v>M4</v>
      </c>
      <c r="K813" s="45" t="s">
        <v>131</v>
      </c>
      <c r="L813" s="45" t="str">
        <f t="shared" si="248"/>
        <v>8W-M4@W</v>
      </c>
      <c r="M813" s="75" t="e">
        <f t="shared" si="245"/>
        <v>#N/A</v>
      </c>
      <c r="N813" s="75" t="e">
        <f t="shared" si="246"/>
        <v>#N/A</v>
      </c>
      <c r="R813" s="70" t="s">
        <v>377</v>
      </c>
      <c r="S813" s="70" t="s">
        <v>59</v>
      </c>
      <c r="T813" s="70" t="s">
        <v>57</v>
      </c>
      <c r="U813" s="70" t="s">
        <v>1563</v>
      </c>
      <c r="V813" s="70" t="s">
        <v>331</v>
      </c>
      <c r="X813" s="70" t="str">
        <f t="shared" si="257"/>
        <v>8W-W DT@W</v>
      </c>
      <c r="Y813" s="70" t="str">
        <f t="shared" si="258"/>
        <v>W DT-TEST@W</v>
      </c>
      <c r="Z813" s="70" t="str">
        <f t="shared" si="259"/>
        <v>TEST-EDT@W</v>
      </c>
      <c r="AA813" s="70" t="str">
        <f t="shared" si="260"/>
        <v>EDT-M4@W</v>
      </c>
      <c r="AC813" s="70" t="str">
        <f t="shared" si="249"/>
        <v>376, 374, 360, 357, 356, 355, 353, 352</v>
      </c>
      <c r="AD813" s="70" t="str">
        <f t="shared" si="250"/>
        <v>356, 355, 353, 352</v>
      </c>
      <c r="AE813" s="70" t="e">
        <f t="shared" si="251"/>
        <v>#N/A</v>
      </c>
      <c r="AF813" s="70" t="e">
        <f t="shared" si="252"/>
        <v>#N/A</v>
      </c>
      <c r="AH813" s="70" t="str">
        <f t="shared" si="253"/>
        <v>70, 56</v>
      </c>
      <c r="AI813" s="70">
        <f t="shared" si="254"/>
        <v>55</v>
      </c>
      <c r="AJ813" s="70" t="e">
        <f t="shared" si="255"/>
        <v>#N/A</v>
      </c>
      <c r="AK813" s="70" t="e">
        <f t="shared" si="256"/>
        <v>#N/A</v>
      </c>
      <c r="AN813" s="170"/>
    </row>
    <row r="814" spans="10:40" ht="20.100000000000001" customHeight="1" thickBot="1">
      <c r="J814" s="45" t="str">
        <f t="shared" si="247"/>
        <v>M5</v>
      </c>
      <c r="K814" s="45" t="s">
        <v>131</v>
      </c>
      <c r="L814" s="45" t="str">
        <f t="shared" si="248"/>
        <v>RM5E-M5@W</v>
      </c>
      <c r="M814" s="75" t="e">
        <f t="shared" si="245"/>
        <v>#N/A</v>
      </c>
      <c r="N814" s="75" t="e">
        <f t="shared" si="246"/>
        <v>#N/A</v>
      </c>
      <c r="R814" s="70" t="s">
        <v>1566</v>
      </c>
      <c r="S814" s="70" t="s">
        <v>59</v>
      </c>
      <c r="T814" s="70" t="s">
        <v>57</v>
      </c>
      <c r="U814" s="70" t="s">
        <v>1563</v>
      </c>
      <c r="V814" s="70" t="s">
        <v>1381</v>
      </c>
      <c r="X814" s="70" t="str">
        <f t="shared" si="257"/>
        <v>RM5E-W DT@W</v>
      </c>
      <c r="Y814" s="70" t="str">
        <f t="shared" si="258"/>
        <v>W DT-TEST@W</v>
      </c>
      <c r="Z814" s="70" t="str">
        <f t="shared" si="259"/>
        <v>TEST-EDT@W</v>
      </c>
      <c r="AA814" s="70" t="str">
        <f t="shared" si="260"/>
        <v>EDT-M5@W</v>
      </c>
      <c r="AC814" s="70" t="e">
        <f t="shared" si="249"/>
        <v>#N/A</v>
      </c>
      <c r="AD814" s="70" t="str">
        <f t="shared" si="250"/>
        <v>356, 355, 353, 352</v>
      </c>
      <c r="AE814" s="70" t="e">
        <f t="shared" si="251"/>
        <v>#N/A</v>
      </c>
      <c r="AF814" s="70" t="e">
        <f t="shared" si="252"/>
        <v>#N/A</v>
      </c>
      <c r="AH814" s="70" t="e">
        <f t="shared" si="253"/>
        <v>#N/A</v>
      </c>
      <c r="AI814" s="70">
        <f t="shared" si="254"/>
        <v>55</v>
      </c>
      <c r="AJ814" s="70" t="e">
        <f t="shared" si="255"/>
        <v>#N/A</v>
      </c>
      <c r="AK814" s="70" t="e">
        <f t="shared" si="256"/>
        <v>#N/A</v>
      </c>
      <c r="AN814" s="170"/>
    </row>
    <row r="815" spans="10:40" ht="20.100000000000001" customHeight="1" thickBot="1">
      <c r="J815" s="45" t="str">
        <f t="shared" si="247"/>
        <v>M5</v>
      </c>
      <c r="K815" s="45" t="s">
        <v>131</v>
      </c>
      <c r="L815" s="45" t="str">
        <f t="shared" si="248"/>
        <v>RM5W-M5@W</v>
      </c>
      <c r="M815" s="75" t="e">
        <f t="shared" si="245"/>
        <v>#N/A</v>
      </c>
      <c r="N815" s="75" t="e">
        <f t="shared" si="246"/>
        <v>#N/A</v>
      </c>
      <c r="R815" s="70" t="s">
        <v>1567</v>
      </c>
      <c r="S815" s="70" t="s">
        <v>59</v>
      </c>
      <c r="T815" s="70" t="s">
        <v>57</v>
      </c>
      <c r="U815" s="70" t="s">
        <v>1563</v>
      </c>
      <c r="V815" s="70" t="s">
        <v>1381</v>
      </c>
      <c r="X815" s="70" t="str">
        <f t="shared" si="257"/>
        <v>RM5W-W DT@W</v>
      </c>
      <c r="Y815" s="70" t="str">
        <f t="shared" si="258"/>
        <v>W DT-TEST@W</v>
      </c>
      <c r="Z815" s="70" t="str">
        <f t="shared" si="259"/>
        <v>TEST-EDT@W</v>
      </c>
      <c r="AA815" s="70" t="str">
        <f t="shared" si="260"/>
        <v>EDT-M5@W</v>
      </c>
      <c r="AC815" s="70" t="e">
        <f t="shared" si="249"/>
        <v>#N/A</v>
      </c>
      <c r="AD815" s="70" t="str">
        <f t="shared" si="250"/>
        <v>356, 355, 353, 352</v>
      </c>
      <c r="AE815" s="70" t="e">
        <f t="shared" si="251"/>
        <v>#N/A</v>
      </c>
      <c r="AF815" s="70" t="e">
        <f t="shared" si="252"/>
        <v>#N/A</v>
      </c>
      <c r="AH815" s="70" t="e">
        <f t="shared" si="253"/>
        <v>#N/A</v>
      </c>
      <c r="AI815" s="70">
        <f t="shared" si="254"/>
        <v>55</v>
      </c>
      <c r="AJ815" s="70" t="e">
        <f t="shared" si="255"/>
        <v>#N/A</v>
      </c>
      <c r="AK815" s="70" t="e">
        <f t="shared" si="256"/>
        <v>#N/A</v>
      </c>
      <c r="AN815" s="170"/>
    </row>
    <row r="816" spans="10:40" ht="20.100000000000001" customHeight="1" thickBot="1">
      <c r="J816" s="45" t="str">
        <f t="shared" si="247"/>
        <v>M5</v>
      </c>
      <c r="K816" s="45" t="s">
        <v>131</v>
      </c>
      <c r="L816" s="45" t="str">
        <f t="shared" si="248"/>
        <v>RM2E-M5@W</v>
      </c>
      <c r="M816" s="75" t="e">
        <f t="shared" si="245"/>
        <v>#N/A</v>
      </c>
      <c r="N816" s="75" t="e">
        <f t="shared" si="246"/>
        <v>#N/A</v>
      </c>
      <c r="R816" s="70" t="s">
        <v>216</v>
      </c>
      <c r="S816" s="70" t="s">
        <v>59</v>
      </c>
      <c r="T816" s="70" t="s">
        <v>57</v>
      </c>
      <c r="U816" s="70" t="s">
        <v>1563</v>
      </c>
      <c r="V816" s="70" t="s">
        <v>1381</v>
      </c>
      <c r="X816" s="70" t="str">
        <f t="shared" si="257"/>
        <v>RM2E-W DT@W</v>
      </c>
      <c r="Y816" s="70" t="str">
        <f t="shared" si="258"/>
        <v>W DT-TEST@W</v>
      </c>
      <c r="Z816" s="70" t="str">
        <f t="shared" si="259"/>
        <v>TEST-EDT@W</v>
      </c>
      <c r="AA816" s="70" t="str">
        <f t="shared" si="260"/>
        <v>EDT-M5@W</v>
      </c>
      <c r="AC816" s="70" t="str">
        <f t="shared" si="249"/>
        <v>365, 362, 361, 358, 357, 356, 355, 353, 352</v>
      </c>
      <c r="AD816" s="70" t="str">
        <f t="shared" si="250"/>
        <v>356, 355, 353, 352</v>
      </c>
      <c r="AE816" s="70" t="e">
        <f t="shared" si="251"/>
        <v>#N/A</v>
      </c>
      <c r="AF816" s="70" t="e">
        <f t="shared" si="252"/>
        <v>#N/A</v>
      </c>
      <c r="AH816" s="70" t="str">
        <f t="shared" si="253"/>
        <v>26, 04</v>
      </c>
      <c r="AI816" s="70">
        <f t="shared" si="254"/>
        <v>55</v>
      </c>
      <c r="AJ816" s="70" t="e">
        <f t="shared" si="255"/>
        <v>#N/A</v>
      </c>
      <c r="AK816" s="70" t="e">
        <f t="shared" si="256"/>
        <v>#N/A</v>
      </c>
      <c r="AN816" s="170"/>
    </row>
    <row r="817" spans="10:40" ht="20.100000000000001" customHeight="1" thickBot="1">
      <c r="J817" s="45" t="str">
        <f t="shared" si="247"/>
        <v>M5</v>
      </c>
      <c r="K817" s="45" t="s">
        <v>131</v>
      </c>
      <c r="L817" s="45" t="str">
        <f t="shared" si="248"/>
        <v>RM2W-M5@W</v>
      </c>
      <c r="M817" s="75" t="e">
        <f t="shared" si="245"/>
        <v>#N/A</v>
      </c>
      <c r="N817" s="75" t="e">
        <f t="shared" si="246"/>
        <v>#N/A</v>
      </c>
      <c r="R817" s="70" t="s">
        <v>224</v>
      </c>
      <c r="S817" s="70" t="s">
        <v>59</v>
      </c>
      <c r="T817" s="70" t="s">
        <v>57</v>
      </c>
      <c r="U817" s="70" t="s">
        <v>1563</v>
      </c>
      <c r="V817" s="70" t="s">
        <v>1381</v>
      </c>
      <c r="X817" s="70" t="str">
        <f t="shared" si="257"/>
        <v>RM2W-W DT@W</v>
      </c>
      <c r="Y817" s="70" t="str">
        <f t="shared" si="258"/>
        <v>W DT-TEST@W</v>
      </c>
      <c r="Z817" s="70" t="str">
        <f t="shared" si="259"/>
        <v>TEST-EDT@W</v>
      </c>
      <c r="AA817" s="70" t="str">
        <f t="shared" si="260"/>
        <v>EDT-M5@W</v>
      </c>
      <c r="AC817" s="70" t="str">
        <f t="shared" si="249"/>
        <v>365, 362, 361, 358, 357, 356, 355, 353, 352</v>
      </c>
      <c r="AD817" s="70" t="str">
        <f t="shared" si="250"/>
        <v>356, 355, 353, 352</v>
      </c>
      <c r="AE817" s="70" t="e">
        <f t="shared" si="251"/>
        <v>#N/A</v>
      </c>
      <c r="AF817" s="70" t="e">
        <f t="shared" si="252"/>
        <v>#N/A</v>
      </c>
      <c r="AH817" s="70" t="str">
        <f t="shared" si="253"/>
        <v>26, 04</v>
      </c>
      <c r="AI817" s="70">
        <f t="shared" si="254"/>
        <v>55</v>
      </c>
      <c r="AJ817" s="70" t="e">
        <f t="shared" si="255"/>
        <v>#N/A</v>
      </c>
      <c r="AK817" s="70" t="e">
        <f t="shared" si="256"/>
        <v>#N/A</v>
      </c>
      <c r="AN817" s="170"/>
    </row>
    <row r="818" spans="10:40" ht="20.100000000000001" customHeight="1" thickBot="1">
      <c r="J818" s="45" t="str">
        <f t="shared" si="247"/>
        <v>M5</v>
      </c>
      <c r="K818" s="45" t="s">
        <v>131</v>
      </c>
      <c r="L818" s="45" t="str">
        <f t="shared" si="248"/>
        <v>RM3E-M5@W</v>
      </c>
      <c r="M818" s="75" t="e">
        <f t="shared" si="245"/>
        <v>#N/A</v>
      </c>
      <c r="N818" s="75" t="e">
        <f t="shared" si="246"/>
        <v>#N/A</v>
      </c>
      <c r="R818" s="70" t="s">
        <v>231</v>
      </c>
      <c r="S818" s="70" t="s">
        <v>59</v>
      </c>
      <c r="T818" s="70" t="s">
        <v>57</v>
      </c>
      <c r="U818" s="70" t="s">
        <v>1563</v>
      </c>
      <c r="V818" s="70" t="s">
        <v>1381</v>
      </c>
      <c r="X818" s="70" t="str">
        <f t="shared" si="257"/>
        <v>RM3E-W DT@W</v>
      </c>
      <c r="Y818" s="70" t="str">
        <f t="shared" si="258"/>
        <v>W DT-TEST@W</v>
      </c>
      <c r="Z818" s="70" t="str">
        <f t="shared" si="259"/>
        <v>TEST-EDT@W</v>
      </c>
      <c r="AA818" s="70" t="str">
        <f t="shared" si="260"/>
        <v>EDT-M5@W</v>
      </c>
      <c r="AC818" s="70" t="str">
        <f t="shared" si="249"/>
        <v>365, 362, 361, 358, 357, 356, 355, 353, 352</v>
      </c>
      <c r="AD818" s="70" t="str">
        <f t="shared" si="250"/>
        <v>356, 355, 353, 352</v>
      </c>
      <c r="AE818" s="70" t="e">
        <f t="shared" si="251"/>
        <v>#N/A</v>
      </c>
      <c r="AF818" s="70" t="e">
        <f t="shared" si="252"/>
        <v>#N/A</v>
      </c>
      <c r="AH818" s="70" t="str">
        <f t="shared" si="253"/>
        <v>27, 04</v>
      </c>
      <c r="AI818" s="70">
        <f t="shared" si="254"/>
        <v>55</v>
      </c>
      <c r="AJ818" s="70" t="e">
        <f t="shared" si="255"/>
        <v>#N/A</v>
      </c>
      <c r="AK818" s="70" t="e">
        <f t="shared" si="256"/>
        <v>#N/A</v>
      </c>
      <c r="AN818" s="170"/>
    </row>
    <row r="819" spans="10:40" ht="20.100000000000001" customHeight="1" thickBot="1">
      <c r="J819" s="45" t="str">
        <f t="shared" si="247"/>
        <v>M5</v>
      </c>
      <c r="K819" s="45" t="s">
        <v>131</v>
      </c>
      <c r="L819" s="45" t="str">
        <f t="shared" si="248"/>
        <v>RM3W-M5@W</v>
      </c>
      <c r="M819" s="75" t="e">
        <f t="shared" si="245"/>
        <v>#N/A</v>
      </c>
      <c r="N819" s="75" t="e">
        <f t="shared" si="246"/>
        <v>#N/A</v>
      </c>
      <c r="R819" s="70" t="s">
        <v>238</v>
      </c>
      <c r="S819" s="70" t="s">
        <v>59</v>
      </c>
      <c r="T819" s="70" t="s">
        <v>57</v>
      </c>
      <c r="U819" s="70" t="s">
        <v>1563</v>
      </c>
      <c r="V819" s="70" t="s">
        <v>1381</v>
      </c>
      <c r="X819" s="70" t="str">
        <f t="shared" si="257"/>
        <v>RM3W-W DT@W</v>
      </c>
      <c r="Y819" s="70" t="str">
        <f t="shared" si="258"/>
        <v>W DT-TEST@W</v>
      </c>
      <c r="Z819" s="70" t="str">
        <f t="shared" si="259"/>
        <v>TEST-EDT@W</v>
      </c>
      <c r="AA819" s="70" t="str">
        <f t="shared" si="260"/>
        <v>EDT-M5@W</v>
      </c>
      <c r="AC819" s="70" t="str">
        <f t="shared" si="249"/>
        <v>365, 362, 361, 358, 357, 356, 355, 353, 352</v>
      </c>
      <c r="AD819" s="70" t="str">
        <f t="shared" si="250"/>
        <v>356, 355, 353, 352</v>
      </c>
      <c r="AE819" s="70" t="e">
        <f t="shared" si="251"/>
        <v>#N/A</v>
      </c>
      <c r="AF819" s="70" t="e">
        <f t="shared" si="252"/>
        <v>#N/A</v>
      </c>
      <c r="AH819" s="70" t="str">
        <f t="shared" si="253"/>
        <v>27, 04</v>
      </c>
      <c r="AI819" s="70">
        <f t="shared" si="254"/>
        <v>55</v>
      </c>
      <c r="AJ819" s="70" t="e">
        <f t="shared" si="255"/>
        <v>#N/A</v>
      </c>
      <c r="AK819" s="70" t="e">
        <f t="shared" si="256"/>
        <v>#N/A</v>
      </c>
      <c r="AN819" s="170"/>
    </row>
    <row r="820" spans="10:40" ht="20.100000000000001" customHeight="1" thickBot="1">
      <c r="J820" s="45" t="str">
        <f t="shared" si="247"/>
        <v>M5</v>
      </c>
      <c r="K820" s="45" t="s">
        <v>131</v>
      </c>
      <c r="L820" s="45" t="str">
        <f t="shared" si="248"/>
        <v>HCTE-M5@W</v>
      </c>
      <c r="M820" s="75" t="e">
        <f t="shared" si="245"/>
        <v>#N/A</v>
      </c>
      <c r="N820" s="75" t="e">
        <f t="shared" si="246"/>
        <v>#N/A</v>
      </c>
      <c r="R820" s="70" t="s">
        <v>246</v>
      </c>
      <c r="S820" s="70" t="s">
        <v>59</v>
      </c>
      <c r="T820" s="70" t="s">
        <v>57</v>
      </c>
      <c r="U820" s="70" t="s">
        <v>1563</v>
      </c>
      <c r="V820" s="70" t="s">
        <v>1381</v>
      </c>
      <c r="X820" s="70" t="str">
        <f t="shared" si="257"/>
        <v>HCTE-W DT@W</v>
      </c>
      <c r="Y820" s="70" t="str">
        <f t="shared" si="258"/>
        <v>W DT-TEST@W</v>
      </c>
      <c r="Z820" s="70" t="str">
        <f t="shared" si="259"/>
        <v>TEST-EDT@W</v>
      </c>
      <c r="AA820" s="70" t="str">
        <f t="shared" si="260"/>
        <v>EDT-M5@W</v>
      </c>
      <c r="AC820" s="70" t="str">
        <f t="shared" si="249"/>
        <v>368, 367, 361, 358, 357, 356, 355, 353, 352</v>
      </c>
      <c r="AD820" s="70" t="str">
        <f t="shared" si="250"/>
        <v>356, 355, 353, 352</v>
      </c>
      <c r="AE820" s="70" t="e">
        <f t="shared" si="251"/>
        <v>#N/A</v>
      </c>
      <c r="AF820" s="70" t="e">
        <f t="shared" si="252"/>
        <v>#N/A</v>
      </c>
      <c r="AH820" s="70" t="str">
        <f t="shared" si="253"/>
        <v>28, 04</v>
      </c>
      <c r="AI820" s="70">
        <f t="shared" si="254"/>
        <v>55</v>
      </c>
      <c r="AJ820" s="70" t="e">
        <f t="shared" si="255"/>
        <v>#N/A</v>
      </c>
      <c r="AK820" s="70" t="e">
        <f t="shared" si="256"/>
        <v>#N/A</v>
      </c>
      <c r="AN820" s="170"/>
    </row>
    <row r="821" spans="10:40" ht="20.100000000000001" customHeight="1" thickBot="1">
      <c r="J821" s="45" t="str">
        <f t="shared" si="247"/>
        <v>M5</v>
      </c>
      <c r="K821" s="45" t="s">
        <v>131</v>
      </c>
      <c r="L821" s="45" t="str">
        <f t="shared" si="248"/>
        <v>HCTW-M5@W</v>
      </c>
      <c r="M821" s="75" t="e">
        <f t="shared" si="245"/>
        <v>#N/A</v>
      </c>
      <c r="N821" s="75" t="e">
        <f t="shared" si="246"/>
        <v>#N/A</v>
      </c>
      <c r="R821" s="70" t="s">
        <v>254</v>
      </c>
      <c r="S821" s="70" t="s">
        <v>59</v>
      </c>
      <c r="T821" s="70" t="s">
        <v>57</v>
      </c>
      <c r="U821" s="70" t="s">
        <v>1563</v>
      </c>
      <c r="V821" s="70" t="s">
        <v>1381</v>
      </c>
      <c r="X821" s="70" t="str">
        <f t="shared" si="257"/>
        <v>HCTW-W DT@W</v>
      </c>
      <c r="Y821" s="70" t="str">
        <f t="shared" si="258"/>
        <v>W DT-TEST@W</v>
      </c>
      <c r="Z821" s="70" t="str">
        <f t="shared" si="259"/>
        <v>TEST-EDT@W</v>
      </c>
      <c r="AA821" s="70" t="str">
        <f t="shared" si="260"/>
        <v>EDT-M5@W</v>
      </c>
      <c r="AC821" s="70" t="str">
        <f t="shared" si="249"/>
        <v>368, 367, 361, 358, 357, 356, 355, 353, 352</v>
      </c>
      <c r="AD821" s="70" t="str">
        <f t="shared" si="250"/>
        <v>356, 355, 353, 352</v>
      </c>
      <c r="AE821" s="70" t="e">
        <f t="shared" si="251"/>
        <v>#N/A</v>
      </c>
      <c r="AF821" s="70" t="e">
        <f t="shared" si="252"/>
        <v>#N/A</v>
      </c>
      <c r="AH821" s="70" t="str">
        <f t="shared" si="253"/>
        <v>28, 04</v>
      </c>
      <c r="AI821" s="70">
        <f t="shared" si="254"/>
        <v>55</v>
      </c>
      <c r="AJ821" s="70" t="e">
        <f t="shared" si="255"/>
        <v>#N/A</v>
      </c>
      <c r="AK821" s="70" t="e">
        <f t="shared" si="256"/>
        <v>#N/A</v>
      </c>
      <c r="AN821" s="170"/>
    </row>
    <row r="822" spans="10:40" ht="20.100000000000001" customHeight="1" thickBot="1">
      <c r="J822" s="45" t="str">
        <f t="shared" si="247"/>
        <v>M5</v>
      </c>
      <c r="K822" s="45" t="s">
        <v>131</v>
      </c>
      <c r="L822" s="45" t="str">
        <f t="shared" si="248"/>
        <v>1E-M5@W</v>
      </c>
      <c r="M822" s="75" t="e">
        <f t="shared" si="245"/>
        <v>#N/A</v>
      </c>
      <c r="N822" s="75" t="e">
        <f t="shared" si="246"/>
        <v>#N/A</v>
      </c>
      <c r="R822" s="70" t="s">
        <v>261</v>
      </c>
      <c r="S822" s="70" t="s">
        <v>59</v>
      </c>
      <c r="T822" s="70" t="s">
        <v>57</v>
      </c>
      <c r="U822" s="70" t="s">
        <v>1563</v>
      </c>
      <c r="V822" s="70" t="s">
        <v>1381</v>
      </c>
      <c r="X822" s="70" t="str">
        <f t="shared" si="257"/>
        <v>1E-W DT@W</v>
      </c>
      <c r="Y822" s="70" t="str">
        <f t="shared" si="258"/>
        <v>W DT-TEST@W</v>
      </c>
      <c r="Z822" s="70" t="str">
        <f t="shared" si="259"/>
        <v>TEST-EDT@W</v>
      </c>
      <c r="AA822" s="70" t="str">
        <f t="shared" si="260"/>
        <v>EDT-M5@W</v>
      </c>
      <c r="AC822" s="70" t="str">
        <f t="shared" si="249"/>
        <v>368, 367, 361, 358, 357, 356, 355, 353, 352</v>
      </c>
      <c r="AD822" s="70" t="str">
        <f t="shared" si="250"/>
        <v>356, 355, 353, 352</v>
      </c>
      <c r="AE822" s="70" t="e">
        <f t="shared" si="251"/>
        <v>#N/A</v>
      </c>
      <c r="AF822" s="70" t="e">
        <f t="shared" si="252"/>
        <v>#N/A</v>
      </c>
      <c r="AH822" s="70" t="str">
        <f t="shared" si="253"/>
        <v>63, 56</v>
      </c>
      <c r="AI822" s="70">
        <f t="shared" si="254"/>
        <v>55</v>
      </c>
      <c r="AJ822" s="70" t="e">
        <f t="shared" si="255"/>
        <v>#N/A</v>
      </c>
      <c r="AK822" s="70" t="e">
        <f t="shared" si="256"/>
        <v>#N/A</v>
      </c>
      <c r="AN822" s="170"/>
    </row>
    <row r="823" spans="10:40" ht="20.100000000000001" customHeight="1" thickBot="1">
      <c r="J823" s="45" t="str">
        <f t="shared" si="247"/>
        <v>M5</v>
      </c>
      <c r="K823" s="45" t="s">
        <v>131</v>
      </c>
      <c r="L823" s="45" t="str">
        <f t="shared" si="248"/>
        <v>1W-M5@W</v>
      </c>
      <c r="M823" s="75" t="e">
        <f t="shared" si="245"/>
        <v>#N/A</v>
      </c>
      <c r="N823" s="75" t="e">
        <f t="shared" si="246"/>
        <v>#N/A</v>
      </c>
      <c r="R823" s="70" t="s">
        <v>269</v>
      </c>
      <c r="S823" s="70" t="s">
        <v>59</v>
      </c>
      <c r="T823" s="70" t="s">
        <v>57</v>
      </c>
      <c r="U823" s="70" t="s">
        <v>1563</v>
      </c>
      <c r="V823" s="70" t="s">
        <v>1381</v>
      </c>
      <c r="X823" s="70" t="str">
        <f t="shared" si="257"/>
        <v>1W-W DT@W</v>
      </c>
      <c r="Y823" s="70" t="str">
        <f t="shared" si="258"/>
        <v>W DT-TEST@W</v>
      </c>
      <c r="Z823" s="70" t="str">
        <f t="shared" si="259"/>
        <v>TEST-EDT@W</v>
      </c>
      <c r="AA823" s="70" t="str">
        <f t="shared" si="260"/>
        <v>EDT-M5@W</v>
      </c>
      <c r="AC823" s="70" t="str">
        <f t="shared" si="249"/>
        <v>368, 367, 361, 358, 357, 356, 355, 353, 352</v>
      </c>
      <c r="AD823" s="70" t="str">
        <f t="shared" si="250"/>
        <v>356, 355, 353, 352</v>
      </c>
      <c r="AE823" s="70" t="e">
        <f t="shared" si="251"/>
        <v>#N/A</v>
      </c>
      <c r="AF823" s="70" t="e">
        <f t="shared" si="252"/>
        <v>#N/A</v>
      </c>
      <c r="AH823" s="70" t="str">
        <f t="shared" si="253"/>
        <v>63, 56</v>
      </c>
      <c r="AI823" s="70">
        <f t="shared" si="254"/>
        <v>55</v>
      </c>
      <c r="AJ823" s="70" t="e">
        <f t="shared" si="255"/>
        <v>#N/A</v>
      </c>
      <c r="AK823" s="70" t="e">
        <f t="shared" si="256"/>
        <v>#N/A</v>
      </c>
      <c r="AN823" s="170"/>
    </row>
    <row r="824" spans="10:40" ht="20.100000000000001" customHeight="1" thickBot="1">
      <c r="J824" s="45" t="str">
        <f t="shared" si="247"/>
        <v>M5</v>
      </c>
      <c r="K824" s="45" t="s">
        <v>131</v>
      </c>
      <c r="L824" s="45" t="str">
        <f t="shared" si="248"/>
        <v>2E-M5@W</v>
      </c>
      <c r="M824" s="75" t="e">
        <f t="shared" si="245"/>
        <v>#N/A</v>
      </c>
      <c r="N824" s="75" t="e">
        <f t="shared" si="246"/>
        <v>#N/A</v>
      </c>
      <c r="R824" s="70" t="s">
        <v>276</v>
      </c>
      <c r="S824" s="70" t="s">
        <v>59</v>
      </c>
      <c r="T824" s="70" t="s">
        <v>57</v>
      </c>
      <c r="U824" s="70" t="s">
        <v>1563</v>
      </c>
      <c r="V824" s="70" t="s">
        <v>1381</v>
      </c>
      <c r="X824" s="70" t="str">
        <f t="shared" si="257"/>
        <v>2E-W DT@W</v>
      </c>
      <c r="Y824" s="70" t="str">
        <f t="shared" si="258"/>
        <v>W DT-TEST@W</v>
      </c>
      <c r="Z824" s="70" t="str">
        <f t="shared" si="259"/>
        <v>TEST-EDT@W</v>
      </c>
      <c r="AA824" s="70" t="str">
        <f t="shared" si="260"/>
        <v>EDT-M5@W</v>
      </c>
      <c r="AC824" s="70" t="str">
        <f t="shared" si="249"/>
        <v>370, 369, 367, 361, 358, 357, 356, 355, 353, 352</v>
      </c>
      <c r="AD824" s="70" t="str">
        <f t="shared" si="250"/>
        <v>356, 355, 353, 352</v>
      </c>
      <c r="AE824" s="70" t="e">
        <f t="shared" si="251"/>
        <v>#N/A</v>
      </c>
      <c r="AF824" s="70" t="e">
        <f t="shared" si="252"/>
        <v>#N/A</v>
      </c>
      <c r="AH824" s="70" t="str">
        <f t="shared" si="253"/>
        <v>64, 56</v>
      </c>
      <c r="AI824" s="70">
        <f t="shared" si="254"/>
        <v>55</v>
      </c>
      <c r="AJ824" s="70" t="e">
        <f t="shared" si="255"/>
        <v>#N/A</v>
      </c>
      <c r="AK824" s="70" t="e">
        <f t="shared" si="256"/>
        <v>#N/A</v>
      </c>
      <c r="AN824" s="170"/>
    </row>
    <row r="825" spans="10:40" ht="20.100000000000001" customHeight="1" thickBot="1">
      <c r="J825" s="45" t="str">
        <f t="shared" si="247"/>
        <v>M5</v>
      </c>
      <c r="K825" s="45" t="s">
        <v>131</v>
      </c>
      <c r="L825" s="45" t="str">
        <f t="shared" si="248"/>
        <v>2W-M5@W</v>
      </c>
      <c r="M825" s="75" t="e">
        <f t="shared" si="245"/>
        <v>#N/A</v>
      </c>
      <c r="N825" s="75" t="e">
        <f t="shared" si="246"/>
        <v>#N/A</v>
      </c>
      <c r="R825" s="70" t="s">
        <v>285</v>
      </c>
      <c r="S825" s="70" t="s">
        <v>59</v>
      </c>
      <c r="T825" s="70" t="s">
        <v>57</v>
      </c>
      <c r="U825" s="70" t="s">
        <v>1563</v>
      </c>
      <c r="V825" s="70" t="s">
        <v>1381</v>
      </c>
      <c r="X825" s="70" t="str">
        <f t="shared" si="257"/>
        <v>2W-W DT@W</v>
      </c>
      <c r="Y825" s="70" t="str">
        <f t="shared" si="258"/>
        <v>W DT-TEST@W</v>
      </c>
      <c r="Z825" s="70" t="str">
        <f t="shared" si="259"/>
        <v>TEST-EDT@W</v>
      </c>
      <c r="AA825" s="70" t="str">
        <f t="shared" si="260"/>
        <v>EDT-M5@W</v>
      </c>
      <c r="AC825" s="70" t="str">
        <f t="shared" si="249"/>
        <v>370, 369, 367, 361, 358, 357, 356, 355, 353, 352</v>
      </c>
      <c r="AD825" s="70" t="str">
        <f t="shared" si="250"/>
        <v>356, 355, 353, 352</v>
      </c>
      <c r="AE825" s="70" t="e">
        <f t="shared" si="251"/>
        <v>#N/A</v>
      </c>
      <c r="AF825" s="70" t="e">
        <f t="shared" si="252"/>
        <v>#N/A</v>
      </c>
      <c r="AH825" s="70" t="str">
        <f t="shared" si="253"/>
        <v>64, 56</v>
      </c>
      <c r="AI825" s="70">
        <f t="shared" si="254"/>
        <v>55</v>
      </c>
      <c r="AJ825" s="70" t="e">
        <f t="shared" si="255"/>
        <v>#N/A</v>
      </c>
      <c r="AK825" s="70" t="e">
        <f t="shared" si="256"/>
        <v>#N/A</v>
      </c>
      <c r="AN825" s="170"/>
    </row>
    <row r="826" spans="10:40" ht="20.100000000000001" customHeight="1" thickBot="1">
      <c r="J826" s="45" t="str">
        <f t="shared" si="247"/>
        <v>M5</v>
      </c>
      <c r="K826" s="45" t="s">
        <v>131</v>
      </c>
      <c r="L826" s="45" t="str">
        <f t="shared" si="248"/>
        <v>3E-M5@W</v>
      </c>
      <c r="M826" s="75" t="e">
        <f t="shared" si="245"/>
        <v>#N/A</v>
      </c>
      <c r="N826" s="75" t="e">
        <f t="shared" si="246"/>
        <v>#N/A</v>
      </c>
      <c r="R826" s="70" t="s">
        <v>293</v>
      </c>
      <c r="S826" s="70" t="s">
        <v>59</v>
      </c>
      <c r="T826" s="70" t="s">
        <v>57</v>
      </c>
      <c r="U826" s="70" t="s">
        <v>1563</v>
      </c>
      <c r="V826" s="70" t="s">
        <v>1381</v>
      </c>
      <c r="X826" s="70" t="str">
        <f t="shared" si="257"/>
        <v>3E-W DT@W</v>
      </c>
      <c r="Y826" s="70" t="str">
        <f t="shared" si="258"/>
        <v>W DT-TEST@W</v>
      </c>
      <c r="Z826" s="70" t="str">
        <f t="shared" si="259"/>
        <v>TEST-EDT@W</v>
      </c>
      <c r="AA826" s="70" t="str">
        <f t="shared" si="260"/>
        <v>EDT-M5@W</v>
      </c>
      <c r="AC826" s="70" t="str">
        <f t="shared" si="249"/>
        <v>370, 369, 367, 361, 358, 357, 356, 355, 353, 352</v>
      </c>
      <c r="AD826" s="70" t="str">
        <f t="shared" si="250"/>
        <v>356, 355, 353, 352</v>
      </c>
      <c r="AE826" s="70" t="e">
        <f t="shared" si="251"/>
        <v>#N/A</v>
      </c>
      <c r="AF826" s="70" t="e">
        <f t="shared" si="252"/>
        <v>#N/A</v>
      </c>
      <c r="AH826" s="70" t="str">
        <f t="shared" si="253"/>
        <v>65, 56</v>
      </c>
      <c r="AI826" s="70">
        <f t="shared" si="254"/>
        <v>55</v>
      </c>
      <c r="AJ826" s="70" t="e">
        <f t="shared" si="255"/>
        <v>#N/A</v>
      </c>
      <c r="AK826" s="70" t="e">
        <f t="shared" si="256"/>
        <v>#N/A</v>
      </c>
      <c r="AN826" s="170"/>
    </row>
    <row r="827" spans="10:40" ht="20.100000000000001" customHeight="1" thickBot="1">
      <c r="J827" s="45" t="str">
        <f t="shared" si="247"/>
        <v>M5</v>
      </c>
      <c r="K827" s="45" t="s">
        <v>131</v>
      </c>
      <c r="L827" s="45" t="str">
        <f t="shared" si="248"/>
        <v>3W-M5@W</v>
      </c>
      <c r="M827" s="75" t="e">
        <f t="shared" si="245"/>
        <v>#N/A</v>
      </c>
      <c r="N827" s="75" t="e">
        <f t="shared" si="246"/>
        <v>#N/A</v>
      </c>
      <c r="R827" s="70" t="s">
        <v>301</v>
      </c>
      <c r="S827" s="70" t="s">
        <v>59</v>
      </c>
      <c r="T827" s="70" t="s">
        <v>57</v>
      </c>
      <c r="U827" s="70" t="s">
        <v>1563</v>
      </c>
      <c r="V827" s="70" t="s">
        <v>1381</v>
      </c>
      <c r="X827" s="70" t="str">
        <f t="shared" si="257"/>
        <v>3W-W DT@W</v>
      </c>
      <c r="Y827" s="70" t="str">
        <f t="shared" si="258"/>
        <v>W DT-TEST@W</v>
      </c>
      <c r="Z827" s="70" t="str">
        <f t="shared" si="259"/>
        <v>TEST-EDT@W</v>
      </c>
      <c r="AA827" s="70" t="str">
        <f t="shared" si="260"/>
        <v>EDT-M5@W</v>
      </c>
      <c r="AC827" s="70" t="str">
        <f t="shared" si="249"/>
        <v>370, 369, 367, 361, 358, 357, 356, 355, 353, 352</v>
      </c>
      <c r="AD827" s="70" t="str">
        <f t="shared" si="250"/>
        <v>356, 355, 353, 352</v>
      </c>
      <c r="AE827" s="70" t="e">
        <f t="shared" si="251"/>
        <v>#N/A</v>
      </c>
      <c r="AF827" s="70" t="e">
        <f t="shared" si="252"/>
        <v>#N/A</v>
      </c>
      <c r="AH827" s="70" t="str">
        <f t="shared" si="253"/>
        <v>65, 56</v>
      </c>
      <c r="AI827" s="70">
        <f t="shared" si="254"/>
        <v>55</v>
      </c>
      <c r="AJ827" s="70" t="e">
        <f t="shared" si="255"/>
        <v>#N/A</v>
      </c>
      <c r="AK827" s="70" t="e">
        <f t="shared" si="256"/>
        <v>#N/A</v>
      </c>
      <c r="AN827" s="170"/>
    </row>
    <row r="828" spans="10:40" ht="20.100000000000001" customHeight="1" thickBot="1">
      <c r="J828" s="45" t="str">
        <f t="shared" si="247"/>
        <v>M5</v>
      </c>
      <c r="K828" s="45" t="s">
        <v>131</v>
      </c>
      <c r="L828" s="45" t="str">
        <f t="shared" si="248"/>
        <v>4E-M5@W</v>
      </c>
      <c r="M828" s="75" t="e">
        <f t="shared" si="245"/>
        <v>#N/A</v>
      </c>
      <c r="N828" s="75" t="e">
        <f t="shared" si="246"/>
        <v>#N/A</v>
      </c>
      <c r="R828" s="70" t="s">
        <v>309</v>
      </c>
      <c r="S828" s="70" t="s">
        <v>59</v>
      </c>
      <c r="T828" s="70" t="s">
        <v>57</v>
      </c>
      <c r="U828" s="70" t="s">
        <v>1563</v>
      </c>
      <c r="V828" s="70" t="s">
        <v>1381</v>
      </c>
      <c r="X828" s="70" t="str">
        <f t="shared" si="257"/>
        <v>4E-W DT@W</v>
      </c>
      <c r="Y828" s="70" t="str">
        <f t="shared" si="258"/>
        <v>W DT-TEST@W</v>
      </c>
      <c r="Z828" s="70" t="str">
        <f t="shared" si="259"/>
        <v>TEST-EDT@W</v>
      </c>
      <c r="AA828" s="70" t="str">
        <f t="shared" si="260"/>
        <v>EDT-M5@W</v>
      </c>
      <c r="AC828" s="70" t="str">
        <f t="shared" si="249"/>
        <v>369, 367, 361, 358, 357, 356, 355, 353, 352</v>
      </c>
      <c r="AD828" s="70" t="str">
        <f t="shared" si="250"/>
        <v>356, 355, 353, 352</v>
      </c>
      <c r="AE828" s="70" t="e">
        <f t="shared" si="251"/>
        <v>#N/A</v>
      </c>
      <c r="AF828" s="70" t="e">
        <f t="shared" si="252"/>
        <v>#N/A</v>
      </c>
      <c r="AH828" s="70" t="str">
        <f t="shared" si="253"/>
        <v>66, 56</v>
      </c>
      <c r="AI828" s="70">
        <f t="shared" si="254"/>
        <v>55</v>
      </c>
      <c r="AJ828" s="70" t="e">
        <f t="shared" si="255"/>
        <v>#N/A</v>
      </c>
      <c r="AK828" s="70" t="e">
        <f t="shared" si="256"/>
        <v>#N/A</v>
      </c>
      <c r="AN828" s="170"/>
    </row>
    <row r="829" spans="10:40" ht="20.100000000000001" customHeight="1" thickBot="1">
      <c r="J829" s="45" t="str">
        <f t="shared" si="247"/>
        <v>M5</v>
      </c>
      <c r="K829" s="45" t="s">
        <v>131</v>
      </c>
      <c r="L829" s="45" t="str">
        <f t="shared" si="248"/>
        <v>4W-M5@W</v>
      </c>
      <c r="M829" s="75" t="e">
        <f t="shared" si="245"/>
        <v>#N/A</v>
      </c>
      <c r="N829" s="75" t="e">
        <f t="shared" si="246"/>
        <v>#N/A</v>
      </c>
      <c r="R829" s="70" t="s">
        <v>318</v>
      </c>
      <c r="S829" s="70" t="s">
        <v>59</v>
      </c>
      <c r="T829" s="70" t="s">
        <v>57</v>
      </c>
      <c r="U829" s="70" t="s">
        <v>1563</v>
      </c>
      <c r="V829" s="70" t="s">
        <v>1381</v>
      </c>
      <c r="X829" s="70" t="str">
        <f t="shared" si="257"/>
        <v>4W-W DT@W</v>
      </c>
      <c r="Y829" s="70" t="str">
        <f t="shared" si="258"/>
        <v>W DT-TEST@W</v>
      </c>
      <c r="Z829" s="70" t="str">
        <f t="shared" si="259"/>
        <v>TEST-EDT@W</v>
      </c>
      <c r="AA829" s="70" t="str">
        <f t="shared" si="260"/>
        <v>EDT-M5@W</v>
      </c>
      <c r="AC829" s="70" t="str">
        <f t="shared" si="249"/>
        <v>369, 367, 361, 358, 357, 356, 355, 353, 352</v>
      </c>
      <c r="AD829" s="70" t="str">
        <f t="shared" si="250"/>
        <v>356, 355, 353, 352</v>
      </c>
      <c r="AE829" s="70" t="e">
        <f t="shared" si="251"/>
        <v>#N/A</v>
      </c>
      <c r="AF829" s="70" t="e">
        <f t="shared" si="252"/>
        <v>#N/A</v>
      </c>
      <c r="AH829" s="70" t="str">
        <f t="shared" si="253"/>
        <v>66, 56</v>
      </c>
      <c r="AI829" s="70">
        <f t="shared" si="254"/>
        <v>55</v>
      </c>
      <c r="AJ829" s="70" t="e">
        <f t="shared" si="255"/>
        <v>#N/A</v>
      </c>
      <c r="AK829" s="70" t="e">
        <f t="shared" si="256"/>
        <v>#N/A</v>
      </c>
      <c r="AN829" s="170"/>
    </row>
    <row r="830" spans="10:40" ht="20.100000000000001" customHeight="1" thickBot="1">
      <c r="J830" s="45" t="str">
        <f t="shared" si="247"/>
        <v>M5</v>
      </c>
      <c r="K830" s="45" t="s">
        <v>131</v>
      </c>
      <c r="L830" s="45" t="str">
        <f t="shared" si="248"/>
        <v>5E-M5@W</v>
      </c>
      <c r="M830" s="75" t="e">
        <f t="shared" si="245"/>
        <v>#N/A</v>
      </c>
      <c r="N830" s="75" t="e">
        <f t="shared" si="246"/>
        <v>#N/A</v>
      </c>
      <c r="R830" s="70" t="s">
        <v>325</v>
      </c>
      <c r="S830" s="70" t="s">
        <v>59</v>
      </c>
      <c r="T830" s="70" t="s">
        <v>57</v>
      </c>
      <c r="U830" s="70" t="s">
        <v>1563</v>
      </c>
      <c r="V830" s="70" t="s">
        <v>1381</v>
      </c>
      <c r="X830" s="70" t="str">
        <f t="shared" si="257"/>
        <v>5E-W DT@W</v>
      </c>
      <c r="Y830" s="70" t="str">
        <f t="shared" si="258"/>
        <v>W DT-TEST@W</v>
      </c>
      <c r="Z830" s="70" t="str">
        <f t="shared" si="259"/>
        <v>TEST-EDT@W</v>
      </c>
      <c r="AA830" s="70" t="str">
        <f t="shared" si="260"/>
        <v>EDT-M5@W</v>
      </c>
      <c r="AC830" s="70" t="str">
        <f t="shared" si="249"/>
        <v>375, 374, 360, 357, 356, 355, 353, 352</v>
      </c>
      <c r="AD830" s="70" t="str">
        <f t="shared" si="250"/>
        <v>356, 355, 353, 352</v>
      </c>
      <c r="AE830" s="70" t="e">
        <f t="shared" si="251"/>
        <v>#N/A</v>
      </c>
      <c r="AF830" s="70" t="e">
        <f t="shared" si="252"/>
        <v>#N/A</v>
      </c>
      <c r="AH830" s="70" t="str">
        <f t="shared" si="253"/>
        <v>67, 56</v>
      </c>
      <c r="AI830" s="70">
        <f t="shared" si="254"/>
        <v>55</v>
      </c>
      <c r="AJ830" s="70" t="e">
        <f t="shared" si="255"/>
        <v>#N/A</v>
      </c>
      <c r="AK830" s="70" t="e">
        <f t="shared" si="256"/>
        <v>#N/A</v>
      </c>
      <c r="AN830" s="170"/>
    </row>
    <row r="831" spans="10:40" ht="20.100000000000001" customHeight="1" thickBot="1">
      <c r="J831" s="45" t="str">
        <f t="shared" si="247"/>
        <v>M5</v>
      </c>
      <c r="K831" s="45" t="s">
        <v>131</v>
      </c>
      <c r="L831" s="45" t="str">
        <f t="shared" si="248"/>
        <v>5W-M5@W</v>
      </c>
      <c r="M831" s="75" t="e">
        <f t="shared" si="245"/>
        <v>#N/A</v>
      </c>
      <c r="N831" s="75" t="e">
        <f t="shared" si="246"/>
        <v>#N/A</v>
      </c>
      <c r="R831" s="70" t="s">
        <v>333</v>
      </c>
      <c r="S831" s="70" t="s">
        <v>59</v>
      </c>
      <c r="T831" s="70" t="s">
        <v>57</v>
      </c>
      <c r="U831" s="70" t="s">
        <v>1563</v>
      </c>
      <c r="V831" s="70" t="s">
        <v>1381</v>
      </c>
      <c r="X831" s="70" t="str">
        <f t="shared" si="257"/>
        <v>5W-W DT@W</v>
      </c>
      <c r="Y831" s="70" t="str">
        <f t="shared" si="258"/>
        <v>W DT-TEST@W</v>
      </c>
      <c r="Z831" s="70" t="str">
        <f t="shared" si="259"/>
        <v>TEST-EDT@W</v>
      </c>
      <c r="AA831" s="70" t="str">
        <f t="shared" si="260"/>
        <v>EDT-M5@W</v>
      </c>
      <c r="AC831" s="70" t="str">
        <f t="shared" si="249"/>
        <v>375, 374, 360, 357, 356, 355, 353, 352</v>
      </c>
      <c r="AD831" s="70" t="str">
        <f t="shared" si="250"/>
        <v>356, 355, 353, 352</v>
      </c>
      <c r="AE831" s="70" t="e">
        <f t="shared" si="251"/>
        <v>#N/A</v>
      </c>
      <c r="AF831" s="70" t="e">
        <f t="shared" si="252"/>
        <v>#N/A</v>
      </c>
      <c r="AH831" s="70" t="str">
        <f t="shared" si="253"/>
        <v>67, 56</v>
      </c>
      <c r="AI831" s="70">
        <f t="shared" si="254"/>
        <v>55</v>
      </c>
      <c r="AJ831" s="70" t="e">
        <f t="shared" si="255"/>
        <v>#N/A</v>
      </c>
      <c r="AK831" s="70" t="e">
        <f t="shared" si="256"/>
        <v>#N/A</v>
      </c>
      <c r="AN831" s="170"/>
    </row>
    <row r="832" spans="10:40" ht="20.100000000000001" customHeight="1" thickBot="1">
      <c r="J832" s="45" t="str">
        <f t="shared" si="247"/>
        <v>M5</v>
      </c>
      <c r="K832" s="45" t="s">
        <v>131</v>
      </c>
      <c r="L832" s="45" t="str">
        <f t="shared" si="248"/>
        <v>6E-M5@W</v>
      </c>
      <c r="M832" s="75" t="e">
        <f t="shared" si="245"/>
        <v>#N/A</v>
      </c>
      <c r="N832" s="75" t="e">
        <f t="shared" si="246"/>
        <v>#N/A</v>
      </c>
      <c r="R832" s="70" t="s">
        <v>339</v>
      </c>
      <c r="S832" s="70" t="s">
        <v>59</v>
      </c>
      <c r="T832" s="70" t="s">
        <v>57</v>
      </c>
      <c r="U832" s="70" t="s">
        <v>1563</v>
      </c>
      <c r="V832" s="70" t="s">
        <v>1381</v>
      </c>
      <c r="X832" s="70" t="str">
        <f t="shared" si="257"/>
        <v>6E-W DT@W</v>
      </c>
      <c r="Y832" s="70" t="str">
        <f t="shared" si="258"/>
        <v>W DT-TEST@W</v>
      </c>
      <c r="Z832" s="70" t="str">
        <f t="shared" si="259"/>
        <v>TEST-EDT@W</v>
      </c>
      <c r="AA832" s="70" t="str">
        <f t="shared" si="260"/>
        <v>EDT-M5@W</v>
      </c>
      <c r="AC832" s="70" t="str">
        <f t="shared" si="249"/>
        <v>375, 374, 360, 357, 356, 355, 353, 352</v>
      </c>
      <c r="AD832" s="70" t="str">
        <f t="shared" si="250"/>
        <v>356, 355, 353, 352</v>
      </c>
      <c r="AE832" s="70" t="e">
        <f t="shared" si="251"/>
        <v>#N/A</v>
      </c>
      <c r="AF832" s="70" t="e">
        <f t="shared" si="252"/>
        <v>#N/A</v>
      </c>
      <c r="AH832" s="70" t="str">
        <f t="shared" si="253"/>
        <v>68, 56</v>
      </c>
      <c r="AI832" s="70">
        <f t="shared" si="254"/>
        <v>55</v>
      </c>
      <c r="AJ832" s="70" t="e">
        <f t="shared" si="255"/>
        <v>#N/A</v>
      </c>
      <c r="AK832" s="70" t="e">
        <f t="shared" si="256"/>
        <v>#N/A</v>
      </c>
      <c r="AN832" s="170"/>
    </row>
    <row r="833" spans="10:40" ht="20.100000000000001" customHeight="1" thickBot="1">
      <c r="J833" s="45" t="str">
        <f t="shared" si="247"/>
        <v>M5</v>
      </c>
      <c r="K833" s="45" t="s">
        <v>131</v>
      </c>
      <c r="L833" s="45" t="str">
        <f t="shared" si="248"/>
        <v>6W-M5@W</v>
      </c>
      <c r="M833" s="75" t="e">
        <f t="shared" si="245"/>
        <v>#N/A</v>
      </c>
      <c r="N833" s="75" t="e">
        <f t="shared" si="246"/>
        <v>#N/A</v>
      </c>
      <c r="R833" s="70" t="s">
        <v>346</v>
      </c>
      <c r="S833" s="70" t="s">
        <v>59</v>
      </c>
      <c r="T833" s="70" t="s">
        <v>57</v>
      </c>
      <c r="U833" s="70" t="s">
        <v>1563</v>
      </c>
      <c r="V833" s="70" t="s">
        <v>1381</v>
      </c>
      <c r="X833" s="70" t="str">
        <f t="shared" si="257"/>
        <v>6W-W DT@W</v>
      </c>
      <c r="Y833" s="70" t="str">
        <f t="shared" si="258"/>
        <v>W DT-TEST@W</v>
      </c>
      <c r="Z833" s="70" t="str">
        <f t="shared" si="259"/>
        <v>TEST-EDT@W</v>
      </c>
      <c r="AA833" s="70" t="str">
        <f t="shared" si="260"/>
        <v>EDT-M5@W</v>
      </c>
      <c r="AC833" s="70" t="str">
        <f t="shared" si="249"/>
        <v>375, 374, 360, 357, 356, 355, 353, 352</v>
      </c>
      <c r="AD833" s="70" t="str">
        <f t="shared" si="250"/>
        <v>356, 355, 353, 352</v>
      </c>
      <c r="AE833" s="70" t="e">
        <f t="shared" si="251"/>
        <v>#N/A</v>
      </c>
      <c r="AF833" s="70" t="e">
        <f t="shared" si="252"/>
        <v>#N/A</v>
      </c>
      <c r="AH833" s="70" t="str">
        <f t="shared" si="253"/>
        <v>68, 56</v>
      </c>
      <c r="AI833" s="70">
        <f t="shared" si="254"/>
        <v>55</v>
      </c>
      <c r="AJ833" s="70" t="e">
        <f t="shared" si="255"/>
        <v>#N/A</v>
      </c>
      <c r="AK833" s="70" t="e">
        <f t="shared" si="256"/>
        <v>#N/A</v>
      </c>
      <c r="AN833" s="170"/>
    </row>
    <row r="834" spans="10:40" ht="20.100000000000001" customHeight="1" thickBot="1">
      <c r="J834" s="45" t="str">
        <f t="shared" si="247"/>
        <v>M5</v>
      </c>
      <c r="K834" s="45" t="s">
        <v>131</v>
      </c>
      <c r="L834" s="45" t="str">
        <f t="shared" si="248"/>
        <v>7E-M5@W</v>
      </c>
      <c r="M834" s="75" t="e">
        <f t="shared" si="245"/>
        <v>#N/A</v>
      </c>
      <c r="N834" s="75" t="e">
        <f t="shared" si="246"/>
        <v>#N/A</v>
      </c>
      <c r="R834" s="70" t="s">
        <v>354</v>
      </c>
      <c r="S834" s="70" t="s">
        <v>59</v>
      </c>
      <c r="T834" s="70" t="s">
        <v>57</v>
      </c>
      <c r="U834" s="70" t="s">
        <v>1563</v>
      </c>
      <c r="V834" s="70" t="s">
        <v>1381</v>
      </c>
      <c r="X834" s="70" t="str">
        <f t="shared" si="257"/>
        <v>7E-W DT@W</v>
      </c>
      <c r="Y834" s="70" t="str">
        <f t="shared" si="258"/>
        <v>W DT-TEST@W</v>
      </c>
      <c r="Z834" s="70" t="str">
        <f t="shared" si="259"/>
        <v>TEST-EDT@W</v>
      </c>
      <c r="AA834" s="70" t="str">
        <f t="shared" si="260"/>
        <v>EDT-M5@W</v>
      </c>
      <c r="AC834" s="70" t="str">
        <f t="shared" si="249"/>
        <v>376, 374, 360, 357, 356, 355, 353, 352</v>
      </c>
      <c r="AD834" s="70" t="str">
        <f t="shared" si="250"/>
        <v>356, 355, 353, 352</v>
      </c>
      <c r="AE834" s="70" t="e">
        <f t="shared" si="251"/>
        <v>#N/A</v>
      </c>
      <c r="AF834" s="70" t="e">
        <f t="shared" si="252"/>
        <v>#N/A</v>
      </c>
      <c r="AH834" s="70" t="str">
        <f t="shared" si="253"/>
        <v>69, 56</v>
      </c>
      <c r="AI834" s="70">
        <f t="shared" si="254"/>
        <v>55</v>
      </c>
      <c r="AJ834" s="70" t="e">
        <f t="shared" si="255"/>
        <v>#N/A</v>
      </c>
      <c r="AK834" s="70" t="e">
        <f t="shared" si="256"/>
        <v>#N/A</v>
      </c>
      <c r="AN834" s="170"/>
    </row>
    <row r="835" spans="10:40" ht="20.100000000000001" customHeight="1" thickBot="1">
      <c r="J835" s="45" t="str">
        <f t="shared" ref="J835:J861" si="261">IF(V835="",IF(U835="",IF(T835="",S835,T835),U835),V835)</f>
        <v>M5</v>
      </c>
      <c r="K835" s="45" t="s">
        <v>131</v>
      </c>
      <c r="L835" s="45" t="str">
        <f t="shared" ref="L835:L861" si="262">CONCATENATE(R835,"-",J835,"@",K835)</f>
        <v>7W-M5@W</v>
      </c>
      <c r="M835" s="75" t="e">
        <f t="shared" si="245"/>
        <v>#N/A</v>
      </c>
      <c r="N835" s="75" t="e">
        <f t="shared" si="246"/>
        <v>#N/A</v>
      </c>
      <c r="R835" s="70" t="s">
        <v>363</v>
      </c>
      <c r="S835" s="70" t="s">
        <v>59</v>
      </c>
      <c r="T835" s="70" t="s">
        <v>57</v>
      </c>
      <c r="U835" s="70" t="s">
        <v>1563</v>
      </c>
      <c r="V835" s="70" t="s">
        <v>1381</v>
      </c>
      <c r="X835" s="70" t="str">
        <f t="shared" si="257"/>
        <v>7W-W DT@W</v>
      </c>
      <c r="Y835" s="70" t="str">
        <f t="shared" si="258"/>
        <v>W DT-TEST@W</v>
      </c>
      <c r="Z835" s="70" t="str">
        <f t="shared" si="259"/>
        <v>TEST-EDT@W</v>
      </c>
      <c r="AA835" s="70" t="str">
        <f t="shared" si="260"/>
        <v>EDT-M5@W</v>
      </c>
      <c r="AC835" s="70" t="str">
        <f t="shared" ref="AC835:AC861" si="263">IF(X835="","",VLOOKUP(X835,$AN$2:$AP$736,2,0))</f>
        <v>376, 374, 360, 357, 356, 355, 353, 352</v>
      </c>
      <c r="AD835" s="70" t="str">
        <f t="shared" ref="AD835:AD861" si="264">IF(Y835="","",VLOOKUP(Y835,$AN$2:$AP$736,2,0))</f>
        <v>356, 355, 353, 352</v>
      </c>
      <c r="AE835" s="70" t="e">
        <f t="shared" ref="AE835:AE861" si="265">IF(Z835="","",VLOOKUP(Z835,$AN$2:$AP$736,2,0))</f>
        <v>#N/A</v>
      </c>
      <c r="AF835" s="70" t="e">
        <f t="shared" ref="AF835:AF861" si="266">IF(AA835="","",VLOOKUP(AA835,$AN$2:$AP$736,2,0))</f>
        <v>#N/A</v>
      </c>
      <c r="AH835" s="70" t="str">
        <f t="shared" ref="AH835:AH861" si="267">IF(X835="","",VLOOKUP(X835,$AN$2:$AP$162,3,0))</f>
        <v>69, 56</v>
      </c>
      <c r="AI835" s="70">
        <f t="shared" ref="AI835:AI861" si="268">IF(Y835="","",VLOOKUP(Y835,$AN$2:$AP$162,3,0))</f>
        <v>55</v>
      </c>
      <c r="AJ835" s="70" t="e">
        <f t="shared" ref="AJ835:AJ861" si="269">IF(Z835="","",VLOOKUP(Z835,$AN$2:$AP$162,3,0))</f>
        <v>#N/A</v>
      </c>
      <c r="AK835" s="70" t="e">
        <f t="shared" ref="AK835:AK861" si="270">IF(AA835="","",VLOOKUP(AA835,$AN$2:$AP$162,3,0))</f>
        <v>#N/A</v>
      </c>
      <c r="AN835" s="170"/>
    </row>
    <row r="836" spans="10:40" ht="20.100000000000001" customHeight="1" thickBot="1">
      <c r="J836" s="45" t="str">
        <f t="shared" si="261"/>
        <v>M5</v>
      </c>
      <c r="K836" s="45" t="s">
        <v>131</v>
      </c>
      <c r="L836" s="45" t="str">
        <f t="shared" si="262"/>
        <v>8E-M5@W</v>
      </c>
      <c r="M836" s="75" t="e">
        <f t="shared" si="245"/>
        <v>#N/A</v>
      </c>
      <c r="N836" s="75" t="e">
        <f t="shared" si="246"/>
        <v>#N/A</v>
      </c>
      <c r="R836" s="70" t="s">
        <v>370</v>
      </c>
      <c r="S836" s="70" t="s">
        <v>59</v>
      </c>
      <c r="T836" s="70" t="s">
        <v>57</v>
      </c>
      <c r="U836" s="70" t="s">
        <v>1563</v>
      </c>
      <c r="V836" s="70" t="s">
        <v>1381</v>
      </c>
      <c r="X836" s="70" t="str">
        <f t="shared" si="257"/>
        <v>8E-W DT@W</v>
      </c>
      <c r="Y836" s="70" t="str">
        <f t="shared" si="258"/>
        <v>W DT-TEST@W</v>
      </c>
      <c r="Z836" s="70" t="str">
        <f t="shared" si="259"/>
        <v>TEST-EDT@W</v>
      </c>
      <c r="AA836" s="70" t="str">
        <f t="shared" si="260"/>
        <v>EDT-M5@W</v>
      </c>
      <c r="AC836" s="70" t="str">
        <f t="shared" si="263"/>
        <v>376, 374, 360, 357, 356, 355, 353, 352</v>
      </c>
      <c r="AD836" s="70" t="str">
        <f t="shared" si="264"/>
        <v>356, 355, 353, 352</v>
      </c>
      <c r="AE836" s="70" t="e">
        <f t="shared" si="265"/>
        <v>#N/A</v>
      </c>
      <c r="AF836" s="70" t="e">
        <f t="shared" si="266"/>
        <v>#N/A</v>
      </c>
      <c r="AH836" s="70" t="str">
        <f t="shared" si="267"/>
        <v>70, 56</v>
      </c>
      <c r="AI836" s="70">
        <f t="shared" si="268"/>
        <v>55</v>
      </c>
      <c r="AJ836" s="70" t="e">
        <f t="shared" si="269"/>
        <v>#N/A</v>
      </c>
      <c r="AK836" s="70" t="e">
        <f t="shared" si="270"/>
        <v>#N/A</v>
      </c>
      <c r="AN836" s="170"/>
    </row>
    <row r="837" spans="10:40" ht="20.100000000000001" customHeight="1" thickBot="1">
      <c r="J837" s="45" t="str">
        <f t="shared" si="261"/>
        <v>M5</v>
      </c>
      <c r="K837" s="45" t="s">
        <v>131</v>
      </c>
      <c r="L837" s="45" t="str">
        <f t="shared" si="262"/>
        <v>8W-M5@W</v>
      </c>
      <c r="M837" s="75" t="e">
        <f t="shared" si="245"/>
        <v>#N/A</v>
      </c>
      <c r="N837" s="75" t="e">
        <f t="shared" si="246"/>
        <v>#N/A</v>
      </c>
      <c r="R837" s="70" t="s">
        <v>377</v>
      </c>
      <c r="S837" s="70" t="s">
        <v>59</v>
      </c>
      <c r="T837" s="70" t="s">
        <v>57</v>
      </c>
      <c r="U837" s="70" t="s">
        <v>1563</v>
      </c>
      <c r="V837" s="70" t="s">
        <v>1381</v>
      </c>
      <c r="X837" s="70" t="str">
        <f t="shared" si="257"/>
        <v>8W-W DT@W</v>
      </c>
      <c r="Y837" s="70" t="str">
        <f t="shared" si="258"/>
        <v>W DT-TEST@W</v>
      </c>
      <c r="Z837" s="70" t="str">
        <f t="shared" si="259"/>
        <v>TEST-EDT@W</v>
      </c>
      <c r="AA837" s="70" t="str">
        <f t="shared" si="260"/>
        <v>EDT-M5@W</v>
      </c>
      <c r="AC837" s="70" t="str">
        <f t="shared" si="263"/>
        <v>376, 374, 360, 357, 356, 355, 353, 352</v>
      </c>
      <c r="AD837" s="70" t="str">
        <f t="shared" si="264"/>
        <v>356, 355, 353, 352</v>
      </c>
      <c r="AE837" s="70" t="e">
        <f t="shared" si="265"/>
        <v>#N/A</v>
      </c>
      <c r="AF837" s="70" t="e">
        <f t="shared" si="266"/>
        <v>#N/A</v>
      </c>
      <c r="AH837" s="70" t="str">
        <f t="shared" si="267"/>
        <v>70, 56</v>
      </c>
      <c r="AI837" s="70">
        <f t="shared" si="268"/>
        <v>55</v>
      </c>
      <c r="AJ837" s="70" t="e">
        <f t="shared" si="269"/>
        <v>#N/A</v>
      </c>
      <c r="AK837" s="70" t="e">
        <f t="shared" si="270"/>
        <v>#N/A</v>
      </c>
      <c r="AN837" s="170"/>
    </row>
    <row r="838" spans="10:40" ht="20.100000000000001" customHeight="1" thickBot="1">
      <c r="M838" s="75"/>
      <c r="N838" s="75"/>
      <c r="R838" s="70" t="s">
        <v>1566</v>
      </c>
      <c r="S838" s="70" t="s">
        <v>59</v>
      </c>
      <c r="T838" s="70" t="s">
        <v>57</v>
      </c>
      <c r="U838" s="70"/>
      <c r="V838" s="70"/>
      <c r="X838" s="70" t="str">
        <f t="shared" si="257"/>
        <v>RM5E-W DT@</v>
      </c>
      <c r="Y838" s="70" t="str">
        <f t="shared" si="258"/>
        <v>W DT-TEST@</v>
      </c>
      <c r="Z838" s="70" t="str">
        <f t="shared" si="259"/>
        <v/>
      </c>
      <c r="AA838" s="70" t="str">
        <f t="shared" si="260"/>
        <v/>
      </c>
      <c r="AC838" s="70" t="e">
        <f t="shared" si="263"/>
        <v>#N/A</v>
      </c>
      <c r="AD838" s="70" t="e">
        <f t="shared" si="264"/>
        <v>#N/A</v>
      </c>
      <c r="AE838" s="70" t="str">
        <f t="shared" si="265"/>
        <v/>
      </c>
      <c r="AF838" s="70" t="str">
        <f t="shared" si="266"/>
        <v/>
      </c>
      <c r="AH838" s="70" t="e">
        <f t="shared" si="267"/>
        <v>#N/A</v>
      </c>
      <c r="AI838" s="70" t="e">
        <f t="shared" si="268"/>
        <v>#N/A</v>
      </c>
      <c r="AJ838" s="70" t="str">
        <f t="shared" si="269"/>
        <v/>
      </c>
      <c r="AK838" s="70" t="str">
        <f t="shared" si="270"/>
        <v/>
      </c>
      <c r="AN838" s="170"/>
    </row>
    <row r="839" spans="10:40" ht="20.100000000000001" customHeight="1" thickBot="1">
      <c r="M839" s="75"/>
      <c r="N839" s="75"/>
      <c r="R839" s="70" t="s">
        <v>1567</v>
      </c>
      <c r="S839" s="70" t="s">
        <v>59</v>
      </c>
      <c r="T839" s="70" t="s">
        <v>57</v>
      </c>
      <c r="U839" s="70"/>
      <c r="V839" s="70"/>
      <c r="X839" s="70" t="str">
        <f t="shared" si="257"/>
        <v>RM5W-W DT@</v>
      </c>
      <c r="Y839" s="70" t="str">
        <f t="shared" si="258"/>
        <v>W DT-TEST@</v>
      </c>
      <c r="Z839" s="70" t="str">
        <f t="shared" si="259"/>
        <v/>
      </c>
      <c r="AA839" s="70" t="str">
        <f t="shared" si="260"/>
        <v/>
      </c>
      <c r="AC839" s="70" t="e">
        <f t="shared" si="263"/>
        <v>#N/A</v>
      </c>
      <c r="AD839" s="70" t="e">
        <f t="shared" si="264"/>
        <v>#N/A</v>
      </c>
      <c r="AE839" s="70" t="str">
        <f t="shared" si="265"/>
        <v/>
      </c>
      <c r="AF839" s="70" t="str">
        <f t="shared" si="266"/>
        <v/>
      </c>
      <c r="AH839" s="70" t="e">
        <f t="shared" si="267"/>
        <v>#N/A</v>
      </c>
      <c r="AI839" s="70" t="e">
        <f t="shared" si="268"/>
        <v>#N/A</v>
      </c>
      <c r="AJ839" s="70" t="str">
        <f t="shared" si="269"/>
        <v/>
      </c>
      <c r="AK839" s="70" t="str">
        <f t="shared" si="270"/>
        <v/>
      </c>
      <c r="AN839" s="170"/>
    </row>
    <row r="840" spans="10:40" ht="20.100000000000001" customHeight="1" thickBot="1">
      <c r="J840" s="45" t="str">
        <f t="shared" si="261"/>
        <v>TEST</v>
      </c>
      <c r="K840" s="45" t="s">
        <v>131</v>
      </c>
      <c r="L840" s="45" t="str">
        <f t="shared" si="262"/>
        <v>RM2E-TEST@W</v>
      </c>
      <c r="M840" s="75" t="str">
        <f t="shared" ref="M840:M861" si="271">CONCATENATE(AC840,", ",AD840)</f>
        <v>365, 362, 361, 358, 357, 356, 355, 353, 352, 356, 355, 353, 352</v>
      </c>
      <c r="N840" s="75" t="str">
        <f t="shared" ref="N840:N861" si="272">CONCATENATE(AH840,", ",AI840)</f>
        <v>26, 04, 55</v>
      </c>
      <c r="R840" s="70" t="s">
        <v>216</v>
      </c>
      <c r="S840" s="70" t="s">
        <v>59</v>
      </c>
      <c r="T840" s="70" t="s">
        <v>57</v>
      </c>
      <c r="U840" s="70"/>
      <c r="V840" s="70"/>
      <c r="X840" s="70" t="str">
        <f t="shared" si="257"/>
        <v>RM2E-W DT@W</v>
      </c>
      <c r="Y840" s="70" t="str">
        <f t="shared" si="258"/>
        <v>W DT-TEST@W</v>
      </c>
      <c r="Z840" s="70" t="str">
        <f t="shared" si="259"/>
        <v/>
      </c>
      <c r="AA840" s="70" t="str">
        <f t="shared" si="260"/>
        <v/>
      </c>
      <c r="AC840" s="70" t="str">
        <f t="shared" si="263"/>
        <v>365, 362, 361, 358, 357, 356, 355, 353, 352</v>
      </c>
      <c r="AD840" s="70" t="str">
        <f t="shared" si="264"/>
        <v>356, 355, 353, 352</v>
      </c>
      <c r="AE840" s="70" t="str">
        <f t="shared" si="265"/>
        <v/>
      </c>
      <c r="AF840" s="70" t="str">
        <f t="shared" si="266"/>
        <v/>
      </c>
      <c r="AH840" s="70" t="str">
        <f t="shared" si="267"/>
        <v>26, 04</v>
      </c>
      <c r="AI840" s="70">
        <f t="shared" si="268"/>
        <v>55</v>
      </c>
      <c r="AJ840" s="70" t="str">
        <f t="shared" si="269"/>
        <v/>
      </c>
      <c r="AK840" s="70" t="str">
        <f t="shared" si="270"/>
        <v/>
      </c>
      <c r="AN840" s="170"/>
    </row>
    <row r="841" spans="10:40" ht="20.100000000000001" customHeight="1" thickBot="1">
      <c r="J841" s="45" t="str">
        <f t="shared" si="261"/>
        <v>TEST</v>
      </c>
      <c r="K841" s="45" t="s">
        <v>131</v>
      </c>
      <c r="L841" s="45" t="str">
        <f t="shared" si="262"/>
        <v>RM2W-TEST@W</v>
      </c>
      <c r="M841" s="75" t="str">
        <f t="shared" si="271"/>
        <v>365, 362, 361, 358, 357, 356, 355, 353, 352, 356, 355, 353, 352</v>
      </c>
      <c r="N841" s="75" t="str">
        <f t="shared" si="272"/>
        <v>26, 04, 55</v>
      </c>
      <c r="R841" s="70" t="s">
        <v>224</v>
      </c>
      <c r="S841" s="70" t="s">
        <v>59</v>
      </c>
      <c r="T841" s="70" t="s">
        <v>57</v>
      </c>
      <c r="U841" s="70"/>
      <c r="V841" s="70"/>
      <c r="X841" s="70" t="str">
        <f t="shared" si="257"/>
        <v>RM2W-W DT@W</v>
      </c>
      <c r="Y841" s="70" t="str">
        <f t="shared" si="258"/>
        <v>W DT-TEST@W</v>
      </c>
      <c r="Z841" s="70" t="str">
        <f t="shared" si="259"/>
        <v/>
      </c>
      <c r="AA841" s="70" t="str">
        <f t="shared" si="260"/>
        <v/>
      </c>
      <c r="AC841" s="70" t="str">
        <f t="shared" si="263"/>
        <v>365, 362, 361, 358, 357, 356, 355, 353, 352</v>
      </c>
      <c r="AD841" s="70" t="str">
        <f t="shared" si="264"/>
        <v>356, 355, 353, 352</v>
      </c>
      <c r="AE841" s="70" t="str">
        <f t="shared" si="265"/>
        <v/>
      </c>
      <c r="AF841" s="70" t="str">
        <f t="shared" si="266"/>
        <v/>
      </c>
      <c r="AH841" s="70" t="str">
        <f t="shared" si="267"/>
        <v>26, 04</v>
      </c>
      <c r="AI841" s="70">
        <f t="shared" si="268"/>
        <v>55</v>
      </c>
      <c r="AJ841" s="70" t="str">
        <f t="shared" si="269"/>
        <v/>
      </c>
      <c r="AK841" s="70" t="str">
        <f t="shared" si="270"/>
        <v/>
      </c>
      <c r="AN841" s="170"/>
    </row>
    <row r="842" spans="10:40" ht="20.100000000000001" customHeight="1" thickBot="1">
      <c r="J842" s="45" t="str">
        <f t="shared" si="261"/>
        <v>TEST</v>
      </c>
      <c r="K842" s="45" t="s">
        <v>131</v>
      </c>
      <c r="L842" s="45" t="str">
        <f t="shared" si="262"/>
        <v>RM3E-TEST@W</v>
      </c>
      <c r="M842" s="75" t="str">
        <f t="shared" si="271"/>
        <v>365, 362, 361, 358, 357, 356, 355, 353, 352, 356, 355, 353, 352</v>
      </c>
      <c r="N842" s="75" t="str">
        <f t="shared" si="272"/>
        <v>27, 04, 55</v>
      </c>
      <c r="R842" s="70" t="s">
        <v>231</v>
      </c>
      <c r="S842" s="70" t="s">
        <v>59</v>
      </c>
      <c r="T842" s="70" t="s">
        <v>57</v>
      </c>
      <c r="U842" s="70"/>
      <c r="V842" s="70"/>
      <c r="X842" s="70" t="str">
        <f t="shared" si="257"/>
        <v>RM3E-W DT@W</v>
      </c>
      <c r="Y842" s="70" t="str">
        <f t="shared" si="258"/>
        <v>W DT-TEST@W</v>
      </c>
      <c r="Z842" s="70" t="str">
        <f t="shared" si="259"/>
        <v/>
      </c>
      <c r="AA842" s="70" t="str">
        <f t="shared" si="260"/>
        <v/>
      </c>
      <c r="AC842" s="70" t="str">
        <f t="shared" si="263"/>
        <v>365, 362, 361, 358, 357, 356, 355, 353, 352</v>
      </c>
      <c r="AD842" s="70" t="str">
        <f t="shared" si="264"/>
        <v>356, 355, 353, 352</v>
      </c>
      <c r="AE842" s="70" t="str">
        <f t="shared" si="265"/>
        <v/>
      </c>
      <c r="AF842" s="70" t="str">
        <f t="shared" si="266"/>
        <v/>
      </c>
      <c r="AH842" s="70" t="str">
        <f t="shared" si="267"/>
        <v>27, 04</v>
      </c>
      <c r="AI842" s="70">
        <f t="shared" si="268"/>
        <v>55</v>
      </c>
      <c r="AJ842" s="70" t="str">
        <f t="shared" si="269"/>
        <v/>
      </c>
      <c r="AK842" s="70" t="str">
        <f t="shared" si="270"/>
        <v/>
      </c>
      <c r="AN842" s="170"/>
    </row>
    <row r="843" spans="10:40" ht="20.100000000000001" customHeight="1" thickBot="1">
      <c r="J843" s="45" t="str">
        <f t="shared" si="261"/>
        <v>TEST</v>
      </c>
      <c r="K843" s="45" t="s">
        <v>131</v>
      </c>
      <c r="L843" s="45" t="str">
        <f t="shared" si="262"/>
        <v>RM3W-TEST@W</v>
      </c>
      <c r="M843" s="75" t="str">
        <f t="shared" si="271"/>
        <v>365, 362, 361, 358, 357, 356, 355, 353, 352, 356, 355, 353, 352</v>
      </c>
      <c r="N843" s="75" t="str">
        <f t="shared" si="272"/>
        <v>27, 04, 55</v>
      </c>
      <c r="R843" s="70" t="s">
        <v>238</v>
      </c>
      <c r="S843" s="70" t="s">
        <v>59</v>
      </c>
      <c r="T843" s="70" t="s">
        <v>57</v>
      </c>
      <c r="U843" s="70"/>
      <c r="V843" s="70"/>
      <c r="X843" s="70" t="str">
        <f t="shared" si="257"/>
        <v>RM3W-W DT@W</v>
      </c>
      <c r="Y843" s="70" t="str">
        <f t="shared" si="258"/>
        <v>W DT-TEST@W</v>
      </c>
      <c r="Z843" s="70" t="str">
        <f t="shared" si="259"/>
        <v/>
      </c>
      <c r="AA843" s="70" t="str">
        <f t="shared" si="260"/>
        <v/>
      </c>
      <c r="AC843" s="70" t="str">
        <f t="shared" si="263"/>
        <v>365, 362, 361, 358, 357, 356, 355, 353, 352</v>
      </c>
      <c r="AD843" s="70" t="str">
        <f t="shared" si="264"/>
        <v>356, 355, 353, 352</v>
      </c>
      <c r="AE843" s="70" t="str">
        <f t="shared" si="265"/>
        <v/>
      </c>
      <c r="AF843" s="70" t="str">
        <f t="shared" si="266"/>
        <v/>
      </c>
      <c r="AH843" s="70" t="str">
        <f t="shared" si="267"/>
        <v>27, 04</v>
      </c>
      <c r="AI843" s="70">
        <f t="shared" si="268"/>
        <v>55</v>
      </c>
      <c r="AJ843" s="70" t="str">
        <f t="shared" si="269"/>
        <v/>
      </c>
      <c r="AK843" s="70" t="str">
        <f t="shared" si="270"/>
        <v/>
      </c>
      <c r="AN843" s="170"/>
    </row>
    <row r="844" spans="10:40" ht="20.100000000000001" customHeight="1" thickBot="1">
      <c r="J844" s="45" t="str">
        <f t="shared" si="261"/>
        <v>TEST</v>
      </c>
      <c r="K844" s="45" t="s">
        <v>131</v>
      </c>
      <c r="L844" s="45" t="str">
        <f t="shared" si="262"/>
        <v>HCTE-TEST@W</v>
      </c>
      <c r="M844" s="75" t="str">
        <f t="shared" si="271"/>
        <v>368, 367, 361, 358, 357, 356, 355, 353, 352, 356, 355, 353, 352</v>
      </c>
      <c r="N844" s="75" t="str">
        <f t="shared" si="272"/>
        <v>28, 04, 55</v>
      </c>
      <c r="R844" s="70" t="s">
        <v>246</v>
      </c>
      <c r="S844" s="70" t="s">
        <v>59</v>
      </c>
      <c r="T844" s="70" t="s">
        <v>57</v>
      </c>
      <c r="U844" s="70"/>
      <c r="V844" s="70"/>
      <c r="X844" s="70" t="str">
        <f t="shared" si="257"/>
        <v>HCTE-W DT@W</v>
      </c>
      <c r="Y844" s="70" t="str">
        <f t="shared" si="258"/>
        <v>W DT-TEST@W</v>
      </c>
      <c r="Z844" s="70" t="str">
        <f t="shared" si="259"/>
        <v/>
      </c>
      <c r="AA844" s="70" t="str">
        <f t="shared" si="260"/>
        <v/>
      </c>
      <c r="AC844" s="70" t="str">
        <f t="shared" si="263"/>
        <v>368, 367, 361, 358, 357, 356, 355, 353, 352</v>
      </c>
      <c r="AD844" s="70" t="str">
        <f t="shared" si="264"/>
        <v>356, 355, 353, 352</v>
      </c>
      <c r="AE844" s="70" t="str">
        <f t="shared" si="265"/>
        <v/>
      </c>
      <c r="AF844" s="70" t="str">
        <f t="shared" si="266"/>
        <v/>
      </c>
      <c r="AH844" s="70" t="str">
        <f t="shared" si="267"/>
        <v>28, 04</v>
      </c>
      <c r="AI844" s="70">
        <f t="shared" si="268"/>
        <v>55</v>
      </c>
      <c r="AJ844" s="70" t="str">
        <f t="shared" si="269"/>
        <v/>
      </c>
      <c r="AK844" s="70" t="str">
        <f t="shared" si="270"/>
        <v/>
      </c>
      <c r="AN844" s="170"/>
    </row>
    <row r="845" spans="10:40" ht="20.100000000000001" customHeight="1" thickBot="1">
      <c r="J845" s="45" t="str">
        <f t="shared" si="261"/>
        <v>TEST</v>
      </c>
      <c r="K845" s="45" t="s">
        <v>131</v>
      </c>
      <c r="L845" s="45" t="str">
        <f t="shared" si="262"/>
        <v>HCTW-TEST@W</v>
      </c>
      <c r="M845" s="75" t="str">
        <f t="shared" si="271"/>
        <v>368, 367, 361, 358, 357, 356, 355, 353, 352, 356, 355, 353, 352</v>
      </c>
      <c r="N845" s="75" t="str">
        <f t="shared" si="272"/>
        <v>28, 04, 55</v>
      </c>
      <c r="R845" s="70" t="s">
        <v>254</v>
      </c>
      <c r="S845" s="70" t="s">
        <v>59</v>
      </c>
      <c r="T845" s="70" t="s">
        <v>57</v>
      </c>
      <c r="U845" s="70"/>
      <c r="V845" s="70"/>
      <c r="X845" s="70" t="str">
        <f t="shared" si="257"/>
        <v>HCTW-W DT@W</v>
      </c>
      <c r="Y845" s="70" t="str">
        <f t="shared" si="258"/>
        <v>W DT-TEST@W</v>
      </c>
      <c r="Z845" s="70" t="str">
        <f t="shared" si="259"/>
        <v/>
      </c>
      <c r="AA845" s="70" t="str">
        <f t="shared" si="260"/>
        <v/>
      </c>
      <c r="AC845" s="70" t="str">
        <f t="shared" si="263"/>
        <v>368, 367, 361, 358, 357, 356, 355, 353, 352</v>
      </c>
      <c r="AD845" s="70" t="str">
        <f t="shared" si="264"/>
        <v>356, 355, 353, 352</v>
      </c>
      <c r="AE845" s="70" t="str">
        <f t="shared" si="265"/>
        <v/>
      </c>
      <c r="AF845" s="70" t="str">
        <f t="shared" si="266"/>
        <v/>
      </c>
      <c r="AH845" s="70" t="str">
        <f t="shared" si="267"/>
        <v>28, 04</v>
      </c>
      <c r="AI845" s="70">
        <f t="shared" si="268"/>
        <v>55</v>
      </c>
      <c r="AJ845" s="70" t="str">
        <f t="shared" si="269"/>
        <v/>
      </c>
      <c r="AK845" s="70" t="str">
        <f t="shared" si="270"/>
        <v/>
      </c>
      <c r="AN845" s="170"/>
    </row>
    <row r="846" spans="10:40" ht="20.100000000000001" customHeight="1" thickBot="1">
      <c r="J846" s="45" t="str">
        <f t="shared" si="261"/>
        <v>TEST</v>
      </c>
      <c r="K846" s="45" t="s">
        <v>131</v>
      </c>
      <c r="L846" s="45" t="str">
        <f t="shared" si="262"/>
        <v>1E-TEST@W</v>
      </c>
      <c r="M846" s="75" t="str">
        <f t="shared" si="271"/>
        <v>368, 367, 361, 358, 357, 356, 355, 353, 352, 356, 355, 353, 352</v>
      </c>
      <c r="N846" s="75" t="str">
        <f t="shared" si="272"/>
        <v>63, 56, 55</v>
      </c>
      <c r="R846" s="70" t="s">
        <v>261</v>
      </c>
      <c r="S846" s="70" t="s">
        <v>59</v>
      </c>
      <c r="T846" s="70" t="s">
        <v>57</v>
      </c>
      <c r="U846" s="70"/>
      <c r="V846" s="70"/>
      <c r="X846" s="70" t="str">
        <f t="shared" si="257"/>
        <v>1E-W DT@W</v>
      </c>
      <c r="Y846" s="70" t="str">
        <f t="shared" si="258"/>
        <v>W DT-TEST@W</v>
      </c>
      <c r="Z846" s="70" t="str">
        <f t="shared" si="259"/>
        <v/>
      </c>
      <c r="AA846" s="70" t="str">
        <f t="shared" si="260"/>
        <v/>
      </c>
      <c r="AC846" s="70" t="str">
        <f t="shared" si="263"/>
        <v>368, 367, 361, 358, 357, 356, 355, 353, 352</v>
      </c>
      <c r="AD846" s="70" t="str">
        <f t="shared" si="264"/>
        <v>356, 355, 353, 352</v>
      </c>
      <c r="AE846" s="70" t="str">
        <f t="shared" si="265"/>
        <v/>
      </c>
      <c r="AF846" s="70" t="str">
        <f t="shared" si="266"/>
        <v/>
      </c>
      <c r="AH846" s="70" t="str">
        <f t="shared" si="267"/>
        <v>63, 56</v>
      </c>
      <c r="AI846" s="70">
        <f t="shared" si="268"/>
        <v>55</v>
      </c>
      <c r="AJ846" s="70" t="str">
        <f t="shared" si="269"/>
        <v/>
      </c>
      <c r="AK846" s="70" t="str">
        <f t="shared" si="270"/>
        <v/>
      </c>
      <c r="AN846" s="170"/>
    </row>
    <row r="847" spans="10:40" ht="20.100000000000001" customHeight="1" thickBot="1">
      <c r="J847" s="45" t="str">
        <f t="shared" si="261"/>
        <v>TEST</v>
      </c>
      <c r="K847" s="45" t="s">
        <v>131</v>
      </c>
      <c r="L847" s="45" t="str">
        <f t="shared" si="262"/>
        <v>1W-TEST@W</v>
      </c>
      <c r="M847" s="75" t="str">
        <f t="shared" si="271"/>
        <v>368, 367, 361, 358, 357, 356, 355, 353, 352, 356, 355, 353, 352</v>
      </c>
      <c r="N847" s="75" t="str">
        <f t="shared" si="272"/>
        <v>63, 56, 55</v>
      </c>
      <c r="R847" s="70" t="s">
        <v>269</v>
      </c>
      <c r="S847" s="70" t="s">
        <v>59</v>
      </c>
      <c r="T847" s="70" t="s">
        <v>57</v>
      </c>
      <c r="U847" s="70"/>
      <c r="V847" s="70"/>
      <c r="X847" s="70" t="str">
        <f t="shared" si="257"/>
        <v>1W-W DT@W</v>
      </c>
      <c r="Y847" s="70" t="str">
        <f t="shared" si="258"/>
        <v>W DT-TEST@W</v>
      </c>
      <c r="Z847" s="70" t="str">
        <f t="shared" si="259"/>
        <v/>
      </c>
      <c r="AA847" s="70" t="str">
        <f t="shared" si="260"/>
        <v/>
      </c>
      <c r="AC847" s="70" t="str">
        <f t="shared" si="263"/>
        <v>368, 367, 361, 358, 357, 356, 355, 353, 352</v>
      </c>
      <c r="AD847" s="70" t="str">
        <f t="shared" si="264"/>
        <v>356, 355, 353, 352</v>
      </c>
      <c r="AE847" s="70" t="str">
        <f t="shared" si="265"/>
        <v/>
      </c>
      <c r="AF847" s="70" t="str">
        <f t="shared" si="266"/>
        <v/>
      </c>
      <c r="AH847" s="70" t="str">
        <f t="shared" si="267"/>
        <v>63, 56</v>
      </c>
      <c r="AI847" s="70">
        <f t="shared" si="268"/>
        <v>55</v>
      </c>
      <c r="AJ847" s="70" t="str">
        <f t="shared" si="269"/>
        <v/>
      </c>
      <c r="AK847" s="70" t="str">
        <f t="shared" si="270"/>
        <v/>
      </c>
      <c r="AN847" s="170"/>
    </row>
    <row r="848" spans="10:40" ht="20.100000000000001" customHeight="1" thickBot="1">
      <c r="J848" s="45" t="str">
        <f t="shared" si="261"/>
        <v>TEST</v>
      </c>
      <c r="K848" s="45" t="s">
        <v>131</v>
      </c>
      <c r="L848" s="45" t="str">
        <f t="shared" si="262"/>
        <v>2E-TEST@W</v>
      </c>
      <c r="M848" s="75" t="str">
        <f t="shared" si="271"/>
        <v>370, 369, 367, 361, 358, 357, 356, 355, 353, 352, 356, 355, 353, 352</v>
      </c>
      <c r="N848" s="75" t="str">
        <f t="shared" si="272"/>
        <v>64, 56, 55</v>
      </c>
      <c r="R848" s="70" t="s">
        <v>276</v>
      </c>
      <c r="S848" s="70" t="s">
        <v>59</v>
      </c>
      <c r="T848" s="70" t="s">
        <v>57</v>
      </c>
      <c r="U848" s="70"/>
      <c r="V848" s="70"/>
      <c r="X848" s="70" t="str">
        <f t="shared" si="257"/>
        <v>2E-W DT@W</v>
      </c>
      <c r="Y848" s="70" t="str">
        <f t="shared" si="258"/>
        <v>W DT-TEST@W</v>
      </c>
      <c r="Z848" s="70" t="str">
        <f t="shared" si="259"/>
        <v/>
      </c>
      <c r="AA848" s="70" t="str">
        <f t="shared" si="260"/>
        <v/>
      </c>
      <c r="AC848" s="70" t="str">
        <f t="shared" si="263"/>
        <v>370, 369, 367, 361, 358, 357, 356, 355, 353, 352</v>
      </c>
      <c r="AD848" s="70" t="str">
        <f t="shared" si="264"/>
        <v>356, 355, 353, 352</v>
      </c>
      <c r="AE848" s="70" t="str">
        <f t="shared" si="265"/>
        <v/>
      </c>
      <c r="AF848" s="70" t="str">
        <f t="shared" si="266"/>
        <v/>
      </c>
      <c r="AH848" s="70" t="str">
        <f t="shared" si="267"/>
        <v>64, 56</v>
      </c>
      <c r="AI848" s="70">
        <f t="shared" si="268"/>
        <v>55</v>
      </c>
      <c r="AJ848" s="70" t="str">
        <f t="shared" si="269"/>
        <v/>
      </c>
      <c r="AK848" s="70" t="str">
        <f t="shared" si="270"/>
        <v/>
      </c>
      <c r="AN848" s="170"/>
    </row>
    <row r="849" spans="10:40" ht="20.100000000000001" customHeight="1" thickBot="1">
      <c r="J849" s="45" t="str">
        <f t="shared" si="261"/>
        <v>TEST</v>
      </c>
      <c r="K849" s="45" t="s">
        <v>131</v>
      </c>
      <c r="L849" s="45" t="str">
        <f t="shared" si="262"/>
        <v>2W-TEST@W</v>
      </c>
      <c r="M849" s="75" t="str">
        <f t="shared" si="271"/>
        <v>370, 369, 367, 361, 358, 357, 356, 355, 353, 352, 356, 355, 353, 352</v>
      </c>
      <c r="N849" s="75" t="str">
        <f t="shared" si="272"/>
        <v>64, 56, 55</v>
      </c>
      <c r="R849" s="70" t="s">
        <v>285</v>
      </c>
      <c r="S849" s="70" t="s">
        <v>59</v>
      </c>
      <c r="T849" s="70" t="s">
        <v>57</v>
      </c>
      <c r="U849" s="70"/>
      <c r="V849" s="70"/>
      <c r="X849" s="70" t="str">
        <f t="shared" si="257"/>
        <v>2W-W DT@W</v>
      </c>
      <c r="Y849" s="70" t="str">
        <f t="shared" si="258"/>
        <v>W DT-TEST@W</v>
      </c>
      <c r="Z849" s="70" t="str">
        <f t="shared" si="259"/>
        <v/>
      </c>
      <c r="AA849" s="70" t="str">
        <f t="shared" si="260"/>
        <v/>
      </c>
      <c r="AC849" s="70" t="str">
        <f t="shared" si="263"/>
        <v>370, 369, 367, 361, 358, 357, 356, 355, 353, 352</v>
      </c>
      <c r="AD849" s="70" t="str">
        <f t="shared" si="264"/>
        <v>356, 355, 353, 352</v>
      </c>
      <c r="AE849" s="70" t="str">
        <f t="shared" si="265"/>
        <v/>
      </c>
      <c r="AF849" s="70" t="str">
        <f t="shared" si="266"/>
        <v/>
      </c>
      <c r="AH849" s="70" t="str">
        <f t="shared" si="267"/>
        <v>64, 56</v>
      </c>
      <c r="AI849" s="70">
        <f t="shared" si="268"/>
        <v>55</v>
      </c>
      <c r="AJ849" s="70" t="str">
        <f t="shared" si="269"/>
        <v/>
      </c>
      <c r="AK849" s="70" t="str">
        <f t="shared" si="270"/>
        <v/>
      </c>
      <c r="AN849" s="170"/>
    </row>
    <row r="850" spans="10:40" ht="20.100000000000001" customHeight="1" thickBot="1">
      <c r="J850" s="45" t="str">
        <f t="shared" si="261"/>
        <v>TEST</v>
      </c>
      <c r="K850" s="45" t="s">
        <v>131</v>
      </c>
      <c r="L850" s="45" t="str">
        <f t="shared" si="262"/>
        <v>3E-TEST@W</v>
      </c>
      <c r="M850" s="75" t="str">
        <f t="shared" si="271"/>
        <v>370, 369, 367, 361, 358, 357, 356, 355, 353, 352, 356, 355, 353, 352</v>
      </c>
      <c r="N850" s="75" t="str">
        <f t="shared" si="272"/>
        <v>65, 56, 55</v>
      </c>
      <c r="R850" s="70" t="s">
        <v>293</v>
      </c>
      <c r="S850" s="70" t="s">
        <v>59</v>
      </c>
      <c r="T850" s="70" t="s">
        <v>57</v>
      </c>
      <c r="U850" s="70"/>
      <c r="V850" s="70"/>
      <c r="X850" s="70" t="str">
        <f t="shared" si="257"/>
        <v>3E-W DT@W</v>
      </c>
      <c r="Y850" s="70" t="str">
        <f t="shared" si="258"/>
        <v>W DT-TEST@W</v>
      </c>
      <c r="Z850" s="70" t="str">
        <f t="shared" si="259"/>
        <v/>
      </c>
      <c r="AA850" s="70" t="str">
        <f t="shared" si="260"/>
        <v/>
      </c>
      <c r="AC850" s="70" t="str">
        <f t="shared" si="263"/>
        <v>370, 369, 367, 361, 358, 357, 356, 355, 353, 352</v>
      </c>
      <c r="AD850" s="70" t="str">
        <f t="shared" si="264"/>
        <v>356, 355, 353, 352</v>
      </c>
      <c r="AE850" s="70" t="str">
        <f t="shared" si="265"/>
        <v/>
      </c>
      <c r="AF850" s="70" t="str">
        <f t="shared" si="266"/>
        <v/>
      </c>
      <c r="AH850" s="70" t="str">
        <f t="shared" si="267"/>
        <v>65, 56</v>
      </c>
      <c r="AI850" s="70">
        <f t="shared" si="268"/>
        <v>55</v>
      </c>
      <c r="AJ850" s="70" t="str">
        <f t="shared" si="269"/>
        <v/>
      </c>
      <c r="AK850" s="70" t="str">
        <f t="shared" si="270"/>
        <v/>
      </c>
      <c r="AN850" s="170"/>
    </row>
    <row r="851" spans="10:40" ht="20.100000000000001" customHeight="1" thickBot="1">
      <c r="J851" s="45" t="str">
        <f t="shared" si="261"/>
        <v>TEST</v>
      </c>
      <c r="K851" s="45" t="s">
        <v>131</v>
      </c>
      <c r="L851" s="45" t="str">
        <f t="shared" si="262"/>
        <v>3W-TEST@W</v>
      </c>
      <c r="M851" s="75" t="str">
        <f t="shared" si="271"/>
        <v>370, 369, 367, 361, 358, 357, 356, 355, 353, 352, 356, 355, 353, 352</v>
      </c>
      <c r="N851" s="75" t="str">
        <f t="shared" si="272"/>
        <v>65, 56, 55</v>
      </c>
      <c r="R851" s="70" t="s">
        <v>301</v>
      </c>
      <c r="S851" s="70" t="s">
        <v>59</v>
      </c>
      <c r="T851" s="70" t="s">
        <v>57</v>
      </c>
      <c r="U851" s="70"/>
      <c r="V851" s="70"/>
      <c r="X851" s="70" t="str">
        <f t="shared" ref="X851:X861" si="273">IF(S851="","",CONCATENATE(R851,"-",S851,"@",$K851))</f>
        <v>3W-W DT@W</v>
      </c>
      <c r="Y851" s="70" t="str">
        <f t="shared" ref="Y851:Y861" si="274">IF(T851="","",CONCATENATE(S851,"-",T851,"@",$K851))</f>
        <v>W DT-TEST@W</v>
      </c>
      <c r="Z851" s="70" t="str">
        <f t="shared" ref="Z851:Z861" si="275">IF(U851="","",CONCATENATE(T851,"-",U851,"@",$K851))</f>
        <v/>
      </c>
      <c r="AA851" s="70" t="str">
        <f t="shared" ref="AA851:AA861" si="276">IF(V851="","",CONCATENATE(U851,"-",V851,"@",$K851))</f>
        <v/>
      </c>
      <c r="AC851" s="70" t="str">
        <f t="shared" si="263"/>
        <v>370, 369, 367, 361, 358, 357, 356, 355, 353, 352</v>
      </c>
      <c r="AD851" s="70" t="str">
        <f t="shared" si="264"/>
        <v>356, 355, 353, 352</v>
      </c>
      <c r="AE851" s="70" t="str">
        <f t="shared" si="265"/>
        <v/>
      </c>
      <c r="AF851" s="70" t="str">
        <f t="shared" si="266"/>
        <v/>
      </c>
      <c r="AH851" s="70" t="str">
        <f t="shared" si="267"/>
        <v>65, 56</v>
      </c>
      <c r="AI851" s="70">
        <f t="shared" si="268"/>
        <v>55</v>
      </c>
      <c r="AJ851" s="70" t="str">
        <f t="shared" si="269"/>
        <v/>
      </c>
      <c r="AK851" s="70" t="str">
        <f t="shared" si="270"/>
        <v/>
      </c>
      <c r="AN851" s="170"/>
    </row>
    <row r="852" spans="10:40" ht="20.100000000000001" customHeight="1" thickBot="1">
      <c r="J852" s="45" t="str">
        <f t="shared" si="261"/>
        <v>TEST</v>
      </c>
      <c r="K852" s="45" t="s">
        <v>131</v>
      </c>
      <c r="L852" s="45" t="str">
        <f t="shared" si="262"/>
        <v>4E-TEST@W</v>
      </c>
      <c r="M852" s="75" t="str">
        <f t="shared" si="271"/>
        <v>369, 367, 361, 358, 357, 356, 355, 353, 352, 356, 355, 353, 352</v>
      </c>
      <c r="N852" s="75" t="str">
        <f t="shared" si="272"/>
        <v>66, 56, 55</v>
      </c>
      <c r="R852" s="70" t="s">
        <v>309</v>
      </c>
      <c r="S852" s="70" t="s">
        <v>59</v>
      </c>
      <c r="T852" s="70" t="s">
        <v>57</v>
      </c>
      <c r="U852" s="70"/>
      <c r="V852" s="70"/>
      <c r="X852" s="70" t="str">
        <f t="shared" si="273"/>
        <v>4E-W DT@W</v>
      </c>
      <c r="Y852" s="70" t="str">
        <f t="shared" si="274"/>
        <v>W DT-TEST@W</v>
      </c>
      <c r="Z852" s="70" t="str">
        <f t="shared" si="275"/>
        <v/>
      </c>
      <c r="AA852" s="70" t="str">
        <f t="shared" si="276"/>
        <v/>
      </c>
      <c r="AC852" s="70" t="str">
        <f t="shared" si="263"/>
        <v>369, 367, 361, 358, 357, 356, 355, 353, 352</v>
      </c>
      <c r="AD852" s="70" t="str">
        <f t="shared" si="264"/>
        <v>356, 355, 353, 352</v>
      </c>
      <c r="AE852" s="70" t="str">
        <f t="shared" si="265"/>
        <v/>
      </c>
      <c r="AF852" s="70" t="str">
        <f t="shared" si="266"/>
        <v/>
      </c>
      <c r="AH852" s="70" t="str">
        <f t="shared" si="267"/>
        <v>66, 56</v>
      </c>
      <c r="AI852" s="70">
        <f t="shared" si="268"/>
        <v>55</v>
      </c>
      <c r="AJ852" s="70" t="str">
        <f t="shared" si="269"/>
        <v/>
      </c>
      <c r="AK852" s="70" t="str">
        <f t="shared" si="270"/>
        <v/>
      </c>
      <c r="AN852" s="170"/>
    </row>
    <row r="853" spans="10:40" ht="20.100000000000001" customHeight="1" thickBot="1">
      <c r="J853" s="45" t="str">
        <f t="shared" si="261"/>
        <v>TEST</v>
      </c>
      <c r="K853" s="45" t="s">
        <v>131</v>
      </c>
      <c r="L853" s="45" t="str">
        <f t="shared" si="262"/>
        <v>4W-TEST@W</v>
      </c>
      <c r="M853" s="75" t="str">
        <f t="shared" si="271"/>
        <v>369, 367, 361, 358, 357, 356, 355, 353, 352, 356, 355, 353, 352</v>
      </c>
      <c r="N853" s="75" t="str">
        <f t="shared" si="272"/>
        <v>66, 56, 55</v>
      </c>
      <c r="R853" s="70" t="s">
        <v>318</v>
      </c>
      <c r="S853" s="70" t="s">
        <v>59</v>
      </c>
      <c r="T853" s="70" t="s">
        <v>57</v>
      </c>
      <c r="U853" s="70"/>
      <c r="V853" s="70"/>
      <c r="X853" s="70" t="str">
        <f t="shared" si="273"/>
        <v>4W-W DT@W</v>
      </c>
      <c r="Y853" s="70" t="str">
        <f t="shared" si="274"/>
        <v>W DT-TEST@W</v>
      </c>
      <c r="Z853" s="70" t="str">
        <f t="shared" si="275"/>
        <v/>
      </c>
      <c r="AA853" s="70" t="str">
        <f t="shared" si="276"/>
        <v/>
      </c>
      <c r="AC853" s="70" t="str">
        <f t="shared" si="263"/>
        <v>369, 367, 361, 358, 357, 356, 355, 353, 352</v>
      </c>
      <c r="AD853" s="70" t="str">
        <f t="shared" si="264"/>
        <v>356, 355, 353, 352</v>
      </c>
      <c r="AE853" s="70" t="str">
        <f t="shared" si="265"/>
        <v/>
      </c>
      <c r="AF853" s="70" t="str">
        <f t="shared" si="266"/>
        <v/>
      </c>
      <c r="AH853" s="70" t="str">
        <f t="shared" si="267"/>
        <v>66, 56</v>
      </c>
      <c r="AI853" s="70">
        <f t="shared" si="268"/>
        <v>55</v>
      </c>
      <c r="AJ853" s="70" t="str">
        <f t="shared" si="269"/>
        <v/>
      </c>
      <c r="AK853" s="70" t="str">
        <f t="shared" si="270"/>
        <v/>
      </c>
      <c r="AN853" s="170"/>
    </row>
    <row r="854" spans="10:40" ht="20.100000000000001" customHeight="1" thickBot="1">
      <c r="J854" s="45" t="str">
        <f t="shared" si="261"/>
        <v>TEST</v>
      </c>
      <c r="K854" s="45" t="s">
        <v>131</v>
      </c>
      <c r="L854" s="45" t="str">
        <f t="shared" si="262"/>
        <v>5E-TEST@W</v>
      </c>
      <c r="M854" s="75" t="str">
        <f t="shared" si="271"/>
        <v>375, 374, 360, 357, 356, 355, 353, 352, 356, 355, 353, 352</v>
      </c>
      <c r="N854" s="75" t="str">
        <f t="shared" si="272"/>
        <v>67, 56, 55</v>
      </c>
      <c r="R854" s="70" t="s">
        <v>325</v>
      </c>
      <c r="S854" s="70" t="s">
        <v>59</v>
      </c>
      <c r="T854" s="70" t="s">
        <v>57</v>
      </c>
      <c r="U854" s="70"/>
      <c r="V854" s="70"/>
      <c r="X854" s="70" t="str">
        <f t="shared" si="273"/>
        <v>5E-W DT@W</v>
      </c>
      <c r="Y854" s="70" t="str">
        <f t="shared" si="274"/>
        <v>W DT-TEST@W</v>
      </c>
      <c r="Z854" s="70" t="str">
        <f t="shared" si="275"/>
        <v/>
      </c>
      <c r="AA854" s="70" t="str">
        <f t="shared" si="276"/>
        <v/>
      </c>
      <c r="AC854" s="70" t="str">
        <f t="shared" si="263"/>
        <v>375, 374, 360, 357, 356, 355, 353, 352</v>
      </c>
      <c r="AD854" s="70" t="str">
        <f t="shared" si="264"/>
        <v>356, 355, 353, 352</v>
      </c>
      <c r="AE854" s="70" t="str">
        <f t="shared" si="265"/>
        <v/>
      </c>
      <c r="AF854" s="70" t="str">
        <f t="shared" si="266"/>
        <v/>
      </c>
      <c r="AH854" s="70" t="str">
        <f t="shared" si="267"/>
        <v>67, 56</v>
      </c>
      <c r="AI854" s="70">
        <f t="shared" si="268"/>
        <v>55</v>
      </c>
      <c r="AJ854" s="70" t="str">
        <f t="shared" si="269"/>
        <v/>
      </c>
      <c r="AK854" s="70" t="str">
        <f t="shared" si="270"/>
        <v/>
      </c>
      <c r="AN854" s="170"/>
    </row>
    <row r="855" spans="10:40" ht="20.100000000000001" customHeight="1" thickBot="1">
      <c r="J855" s="45" t="str">
        <f t="shared" si="261"/>
        <v>TEST</v>
      </c>
      <c r="K855" s="45" t="s">
        <v>131</v>
      </c>
      <c r="L855" s="45" t="str">
        <f t="shared" si="262"/>
        <v>5W-TEST@W</v>
      </c>
      <c r="M855" s="75" t="str">
        <f t="shared" si="271"/>
        <v>375, 374, 360, 357, 356, 355, 353, 352, 356, 355, 353, 352</v>
      </c>
      <c r="N855" s="75" t="str">
        <f t="shared" si="272"/>
        <v>67, 56, 55</v>
      </c>
      <c r="R855" s="70" t="s">
        <v>333</v>
      </c>
      <c r="S855" s="70" t="s">
        <v>59</v>
      </c>
      <c r="T855" s="70" t="s">
        <v>57</v>
      </c>
      <c r="U855" s="70"/>
      <c r="V855" s="70"/>
      <c r="X855" s="70" t="str">
        <f t="shared" si="273"/>
        <v>5W-W DT@W</v>
      </c>
      <c r="Y855" s="70" t="str">
        <f t="shared" si="274"/>
        <v>W DT-TEST@W</v>
      </c>
      <c r="Z855" s="70" t="str">
        <f t="shared" si="275"/>
        <v/>
      </c>
      <c r="AA855" s="70" t="str">
        <f t="shared" si="276"/>
        <v/>
      </c>
      <c r="AC855" s="70" t="str">
        <f t="shared" si="263"/>
        <v>375, 374, 360, 357, 356, 355, 353, 352</v>
      </c>
      <c r="AD855" s="70" t="str">
        <f t="shared" si="264"/>
        <v>356, 355, 353, 352</v>
      </c>
      <c r="AE855" s="70" t="str">
        <f t="shared" si="265"/>
        <v/>
      </c>
      <c r="AF855" s="70" t="str">
        <f t="shared" si="266"/>
        <v/>
      </c>
      <c r="AH855" s="70" t="str">
        <f t="shared" si="267"/>
        <v>67, 56</v>
      </c>
      <c r="AI855" s="70">
        <f t="shared" si="268"/>
        <v>55</v>
      </c>
      <c r="AJ855" s="70" t="str">
        <f t="shared" si="269"/>
        <v/>
      </c>
      <c r="AK855" s="70" t="str">
        <f t="shared" si="270"/>
        <v/>
      </c>
      <c r="AN855" s="170"/>
    </row>
    <row r="856" spans="10:40" ht="20.100000000000001" customHeight="1" thickBot="1">
      <c r="J856" s="45" t="str">
        <f t="shared" si="261"/>
        <v>TEST</v>
      </c>
      <c r="K856" s="45" t="s">
        <v>131</v>
      </c>
      <c r="L856" s="45" t="str">
        <f t="shared" si="262"/>
        <v>6E-TEST@W</v>
      </c>
      <c r="M856" s="75" t="str">
        <f t="shared" si="271"/>
        <v>375, 374, 360, 357, 356, 355, 353, 352, 356, 355, 353, 352</v>
      </c>
      <c r="N856" s="75" t="str">
        <f t="shared" si="272"/>
        <v>68, 56, 55</v>
      </c>
      <c r="R856" s="70" t="s">
        <v>339</v>
      </c>
      <c r="S856" s="70" t="s">
        <v>59</v>
      </c>
      <c r="T856" s="70" t="s">
        <v>57</v>
      </c>
      <c r="U856" s="70"/>
      <c r="V856" s="70"/>
      <c r="X856" s="70" t="str">
        <f t="shared" si="273"/>
        <v>6E-W DT@W</v>
      </c>
      <c r="Y856" s="70" t="str">
        <f t="shared" si="274"/>
        <v>W DT-TEST@W</v>
      </c>
      <c r="Z856" s="70" t="str">
        <f t="shared" si="275"/>
        <v/>
      </c>
      <c r="AA856" s="70" t="str">
        <f t="shared" si="276"/>
        <v/>
      </c>
      <c r="AC856" s="70" t="str">
        <f t="shared" si="263"/>
        <v>375, 374, 360, 357, 356, 355, 353, 352</v>
      </c>
      <c r="AD856" s="70" t="str">
        <f t="shared" si="264"/>
        <v>356, 355, 353, 352</v>
      </c>
      <c r="AE856" s="70" t="str">
        <f t="shared" si="265"/>
        <v/>
      </c>
      <c r="AF856" s="70" t="str">
        <f t="shared" si="266"/>
        <v/>
      </c>
      <c r="AH856" s="70" t="str">
        <f t="shared" si="267"/>
        <v>68, 56</v>
      </c>
      <c r="AI856" s="70">
        <f t="shared" si="268"/>
        <v>55</v>
      </c>
      <c r="AJ856" s="70" t="str">
        <f t="shared" si="269"/>
        <v/>
      </c>
      <c r="AK856" s="70" t="str">
        <f t="shared" si="270"/>
        <v/>
      </c>
      <c r="AN856" s="170"/>
    </row>
    <row r="857" spans="10:40" ht="20.100000000000001" customHeight="1" thickBot="1">
      <c r="J857" s="45" t="str">
        <f t="shared" si="261"/>
        <v>TEST</v>
      </c>
      <c r="K857" s="45" t="s">
        <v>131</v>
      </c>
      <c r="L857" s="45" t="str">
        <f t="shared" si="262"/>
        <v>6W-TEST@W</v>
      </c>
      <c r="M857" s="75" t="str">
        <f t="shared" si="271"/>
        <v>375, 374, 360, 357, 356, 355, 353, 352, 356, 355, 353, 352</v>
      </c>
      <c r="N857" s="75" t="str">
        <f t="shared" si="272"/>
        <v>68, 56, 55</v>
      </c>
      <c r="R857" s="70" t="s">
        <v>346</v>
      </c>
      <c r="S857" s="70" t="s">
        <v>59</v>
      </c>
      <c r="T857" s="70" t="s">
        <v>57</v>
      </c>
      <c r="U857" s="70"/>
      <c r="V857" s="70"/>
      <c r="X857" s="70" t="str">
        <f t="shared" si="273"/>
        <v>6W-W DT@W</v>
      </c>
      <c r="Y857" s="70" t="str">
        <f t="shared" si="274"/>
        <v>W DT-TEST@W</v>
      </c>
      <c r="Z857" s="70" t="str">
        <f t="shared" si="275"/>
        <v/>
      </c>
      <c r="AA857" s="70" t="str">
        <f t="shared" si="276"/>
        <v/>
      </c>
      <c r="AC857" s="70" t="str">
        <f t="shared" si="263"/>
        <v>375, 374, 360, 357, 356, 355, 353, 352</v>
      </c>
      <c r="AD857" s="70" t="str">
        <f t="shared" si="264"/>
        <v>356, 355, 353, 352</v>
      </c>
      <c r="AE857" s="70" t="str">
        <f t="shared" si="265"/>
        <v/>
      </c>
      <c r="AF857" s="70" t="str">
        <f t="shared" si="266"/>
        <v/>
      </c>
      <c r="AH857" s="70" t="str">
        <f t="shared" si="267"/>
        <v>68, 56</v>
      </c>
      <c r="AI857" s="70">
        <f t="shared" si="268"/>
        <v>55</v>
      </c>
      <c r="AJ857" s="70" t="str">
        <f t="shared" si="269"/>
        <v/>
      </c>
      <c r="AK857" s="70" t="str">
        <f t="shared" si="270"/>
        <v/>
      </c>
      <c r="AN857" s="170"/>
    </row>
    <row r="858" spans="10:40" ht="20.100000000000001" customHeight="1" thickBot="1">
      <c r="J858" s="45" t="str">
        <f t="shared" si="261"/>
        <v>TEST</v>
      </c>
      <c r="K858" s="45" t="s">
        <v>131</v>
      </c>
      <c r="L858" s="45" t="str">
        <f t="shared" si="262"/>
        <v>7E-TEST@W</v>
      </c>
      <c r="M858" s="75" t="str">
        <f t="shared" si="271"/>
        <v>376, 374, 360, 357, 356, 355, 353, 352, 356, 355, 353, 352</v>
      </c>
      <c r="N858" s="75" t="str">
        <f t="shared" si="272"/>
        <v>69, 56, 55</v>
      </c>
      <c r="R858" s="70" t="s">
        <v>354</v>
      </c>
      <c r="S858" s="70" t="s">
        <v>59</v>
      </c>
      <c r="T858" s="70" t="s">
        <v>57</v>
      </c>
      <c r="U858" s="70"/>
      <c r="V858" s="70"/>
      <c r="X858" s="70" t="str">
        <f t="shared" si="273"/>
        <v>7E-W DT@W</v>
      </c>
      <c r="Y858" s="70" t="str">
        <f t="shared" si="274"/>
        <v>W DT-TEST@W</v>
      </c>
      <c r="Z858" s="70" t="str">
        <f t="shared" si="275"/>
        <v/>
      </c>
      <c r="AA858" s="70" t="str">
        <f t="shared" si="276"/>
        <v/>
      </c>
      <c r="AC858" s="70" t="str">
        <f t="shared" si="263"/>
        <v>376, 374, 360, 357, 356, 355, 353, 352</v>
      </c>
      <c r="AD858" s="70" t="str">
        <f t="shared" si="264"/>
        <v>356, 355, 353, 352</v>
      </c>
      <c r="AE858" s="70" t="str">
        <f t="shared" si="265"/>
        <v/>
      </c>
      <c r="AF858" s="70" t="str">
        <f t="shared" si="266"/>
        <v/>
      </c>
      <c r="AH858" s="70" t="str">
        <f t="shared" si="267"/>
        <v>69, 56</v>
      </c>
      <c r="AI858" s="70">
        <f t="shared" si="268"/>
        <v>55</v>
      </c>
      <c r="AJ858" s="70" t="str">
        <f t="shared" si="269"/>
        <v/>
      </c>
      <c r="AK858" s="70" t="str">
        <f t="shared" si="270"/>
        <v/>
      </c>
      <c r="AN858" s="170"/>
    </row>
    <row r="859" spans="10:40" ht="20.100000000000001" customHeight="1" thickBot="1">
      <c r="J859" s="45" t="str">
        <f t="shared" si="261"/>
        <v>TEST</v>
      </c>
      <c r="K859" s="45" t="s">
        <v>131</v>
      </c>
      <c r="L859" s="45" t="str">
        <f t="shared" si="262"/>
        <v>7W-TEST@W</v>
      </c>
      <c r="M859" s="75" t="str">
        <f t="shared" si="271"/>
        <v>376, 374, 360, 357, 356, 355, 353, 352, 356, 355, 353, 352</v>
      </c>
      <c r="N859" s="75" t="str">
        <f t="shared" si="272"/>
        <v>69, 56, 55</v>
      </c>
      <c r="R859" s="70" t="s">
        <v>363</v>
      </c>
      <c r="S859" s="70" t="s">
        <v>59</v>
      </c>
      <c r="T859" s="70" t="s">
        <v>57</v>
      </c>
      <c r="U859" s="70"/>
      <c r="V859" s="70"/>
      <c r="X859" s="70" t="str">
        <f t="shared" si="273"/>
        <v>7W-W DT@W</v>
      </c>
      <c r="Y859" s="70" t="str">
        <f t="shared" si="274"/>
        <v>W DT-TEST@W</v>
      </c>
      <c r="Z859" s="70" t="str">
        <f t="shared" si="275"/>
        <v/>
      </c>
      <c r="AA859" s="70" t="str">
        <f t="shared" si="276"/>
        <v/>
      </c>
      <c r="AC859" s="70" t="str">
        <f t="shared" si="263"/>
        <v>376, 374, 360, 357, 356, 355, 353, 352</v>
      </c>
      <c r="AD859" s="70" t="str">
        <f t="shared" si="264"/>
        <v>356, 355, 353, 352</v>
      </c>
      <c r="AE859" s="70" t="str">
        <f t="shared" si="265"/>
        <v/>
      </c>
      <c r="AF859" s="70" t="str">
        <f t="shared" si="266"/>
        <v/>
      </c>
      <c r="AH859" s="70" t="str">
        <f t="shared" si="267"/>
        <v>69, 56</v>
      </c>
      <c r="AI859" s="70">
        <f t="shared" si="268"/>
        <v>55</v>
      </c>
      <c r="AJ859" s="70" t="str">
        <f t="shared" si="269"/>
        <v/>
      </c>
      <c r="AK859" s="70" t="str">
        <f t="shared" si="270"/>
        <v/>
      </c>
      <c r="AN859" s="170"/>
    </row>
    <row r="860" spans="10:40" ht="20.100000000000001" customHeight="1" thickBot="1">
      <c r="J860" s="45" t="str">
        <f t="shared" si="261"/>
        <v>TEST</v>
      </c>
      <c r="K860" s="45" t="s">
        <v>131</v>
      </c>
      <c r="L860" s="45" t="str">
        <f t="shared" si="262"/>
        <v>8E-TEST@W</v>
      </c>
      <c r="M860" s="75" t="str">
        <f t="shared" si="271"/>
        <v>376, 374, 360, 357, 356, 355, 353, 352, 356, 355, 353, 352</v>
      </c>
      <c r="N860" s="75" t="str">
        <f t="shared" si="272"/>
        <v>70, 56, 55</v>
      </c>
      <c r="R860" s="70" t="s">
        <v>370</v>
      </c>
      <c r="S860" s="70" t="s">
        <v>59</v>
      </c>
      <c r="T860" s="70" t="s">
        <v>57</v>
      </c>
      <c r="U860" s="70"/>
      <c r="V860" s="70"/>
      <c r="X860" s="70" t="str">
        <f t="shared" si="273"/>
        <v>8E-W DT@W</v>
      </c>
      <c r="Y860" s="70" t="str">
        <f t="shared" si="274"/>
        <v>W DT-TEST@W</v>
      </c>
      <c r="Z860" s="70" t="str">
        <f t="shared" si="275"/>
        <v/>
      </c>
      <c r="AA860" s="70" t="str">
        <f t="shared" si="276"/>
        <v/>
      </c>
      <c r="AC860" s="70" t="str">
        <f t="shared" si="263"/>
        <v>376, 374, 360, 357, 356, 355, 353, 352</v>
      </c>
      <c r="AD860" s="70" t="str">
        <f t="shared" si="264"/>
        <v>356, 355, 353, 352</v>
      </c>
      <c r="AE860" s="70" t="str">
        <f t="shared" si="265"/>
        <v/>
      </c>
      <c r="AF860" s="70" t="str">
        <f t="shared" si="266"/>
        <v/>
      </c>
      <c r="AH860" s="70" t="str">
        <f t="shared" si="267"/>
        <v>70, 56</v>
      </c>
      <c r="AI860" s="70">
        <f t="shared" si="268"/>
        <v>55</v>
      </c>
      <c r="AJ860" s="70" t="str">
        <f t="shared" si="269"/>
        <v/>
      </c>
      <c r="AK860" s="70" t="str">
        <f t="shared" si="270"/>
        <v/>
      </c>
      <c r="AN860" s="170"/>
    </row>
    <row r="861" spans="10:40" ht="20.100000000000001" customHeight="1" thickBot="1">
      <c r="J861" s="45" t="str">
        <f t="shared" si="261"/>
        <v>TEST</v>
      </c>
      <c r="K861" s="45" t="s">
        <v>131</v>
      </c>
      <c r="L861" s="45" t="str">
        <f t="shared" si="262"/>
        <v>8W-TEST@W</v>
      </c>
      <c r="M861" s="75" t="str">
        <f t="shared" si="271"/>
        <v>376, 374, 360, 357, 356, 355, 353, 352, 356, 355, 353, 352</v>
      </c>
      <c r="N861" s="75" t="str">
        <f t="shared" si="272"/>
        <v>70, 56, 55</v>
      </c>
      <c r="R861" s="70" t="s">
        <v>377</v>
      </c>
      <c r="S861" s="70" t="s">
        <v>59</v>
      </c>
      <c r="T861" s="70" t="s">
        <v>57</v>
      </c>
      <c r="U861" s="70"/>
      <c r="V861" s="70"/>
      <c r="X861" s="70" t="str">
        <f t="shared" si="273"/>
        <v>8W-W DT@W</v>
      </c>
      <c r="Y861" s="70" t="str">
        <f t="shared" si="274"/>
        <v>W DT-TEST@W</v>
      </c>
      <c r="Z861" s="70" t="str">
        <f t="shared" si="275"/>
        <v/>
      </c>
      <c r="AA861" s="70" t="str">
        <f t="shared" si="276"/>
        <v/>
      </c>
      <c r="AC861" s="70" t="str">
        <f t="shared" si="263"/>
        <v>376, 374, 360, 357, 356, 355, 353, 352</v>
      </c>
      <c r="AD861" s="70" t="str">
        <f t="shared" si="264"/>
        <v>356, 355, 353, 352</v>
      </c>
      <c r="AE861" s="70" t="str">
        <f t="shared" si="265"/>
        <v/>
      </c>
      <c r="AF861" s="70" t="str">
        <f t="shared" si="266"/>
        <v/>
      </c>
      <c r="AH861" s="70" t="str">
        <f t="shared" si="267"/>
        <v>70, 56</v>
      </c>
      <c r="AI861" s="70">
        <f t="shared" si="268"/>
        <v>55</v>
      </c>
      <c r="AJ861" s="70" t="str">
        <f t="shared" si="269"/>
        <v/>
      </c>
      <c r="AK861" s="70" t="str">
        <f t="shared" si="270"/>
        <v/>
      </c>
      <c r="AN861" s="170"/>
    </row>
    <row r="862" spans="10:40" ht="20.100000000000001" customHeight="1">
      <c r="L862" s="45" t="s">
        <v>150</v>
      </c>
      <c r="M862" s="45" t="s">
        <v>151</v>
      </c>
      <c r="N862" s="45" t="s">
        <v>152</v>
      </c>
      <c r="AN862" s="170"/>
    </row>
    <row r="863" spans="10:40" ht="20.100000000000001" customHeight="1">
      <c r="L863" s="45" t="s">
        <v>156</v>
      </c>
      <c r="M863" s="45" t="s">
        <v>157</v>
      </c>
      <c r="N863" s="45" t="s">
        <v>158</v>
      </c>
      <c r="AN863" s="170"/>
    </row>
    <row r="864" spans="10:40" ht="20.100000000000001" customHeight="1">
      <c r="L864" s="45" t="s">
        <v>160</v>
      </c>
      <c r="M864" s="45" t="s">
        <v>161</v>
      </c>
      <c r="N864" s="45" t="s">
        <v>162</v>
      </c>
      <c r="AN864" s="170"/>
    </row>
    <row r="865" spans="12:40" ht="20.100000000000001" customHeight="1">
      <c r="L865" s="45" t="s">
        <v>166</v>
      </c>
      <c r="M865" s="45" t="s">
        <v>167</v>
      </c>
      <c r="N865" s="45" t="s">
        <v>168</v>
      </c>
      <c r="AN865" s="170"/>
    </row>
    <row r="866" spans="12:40" ht="20.100000000000001" customHeight="1">
      <c r="L866" s="45" t="s">
        <v>172</v>
      </c>
      <c r="M866" s="45" t="s">
        <v>173</v>
      </c>
      <c r="N866" s="45" t="s">
        <v>174</v>
      </c>
      <c r="AN866" s="170"/>
    </row>
    <row r="867" spans="12:40" ht="20.100000000000001" customHeight="1">
      <c r="L867" s="45" t="s">
        <v>178</v>
      </c>
      <c r="M867" s="45" t="s">
        <v>173</v>
      </c>
      <c r="N867" s="45" t="s">
        <v>179</v>
      </c>
      <c r="AN867" s="170"/>
    </row>
    <row r="868" spans="12:40" ht="20.100000000000001" customHeight="1">
      <c r="L868" s="45" t="s">
        <v>183</v>
      </c>
      <c r="M868" s="45" t="s">
        <v>184</v>
      </c>
      <c r="N868" s="45" t="s">
        <v>185</v>
      </c>
      <c r="AN868" s="170"/>
    </row>
    <row r="869" spans="12:40" ht="20.100000000000001" customHeight="1">
      <c r="L869" s="45" t="s">
        <v>189</v>
      </c>
      <c r="M869" s="45" t="s">
        <v>184</v>
      </c>
      <c r="N869" s="45" t="s">
        <v>185</v>
      </c>
      <c r="AN869" s="170"/>
    </row>
    <row r="870" spans="12:40" ht="20.100000000000001" customHeight="1">
      <c r="L870" s="45" t="s">
        <v>192</v>
      </c>
      <c r="M870" s="45" t="s">
        <v>193</v>
      </c>
      <c r="N870" s="45" t="s">
        <v>194</v>
      </c>
      <c r="AN870" s="170"/>
    </row>
    <row r="871" spans="12:40" ht="20.100000000000001" customHeight="1">
      <c r="L871" s="45" t="s">
        <v>197</v>
      </c>
      <c r="M871" s="45" t="s">
        <v>193</v>
      </c>
      <c r="N871" s="45" t="s">
        <v>194</v>
      </c>
      <c r="AN871" s="170"/>
    </row>
    <row r="872" spans="12:40" ht="20.100000000000001" customHeight="1">
      <c r="L872" s="45" t="s">
        <v>201</v>
      </c>
      <c r="M872" s="45" t="s">
        <v>193</v>
      </c>
      <c r="N872" s="45" t="s">
        <v>202</v>
      </c>
      <c r="AN872" s="170"/>
    </row>
    <row r="873" spans="12:40" ht="20.100000000000001" customHeight="1">
      <c r="L873" s="45" t="s">
        <v>206</v>
      </c>
      <c r="M873" s="45" t="s">
        <v>193</v>
      </c>
      <c r="N873" s="45" t="s">
        <v>202</v>
      </c>
      <c r="AN873" s="170"/>
    </row>
    <row r="874" spans="12:40" ht="20.100000000000001" customHeight="1">
      <c r="L874" s="45" t="s">
        <v>209</v>
      </c>
      <c r="M874" s="45" t="s">
        <v>210</v>
      </c>
      <c r="N874" s="45" t="s">
        <v>211</v>
      </c>
      <c r="AN874" s="170"/>
    </row>
    <row r="875" spans="12:40" ht="20.100000000000001" customHeight="1">
      <c r="L875" s="45" t="s">
        <v>213</v>
      </c>
      <c r="M875" s="45" t="s">
        <v>210</v>
      </c>
      <c r="N875" s="45" t="s">
        <v>211</v>
      </c>
      <c r="AN875" s="170"/>
    </row>
    <row r="876" spans="12:40" ht="20.100000000000001" customHeight="1">
      <c r="L876" s="45" t="s">
        <v>217</v>
      </c>
      <c r="M876" s="45" t="s">
        <v>210</v>
      </c>
      <c r="N876" s="45" t="s">
        <v>218</v>
      </c>
      <c r="AN876" s="170"/>
    </row>
    <row r="877" spans="12:40" ht="20.100000000000001" customHeight="1">
      <c r="L877" s="45" t="s">
        <v>222</v>
      </c>
      <c r="M877" s="45" t="s">
        <v>210</v>
      </c>
      <c r="N877" s="45" t="s">
        <v>218</v>
      </c>
      <c r="AN877" s="170"/>
    </row>
    <row r="878" spans="12:40" ht="20.100000000000001" customHeight="1">
      <c r="L878" s="45" t="s">
        <v>225</v>
      </c>
      <c r="M878" s="45" t="s">
        <v>226</v>
      </c>
      <c r="N878" s="45" t="s">
        <v>227</v>
      </c>
      <c r="AN878" s="170"/>
    </row>
    <row r="879" spans="12:40" ht="20.100000000000001" customHeight="1">
      <c r="L879" s="45" t="s">
        <v>229</v>
      </c>
      <c r="M879" s="45" t="s">
        <v>226</v>
      </c>
      <c r="N879" s="45" t="s">
        <v>227</v>
      </c>
      <c r="AN879" s="170"/>
    </row>
    <row r="880" spans="12:40" ht="20.100000000000001" customHeight="1">
      <c r="L880" s="45" t="s">
        <v>232</v>
      </c>
      <c r="M880" s="45" t="s">
        <v>226</v>
      </c>
      <c r="N880" s="45" t="s">
        <v>233</v>
      </c>
      <c r="AN880" s="170"/>
    </row>
    <row r="881" spans="12:40" ht="20.100000000000001" customHeight="1">
      <c r="L881" s="45" t="s">
        <v>236</v>
      </c>
      <c r="M881" s="45" t="s">
        <v>226</v>
      </c>
      <c r="N881" s="45" t="s">
        <v>233</v>
      </c>
      <c r="AN881" s="170"/>
    </row>
    <row r="882" spans="12:40" ht="20.100000000000001" customHeight="1">
      <c r="L882" s="45" t="s">
        <v>239</v>
      </c>
      <c r="M882" s="45" t="s">
        <v>240</v>
      </c>
      <c r="N882" s="45" t="s">
        <v>241</v>
      </c>
      <c r="AN882" s="170"/>
    </row>
    <row r="883" spans="12:40" ht="20.100000000000001" customHeight="1">
      <c r="L883" s="45" t="s">
        <v>243</v>
      </c>
      <c r="M883" s="45" t="s">
        <v>240</v>
      </c>
      <c r="N883" s="45" t="s">
        <v>241</v>
      </c>
      <c r="AN883" s="170"/>
    </row>
    <row r="884" spans="12:40" ht="20.100000000000001" customHeight="1">
      <c r="L884" s="45" t="s">
        <v>247</v>
      </c>
      <c r="M884" s="45" t="s">
        <v>240</v>
      </c>
      <c r="N884" s="45" t="s">
        <v>248</v>
      </c>
      <c r="AN884" s="170"/>
    </row>
    <row r="885" spans="12:40" ht="20.100000000000001" customHeight="1">
      <c r="L885" s="45" t="s">
        <v>252</v>
      </c>
      <c r="M885" s="45" t="s">
        <v>240</v>
      </c>
      <c r="N885" s="45" t="s">
        <v>248</v>
      </c>
      <c r="AN885" s="170"/>
    </row>
    <row r="886" spans="12:40" ht="20.100000000000001" customHeight="1">
      <c r="L886" s="45" t="s">
        <v>255</v>
      </c>
      <c r="M886" s="45" t="s">
        <v>256</v>
      </c>
      <c r="N886" s="45" t="s">
        <v>257</v>
      </c>
      <c r="AN886" s="170"/>
    </row>
    <row r="887" spans="12:40" ht="20.100000000000001" customHeight="1">
      <c r="L887" s="45" t="s">
        <v>259</v>
      </c>
      <c r="M887" s="45" t="s">
        <v>256</v>
      </c>
      <c r="N887" s="45" t="s">
        <v>257</v>
      </c>
      <c r="AN887" s="170"/>
    </row>
    <row r="888" spans="12:40" ht="20.100000000000001" customHeight="1">
      <c r="L888" s="45" t="s">
        <v>262</v>
      </c>
      <c r="M888" s="45" t="s">
        <v>263</v>
      </c>
      <c r="N888" s="45" t="s">
        <v>264</v>
      </c>
      <c r="AN888" s="170"/>
    </row>
    <row r="889" spans="12:40" ht="20.100000000000001" customHeight="1">
      <c r="L889" s="45" t="s">
        <v>267</v>
      </c>
      <c r="M889" s="45" t="s">
        <v>263</v>
      </c>
      <c r="N889" s="45" t="s">
        <v>264</v>
      </c>
      <c r="AN889" s="170"/>
    </row>
    <row r="890" spans="12:40" ht="20.100000000000001" customHeight="1">
      <c r="L890" s="45" t="s">
        <v>270</v>
      </c>
      <c r="M890" s="45" t="s">
        <v>263</v>
      </c>
      <c r="N890" s="45" t="s">
        <v>271</v>
      </c>
      <c r="AN890" s="170"/>
    </row>
    <row r="891" spans="12:40" ht="20.100000000000001" customHeight="1">
      <c r="L891" s="45" t="s">
        <v>273</v>
      </c>
      <c r="M891" s="45" t="s">
        <v>263</v>
      </c>
      <c r="N891" s="45" t="s">
        <v>271</v>
      </c>
      <c r="AN891" s="170"/>
    </row>
    <row r="892" spans="12:40" ht="20.100000000000001" customHeight="1">
      <c r="L892" s="45" t="s">
        <v>277</v>
      </c>
      <c r="M892" s="45" t="s">
        <v>278</v>
      </c>
      <c r="N892" s="45" t="s">
        <v>152</v>
      </c>
      <c r="AN892" s="170"/>
    </row>
    <row r="893" spans="12:40" ht="20.100000000000001" customHeight="1">
      <c r="L893" s="45" t="s">
        <v>282</v>
      </c>
      <c r="M893" s="45" t="s">
        <v>283</v>
      </c>
      <c r="N893" s="45" t="s">
        <v>152</v>
      </c>
      <c r="AN893" s="170"/>
    </row>
    <row r="894" spans="12:40" ht="20.100000000000001" customHeight="1">
      <c r="L894" s="45" t="s">
        <v>286</v>
      </c>
      <c r="M894" s="45" t="s">
        <v>287</v>
      </c>
      <c r="N894" s="45" t="s">
        <v>152</v>
      </c>
      <c r="AN894" s="170"/>
    </row>
    <row r="895" spans="12:40" ht="20.100000000000001" customHeight="1">
      <c r="L895" s="45" t="s">
        <v>289</v>
      </c>
      <c r="M895" s="45" t="s">
        <v>290</v>
      </c>
      <c r="N895" s="45" t="s">
        <v>291</v>
      </c>
      <c r="AN895" s="170"/>
    </row>
    <row r="896" spans="12:40" ht="20.100000000000001" customHeight="1">
      <c r="L896" s="45" t="s">
        <v>294</v>
      </c>
      <c r="M896" s="45" t="s">
        <v>295</v>
      </c>
      <c r="N896" s="45" t="s">
        <v>291</v>
      </c>
      <c r="AN896" s="170"/>
    </row>
    <row r="897" spans="12:40" ht="20.100000000000001" customHeight="1">
      <c r="L897" s="45" t="s">
        <v>298</v>
      </c>
      <c r="M897" s="45" t="s">
        <v>299</v>
      </c>
      <c r="N897" s="45" t="s">
        <v>291</v>
      </c>
      <c r="AN897" s="170"/>
    </row>
    <row r="898" spans="12:40" ht="20.100000000000001" customHeight="1">
      <c r="L898" s="45" t="s">
        <v>302</v>
      </c>
      <c r="M898" s="45" t="s">
        <v>303</v>
      </c>
      <c r="N898" s="45" t="s">
        <v>291</v>
      </c>
      <c r="AN898" s="170"/>
    </row>
    <row r="899" spans="12:40" ht="20.100000000000001" customHeight="1">
      <c r="L899" s="45" t="s">
        <v>305</v>
      </c>
      <c r="M899" s="45" t="s">
        <v>306</v>
      </c>
      <c r="AN899" s="170"/>
    </row>
    <row r="900" spans="12:40" ht="20.100000000000001" customHeight="1">
      <c r="L900" s="45" t="s">
        <v>310</v>
      </c>
      <c r="M900" s="45" t="s">
        <v>311</v>
      </c>
      <c r="AN900" s="170"/>
    </row>
    <row r="901" spans="12:40" ht="20.100000000000001" customHeight="1">
      <c r="L901" s="45" t="s">
        <v>315</v>
      </c>
      <c r="M901" s="45" t="s">
        <v>316</v>
      </c>
      <c r="AN901" s="170"/>
    </row>
    <row r="902" spans="12:40" ht="20.100000000000001" customHeight="1">
      <c r="L902" s="45" t="s">
        <v>319</v>
      </c>
      <c r="M902" s="45" t="s">
        <v>320</v>
      </c>
      <c r="AN902" s="170"/>
    </row>
    <row r="903" spans="12:40" ht="20.100000000000001" customHeight="1">
      <c r="L903" s="45" t="s">
        <v>322</v>
      </c>
      <c r="M903" s="45" t="s">
        <v>323</v>
      </c>
      <c r="AN903" s="170"/>
    </row>
    <row r="904" spans="12:40" ht="20.100000000000001" customHeight="1">
      <c r="L904" s="45" t="s">
        <v>326</v>
      </c>
      <c r="M904" s="45" t="s">
        <v>327</v>
      </c>
      <c r="AN904" s="170"/>
    </row>
    <row r="905" spans="12:40" ht="20.100000000000001" customHeight="1">
      <c r="L905" s="45" t="s">
        <v>330</v>
      </c>
      <c r="M905" s="45" t="s">
        <v>331</v>
      </c>
      <c r="AN905" s="170"/>
    </row>
    <row r="906" spans="12:40" ht="20.100000000000001" customHeight="1">
      <c r="L906" s="45" t="s">
        <v>334</v>
      </c>
      <c r="M906" s="45" t="s">
        <v>331</v>
      </c>
      <c r="AN906" s="170"/>
    </row>
    <row r="907" spans="12:40" ht="20.100000000000001" customHeight="1">
      <c r="L907" s="45" t="s">
        <v>336</v>
      </c>
      <c r="M907" s="45" t="s">
        <v>303</v>
      </c>
      <c r="N907" s="45" t="s">
        <v>291</v>
      </c>
      <c r="AN907" s="170"/>
    </row>
    <row r="908" spans="12:40" ht="20.100000000000001" customHeight="1">
      <c r="L908" s="45" t="s">
        <v>340</v>
      </c>
      <c r="M908" s="45" t="s">
        <v>331</v>
      </c>
      <c r="AN908" s="170"/>
    </row>
    <row r="909" spans="12:40" ht="20.100000000000001" customHeight="1">
      <c r="L909" s="45" t="s">
        <v>344</v>
      </c>
      <c r="M909" s="45" t="s">
        <v>331</v>
      </c>
      <c r="AN909" s="170"/>
    </row>
    <row r="910" spans="12:40" ht="20.100000000000001" customHeight="1">
      <c r="L910" s="45" t="s">
        <v>347</v>
      </c>
      <c r="M910" s="45" t="s">
        <v>348</v>
      </c>
      <c r="AN910" s="170"/>
    </row>
    <row r="911" spans="12:40" ht="20.100000000000001" customHeight="1">
      <c r="L911" s="45" t="s">
        <v>350</v>
      </c>
      <c r="M911" s="45" t="s">
        <v>351</v>
      </c>
      <c r="AN911" s="170"/>
    </row>
    <row r="912" spans="12:40" ht="20.100000000000001" customHeight="1">
      <c r="L912" s="45" t="s">
        <v>355</v>
      </c>
      <c r="M912" s="45" t="s">
        <v>356</v>
      </c>
      <c r="N912" s="45" t="s">
        <v>152</v>
      </c>
      <c r="AN912" s="170"/>
    </row>
    <row r="913" spans="12:40" ht="20.100000000000001" customHeight="1">
      <c r="L913" s="45" t="s">
        <v>360</v>
      </c>
      <c r="M913" s="45" t="s">
        <v>361</v>
      </c>
      <c r="N913" s="45" t="s">
        <v>158</v>
      </c>
      <c r="AN913" s="170"/>
    </row>
    <row r="914" spans="12:40" ht="20.100000000000001" customHeight="1">
      <c r="L914" s="45" t="s">
        <v>364</v>
      </c>
      <c r="M914" s="45" t="s">
        <v>365</v>
      </c>
      <c r="N914" s="45" t="s">
        <v>162</v>
      </c>
      <c r="AN914" s="170"/>
    </row>
    <row r="915" spans="12:40" ht="20.100000000000001" customHeight="1">
      <c r="L915" s="45" t="s">
        <v>367</v>
      </c>
      <c r="M915" s="45" t="s">
        <v>368</v>
      </c>
      <c r="N915" s="45" t="s">
        <v>168</v>
      </c>
      <c r="AN915" s="170"/>
    </row>
    <row r="916" spans="12:40" ht="20.100000000000001" customHeight="1">
      <c r="L916" s="45" t="s">
        <v>371</v>
      </c>
      <c r="M916" s="45" t="s">
        <v>372</v>
      </c>
      <c r="N916" s="45" t="s">
        <v>174</v>
      </c>
      <c r="AN916" s="170"/>
    </row>
    <row r="917" spans="12:40" ht="20.100000000000001" customHeight="1">
      <c r="L917" s="45" t="s">
        <v>375</v>
      </c>
      <c r="M917" s="45" t="s">
        <v>372</v>
      </c>
      <c r="N917" s="45" t="s">
        <v>179</v>
      </c>
      <c r="AN917" s="170"/>
    </row>
    <row r="918" spans="12:40" ht="20.100000000000001" customHeight="1">
      <c r="L918" s="45" t="s">
        <v>378</v>
      </c>
      <c r="M918" s="45" t="s">
        <v>379</v>
      </c>
      <c r="N918" s="45" t="s">
        <v>185</v>
      </c>
      <c r="AN918" s="170"/>
    </row>
    <row r="919" spans="12:40" ht="20.100000000000001" customHeight="1">
      <c r="L919" s="45" t="s">
        <v>381</v>
      </c>
      <c r="M919" s="45" t="s">
        <v>379</v>
      </c>
      <c r="N919" s="45" t="s">
        <v>185</v>
      </c>
      <c r="AN919" s="170"/>
    </row>
    <row r="920" spans="12:40" ht="20.100000000000001" customHeight="1">
      <c r="L920" s="45" t="s">
        <v>384</v>
      </c>
      <c r="M920" s="45" t="s">
        <v>385</v>
      </c>
      <c r="N920" s="45" t="s">
        <v>194</v>
      </c>
      <c r="AN920" s="170"/>
    </row>
    <row r="921" spans="12:40" ht="20.100000000000001" customHeight="1">
      <c r="L921" s="45" t="s">
        <v>387</v>
      </c>
      <c r="M921" s="45" t="s">
        <v>385</v>
      </c>
      <c r="N921" s="45" t="s">
        <v>194</v>
      </c>
      <c r="AN921" s="170"/>
    </row>
    <row r="922" spans="12:40" ht="20.100000000000001" customHeight="1">
      <c r="L922" s="45" t="s">
        <v>389</v>
      </c>
      <c r="M922" s="45" t="s">
        <v>385</v>
      </c>
      <c r="N922" s="45" t="s">
        <v>202</v>
      </c>
      <c r="AN922" s="170"/>
    </row>
    <row r="923" spans="12:40" ht="20.100000000000001" customHeight="1">
      <c r="L923" s="45" t="s">
        <v>391</v>
      </c>
      <c r="M923" s="45" t="s">
        <v>385</v>
      </c>
      <c r="N923" s="45" t="s">
        <v>202</v>
      </c>
      <c r="AN923" s="170"/>
    </row>
    <row r="924" spans="12:40" ht="20.100000000000001" customHeight="1">
      <c r="L924" s="45" t="s">
        <v>393</v>
      </c>
      <c r="M924" s="45" t="s">
        <v>394</v>
      </c>
      <c r="N924" s="45" t="s">
        <v>211</v>
      </c>
      <c r="AN924" s="170"/>
    </row>
    <row r="925" spans="12:40" ht="20.100000000000001" customHeight="1">
      <c r="L925" s="45" t="s">
        <v>396</v>
      </c>
      <c r="M925" s="45" t="s">
        <v>394</v>
      </c>
      <c r="N925" s="45" t="s">
        <v>211</v>
      </c>
      <c r="AN925" s="170"/>
    </row>
    <row r="926" spans="12:40" ht="20.100000000000001" customHeight="1">
      <c r="L926" s="45" t="s">
        <v>398</v>
      </c>
      <c r="M926" s="45" t="s">
        <v>394</v>
      </c>
      <c r="N926" s="45" t="s">
        <v>218</v>
      </c>
      <c r="AN926" s="170"/>
    </row>
    <row r="927" spans="12:40" ht="20.100000000000001" customHeight="1">
      <c r="L927" s="45" t="s">
        <v>400</v>
      </c>
      <c r="M927" s="45" t="s">
        <v>394</v>
      </c>
      <c r="N927" s="45" t="s">
        <v>218</v>
      </c>
      <c r="AN927" s="170"/>
    </row>
    <row r="928" spans="12:40" ht="20.100000000000001" customHeight="1">
      <c r="L928" s="45" t="s">
        <v>402</v>
      </c>
      <c r="M928" s="45" t="s">
        <v>403</v>
      </c>
      <c r="N928" s="45" t="s">
        <v>227</v>
      </c>
      <c r="AN928" s="170"/>
    </row>
    <row r="929" spans="12:40" ht="20.100000000000001" customHeight="1">
      <c r="L929" s="45" t="s">
        <v>405</v>
      </c>
      <c r="M929" s="45" t="s">
        <v>403</v>
      </c>
      <c r="N929" s="45" t="s">
        <v>227</v>
      </c>
      <c r="AN929" s="170"/>
    </row>
    <row r="930" spans="12:40" ht="20.100000000000001" customHeight="1">
      <c r="L930" s="45" t="s">
        <v>407</v>
      </c>
      <c r="M930" s="45" t="s">
        <v>403</v>
      </c>
      <c r="N930" s="45" t="s">
        <v>233</v>
      </c>
      <c r="AN930" s="170"/>
    </row>
    <row r="931" spans="12:40" ht="20.100000000000001" customHeight="1">
      <c r="L931" s="45" t="s">
        <v>409</v>
      </c>
      <c r="M931" s="45" t="s">
        <v>403</v>
      </c>
      <c r="N931" s="45" t="s">
        <v>233</v>
      </c>
      <c r="AN931" s="170"/>
    </row>
    <row r="932" spans="12:40" ht="20.100000000000001" customHeight="1">
      <c r="L932" s="45" t="s">
        <v>411</v>
      </c>
      <c r="M932" s="45" t="s">
        <v>412</v>
      </c>
      <c r="N932" s="45" t="s">
        <v>241</v>
      </c>
      <c r="AN932" s="170"/>
    </row>
    <row r="933" spans="12:40" ht="20.100000000000001" customHeight="1">
      <c r="L933" s="45" t="s">
        <v>414</v>
      </c>
      <c r="M933" s="45" t="s">
        <v>412</v>
      </c>
      <c r="N933" s="45" t="s">
        <v>241</v>
      </c>
      <c r="AN933" s="170"/>
    </row>
    <row r="934" spans="12:40" ht="20.100000000000001" customHeight="1">
      <c r="L934" s="45" t="s">
        <v>416</v>
      </c>
      <c r="M934" s="45" t="s">
        <v>412</v>
      </c>
      <c r="N934" s="45" t="s">
        <v>248</v>
      </c>
      <c r="AN934" s="170"/>
    </row>
    <row r="935" spans="12:40" ht="20.100000000000001" customHeight="1">
      <c r="L935" s="45" t="s">
        <v>418</v>
      </c>
      <c r="M935" s="45" t="s">
        <v>412</v>
      </c>
      <c r="N935" s="45" t="s">
        <v>248</v>
      </c>
      <c r="AN935" s="170"/>
    </row>
    <row r="936" spans="12:40" ht="20.100000000000001" customHeight="1">
      <c r="L936" s="45" t="s">
        <v>420</v>
      </c>
      <c r="M936" s="45" t="s">
        <v>421</v>
      </c>
      <c r="N936" s="45" t="s">
        <v>257</v>
      </c>
      <c r="AN936" s="170"/>
    </row>
    <row r="937" spans="12:40" ht="20.100000000000001" customHeight="1">
      <c r="L937" s="45" t="s">
        <v>423</v>
      </c>
      <c r="M937" s="45" t="s">
        <v>421</v>
      </c>
      <c r="N937" s="45" t="s">
        <v>257</v>
      </c>
      <c r="AN937" s="170"/>
    </row>
    <row r="938" spans="12:40" ht="20.100000000000001" customHeight="1">
      <c r="L938" s="45" t="s">
        <v>425</v>
      </c>
      <c r="M938" s="45" t="s">
        <v>426</v>
      </c>
      <c r="N938" s="45" t="s">
        <v>264</v>
      </c>
      <c r="AN938" s="170"/>
    </row>
    <row r="939" spans="12:40" ht="20.100000000000001" customHeight="1">
      <c r="L939" s="45" t="s">
        <v>428</v>
      </c>
      <c r="M939" s="45" t="s">
        <v>426</v>
      </c>
      <c r="N939" s="45" t="s">
        <v>264</v>
      </c>
      <c r="AN939" s="170"/>
    </row>
    <row r="940" spans="12:40" ht="20.100000000000001" customHeight="1">
      <c r="L940" s="45" t="s">
        <v>430</v>
      </c>
      <c r="M940" s="45" t="s">
        <v>426</v>
      </c>
      <c r="N940" s="45" t="s">
        <v>271</v>
      </c>
      <c r="AN940" s="170"/>
    </row>
    <row r="941" spans="12:40" ht="20.100000000000001" customHeight="1">
      <c r="L941" s="45" t="s">
        <v>432</v>
      </c>
      <c r="M941" s="45" t="s">
        <v>426</v>
      </c>
      <c r="N941" s="45" t="s">
        <v>271</v>
      </c>
      <c r="AN941" s="170"/>
    </row>
    <row r="942" spans="12:40" ht="20.100000000000001" customHeight="1">
      <c r="L942" s="45" t="s">
        <v>434</v>
      </c>
      <c r="M942" s="45" t="s">
        <v>435</v>
      </c>
      <c r="N942" s="45" t="s">
        <v>152</v>
      </c>
      <c r="AN942" s="170"/>
    </row>
    <row r="943" spans="12:40" ht="20.100000000000001" customHeight="1">
      <c r="L943" s="45" t="s">
        <v>437</v>
      </c>
      <c r="M943" s="45" t="s">
        <v>438</v>
      </c>
      <c r="N943" s="45" t="s">
        <v>152</v>
      </c>
      <c r="AN943" s="170"/>
    </row>
    <row r="944" spans="12:40" ht="20.100000000000001" customHeight="1">
      <c r="L944" s="45" t="s">
        <v>440</v>
      </c>
      <c r="M944" s="45" t="s">
        <v>441</v>
      </c>
      <c r="N944" s="45" t="s">
        <v>152</v>
      </c>
      <c r="AN944" s="170"/>
    </row>
    <row r="945" spans="12:40" ht="20.100000000000001" customHeight="1">
      <c r="L945" s="45" t="s">
        <v>443</v>
      </c>
      <c r="M945" s="45" t="s">
        <v>444</v>
      </c>
      <c r="N945" s="45" t="s">
        <v>291</v>
      </c>
      <c r="AN945" s="170"/>
    </row>
    <row r="946" spans="12:40" ht="20.100000000000001" customHeight="1">
      <c r="L946" s="45" t="s">
        <v>446</v>
      </c>
      <c r="M946" s="45" t="s">
        <v>447</v>
      </c>
      <c r="N946" s="45" t="s">
        <v>291</v>
      </c>
      <c r="AN946" s="170"/>
    </row>
    <row r="947" spans="12:40" ht="20.100000000000001" customHeight="1">
      <c r="L947" s="45" t="s">
        <v>449</v>
      </c>
      <c r="M947" s="45" t="s">
        <v>450</v>
      </c>
      <c r="N947" s="45" t="s">
        <v>291</v>
      </c>
      <c r="AN947" s="170"/>
    </row>
    <row r="948" spans="12:40" ht="20.100000000000001" customHeight="1">
      <c r="L948" s="45" t="s">
        <v>452</v>
      </c>
      <c r="M948" s="45" t="s">
        <v>453</v>
      </c>
      <c r="N948" s="45" t="s">
        <v>291</v>
      </c>
      <c r="AN948" s="170"/>
    </row>
    <row r="949" spans="12:40" ht="20.100000000000001" customHeight="1">
      <c r="L949" s="45" t="s">
        <v>455</v>
      </c>
      <c r="M949" s="45" t="s">
        <v>453</v>
      </c>
      <c r="N949" s="45" t="s">
        <v>291</v>
      </c>
      <c r="AN949" s="170"/>
    </row>
    <row r="950" spans="12:40" ht="20.100000000000001" customHeight="1">
      <c r="L950" s="45" t="s">
        <v>457</v>
      </c>
      <c r="M950" s="45" t="s">
        <v>458</v>
      </c>
      <c r="N950" s="45" t="s">
        <v>185</v>
      </c>
      <c r="AN950" s="170"/>
    </row>
    <row r="951" spans="12:40" ht="20.100000000000001" customHeight="1">
      <c r="L951" s="45" t="s">
        <v>460</v>
      </c>
      <c r="M951" s="45" t="s">
        <v>458</v>
      </c>
      <c r="N951" s="45" t="s">
        <v>185</v>
      </c>
      <c r="AN951" s="170"/>
    </row>
    <row r="952" spans="12:40" ht="20.100000000000001" customHeight="1">
      <c r="L952" s="45" t="s">
        <v>462</v>
      </c>
      <c r="M952" s="45" t="s">
        <v>463</v>
      </c>
      <c r="N952" s="45" t="s">
        <v>194</v>
      </c>
      <c r="AN952" s="170"/>
    </row>
    <row r="953" spans="12:40" ht="20.100000000000001" customHeight="1">
      <c r="L953" s="45" t="s">
        <v>465</v>
      </c>
      <c r="M953" s="45" t="s">
        <v>463</v>
      </c>
      <c r="N953" s="45" t="s">
        <v>194</v>
      </c>
      <c r="AN953" s="170"/>
    </row>
    <row r="954" spans="12:40" ht="20.100000000000001" customHeight="1">
      <c r="L954" s="45" t="s">
        <v>467</v>
      </c>
      <c r="M954" s="45" t="s">
        <v>463</v>
      </c>
      <c r="N954" s="45" t="s">
        <v>202</v>
      </c>
      <c r="AN954" s="170"/>
    </row>
    <row r="955" spans="12:40" ht="20.100000000000001" customHeight="1">
      <c r="L955" s="45" t="s">
        <v>469</v>
      </c>
      <c r="M955" s="45" t="s">
        <v>463</v>
      </c>
      <c r="N955" s="45" t="s">
        <v>202</v>
      </c>
      <c r="AN955" s="170"/>
    </row>
    <row r="956" spans="12:40" ht="20.100000000000001" customHeight="1">
      <c r="L956" s="45" t="s">
        <v>471</v>
      </c>
      <c r="M956" s="45" t="s">
        <v>472</v>
      </c>
      <c r="N956" s="45" t="s">
        <v>211</v>
      </c>
      <c r="AN956" s="170"/>
    </row>
    <row r="957" spans="12:40" ht="20.100000000000001" customHeight="1">
      <c r="L957" s="45" t="s">
        <v>474</v>
      </c>
      <c r="M957" s="45" t="s">
        <v>472</v>
      </c>
      <c r="N957" s="45" t="s">
        <v>211</v>
      </c>
      <c r="AN957" s="170"/>
    </row>
    <row r="958" spans="12:40" ht="20.100000000000001" customHeight="1">
      <c r="L958" s="45" t="s">
        <v>476</v>
      </c>
      <c r="M958" s="45" t="s">
        <v>472</v>
      </c>
      <c r="N958" s="45" t="s">
        <v>477</v>
      </c>
      <c r="AN958" s="170"/>
    </row>
    <row r="959" spans="12:40" ht="20.100000000000001" customHeight="1">
      <c r="L959" s="45" t="s">
        <v>479</v>
      </c>
      <c r="M959" s="45" t="s">
        <v>472</v>
      </c>
      <c r="N959" s="45" t="s">
        <v>477</v>
      </c>
      <c r="AN959" s="170"/>
    </row>
    <row r="960" spans="12:40" ht="20.100000000000001" customHeight="1">
      <c r="L960" s="45" t="s">
        <v>481</v>
      </c>
      <c r="M960" s="45" t="s">
        <v>482</v>
      </c>
      <c r="N960" s="45" t="s">
        <v>483</v>
      </c>
      <c r="AN960" s="170"/>
    </row>
    <row r="961" spans="12:40" ht="20.100000000000001" customHeight="1">
      <c r="L961" s="45" t="s">
        <v>485</v>
      </c>
      <c r="M961" s="45" t="s">
        <v>482</v>
      </c>
      <c r="N961" s="45" t="s">
        <v>483</v>
      </c>
      <c r="AN961" s="170"/>
    </row>
    <row r="962" spans="12:40" ht="20.100000000000001" customHeight="1">
      <c r="L962" s="45" t="s">
        <v>487</v>
      </c>
      <c r="M962" s="45" t="s">
        <v>482</v>
      </c>
      <c r="N962" s="45" t="s">
        <v>488</v>
      </c>
      <c r="AN962" s="170"/>
    </row>
    <row r="963" spans="12:40" ht="20.100000000000001" customHeight="1">
      <c r="L963" s="45" t="s">
        <v>490</v>
      </c>
      <c r="M963" s="45" t="s">
        <v>482</v>
      </c>
      <c r="N963" s="45" t="s">
        <v>488</v>
      </c>
      <c r="AN963" s="170"/>
    </row>
    <row r="964" spans="12:40" ht="20.100000000000001" customHeight="1">
      <c r="L964" s="45" t="s">
        <v>492</v>
      </c>
      <c r="M964" s="45" t="s">
        <v>493</v>
      </c>
      <c r="N964" s="45" t="s">
        <v>494</v>
      </c>
      <c r="AN964" s="170"/>
    </row>
    <row r="965" spans="12:40" ht="20.100000000000001" customHeight="1">
      <c r="L965" s="45" t="s">
        <v>496</v>
      </c>
      <c r="M965" s="45" t="s">
        <v>493</v>
      </c>
      <c r="N965" s="45" t="s">
        <v>494</v>
      </c>
      <c r="AN965" s="170"/>
    </row>
    <row r="966" spans="12:40" ht="20.100000000000001" customHeight="1">
      <c r="L966" s="45" t="s">
        <v>498</v>
      </c>
      <c r="M966" s="45" t="s">
        <v>499</v>
      </c>
      <c r="N966" s="45" t="s">
        <v>500</v>
      </c>
      <c r="AN966" s="170"/>
    </row>
    <row r="967" spans="12:40" ht="20.100000000000001" customHeight="1">
      <c r="L967" s="45" t="s">
        <v>502</v>
      </c>
      <c r="M967" s="45" t="s">
        <v>499</v>
      </c>
      <c r="N967" s="45" t="s">
        <v>500</v>
      </c>
      <c r="AN967" s="170"/>
    </row>
    <row r="968" spans="12:40" ht="20.100000000000001" customHeight="1">
      <c r="L968" s="45" t="s">
        <v>504</v>
      </c>
      <c r="M968" s="45" t="s">
        <v>499</v>
      </c>
      <c r="N968" s="45" t="s">
        <v>505</v>
      </c>
      <c r="AN968" s="170"/>
    </row>
    <row r="969" spans="12:40" ht="20.100000000000001" customHeight="1">
      <c r="L969" s="45" t="s">
        <v>507</v>
      </c>
      <c r="M969" s="45" t="s">
        <v>499</v>
      </c>
      <c r="N969" s="45" t="s">
        <v>505</v>
      </c>
      <c r="AN969" s="170"/>
    </row>
    <row r="970" spans="12:40" ht="20.100000000000001" customHeight="1">
      <c r="L970" s="45" t="s">
        <v>509</v>
      </c>
      <c r="M970" s="45" t="s">
        <v>510</v>
      </c>
      <c r="N970" s="45" t="s">
        <v>511</v>
      </c>
      <c r="AN970" s="170"/>
    </row>
    <row r="971" spans="12:40" ht="20.100000000000001" customHeight="1">
      <c r="L971" s="45" t="s">
        <v>513</v>
      </c>
      <c r="M971" s="45" t="s">
        <v>510</v>
      </c>
      <c r="N971" s="45" t="s">
        <v>511</v>
      </c>
      <c r="AN971" s="170"/>
    </row>
    <row r="972" spans="12:40" ht="20.100000000000001" customHeight="1">
      <c r="L972" s="45" t="s">
        <v>515</v>
      </c>
      <c r="M972" s="45" t="s">
        <v>510</v>
      </c>
      <c r="N972" s="45" t="s">
        <v>516</v>
      </c>
      <c r="AN972" s="170"/>
    </row>
    <row r="973" spans="12:40" ht="20.100000000000001" customHeight="1">
      <c r="L973" s="45" t="s">
        <v>518</v>
      </c>
      <c r="M973" s="45" t="s">
        <v>510</v>
      </c>
      <c r="N973" s="45" t="s">
        <v>516</v>
      </c>
      <c r="AN973" s="170"/>
    </row>
    <row r="974" spans="12:40" ht="20.100000000000001" customHeight="1">
      <c r="L974" s="45" t="s">
        <v>520</v>
      </c>
      <c r="M974" s="45" t="s">
        <v>157</v>
      </c>
      <c r="N974" s="45" t="s">
        <v>521</v>
      </c>
      <c r="AN974" s="170"/>
    </row>
    <row r="975" spans="12:40" ht="20.100000000000001" customHeight="1">
      <c r="L975" s="45" t="s">
        <v>523</v>
      </c>
      <c r="M975" s="70" t="s">
        <v>151</v>
      </c>
      <c r="N975" s="72" t="s">
        <v>524</v>
      </c>
      <c r="AN975" s="170"/>
    </row>
    <row r="976" spans="12:40" ht="20.100000000000001" customHeight="1">
      <c r="L976" s="45" t="s">
        <v>526</v>
      </c>
      <c r="M976" s="45" t="s">
        <v>161</v>
      </c>
      <c r="N976" s="45" t="s">
        <v>521</v>
      </c>
      <c r="AN976" s="170"/>
    </row>
    <row r="977" spans="12:40" ht="20.100000000000001" customHeight="1">
      <c r="L977" s="45" t="s">
        <v>528</v>
      </c>
      <c r="M977" s="45" t="s">
        <v>167</v>
      </c>
      <c r="N977" s="45" t="s">
        <v>521</v>
      </c>
      <c r="AN977" s="170"/>
    </row>
    <row r="978" spans="12:40" ht="20.100000000000001" customHeight="1">
      <c r="L978" s="45" t="s">
        <v>532</v>
      </c>
      <c r="M978" s="45" t="s">
        <v>173</v>
      </c>
      <c r="N978" s="45" t="s">
        <v>521</v>
      </c>
      <c r="AN978" s="170"/>
    </row>
    <row r="979" spans="12:40" ht="20.100000000000001" customHeight="1">
      <c r="L979" s="45" t="s">
        <v>535</v>
      </c>
      <c r="M979" s="45" t="s">
        <v>173</v>
      </c>
      <c r="N979" s="45" t="s">
        <v>521</v>
      </c>
      <c r="AN979" s="170"/>
    </row>
    <row r="980" spans="12:40" ht="20.100000000000001" customHeight="1">
      <c r="L980" s="45" t="s">
        <v>537</v>
      </c>
      <c r="M980" s="45" t="s">
        <v>184</v>
      </c>
      <c r="N980" s="45" t="s">
        <v>521</v>
      </c>
      <c r="AN980" s="170"/>
    </row>
    <row r="981" spans="12:40" ht="20.100000000000001" customHeight="1">
      <c r="L981" s="45" t="s">
        <v>539</v>
      </c>
      <c r="M981" s="45" t="s">
        <v>184</v>
      </c>
      <c r="N981" s="45" t="s">
        <v>521</v>
      </c>
      <c r="AN981" s="170"/>
    </row>
    <row r="982" spans="12:40" ht="20.100000000000001" customHeight="1">
      <c r="L982" s="45" t="s">
        <v>542</v>
      </c>
      <c r="M982" s="45" t="s">
        <v>193</v>
      </c>
      <c r="N982" s="45" t="s">
        <v>521</v>
      </c>
      <c r="AN982" s="170"/>
    </row>
    <row r="983" spans="12:40" ht="20.100000000000001" customHeight="1">
      <c r="L983" s="45" t="s">
        <v>545</v>
      </c>
      <c r="M983" s="45" t="s">
        <v>193</v>
      </c>
      <c r="N983" s="45" t="s">
        <v>521</v>
      </c>
      <c r="AN983" s="170"/>
    </row>
    <row r="984" spans="12:40" ht="20.100000000000001" customHeight="1">
      <c r="L984" s="45" t="s">
        <v>548</v>
      </c>
      <c r="M984" s="45" t="s">
        <v>193</v>
      </c>
      <c r="N984" s="45" t="s">
        <v>521</v>
      </c>
      <c r="AN984" s="170"/>
    </row>
    <row r="985" spans="12:40" ht="20.100000000000001" customHeight="1">
      <c r="L985" s="45" t="s">
        <v>551</v>
      </c>
      <c r="M985" s="45" t="s">
        <v>193</v>
      </c>
      <c r="N985" s="45" t="s">
        <v>521</v>
      </c>
      <c r="AN985" s="170"/>
    </row>
    <row r="986" spans="12:40" ht="20.100000000000001" customHeight="1">
      <c r="L986" s="45" t="s">
        <v>553</v>
      </c>
      <c r="M986" s="45" t="s">
        <v>210</v>
      </c>
      <c r="N986" s="45" t="s">
        <v>521</v>
      </c>
      <c r="AN986" s="170"/>
    </row>
    <row r="987" spans="12:40" ht="20.100000000000001" customHeight="1">
      <c r="L987" s="45" t="s">
        <v>555</v>
      </c>
      <c r="M987" s="45" t="s">
        <v>210</v>
      </c>
      <c r="N987" s="45" t="s">
        <v>521</v>
      </c>
      <c r="AN987" s="170"/>
    </row>
    <row r="988" spans="12:40" ht="20.100000000000001" customHeight="1">
      <c r="L988" s="45" t="s">
        <v>558</v>
      </c>
      <c r="M988" s="45" t="s">
        <v>210</v>
      </c>
      <c r="N988" s="45" t="s">
        <v>521</v>
      </c>
      <c r="AN988" s="170"/>
    </row>
    <row r="989" spans="12:40" ht="20.100000000000001" customHeight="1">
      <c r="L989" s="45" t="s">
        <v>561</v>
      </c>
      <c r="M989" s="45" t="s">
        <v>210</v>
      </c>
      <c r="N989" s="45" t="s">
        <v>521</v>
      </c>
      <c r="AN989" s="170"/>
    </row>
    <row r="990" spans="12:40" ht="20.100000000000001" customHeight="1">
      <c r="L990" s="45" t="s">
        <v>563</v>
      </c>
      <c r="M990" s="45" t="s">
        <v>226</v>
      </c>
      <c r="N990" s="45" t="s">
        <v>521</v>
      </c>
      <c r="AN990" s="170"/>
    </row>
    <row r="991" spans="12:40" ht="20.100000000000001" customHeight="1">
      <c r="L991" s="45" t="s">
        <v>565</v>
      </c>
      <c r="M991" s="45" t="s">
        <v>226</v>
      </c>
      <c r="N991" s="45" t="s">
        <v>521</v>
      </c>
      <c r="AN991" s="170"/>
    </row>
    <row r="992" spans="12:40" ht="20.100000000000001" customHeight="1">
      <c r="L992" s="45" t="s">
        <v>568</v>
      </c>
      <c r="M992" s="45" t="s">
        <v>226</v>
      </c>
      <c r="N992" s="45" t="s">
        <v>521</v>
      </c>
      <c r="AN992" s="170"/>
    </row>
    <row r="993" spans="12:40" ht="20.100000000000001" customHeight="1">
      <c r="L993" s="45" t="s">
        <v>571</v>
      </c>
      <c r="M993" s="45" t="s">
        <v>226</v>
      </c>
      <c r="N993" s="45" t="s">
        <v>521</v>
      </c>
      <c r="AN993" s="170"/>
    </row>
    <row r="994" spans="12:40" ht="20.100000000000001" customHeight="1">
      <c r="L994" s="45" t="s">
        <v>573</v>
      </c>
      <c r="M994" s="45" t="s">
        <v>240</v>
      </c>
      <c r="N994" s="45" t="s">
        <v>521</v>
      </c>
      <c r="AN994" s="170"/>
    </row>
    <row r="995" spans="12:40" ht="20.100000000000001" customHeight="1">
      <c r="L995" s="45" t="s">
        <v>575</v>
      </c>
      <c r="M995" s="45" t="s">
        <v>240</v>
      </c>
      <c r="N995" s="45" t="s">
        <v>521</v>
      </c>
      <c r="AN995" s="170"/>
    </row>
    <row r="996" spans="12:40" ht="20.100000000000001" customHeight="1">
      <c r="L996" s="45" t="s">
        <v>577</v>
      </c>
      <c r="M996" s="45" t="s">
        <v>240</v>
      </c>
      <c r="N996" s="45" t="s">
        <v>521</v>
      </c>
      <c r="AN996" s="170"/>
    </row>
    <row r="997" spans="12:40" ht="20.100000000000001" customHeight="1">
      <c r="L997" s="45" t="s">
        <v>579</v>
      </c>
      <c r="M997" s="45" t="s">
        <v>240</v>
      </c>
      <c r="N997" s="45" t="s">
        <v>521</v>
      </c>
      <c r="AN997" s="170"/>
    </row>
    <row r="998" spans="12:40" ht="20.100000000000001" customHeight="1">
      <c r="L998" s="45" t="s">
        <v>581</v>
      </c>
      <c r="M998" s="45" t="s">
        <v>256</v>
      </c>
      <c r="N998" s="45" t="s">
        <v>521</v>
      </c>
      <c r="AN998" s="170"/>
    </row>
    <row r="999" spans="12:40" ht="20.100000000000001" customHeight="1">
      <c r="L999" s="45" t="s">
        <v>583</v>
      </c>
      <c r="M999" s="45" t="s">
        <v>256</v>
      </c>
      <c r="N999" s="45" t="s">
        <v>521</v>
      </c>
      <c r="AN999" s="170"/>
    </row>
    <row r="1000" spans="12:40" ht="20.100000000000001" customHeight="1">
      <c r="L1000" s="45" t="s">
        <v>586</v>
      </c>
      <c r="M1000" s="45" t="s">
        <v>263</v>
      </c>
      <c r="N1000" s="45" t="s">
        <v>521</v>
      </c>
      <c r="AN1000" s="170"/>
    </row>
    <row r="1001" spans="12:40" ht="20.100000000000001" customHeight="1">
      <c r="L1001" s="45" t="s">
        <v>589</v>
      </c>
      <c r="M1001" s="45" t="s">
        <v>263</v>
      </c>
      <c r="N1001" s="45" t="s">
        <v>521</v>
      </c>
      <c r="AN1001" s="170"/>
    </row>
    <row r="1002" spans="12:40" ht="20.100000000000001" customHeight="1">
      <c r="L1002" s="45" t="s">
        <v>591</v>
      </c>
      <c r="M1002" s="45" t="s">
        <v>263</v>
      </c>
      <c r="N1002" s="45" t="s">
        <v>521</v>
      </c>
      <c r="AN1002" s="170"/>
    </row>
    <row r="1003" spans="12:40" ht="20.100000000000001" customHeight="1">
      <c r="L1003" s="45" t="s">
        <v>593</v>
      </c>
      <c r="M1003" s="45" t="s">
        <v>263</v>
      </c>
      <c r="N1003" s="45" t="s">
        <v>521</v>
      </c>
      <c r="AN1003" s="170"/>
    </row>
    <row r="1004" spans="12:40" ht="20.100000000000001" customHeight="1">
      <c r="L1004" s="45" t="s">
        <v>595</v>
      </c>
      <c r="M1004" s="45" t="s">
        <v>278</v>
      </c>
      <c r="N1004" s="45" t="s">
        <v>524</v>
      </c>
      <c r="AN1004" s="170"/>
    </row>
    <row r="1005" spans="12:40" ht="20.100000000000001" customHeight="1">
      <c r="L1005" s="45" t="s">
        <v>597</v>
      </c>
      <c r="M1005" s="45" t="s">
        <v>283</v>
      </c>
      <c r="N1005" s="45" t="s">
        <v>524</v>
      </c>
      <c r="AN1005" s="170"/>
    </row>
    <row r="1006" spans="12:40" ht="20.100000000000001" customHeight="1">
      <c r="L1006" s="45" t="s">
        <v>599</v>
      </c>
      <c r="M1006" s="45" t="s">
        <v>287</v>
      </c>
      <c r="N1006" s="45" t="s">
        <v>524</v>
      </c>
      <c r="AN1006" s="170"/>
    </row>
    <row r="1007" spans="12:40" ht="20.100000000000001" customHeight="1">
      <c r="L1007" s="45" t="s">
        <v>601</v>
      </c>
      <c r="M1007" s="45" t="s">
        <v>290</v>
      </c>
      <c r="N1007" s="45" t="s">
        <v>524</v>
      </c>
      <c r="AN1007" s="170"/>
    </row>
    <row r="1008" spans="12:40" ht="20.100000000000001" customHeight="1">
      <c r="L1008" s="45" t="s">
        <v>604</v>
      </c>
      <c r="M1008" s="45" t="s">
        <v>295</v>
      </c>
      <c r="N1008" s="45" t="s">
        <v>524</v>
      </c>
      <c r="AN1008" s="170"/>
    </row>
    <row r="1009" spans="12:40" ht="20.100000000000001" customHeight="1">
      <c r="L1009" s="45" t="s">
        <v>607</v>
      </c>
      <c r="M1009" s="45" t="s">
        <v>299</v>
      </c>
      <c r="N1009" s="45" t="s">
        <v>524</v>
      </c>
      <c r="AN1009" s="170"/>
    </row>
    <row r="1010" spans="12:40" ht="20.100000000000001" customHeight="1">
      <c r="L1010" s="45" t="s">
        <v>609</v>
      </c>
      <c r="M1010" s="45" t="s">
        <v>303</v>
      </c>
      <c r="N1010" s="45" t="s">
        <v>524</v>
      </c>
      <c r="AN1010" s="170"/>
    </row>
    <row r="1011" spans="12:40" ht="20.100000000000001" customHeight="1">
      <c r="L1011" s="45" t="s">
        <v>1568</v>
      </c>
      <c r="AN1011" s="170"/>
    </row>
    <row r="1012" spans="12:40" ht="20.100000000000001" customHeight="1">
      <c r="L1012" s="45" t="s">
        <v>615</v>
      </c>
      <c r="M1012" s="45" t="s">
        <v>616</v>
      </c>
      <c r="N1012" s="45" t="s">
        <v>617</v>
      </c>
      <c r="AN1012" s="170"/>
    </row>
    <row r="1013" spans="12:40" ht="20.100000000000001" customHeight="1">
      <c r="L1013" s="45" t="s">
        <v>1569</v>
      </c>
      <c r="M1013" s="45" t="s">
        <v>616</v>
      </c>
      <c r="N1013" s="45" t="s">
        <v>620</v>
      </c>
      <c r="AN1013" s="170"/>
    </row>
    <row r="1014" spans="12:40" ht="20.100000000000001" customHeight="1">
      <c r="L1014" s="45" t="s">
        <v>622</v>
      </c>
      <c r="M1014" s="45" t="s">
        <v>612</v>
      </c>
      <c r="N1014" s="45">
        <v>55</v>
      </c>
      <c r="AN1014" s="170"/>
    </row>
    <row r="1015" spans="12:40" ht="20.100000000000001" customHeight="1">
      <c r="L1015" s="45" t="s">
        <v>1570</v>
      </c>
      <c r="M1015" s="45" t="s">
        <v>151</v>
      </c>
      <c r="N1015" s="45" t="s">
        <v>524</v>
      </c>
      <c r="AN1015" s="170"/>
    </row>
    <row r="1016" spans="12:40" ht="20.100000000000001" customHeight="1">
      <c r="L1016" s="45" t="s">
        <v>1571</v>
      </c>
      <c r="M1016" s="45" t="s">
        <v>151</v>
      </c>
      <c r="N1016" s="45" t="s">
        <v>524</v>
      </c>
      <c r="AN1016" s="170"/>
    </row>
    <row r="1017" spans="12:40" ht="20.100000000000001" customHeight="1">
      <c r="L1017" s="45" t="s">
        <v>1572</v>
      </c>
      <c r="M1017" s="45" t="s">
        <v>631</v>
      </c>
      <c r="N1017" s="45" t="s">
        <v>524</v>
      </c>
      <c r="AN1017" s="170"/>
    </row>
    <row r="1018" spans="12:40" ht="20.100000000000001" customHeight="1">
      <c r="L1018" s="45" t="s">
        <v>1573</v>
      </c>
      <c r="M1018" s="45" t="s">
        <v>290</v>
      </c>
      <c r="N1018" s="45" t="s">
        <v>524</v>
      </c>
      <c r="AN1018" s="170"/>
    </row>
    <row r="1019" spans="12:40" ht="20.100000000000001" customHeight="1">
      <c r="L1019" s="45" t="s">
        <v>1574</v>
      </c>
      <c r="M1019" s="45" t="s">
        <v>295</v>
      </c>
      <c r="N1019" s="45" t="s">
        <v>524</v>
      </c>
      <c r="AN1019" s="170"/>
    </row>
    <row r="1020" spans="12:40" ht="20.100000000000001" customHeight="1">
      <c r="L1020" s="45" t="s">
        <v>1575</v>
      </c>
      <c r="M1020" s="45" t="s">
        <v>299</v>
      </c>
      <c r="N1020" s="45" t="s">
        <v>524</v>
      </c>
      <c r="AN1020" s="170"/>
    </row>
    <row r="1021" spans="12:40" ht="20.100000000000001" customHeight="1">
      <c r="L1021" s="45" t="s">
        <v>1576</v>
      </c>
      <c r="M1021" s="45" t="s">
        <v>303</v>
      </c>
      <c r="N1021" s="45" t="s">
        <v>524</v>
      </c>
      <c r="AN1021" s="170"/>
    </row>
    <row r="1022" spans="12:40" ht="20.100000000000001" customHeight="1">
      <c r="L1022" s="45" t="s">
        <v>1577</v>
      </c>
      <c r="M1022" s="45" t="s">
        <v>303</v>
      </c>
      <c r="N1022" s="45" t="s">
        <v>524</v>
      </c>
      <c r="AN1022" s="170"/>
    </row>
    <row r="1023" spans="12:40" ht="20.100000000000001" customHeight="1">
      <c r="L1023" s="45" t="s">
        <v>520</v>
      </c>
      <c r="M1023" s="45" t="s">
        <v>157</v>
      </c>
      <c r="N1023" s="45" t="s">
        <v>521</v>
      </c>
      <c r="AN1023" s="170"/>
    </row>
    <row r="1024" spans="12:40" ht="20.100000000000001" customHeight="1">
      <c r="L1024" s="45" t="s">
        <v>523</v>
      </c>
      <c r="M1024" s="70" t="s">
        <v>151</v>
      </c>
      <c r="N1024" s="72" t="s">
        <v>524</v>
      </c>
      <c r="AN1024" s="170"/>
    </row>
    <row r="1025" spans="12:40" ht="20.100000000000001" customHeight="1">
      <c r="L1025" s="45" t="s">
        <v>526</v>
      </c>
      <c r="M1025" s="45" t="s">
        <v>161</v>
      </c>
      <c r="N1025" s="45" t="s">
        <v>521</v>
      </c>
      <c r="AN1025" s="170"/>
    </row>
    <row r="1026" spans="12:40" ht="20.100000000000001" customHeight="1">
      <c r="L1026" s="45" t="s">
        <v>528</v>
      </c>
      <c r="M1026" s="45" t="s">
        <v>167</v>
      </c>
      <c r="N1026" s="45" t="s">
        <v>521</v>
      </c>
      <c r="AN1026" s="170"/>
    </row>
    <row r="1027" spans="12:40" ht="20.100000000000001" customHeight="1">
      <c r="L1027" s="45" t="s">
        <v>649</v>
      </c>
      <c r="M1027" s="45" t="s">
        <v>372</v>
      </c>
      <c r="N1027" s="45" t="s">
        <v>650</v>
      </c>
      <c r="AN1027" s="170"/>
    </row>
    <row r="1028" spans="12:40" ht="20.100000000000001" customHeight="1">
      <c r="L1028" s="45" t="s">
        <v>653</v>
      </c>
      <c r="M1028" s="45" t="s">
        <v>173</v>
      </c>
      <c r="N1028" s="45" t="s">
        <v>650</v>
      </c>
      <c r="AN1028" s="170"/>
    </row>
    <row r="1029" spans="12:40" ht="20.100000000000001" customHeight="1">
      <c r="L1029" s="45" t="s">
        <v>656</v>
      </c>
      <c r="M1029" s="45" t="s">
        <v>657</v>
      </c>
      <c r="N1029" s="45" t="s">
        <v>650</v>
      </c>
      <c r="AN1029" s="170"/>
    </row>
    <row r="1030" spans="12:40" ht="20.100000000000001" customHeight="1">
      <c r="L1030" s="45" t="s">
        <v>659</v>
      </c>
      <c r="M1030" s="45" t="s">
        <v>657</v>
      </c>
      <c r="N1030" s="45" t="s">
        <v>650</v>
      </c>
      <c r="AN1030" s="170"/>
    </row>
    <row r="1031" spans="12:40" ht="20.100000000000001" customHeight="1">
      <c r="L1031" s="45" t="s">
        <v>661</v>
      </c>
      <c r="M1031" s="45" t="s">
        <v>385</v>
      </c>
      <c r="N1031" s="45" t="s">
        <v>650</v>
      </c>
      <c r="AN1031" s="170"/>
    </row>
    <row r="1032" spans="12:40" ht="20.100000000000001" customHeight="1">
      <c r="L1032" s="45" t="s">
        <v>663</v>
      </c>
      <c r="M1032" s="45" t="s">
        <v>385</v>
      </c>
      <c r="N1032" s="45" t="s">
        <v>650</v>
      </c>
      <c r="AN1032" s="170"/>
    </row>
    <row r="1033" spans="12:40" ht="20.100000000000001" customHeight="1">
      <c r="L1033" s="45" t="s">
        <v>665</v>
      </c>
      <c r="M1033" s="45" t="s">
        <v>385</v>
      </c>
      <c r="N1033" s="45" t="s">
        <v>650</v>
      </c>
      <c r="AN1033" s="170"/>
    </row>
    <row r="1034" spans="12:40" ht="20.100000000000001" customHeight="1">
      <c r="L1034" s="45" t="s">
        <v>667</v>
      </c>
      <c r="M1034" s="45" t="s">
        <v>385</v>
      </c>
      <c r="N1034" s="45" t="s">
        <v>650</v>
      </c>
      <c r="AN1034" s="170"/>
    </row>
    <row r="1035" spans="12:40" ht="20.100000000000001" customHeight="1">
      <c r="L1035" s="45" t="s">
        <v>669</v>
      </c>
      <c r="M1035" s="45" t="s">
        <v>394</v>
      </c>
      <c r="N1035" s="45" t="s">
        <v>650</v>
      </c>
      <c r="AN1035" s="170"/>
    </row>
    <row r="1036" spans="12:40" ht="20.100000000000001" customHeight="1">
      <c r="L1036" s="45" t="s">
        <v>673</v>
      </c>
      <c r="M1036" s="45" t="s">
        <v>394</v>
      </c>
      <c r="N1036" s="45" t="s">
        <v>650</v>
      </c>
      <c r="AN1036" s="170"/>
    </row>
    <row r="1037" spans="12:40" ht="20.100000000000001" customHeight="1">
      <c r="L1037" s="45" t="s">
        <v>676</v>
      </c>
      <c r="M1037" s="45" t="s">
        <v>394</v>
      </c>
      <c r="N1037" s="45" t="s">
        <v>650</v>
      </c>
      <c r="AN1037" s="170"/>
    </row>
    <row r="1038" spans="12:40" ht="20.100000000000001" customHeight="1">
      <c r="L1038" s="45" t="s">
        <v>678</v>
      </c>
      <c r="M1038" s="45" t="s">
        <v>394</v>
      </c>
      <c r="N1038" s="45" t="s">
        <v>650</v>
      </c>
      <c r="AN1038" s="170"/>
    </row>
    <row r="1039" spans="12:40" ht="20.100000000000001" customHeight="1">
      <c r="L1039" s="45" t="s">
        <v>680</v>
      </c>
      <c r="M1039" s="45" t="s">
        <v>403</v>
      </c>
      <c r="N1039" s="45" t="s">
        <v>650</v>
      </c>
      <c r="AN1039" s="170"/>
    </row>
    <row r="1040" spans="12:40" ht="20.100000000000001" customHeight="1">
      <c r="L1040" s="45" t="s">
        <v>683</v>
      </c>
      <c r="M1040" s="45" t="s">
        <v>403</v>
      </c>
      <c r="N1040" s="45" t="s">
        <v>650</v>
      </c>
      <c r="AN1040" s="170"/>
    </row>
    <row r="1041" spans="12:40" ht="20.100000000000001" customHeight="1">
      <c r="L1041" s="45" t="s">
        <v>686</v>
      </c>
      <c r="M1041" s="45" t="s">
        <v>403</v>
      </c>
      <c r="N1041" s="45" t="s">
        <v>650</v>
      </c>
      <c r="AN1041" s="170"/>
    </row>
    <row r="1042" spans="12:40" ht="20.100000000000001" customHeight="1">
      <c r="L1042" s="45" t="s">
        <v>689</v>
      </c>
      <c r="M1042" s="45" t="s">
        <v>403</v>
      </c>
      <c r="N1042" s="45" t="s">
        <v>650</v>
      </c>
      <c r="AN1042" s="170"/>
    </row>
    <row r="1043" spans="12:40" ht="20.100000000000001" customHeight="1">
      <c r="L1043" s="45" t="s">
        <v>692</v>
      </c>
      <c r="M1043" s="45" t="s">
        <v>412</v>
      </c>
      <c r="N1043" s="45" t="s">
        <v>650</v>
      </c>
      <c r="AN1043" s="170"/>
    </row>
    <row r="1044" spans="12:40" ht="20.100000000000001" customHeight="1">
      <c r="L1044" s="45" t="s">
        <v>694</v>
      </c>
      <c r="M1044" s="45" t="s">
        <v>412</v>
      </c>
      <c r="N1044" s="45" t="s">
        <v>650</v>
      </c>
      <c r="AN1044" s="170"/>
    </row>
    <row r="1045" spans="12:40" ht="20.100000000000001" customHeight="1">
      <c r="L1045" s="45" t="s">
        <v>696</v>
      </c>
      <c r="M1045" s="45" t="s">
        <v>412</v>
      </c>
      <c r="N1045" s="45" t="s">
        <v>650</v>
      </c>
      <c r="AN1045" s="170"/>
    </row>
    <row r="1046" spans="12:40" ht="20.100000000000001" customHeight="1">
      <c r="L1046" s="45" t="s">
        <v>699</v>
      </c>
      <c r="M1046" s="45" t="s">
        <v>412</v>
      </c>
      <c r="N1046" s="45" t="s">
        <v>650</v>
      </c>
      <c r="AN1046" s="170"/>
    </row>
    <row r="1047" spans="12:40" ht="20.100000000000001" customHeight="1">
      <c r="L1047" s="45" t="s">
        <v>702</v>
      </c>
      <c r="M1047" s="45" t="s">
        <v>421</v>
      </c>
      <c r="N1047" s="45" t="s">
        <v>650</v>
      </c>
      <c r="AN1047" s="170"/>
    </row>
    <row r="1048" spans="12:40" ht="20.100000000000001" customHeight="1">
      <c r="L1048" s="45" t="s">
        <v>704</v>
      </c>
      <c r="M1048" s="45" t="s">
        <v>421</v>
      </c>
      <c r="N1048" s="45" t="s">
        <v>650</v>
      </c>
      <c r="AN1048" s="170"/>
    </row>
    <row r="1049" spans="12:40" ht="20.100000000000001" customHeight="1">
      <c r="L1049" s="45" t="s">
        <v>706</v>
      </c>
      <c r="M1049" s="45" t="s">
        <v>426</v>
      </c>
      <c r="N1049" s="45" t="s">
        <v>650</v>
      </c>
      <c r="AN1049" s="170"/>
    </row>
    <row r="1050" spans="12:40" ht="20.100000000000001" customHeight="1">
      <c r="L1050" s="45" t="s">
        <v>709</v>
      </c>
      <c r="M1050" s="45" t="s">
        <v>426</v>
      </c>
      <c r="N1050" s="45" t="s">
        <v>650</v>
      </c>
      <c r="AN1050" s="170"/>
    </row>
    <row r="1051" spans="12:40" ht="20.100000000000001" customHeight="1">
      <c r="L1051" s="45" t="s">
        <v>712</v>
      </c>
      <c r="M1051" s="45" t="s">
        <v>426</v>
      </c>
      <c r="N1051" s="45" t="s">
        <v>650</v>
      </c>
      <c r="AN1051" s="170"/>
    </row>
    <row r="1052" spans="12:40" ht="20.100000000000001" customHeight="1">
      <c r="L1052" s="45" t="s">
        <v>714</v>
      </c>
      <c r="M1052" s="45" t="s">
        <v>426</v>
      </c>
      <c r="N1052" s="45" t="s">
        <v>650</v>
      </c>
      <c r="AN1052" s="170"/>
    </row>
    <row r="1053" spans="12:40" ht="20.100000000000001" customHeight="1">
      <c r="L1053" s="45" t="s">
        <v>716</v>
      </c>
      <c r="M1053" s="45" t="s">
        <v>717</v>
      </c>
      <c r="N1053" s="45" t="s">
        <v>718</v>
      </c>
      <c r="AN1053" s="170"/>
    </row>
    <row r="1054" spans="12:40" ht="20.100000000000001" customHeight="1">
      <c r="L1054" s="45" t="s">
        <v>720</v>
      </c>
      <c r="M1054" s="45" t="s">
        <v>721</v>
      </c>
      <c r="N1054" s="45" t="s">
        <v>718</v>
      </c>
      <c r="AN1054" s="170"/>
    </row>
    <row r="1055" spans="12:40" ht="20.100000000000001" customHeight="1">
      <c r="L1055" s="45" t="s">
        <v>723</v>
      </c>
      <c r="M1055" s="45" t="s">
        <v>724</v>
      </c>
      <c r="N1055" s="45" t="s">
        <v>718</v>
      </c>
      <c r="AN1055" s="170"/>
    </row>
    <row r="1056" spans="12:40" ht="20.100000000000001" customHeight="1">
      <c r="L1056" s="45" t="s">
        <v>726</v>
      </c>
      <c r="M1056" s="45" t="s">
        <v>727</v>
      </c>
      <c r="N1056" s="45" t="s">
        <v>718</v>
      </c>
      <c r="AN1056" s="170"/>
    </row>
    <row r="1057" spans="12:40" ht="20.100000000000001" customHeight="1">
      <c r="L1057" s="45" t="s">
        <v>729</v>
      </c>
      <c r="M1057" s="45" t="s">
        <v>730</v>
      </c>
      <c r="N1057" s="45" t="s">
        <v>718</v>
      </c>
      <c r="AN1057" s="170"/>
    </row>
    <row r="1058" spans="12:40" ht="20.100000000000001" customHeight="1">
      <c r="L1058" s="45" t="s">
        <v>733</v>
      </c>
      <c r="M1058" s="45" t="s">
        <v>734</v>
      </c>
      <c r="N1058" s="45" t="s">
        <v>718</v>
      </c>
      <c r="AN1058" s="170"/>
    </row>
    <row r="1059" spans="12:40" ht="20.100000000000001" customHeight="1">
      <c r="L1059" s="45" t="s">
        <v>737</v>
      </c>
      <c r="M1059" s="45" t="s">
        <v>738</v>
      </c>
      <c r="N1059" s="45" t="s">
        <v>718</v>
      </c>
      <c r="AN1059" s="170"/>
    </row>
    <row r="1060" spans="12:40" ht="20.100000000000001" customHeight="1">
      <c r="L1060" s="45" t="s">
        <v>1568</v>
      </c>
      <c r="AN1060" s="170"/>
    </row>
    <row r="1061" spans="12:40" ht="20.100000000000001" customHeight="1">
      <c r="L1061" s="45" t="s">
        <v>742</v>
      </c>
      <c r="M1061" s="45" t="s">
        <v>743</v>
      </c>
      <c r="N1061" s="45" t="s">
        <v>744</v>
      </c>
      <c r="AN1061" s="170"/>
    </row>
    <row r="1062" spans="12:40" ht="20.100000000000001" customHeight="1">
      <c r="AN1062" s="170"/>
    </row>
    <row r="1063" spans="12:40" ht="20.100000000000001" customHeight="1">
      <c r="AN1063" s="170"/>
    </row>
    <row r="1064" spans="12:40" ht="20.100000000000001" customHeight="1">
      <c r="AN1064" s="170"/>
    </row>
    <row r="1065" spans="12:40" ht="20.100000000000001" customHeight="1">
      <c r="AN1065" s="170"/>
    </row>
    <row r="1066" spans="12:40" ht="20.100000000000001" customHeight="1">
      <c r="AN1066" s="170"/>
    </row>
    <row r="1067" spans="12:40" ht="20.100000000000001" customHeight="1">
      <c r="AN1067" s="170"/>
    </row>
    <row r="1068" spans="12:40" ht="20.100000000000001" customHeight="1">
      <c r="AN1068" s="170"/>
    </row>
    <row r="1069" spans="12:40" ht="20.100000000000001" customHeight="1">
      <c r="AN1069" s="170"/>
    </row>
    <row r="1070" spans="12:40" ht="20.100000000000001" customHeight="1">
      <c r="AN1070" s="170"/>
    </row>
    <row r="1071" spans="12:40" ht="20.100000000000001" customHeight="1">
      <c r="AN1071" s="170"/>
    </row>
    <row r="1072" spans="12:40" ht="20.100000000000001" customHeight="1">
      <c r="AN1072" s="170"/>
    </row>
    <row r="1073" spans="40:40" ht="20.100000000000001" customHeight="1">
      <c r="AN1073" s="170"/>
    </row>
    <row r="1074" spans="40:40" ht="20.100000000000001" customHeight="1">
      <c r="AN1074" s="170"/>
    </row>
    <row r="1075" spans="40:40" ht="20.100000000000001" customHeight="1">
      <c r="AN1075" s="170"/>
    </row>
    <row r="1076" spans="40:40" ht="20.100000000000001" customHeight="1">
      <c r="AN1076" s="170"/>
    </row>
    <row r="1077" spans="40:40" ht="20.100000000000001" customHeight="1">
      <c r="AN1077" s="170"/>
    </row>
    <row r="1078" spans="40:40" ht="20.100000000000001" customHeight="1">
      <c r="AN1078" s="170"/>
    </row>
    <row r="1079" spans="40:40" ht="20.100000000000001" customHeight="1">
      <c r="AN1079" s="170"/>
    </row>
    <row r="1080" spans="40:40" ht="20.100000000000001" customHeight="1">
      <c r="AN1080" s="170"/>
    </row>
    <row r="1081" spans="40:40" ht="20.100000000000001" customHeight="1">
      <c r="AN1081" s="170"/>
    </row>
    <row r="1082" spans="40:40" ht="20.100000000000001" customHeight="1">
      <c r="AN1082" s="170"/>
    </row>
    <row r="1083" spans="40:40" ht="20.100000000000001" customHeight="1">
      <c r="AN1083" s="170"/>
    </row>
    <row r="1084" spans="40:40" ht="20.100000000000001" customHeight="1">
      <c r="AN1084" s="170"/>
    </row>
    <row r="1085" spans="40:40" ht="20.100000000000001" customHeight="1">
      <c r="AN1085" s="170"/>
    </row>
    <row r="1086" spans="40:40" ht="20.100000000000001" customHeight="1">
      <c r="AN1086" s="170"/>
    </row>
    <row r="1087" spans="40:40" ht="20.100000000000001" customHeight="1">
      <c r="AN1087" s="170"/>
    </row>
    <row r="1088" spans="40:40" ht="20.100000000000001" customHeight="1">
      <c r="AN1088" s="170"/>
    </row>
    <row r="1089" spans="40:40" ht="20.100000000000001" customHeight="1">
      <c r="AN1089" s="170"/>
    </row>
    <row r="1090" spans="40:40" ht="20.100000000000001" customHeight="1">
      <c r="AN1090" s="170"/>
    </row>
    <row r="1091" spans="40:40" ht="20.100000000000001" customHeight="1">
      <c r="AN1091" s="170"/>
    </row>
    <row r="1092" spans="40:40" ht="20.100000000000001" customHeight="1">
      <c r="AN1092" s="170"/>
    </row>
    <row r="1093" spans="40:40" ht="20.100000000000001" customHeight="1">
      <c r="AN1093" s="170"/>
    </row>
    <row r="1094" spans="40:40" ht="20.100000000000001" customHeight="1">
      <c r="AN1094" s="170"/>
    </row>
    <row r="1095" spans="40:40" ht="20.100000000000001" customHeight="1">
      <c r="AN1095" s="170"/>
    </row>
    <row r="1096" spans="40:40" ht="20.100000000000001" customHeight="1">
      <c r="AN1096" s="170"/>
    </row>
    <row r="1097" spans="40:40" ht="20.100000000000001" customHeight="1">
      <c r="AN1097" s="170"/>
    </row>
    <row r="1098" spans="40:40" ht="20.100000000000001" customHeight="1">
      <c r="AN1098" s="170"/>
    </row>
    <row r="1099" spans="40:40" ht="20.100000000000001" customHeight="1">
      <c r="AN1099" s="170"/>
    </row>
    <row r="1100" spans="40:40" ht="20.100000000000001" customHeight="1">
      <c r="AN1100" s="170"/>
    </row>
    <row r="1101" spans="40:40" ht="20.100000000000001" customHeight="1">
      <c r="AN1101" s="170"/>
    </row>
    <row r="1102" spans="40:40" ht="20.100000000000001" customHeight="1">
      <c r="AN1102" s="170"/>
    </row>
    <row r="1103" spans="40:40" ht="20.100000000000001" customHeight="1">
      <c r="AN1103" s="170"/>
    </row>
    <row r="1104" spans="40:40" ht="20.100000000000001" customHeight="1">
      <c r="AN1104" s="170"/>
    </row>
    <row r="1105" spans="40:40" ht="20.100000000000001" customHeight="1">
      <c r="AN1105" s="170"/>
    </row>
    <row r="1106" spans="40:40" ht="20.100000000000001" customHeight="1">
      <c r="AN1106" s="170"/>
    </row>
    <row r="1107" spans="40:40" ht="20.100000000000001" customHeight="1">
      <c r="AN1107" s="170"/>
    </row>
    <row r="1108" spans="40:40" ht="20.100000000000001" customHeight="1">
      <c r="AN1108" s="170"/>
    </row>
    <row r="1109" spans="40:40" ht="20.100000000000001" customHeight="1">
      <c r="AN1109" s="170"/>
    </row>
    <row r="1110" spans="40:40" ht="20.100000000000001" customHeight="1">
      <c r="AN1110" s="170"/>
    </row>
    <row r="1111" spans="40:40" ht="20.100000000000001" customHeight="1">
      <c r="AN1111" s="170"/>
    </row>
    <row r="1112" spans="40:40" ht="20.100000000000001" customHeight="1">
      <c r="AN1112" s="170"/>
    </row>
    <row r="1113" spans="40:40" ht="20.100000000000001" customHeight="1">
      <c r="AN1113" s="170"/>
    </row>
    <row r="1114" spans="40:40" ht="20.100000000000001" customHeight="1">
      <c r="AN1114" s="170"/>
    </row>
    <row r="1115" spans="40:40" ht="20.100000000000001" customHeight="1">
      <c r="AN1115" s="170"/>
    </row>
    <row r="1116" spans="40:40" ht="20.100000000000001" customHeight="1">
      <c r="AN1116" s="170"/>
    </row>
    <row r="1117" spans="40:40" ht="20.100000000000001" customHeight="1">
      <c r="AN1117" s="170"/>
    </row>
    <row r="1118" spans="40:40" ht="20.100000000000001" customHeight="1">
      <c r="AN1118" s="170"/>
    </row>
    <row r="1119" spans="40:40" ht="20.100000000000001" customHeight="1">
      <c r="AN1119" s="170"/>
    </row>
    <row r="1120" spans="40:40" ht="20.100000000000001" customHeight="1">
      <c r="AN1120" s="170"/>
    </row>
    <row r="1121" spans="40:40" ht="20.100000000000001" customHeight="1">
      <c r="AN1121" s="170"/>
    </row>
    <row r="1122" spans="40:40" ht="20.100000000000001" customHeight="1">
      <c r="AN1122" s="170"/>
    </row>
    <row r="1123" spans="40:40" ht="20.100000000000001" customHeight="1">
      <c r="AN1123" s="170"/>
    </row>
    <row r="1124" spans="40:40" ht="20.100000000000001" customHeight="1">
      <c r="AN1124" s="170"/>
    </row>
    <row r="1125" spans="40:40" ht="20.100000000000001" customHeight="1">
      <c r="AN1125" s="170"/>
    </row>
    <row r="1126" spans="40:40" ht="20.100000000000001" customHeight="1">
      <c r="AN1126" s="170"/>
    </row>
    <row r="1127" spans="40:40" ht="20.100000000000001" customHeight="1">
      <c r="AN1127" s="170"/>
    </row>
    <row r="1128" spans="40:40" ht="20.100000000000001" customHeight="1">
      <c r="AN1128" s="170"/>
    </row>
    <row r="1129" spans="40:40" ht="20.100000000000001" customHeight="1">
      <c r="AN1129" s="170"/>
    </row>
    <row r="1130" spans="40:40" ht="20.100000000000001" customHeight="1">
      <c r="AN1130" s="170"/>
    </row>
    <row r="1131" spans="40:40" ht="20.100000000000001" customHeight="1">
      <c r="AN1131" s="170"/>
    </row>
    <row r="1132" spans="40:40" ht="20.100000000000001" customHeight="1">
      <c r="AN1132" s="170"/>
    </row>
    <row r="1133" spans="40:40" ht="20.100000000000001" customHeight="1">
      <c r="AN1133" s="170"/>
    </row>
    <row r="1134" spans="40:40" ht="20.100000000000001" customHeight="1">
      <c r="AN1134" s="170"/>
    </row>
    <row r="1135" spans="40:40" ht="20.100000000000001" customHeight="1">
      <c r="AN1135" s="170"/>
    </row>
    <row r="1136" spans="40:40" ht="20.100000000000001" customHeight="1">
      <c r="AN1136" s="170"/>
    </row>
    <row r="1137" spans="40:40" ht="20.100000000000001" customHeight="1">
      <c r="AN1137" s="170"/>
    </row>
    <row r="1138" spans="40:40" ht="20.100000000000001" customHeight="1">
      <c r="AN1138" s="170"/>
    </row>
    <row r="1139" spans="40:40" ht="20.100000000000001" customHeight="1">
      <c r="AN1139" s="170"/>
    </row>
    <row r="1140" spans="40:40" ht="20.100000000000001" customHeight="1">
      <c r="AN1140" s="170"/>
    </row>
    <row r="1141" spans="40:40" ht="20.100000000000001" customHeight="1">
      <c r="AN1141" s="170"/>
    </row>
    <row r="1142" spans="40:40" ht="20.100000000000001" customHeight="1">
      <c r="AN1142" s="170"/>
    </row>
    <row r="1143" spans="40:40" ht="20.100000000000001" customHeight="1">
      <c r="AN1143" s="170"/>
    </row>
    <row r="1144" spans="40:40" ht="20.100000000000001" customHeight="1">
      <c r="AN1144" s="170"/>
    </row>
    <row r="1145" spans="40:40" ht="20.100000000000001" customHeight="1">
      <c r="AN1145" s="170"/>
    </row>
    <row r="1146" spans="40:40" ht="20.100000000000001" customHeight="1">
      <c r="AN1146" s="170"/>
    </row>
    <row r="1147" spans="40:40" ht="20.100000000000001" customHeight="1">
      <c r="AN1147" s="170"/>
    </row>
    <row r="1148" spans="40:40" ht="20.100000000000001" customHeight="1">
      <c r="AN1148" s="170"/>
    </row>
    <row r="1149" spans="40:40" ht="20.100000000000001" customHeight="1">
      <c r="AN1149" s="170"/>
    </row>
    <row r="1150" spans="40:40" ht="20.100000000000001" customHeight="1">
      <c r="AN1150" s="170"/>
    </row>
    <row r="1151" spans="40:40" ht="20.100000000000001" customHeight="1">
      <c r="AN1151" s="170"/>
    </row>
    <row r="1152" spans="40:40" ht="20.100000000000001" customHeight="1">
      <c r="AN1152" s="170"/>
    </row>
    <row r="1153" spans="40:40" ht="20.100000000000001" customHeight="1">
      <c r="AN1153" s="170"/>
    </row>
    <row r="1154" spans="40:40" ht="20.100000000000001" customHeight="1">
      <c r="AN1154" s="170"/>
    </row>
    <row r="1155" spans="40:40" ht="20.100000000000001" customHeight="1">
      <c r="AN1155" s="170"/>
    </row>
    <row r="1156" spans="40:40" ht="20.100000000000001" customHeight="1">
      <c r="AN1156" s="170"/>
    </row>
    <row r="1157" spans="40:40" ht="20.100000000000001" customHeight="1">
      <c r="AN1157" s="170"/>
    </row>
    <row r="1158" spans="40:40" ht="20.100000000000001" customHeight="1">
      <c r="AN1158" s="170"/>
    </row>
    <row r="1159" spans="40:40" ht="20.100000000000001" customHeight="1">
      <c r="AN1159" s="170"/>
    </row>
    <row r="1160" spans="40:40" ht="20.100000000000001" customHeight="1">
      <c r="AN1160" s="170"/>
    </row>
    <row r="1161" spans="40:40" ht="20.100000000000001" customHeight="1">
      <c r="AN1161" s="170"/>
    </row>
    <row r="1162" spans="40:40" ht="20.100000000000001" customHeight="1">
      <c r="AN1162" s="170"/>
    </row>
    <row r="1163" spans="40:40" ht="20.100000000000001" customHeight="1">
      <c r="AN1163" s="170"/>
    </row>
    <row r="1164" spans="40:40" ht="20.100000000000001" customHeight="1">
      <c r="AN1164" s="170"/>
    </row>
    <row r="1165" spans="40:40" ht="20.100000000000001" customHeight="1">
      <c r="AN1165" s="170"/>
    </row>
    <row r="1166" spans="40:40" ht="20.100000000000001" customHeight="1">
      <c r="AN1166" s="170"/>
    </row>
    <row r="1167" spans="40:40" ht="20.100000000000001" customHeight="1">
      <c r="AN1167" s="170"/>
    </row>
    <row r="1168" spans="40:40" ht="20.100000000000001" customHeight="1">
      <c r="AN1168" s="170"/>
    </row>
    <row r="1169" spans="40:40" ht="20.100000000000001" customHeight="1">
      <c r="AN1169" s="170"/>
    </row>
    <row r="1170" spans="40:40" ht="20.100000000000001" customHeight="1">
      <c r="AN1170" s="170"/>
    </row>
    <row r="1171" spans="40:40" ht="20.100000000000001" customHeight="1">
      <c r="AN1171" s="170"/>
    </row>
    <row r="1172" spans="40:40" ht="20.100000000000001" customHeight="1">
      <c r="AN1172" s="170"/>
    </row>
    <row r="1173" spans="40:40" ht="20.100000000000001" customHeight="1">
      <c r="AN1173" s="170"/>
    </row>
    <row r="1174" spans="40:40" ht="20.100000000000001" customHeight="1">
      <c r="AN1174" s="170"/>
    </row>
    <row r="1175" spans="40:40" ht="20.100000000000001" customHeight="1">
      <c r="AN1175" s="170"/>
    </row>
    <row r="1176" spans="40:40" ht="20.100000000000001" customHeight="1">
      <c r="AN1176" s="170"/>
    </row>
    <row r="1177" spans="40:40" ht="20.100000000000001" customHeight="1">
      <c r="AN1177" s="170"/>
    </row>
    <row r="1178" spans="40:40" ht="20.100000000000001" customHeight="1">
      <c r="AN1178" s="170"/>
    </row>
    <row r="1179" spans="40:40" ht="20.100000000000001" customHeight="1">
      <c r="AN1179" s="170"/>
    </row>
    <row r="1180" spans="40:40" ht="20.100000000000001" customHeight="1">
      <c r="AN1180" s="170"/>
    </row>
    <row r="1181" spans="40:40" ht="20.100000000000001" customHeight="1">
      <c r="AN1181" s="170"/>
    </row>
    <row r="1182" spans="40:40" ht="20.100000000000001" customHeight="1">
      <c r="AN1182" s="170"/>
    </row>
    <row r="1183" spans="40:40" ht="20.100000000000001" customHeight="1">
      <c r="AN1183" s="170"/>
    </row>
    <row r="1184" spans="40:40" ht="20.100000000000001" customHeight="1">
      <c r="AN1184" s="170"/>
    </row>
    <row r="1185" spans="40:40" ht="20.100000000000001" customHeight="1">
      <c r="AN1185" s="170"/>
    </row>
    <row r="1186" spans="40:40" ht="20.100000000000001" customHeight="1">
      <c r="AN1186" s="170"/>
    </row>
    <row r="1187" spans="40:40" ht="20.100000000000001" customHeight="1">
      <c r="AN1187" s="170"/>
    </row>
    <row r="1188" spans="40:40" ht="20.100000000000001" customHeight="1">
      <c r="AN1188" s="170"/>
    </row>
    <row r="1189" spans="40:40" ht="20.100000000000001" customHeight="1">
      <c r="AN1189" s="170"/>
    </row>
    <row r="1190" spans="40:40" ht="20.100000000000001" customHeight="1">
      <c r="AN1190" s="170"/>
    </row>
    <row r="1191" spans="40:40" ht="20.100000000000001" customHeight="1">
      <c r="AN1191" s="170"/>
    </row>
    <row r="1192" spans="40:40" ht="20.100000000000001" customHeight="1">
      <c r="AN1192" s="170"/>
    </row>
    <row r="1193" spans="40:40" ht="20.100000000000001" customHeight="1">
      <c r="AN1193" s="170"/>
    </row>
    <row r="1194" spans="40:40" ht="20.100000000000001" customHeight="1">
      <c r="AN1194" s="170"/>
    </row>
    <row r="1195" spans="40:40" ht="20.100000000000001" customHeight="1">
      <c r="AN1195" s="170"/>
    </row>
    <row r="1196" spans="40:40" ht="20.100000000000001" customHeight="1">
      <c r="AN1196" s="170"/>
    </row>
    <row r="1197" spans="40:40" ht="20.100000000000001" customHeight="1">
      <c r="AN1197" s="170"/>
    </row>
    <row r="1198" spans="40:40" ht="20.100000000000001" customHeight="1">
      <c r="AN1198" s="170"/>
    </row>
    <row r="1199" spans="40:40" ht="20.100000000000001" customHeight="1">
      <c r="AN1199" s="170"/>
    </row>
    <row r="1200" spans="40:40" ht="20.100000000000001" customHeight="1">
      <c r="AN1200" s="170"/>
    </row>
    <row r="1201" spans="40:40" ht="20.100000000000001" customHeight="1">
      <c r="AN1201" s="170"/>
    </row>
    <row r="1202" spans="40:40" ht="20.100000000000001" customHeight="1">
      <c r="AN1202" s="170"/>
    </row>
    <row r="1203" spans="40:40" ht="20.100000000000001" customHeight="1">
      <c r="AN1203" s="170"/>
    </row>
    <row r="1204" spans="40:40" ht="20.100000000000001" customHeight="1">
      <c r="AN1204" s="170"/>
    </row>
    <row r="1205" spans="40:40" ht="20.100000000000001" customHeight="1">
      <c r="AN1205" s="170"/>
    </row>
    <row r="1206" spans="40:40" ht="20.100000000000001" customHeight="1">
      <c r="AN1206" s="170"/>
    </row>
    <row r="1207" spans="40:40" ht="20.100000000000001" customHeight="1">
      <c r="AN1207" s="170"/>
    </row>
    <row r="1208" spans="40:40" ht="20.100000000000001" customHeight="1">
      <c r="AN1208" s="170"/>
    </row>
    <row r="1209" spans="40:40" ht="20.100000000000001" customHeight="1">
      <c r="AN1209" s="170"/>
    </row>
    <row r="1210" spans="40:40" ht="20.100000000000001" customHeight="1">
      <c r="AN1210" s="170"/>
    </row>
    <row r="1211" spans="40:40" ht="20.100000000000001" customHeight="1">
      <c r="AN1211" s="170"/>
    </row>
    <row r="1212" spans="40:40" ht="20.100000000000001" customHeight="1">
      <c r="AN1212" s="170"/>
    </row>
    <row r="1213" spans="40:40" ht="20.100000000000001" customHeight="1">
      <c r="AN1213" s="170"/>
    </row>
    <row r="1214" spans="40:40" ht="20.100000000000001" customHeight="1">
      <c r="AN1214" s="170"/>
    </row>
    <row r="1215" spans="40:40" ht="20.100000000000001" customHeight="1">
      <c r="AN1215" s="170"/>
    </row>
    <row r="1216" spans="40:40" ht="20.100000000000001" customHeight="1">
      <c r="AN1216" s="170"/>
    </row>
    <row r="1217" spans="40:40" ht="20.100000000000001" customHeight="1">
      <c r="AN1217" s="170"/>
    </row>
    <row r="1218" spans="40:40" ht="20.100000000000001" customHeight="1">
      <c r="AN1218" s="170"/>
    </row>
    <row r="1219" spans="40:40" ht="20.100000000000001" customHeight="1">
      <c r="AN1219" s="170"/>
    </row>
    <row r="1220" spans="40:40" ht="20.100000000000001" customHeight="1">
      <c r="AN1220" s="170"/>
    </row>
    <row r="1221" spans="40:40" ht="20.100000000000001" customHeight="1">
      <c r="AN1221" s="170"/>
    </row>
    <row r="1222" spans="40:40" ht="20.100000000000001" customHeight="1">
      <c r="AN1222" s="170"/>
    </row>
    <row r="1223" spans="40:40" ht="20.100000000000001" customHeight="1">
      <c r="AN1223" s="170"/>
    </row>
    <row r="1224" spans="40:40" ht="20.100000000000001" customHeight="1">
      <c r="AN1224" s="170"/>
    </row>
    <row r="1225" spans="40:40" ht="20.100000000000001" customHeight="1">
      <c r="AN1225" s="170"/>
    </row>
    <row r="1226" spans="40:40" ht="20.100000000000001" customHeight="1">
      <c r="AN1226" s="170"/>
    </row>
    <row r="1227" spans="40:40" ht="20.100000000000001" customHeight="1">
      <c r="AN1227" s="170"/>
    </row>
    <row r="1228" spans="40:40" ht="20.100000000000001" customHeight="1">
      <c r="AN1228" s="170"/>
    </row>
    <row r="1229" spans="40:40" ht="20.100000000000001" customHeight="1">
      <c r="AN1229" s="170"/>
    </row>
    <row r="1230" spans="40:40" ht="20.100000000000001" customHeight="1">
      <c r="AN1230" s="170"/>
    </row>
    <row r="1231" spans="40:40" ht="20.100000000000001" customHeight="1">
      <c r="AN1231" s="170"/>
    </row>
    <row r="1232" spans="40:40" ht="20.100000000000001" customHeight="1">
      <c r="AN1232" s="170"/>
    </row>
    <row r="1233" spans="40:40" ht="20.100000000000001" customHeight="1">
      <c r="AN1233" s="170"/>
    </row>
    <row r="1234" spans="40:40" ht="20.100000000000001" customHeight="1">
      <c r="AN1234" s="170"/>
    </row>
    <row r="1235" spans="40:40" ht="20.100000000000001" customHeight="1">
      <c r="AN1235" s="170"/>
    </row>
    <row r="1236" spans="40:40" ht="20.100000000000001" customHeight="1">
      <c r="AN1236" s="170"/>
    </row>
    <row r="1237" spans="40:40" ht="20.100000000000001" customHeight="1">
      <c r="AN1237" s="170"/>
    </row>
    <row r="1238" spans="40:40" ht="20.100000000000001" customHeight="1">
      <c r="AN1238" s="170"/>
    </row>
    <row r="1239" spans="40:40" ht="20.100000000000001" customHeight="1">
      <c r="AN1239" s="170"/>
    </row>
    <row r="1240" spans="40:40" ht="20.100000000000001" customHeight="1">
      <c r="AN1240" s="170"/>
    </row>
    <row r="1241" spans="40:40" ht="20.100000000000001" customHeight="1">
      <c r="AN1241" s="170"/>
    </row>
    <row r="1242" spans="40:40" ht="20.100000000000001" customHeight="1">
      <c r="AN1242" s="170"/>
    </row>
    <row r="1243" spans="40:40" ht="20.100000000000001" customHeight="1">
      <c r="AN1243" s="170"/>
    </row>
    <row r="1244" spans="40:40" ht="20.100000000000001" customHeight="1">
      <c r="AN1244" s="170"/>
    </row>
    <row r="1245" spans="40:40" ht="20.100000000000001" customHeight="1">
      <c r="AN1245" s="170"/>
    </row>
    <row r="1246" spans="40:40" ht="20.100000000000001" customHeight="1">
      <c r="AN1246" s="170"/>
    </row>
    <row r="1247" spans="40:40" ht="20.100000000000001" customHeight="1">
      <c r="AN1247" s="170"/>
    </row>
    <row r="1248" spans="40:40" ht="20.100000000000001" customHeight="1">
      <c r="AN1248" s="170"/>
    </row>
    <row r="1249" spans="40:40" ht="20.100000000000001" customHeight="1">
      <c r="AN1249" s="170"/>
    </row>
    <row r="1250" spans="40:40" ht="20.100000000000001" customHeight="1">
      <c r="AN1250" s="170"/>
    </row>
    <row r="1251" spans="40:40" ht="20.100000000000001" customHeight="1">
      <c r="AN1251" s="170"/>
    </row>
    <row r="1252" spans="40:40" ht="20.100000000000001" customHeight="1">
      <c r="AN1252" s="170"/>
    </row>
    <row r="1253" spans="40:40" ht="20.100000000000001" customHeight="1">
      <c r="AN1253" s="170"/>
    </row>
    <row r="1254" spans="40:40" ht="20.100000000000001" customHeight="1">
      <c r="AN1254" s="170"/>
    </row>
    <row r="1255" spans="40:40" ht="20.100000000000001" customHeight="1">
      <c r="AN1255" s="170"/>
    </row>
    <row r="1256" spans="40:40" ht="20.100000000000001" customHeight="1">
      <c r="AN1256" s="170"/>
    </row>
    <row r="1257" spans="40:40" ht="20.100000000000001" customHeight="1">
      <c r="AN1257" s="170"/>
    </row>
    <row r="1258" spans="40:40" ht="20.100000000000001" customHeight="1">
      <c r="AN1258" s="170"/>
    </row>
    <row r="1259" spans="40:40" ht="20.100000000000001" customHeight="1">
      <c r="AN1259" s="170"/>
    </row>
    <row r="1260" spans="40:40" ht="20.100000000000001" customHeight="1">
      <c r="AN1260" s="170"/>
    </row>
    <row r="1261" spans="40:40" ht="20.100000000000001" customHeight="1">
      <c r="AN1261" s="170"/>
    </row>
    <row r="1262" spans="40:40" ht="20.100000000000001" customHeight="1">
      <c r="AN1262" s="170"/>
    </row>
    <row r="1263" spans="40:40" ht="20.100000000000001" customHeight="1">
      <c r="AN1263" s="170"/>
    </row>
    <row r="1264" spans="40:40" ht="20.100000000000001" customHeight="1">
      <c r="AN1264" s="170"/>
    </row>
    <row r="1265" spans="40:40" ht="20.100000000000001" customHeight="1">
      <c r="AN1265" s="170"/>
    </row>
    <row r="1266" spans="40:40" ht="20.100000000000001" customHeight="1">
      <c r="AN1266" s="170"/>
    </row>
    <row r="1267" spans="40:40" ht="20.100000000000001" customHeight="1">
      <c r="AN1267" s="170"/>
    </row>
    <row r="1268" spans="40:40" ht="20.100000000000001" customHeight="1">
      <c r="AN1268" s="170"/>
    </row>
    <row r="1269" spans="40:40" ht="20.100000000000001" customHeight="1">
      <c r="AN1269" s="170"/>
    </row>
    <row r="1270" spans="40:40" ht="20.100000000000001" customHeight="1">
      <c r="AN1270" s="170"/>
    </row>
    <row r="1271" spans="40:40" ht="20.100000000000001" customHeight="1">
      <c r="AN1271" s="170"/>
    </row>
    <row r="1272" spans="40:40" ht="20.100000000000001" customHeight="1">
      <c r="AN1272" s="170"/>
    </row>
    <row r="1273" spans="40:40" ht="20.100000000000001" customHeight="1">
      <c r="AN1273" s="170"/>
    </row>
    <row r="1274" spans="40:40" ht="20.100000000000001" customHeight="1">
      <c r="AN1274" s="170"/>
    </row>
    <row r="1275" spans="40:40" ht="20.100000000000001" customHeight="1">
      <c r="AN1275" s="170"/>
    </row>
    <row r="1276" spans="40:40" ht="20.100000000000001" customHeight="1">
      <c r="AN1276" s="170"/>
    </row>
    <row r="1277" spans="40:40" ht="20.100000000000001" customHeight="1">
      <c r="AN1277" s="170"/>
    </row>
    <row r="1278" spans="40:40" ht="20.100000000000001" customHeight="1">
      <c r="AN1278" s="170"/>
    </row>
    <row r="1279" spans="40:40" ht="20.100000000000001" customHeight="1">
      <c r="AN1279" s="170"/>
    </row>
    <row r="1280" spans="40:40" ht="20.100000000000001" customHeight="1">
      <c r="AN1280" s="170"/>
    </row>
    <row r="1281" spans="40:40" ht="20.100000000000001" customHeight="1">
      <c r="AN1281" s="170"/>
    </row>
    <row r="1282" spans="40:40" ht="20.100000000000001" customHeight="1">
      <c r="AN1282" s="170"/>
    </row>
    <row r="1283" spans="40:40" ht="20.100000000000001" customHeight="1">
      <c r="AN1283" s="170"/>
    </row>
    <row r="1284" spans="40:40" ht="20.100000000000001" customHeight="1">
      <c r="AN1284" s="170"/>
    </row>
    <row r="1285" spans="40:40" ht="20.100000000000001" customHeight="1">
      <c r="AN1285" s="170"/>
    </row>
    <row r="1286" spans="40:40" ht="20.100000000000001" customHeight="1">
      <c r="AN1286" s="170"/>
    </row>
    <row r="1287" spans="40:40" ht="20.100000000000001" customHeight="1">
      <c r="AN1287" s="170"/>
    </row>
    <row r="1288" spans="40:40" ht="20.100000000000001" customHeight="1">
      <c r="AN1288" s="170"/>
    </row>
    <row r="1289" spans="40:40" ht="20.100000000000001" customHeight="1">
      <c r="AN1289" s="170"/>
    </row>
    <row r="1290" spans="40:40" ht="20.100000000000001" customHeight="1">
      <c r="AN1290" s="170"/>
    </row>
    <row r="1291" spans="40:40" ht="20.100000000000001" customHeight="1">
      <c r="AN1291" s="170"/>
    </row>
    <row r="1292" spans="40:40" ht="20.100000000000001" customHeight="1">
      <c r="AN1292" s="170"/>
    </row>
    <row r="1293" spans="40:40" ht="20.100000000000001" customHeight="1">
      <c r="AN1293" s="170"/>
    </row>
    <row r="1294" spans="40:40" ht="20.100000000000001" customHeight="1">
      <c r="AN1294" s="170"/>
    </row>
    <row r="1295" spans="40:40" ht="20.100000000000001" customHeight="1">
      <c r="AN1295" s="170"/>
    </row>
    <row r="1296" spans="40:40" ht="20.100000000000001" customHeight="1">
      <c r="AN1296" s="170"/>
    </row>
    <row r="1297" spans="40:40" ht="20.100000000000001" customHeight="1">
      <c r="AN1297" s="170"/>
    </row>
    <row r="1298" spans="40:40" ht="20.100000000000001" customHeight="1">
      <c r="AN1298" s="170"/>
    </row>
    <row r="1299" spans="40:40" ht="20.100000000000001" customHeight="1">
      <c r="AN1299" s="170"/>
    </row>
    <row r="1300" spans="40:40" ht="20.100000000000001" customHeight="1">
      <c r="AN1300" s="170"/>
    </row>
    <row r="1301" spans="40:40" ht="20.100000000000001" customHeight="1">
      <c r="AN1301" s="170"/>
    </row>
    <row r="1302" spans="40:40" ht="20.100000000000001" customHeight="1">
      <c r="AN1302" s="170"/>
    </row>
    <row r="1303" spans="40:40" ht="20.100000000000001" customHeight="1">
      <c r="AN1303" s="170"/>
    </row>
    <row r="1304" spans="40:40" ht="20.100000000000001" customHeight="1">
      <c r="AN1304" s="170"/>
    </row>
    <row r="1305" spans="40:40" ht="20.100000000000001" customHeight="1">
      <c r="AN1305" s="170"/>
    </row>
    <row r="1306" spans="40:40" ht="20.100000000000001" customHeight="1">
      <c r="AN1306" s="170"/>
    </row>
    <row r="1307" spans="40:40" ht="20.100000000000001" customHeight="1">
      <c r="AN1307" s="170"/>
    </row>
    <row r="1308" spans="40:40" ht="20.100000000000001" customHeight="1">
      <c r="AN1308" s="170"/>
    </row>
    <row r="1309" spans="40:40" ht="20.100000000000001" customHeight="1">
      <c r="AN1309" s="170"/>
    </row>
    <row r="1310" spans="40:40" ht="20.100000000000001" customHeight="1">
      <c r="AN1310" s="170"/>
    </row>
    <row r="1311" spans="40:40" ht="20.100000000000001" customHeight="1">
      <c r="AN1311" s="170"/>
    </row>
    <row r="1312" spans="40:40" ht="20.100000000000001" customHeight="1">
      <c r="AN1312" s="170"/>
    </row>
    <row r="1313" spans="40:40" ht="20.100000000000001" customHeight="1">
      <c r="AN1313" s="170"/>
    </row>
    <row r="1314" spans="40:40" ht="20.100000000000001" customHeight="1">
      <c r="AN1314" s="170"/>
    </row>
    <row r="1315" spans="40:40" ht="20.100000000000001" customHeight="1">
      <c r="AN1315" s="170"/>
    </row>
    <row r="1316" spans="40:40" ht="20.100000000000001" customHeight="1">
      <c r="AN1316" s="170"/>
    </row>
    <row r="1317" spans="40:40" ht="20.100000000000001" customHeight="1">
      <c r="AN1317" s="170"/>
    </row>
    <row r="1318" spans="40:40" ht="20.100000000000001" customHeight="1">
      <c r="AN1318" s="170"/>
    </row>
    <row r="1319" spans="40:40" ht="20.100000000000001" customHeight="1">
      <c r="AN1319" s="170"/>
    </row>
    <row r="1320" spans="40:40" ht="20.100000000000001" customHeight="1">
      <c r="AN1320" s="170"/>
    </row>
    <row r="1321" spans="40:40" ht="20.100000000000001" customHeight="1">
      <c r="AN1321" s="170"/>
    </row>
    <row r="1322" spans="40:40" ht="20.100000000000001" customHeight="1">
      <c r="AN1322" s="170"/>
    </row>
    <row r="1323" spans="40:40" ht="20.100000000000001" customHeight="1">
      <c r="AN1323" s="170"/>
    </row>
    <row r="1324" spans="40:40" ht="20.100000000000001" customHeight="1">
      <c r="AN1324" s="170"/>
    </row>
    <row r="1325" spans="40:40" ht="20.100000000000001" customHeight="1">
      <c r="AN1325" s="170"/>
    </row>
    <row r="1326" spans="40:40" ht="20.100000000000001" customHeight="1">
      <c r="AN1326" s="170"/>
    </row>
    <row r="1327" spans="40:40" ht="20.100000000000001" customHeight="1">
      <c r="AN1327" s="170"/>
    </row>
    <row r="1328" spans="40:40" ht="20.100000000000001" customHeight="1">
      <c r="AN1328" s="170"/>
    </row>
    <row r="1329" spans="40:40" ht="20.100000000000001" customHeight="1">
      <c r="AN1329" s="170"/>
    </row>
    <row r="1330" spans="40:40" ht="20.100000000000001" customHeight="1">
      <c r="AN1330" s="170"/>
    </row>
    <row r="1331" spans="40:40" ht="20.100000000000001" customHeight="1">
      <c r="AN1331" s="170"/>
    </row>
    <row r="1332" spans="40:40" ht="20.100000000000001" customHeight="1">
      <c r="AN1332" s="170"/>
    </row>
    <row r="1333" spans="40:40" ht="20.100000000000001" customHeight="1">
      <c r="AN1333" s="170"/>
    </row>
    <row r="1334" spans="40:40" ht="20.100000000000001" customHeight="1">
      <c r="AN1334" s="170"/>
    </row>
    <row r="1335" spans="40:40" ht="20.100000000000001" customHeight="1">
      <c r="AN1335" s="170"/>
    </row>
    <row r="1336" spans="40:40" ht="20.100000000000001" customHeight="1">
      <c r="AN1336" s="170"/>
    </row>
    <row r="1337" spans="40:40" ht="20.100000000000001" customHeight="1">
      <c r="AN1337" s="170"/>
    </row>
    <row r="1338" spans="40:40" ht="20.100000000000001" customHeight="1">
      <c r="AN1338" s="170"/>
    </row>
    <row r="1339" spans="40:40" ht="20.100000000000001" customHeight="1">
      <c r="AN1339" s="170"/>
    </row>
    <row r="1340" spans="40:40" ht="20.100000000000001" customHeight="1">
      <c r="AN1340" s="170"/>
    </row>
    <row r="1341" spans="40:40" ht="20.100000000000001" customHeight="1">
      <c r="AN1341" s="170"/>
    </row>
    <row r="1342" spans="40:40" ht="20.100000000000001" customHeight="1">
      <c r="AN1342" s="170"/>
    </row>
    <row r="1343" spans="40:40" ht="20.100000000000001" customHeight="1">
      <c r="AN1343" s="170"/>
    </row>
    <row r="1344" spans="40:40" ht="20.100000000000001" customHeight="1">
      <c r="AN1344" s="170"/>
    </row>
    <row r="1345" spans="40:40" ht="20.100000000000001" customHeight="1">
      <c r="AN1345" s="170"/>
    </row>
    <row r="1346" spans="40:40" ht="20.100000000000001" customHeight="1">
      <c r="AN1346" s="170"/>
    </row>
    <row r="1347" spans="40:40" ht="20.100000000000001" customHeight="1">
      <c r="AN1347" s="170"/>
    </row>
    <row r="1348" spans="40:40" ht="20.100000000000001" customHeight="1">
      <c r="AN1348" s="170"/>
    </row>
    <row r="1349" spans="40:40" ht="20.100000000000001" customHeight="1">
      <c r="AN1349" s="170"/>
    </row>
    <row r="1350" spans="40:40" ht="20.100000000000001" customHeight="1">
      <c r="AN1350" s="170"/>
    </row>
    <row r="1351" spans="40:40" ht="20.100000000000001" customHeight="1">
      <c r="AN1351" s="170"/>
    </row>
    <row r="1352" spans="40:40" ht="20.100000000000001" customHeight="1">
      <c r="AN1352" s="170"/>
    </row>
    <row r="1353" spans="40:40" ht="20.100000000000001" customHeight="1">
      <c r="AN1353" s="170"/>
    </row>
    <row r="1354" spans="40:40" ht="20.100000000000001" customHeight="1">
      <c r="AN1354" s="170"/>
    </row>
    <row r="1355" spans="40:40" ht="20.100000000000001" customHeight="1">
      <c r="AN1355" s="170"/>
    </row>
    <row r="1356" spans="40:40" ht="20.100000000000001" customHeight="1">
      <c r="AN1356" s="170"/>
    </row>
    <row r="1357" spans="40:40" ht="20.100000000000001" customHeight="1">
      <c r="AN1357" s="170"/>
    </row>
    <row r="1358" spans="40:40" ht="20.100000000000001" customHeight="1">
      <c r="AN1358" s="170"/>
    </row>
    <row r="1359" spans="40:40" ht="20.100000000000001" customHeight="1">
      <c r="AN1359" s="170"/>
    </row>
    <row r="1360" spans="40:40" ht="20.100000000000001" customHeight="1">
      <c r="AN1360" s="170"/>
    </row>
    <row r="1361" spans="40:40" ht="20.100000000000001" customHeight="1">
      <c r="AN1361" s="170"/>
    </row>
    <row r="1362" spans="40:40" ht="20.100000000000001" customHeight="1">
      <c r="AN1362" s="170"/>
    </row>
    <row r="1363" spans="40:40" ht="20.100000000000001" customHeight="1">
      <c r="AN1363" s="170"/>
    </row>
    <row r="1364" spans="40:40" ht="20.100000000000001" customHeight="1">
      <c r="AN1364" s="170"/>
    </row>
    <row r="1365" spans="40:40" ht="20.100000000000001" customHeight="1">
      <c r="AN1365" s="170"/>
    </row>
    <row r="1366" spans="40:40" ht="20.100000000000001" customHeight="1">
      <c r="AN1366" s="170"/>
    </row>
    <row r="1367" spans="40:40" ht="20.100000000000001" customHeight="1">
      <c r="AN1367" s="170"/>
    </row>
    <row r="1368" spans="40:40" ht="20.100000000000001" customHeight="1">
      <c r="AN1368" s="170"/>
    </row>
    <row r="1369" spans="40:40" ht="20.100000000000001" customHeight="1">
      <c r="AN1369" s="170"/>
    </row>
    <row r="1370" spans="40:40" ht="20.100000000000001" customHeight="1">
      <c r="AN1370" s="170"/>
    </row>
    <row r="1371" spans="40:40" ht="20.100000000000001" customHeight="1">
      <c r="AN1371" s="170"/>
    </row>
    <row r="1372" spans="40:40" ht="20.100000000000001" customHeight="1">
      <c r="AN1372" s="170"/>
    </row>
    <row r="1373" spans="40:40" ht="20.100000000000001" customHeight="1">
      <c r="AN1373" s="170"/>
    </row>
    <row r="1374" spans="40:40" ht="20.100000000000001" customHeight="1">
      <c r="AN1374" s="170"/>
    </row>
    <row r="1375" spans="40:40" ht="20.100000000000001" customHeight="1">
      <c r="AN1375" s="170"/>
    </row>
    <row r="1376" spans="40:40" ht="20.100000000000001" customHeight="1">
      <c r="AN1376" s="170"/>
    </row>
    <row r="1377" spans="40:40" ht="20.100000000000001" customHeight="1">
      <c r="AN1377" s="170"/>
    </row>
    <row r="1378" spans="40:40" ht="20.100000000000001" customHeight="1">
      <c r="AN1378" s="170"/>
    </row>
    <row r="1379" spans="40:40" ht="20.100000000000001" customHeight="1">
      <c r="AN1379" s="170"/>
    </row>
    <row r="1380" spans="40:40" ht="20.100000000000001" customHeight="1">
      <c r="AN1380" s="170"/>
    </row>
    <row r="1381" spans="40:40" ht="20.100000000000001" customHeight="1">
      <c r="AN1381" s="170"/>
    </row>
    <row r="1382" spans="40:40" ht="20.100000000000001" customHeight="1">
      <c r="AN1382" s="170"/>
    </row>
    <row r="1383" spans="40:40" ht="20.100000000000001" customHeight="1">
      <c r="AN1383" s="170"/>
    </row>
    <row r="1384" spans="40:40" ht="20.100000000000001" customHeight="1">
      <c r="AN1384" s="170"/>
    </row>
    <row r="1385" spans="40:40" ht="20.100000000000001" customHeight="1">
      <c r="AN1385" s="170"/>
    </row>
    <row r="1386" spans="40:40" ht="20.100000000000001" customHeight="1">
      <c r="AN1386" s="170"/>
    </row>
    <row r="1387" spans="40:40" ht="20.100000000000001" customHeight="1">
      <c r="AN1387" s="170"/>
    </row>
    <row r="1388" spans="40:40" ht="20.100000000000001" customHeight="1">
      <c r="AN1388" s="170"/>
    </row>
    <row r="1389" spans="40:40" ht="20.100000000000001" customHeight="1">
      <c r="AN1389" s="170"/>
    </row>
    <row r="1390" spans="40:40" ht="20.100000000000001" customHeight="1">
      <c r="AN1390" s="170"/>
    </row>
    <row r="1391" spans="40:40" ht="20.100000000000001" customHeight="1">
      <c r="AN1391" s="170"/>
    </row>
    <row r="1392" spans="40:40" ht="20.100000000000001" customHeight="1">
      <c r="AN1392" s="170"/>
    </row>
    <row r="1393" spans="40:40" ht="20.100000000000001" customHeight="1">
      <c r="AN1393" s="170"/>
    </row>
    <row r="1394" spans="40:40" ht="20.100000000000001" customHeight="1">
      <c r="AN1394" s="170"/>
    </row>
    <row r="1395" spans="40:40" ht="20.100000000000001" customHeight="1">
      <c r="AN1395" s="170"/>
    </row>
    <row r="1396" spans="40:40" ht="20.100000000000001" customHeight="1">
      <c r="AN1396" s="170"/>
    </row>
    <row r="1397" spans="40:40" ht="20.100000000000001" customHeight="1">
      <c r="AN1397" s="170"/>
    </row>
    <row r="1398" spans="40:40" ht="20.100000000000001" customHeight="1">
      <c r="AN1398" s="170"/>
    </row>
    <row r="1399" spans="40:40" ht="20.100000000000001" customHeight="1">
      <c r="AN1399" s="170"/>
    </row>
    <row r="1400" spans="40:40" ht="20.100000000000001" customHeight="1">
      <c r="AN1400" s="170"/>
    </row>
    <row r="1401" spans="40:40" ht="20.100000000000001" customHeight="1">
      <c r="AN1401" s="170"/>
    </row>
    <row r="1402" spans="40:40" ht="20.100000000000001" customHeight="1">
      <c r="AN1402" s="170"/>
    </row>
    <row r="1403" spans="40:40" ht="20.100000000000001" customHeight="1">
      <c r="AN1403" s="170"/>
    </row>
    <row r="1404" spans="40:40" ht="20.100000000000001" customHeight="1">
      <c r="AN1404" s="170"/>
    </row>
    <row r="1405" spans="40:40" ht="20.100000000000001" customHeight="1">
      <c r="AN1405" s="170"/>
    </row>
    <row r="1406" spans="40:40" ht="20.100000000000001" customHeight="1">
      <c r="AN1406" s="170"/>
    </row>
    <row r="1407" spans="40:40" ht="20.100000000000001" customHeight="1">
      <c r="AN1407" s="170"/>
    </row>
    <row r="1408" spans="40:40" ht="20.100000000000001" customHeight="1">
      <c r="AN1408" s="170"/>
    </row>
    <row r="1409" spans="40:40" ht="20.100000000000001" customHeight="1">
      <c r="AN1409" s="170"/>
    </row>
    <row r="1410" spans="40:40" ht="20.100000000000001" customHeight="1">
      <c r="AN1410" s="170"/>
    </row>
    <row r="1411" spans="40:40" ht="20.100000000000001" customHeight="1">
      <c r="AN1411" s="170"/>
    </row>
    <row r="1412" spans="40:40" ht="20.100000000000001" customHeight="1">
      <c r="AN1412" s="170"/>
    </row>
    <row r="1413" spans="40:40" ht="20.100000000000001" customHeight="1">
      <c r="AN1413" s="170"/>
    </row>
    <row r="1414" spans="40:40" ht="20.100000000000001" customHeight="1">
      <c r="AN1414" s="170"/>
    </row>
    <row r="1415" spans="40:40" ht="20.100000000000001" customHeight="1">
      <c r="AN1415" s="170"/>
    </row>
    <row r="1416" spans="40:40" ht="20.100000000000001" customHeight="1">
      <c r="AN1416" s="170"/>
    </row>
    <row r="1417" spans="40:40" ht="20.100000000000001" customHeight="1">
      <c r="AN1417" s="170"/>
    </row>
    <row r="1418" spans="40:40" ht="20.100000000000001" customHeight="1">
      <c r="AN1418" s="170"/>
    </row>
    <row r="1419" spans="40:40" ht="20.100000000000001" customHeight="1">
      <c r="AN1419" s="170"/>
    </row>
    <row r="1420" spans="40:40" ht="20.100000000000001" customHeight="1">
      <c r="AN1420" s="170"/>
    </row>
    <row r="1421" spans="40:40" ht="20.100000000000001" customHeight="1">
      <c r="AN1421" s="170"/>
    </row>
    <row r="1422" spans="40:40" ht="20.100000000000001" customHeight="1">
      <c r="AN1422" s="170"/>
    </row>
    <row r="1423" spans="40:40" ht="20.100000000000001" customHeight="1">
      <c r="AN1423" s="170"/>
    </row>
    <row r="1424" spans="40:40" ht="20.100000000000001" customHeight="1">
      <c r="AN1424" s="170"/>
    </row>
    <row r="1425" spans="40:40" ht="20.100000000000001" customHeight="1">
      <c r="AN1425" s="170"/>
    </row>
    <row r="1426" spans="40:40" ht="20.100000000000001" customHeight="1">
      <c r="AN1426" s="170"/>
    </row>
    <row r="1427" spans="40:40" ht="20.100000000000001" customHeight="1">
      <c r="AN1427" s="170"/>
    </row>
    <row r="1428" spans="40:40" ht="20.100000000000001" customHeight="1">
      <c r="AN1428" s="170"/>
    </row>
    <row r="1429" spans="40:40" ht="20.100000000000001" customHeight="1">
      <c r="AN1429" s="170"/>
    </row>
    <row r="1430" spans="40:40" ht="20.100000000000001" customHeight="1">
      <c r="AN1430" s="170"/>
    </row>
    <row r="1431" spans="40:40" ht="20.100000000000001" customHeight="1">
      <c r="AN1431" s="170"/>
    </row>
    <row r="1432" spans="40:40" ht="20.100000000000001" customHeight="1">
      <c r="AN1432" s="170"/>
    </row>
    <row r="1433" spans="40:40" ht="20.100000000000001" customHeight="1">
      <c r="AN1433" s="170"/>
    </row>
    <row r="1434" spans="40:40" ht="20.100000000000001" customHeight="1">
      <c r="AN1434" s="170"/>
    </row>
    <row r="1435" spans="40:40" ht="20.100000000000001" customHeight="1">
      <c r="AN1435" s="170"/>
    </row>
    <row r="1436" spans="40:40" ht="20.100000000000001" customHeight="1">
      <c r="AN1436" s="170"/>
    </row>
    <row r="1437" spans="40:40" ht="20.100000000000001" customHeight="1">
      <c r="AN1437" s="170"/>
    </row>
    <row r="1438" spans="40:40" ht="20.100000000000001" customHeight="1">
      <c r="AN1438" s="170"/>
    </row>
    <row r="1439" spans="40:40" ht="20.100000000000001" customHeight="1">
      <c r="AN1439" s="170"/>
    </row>
    <row r="1440" spans="40:40" ht="20.100000000000001" customHeight="1">
      <c r="AN1440" s="170"/>
    </row>
    <row r="1441" spans="40:40" ht="20.100000000000001" customHeight="1">
      <c r="AN1441" s="170"/>
    </row>
    <row r="1442" spans="40:40" ht="20.100000000000001" customHeight="1">
      <c r="AN1442" s="170"/>
    </row>
    <row r="1443" spans="40:40" ht="20.100000000000001" customHeight="1">
      <c r="AN1443" s="170"/>
    </row>
    <row r="1444" spans="40:40" ht="20.100000000000001" customHeight="1">
      <c r="AN1444" s="170"/>
    </row>
    <row r="1445" spans="40:40" ht="20.100000000000001" customHeight="1">
      <c r="AN1445" s="170"/>
    </row>
    <row r="1446" spans="40:40" ht="20.100000000000001" customHeight="1">
      <c r="AN1446" s="170"/>
    </row>
    <row r="1447" spans="40:40" ht="20.100000000000001" customHeight="1">
      <c r="AN1447" s="170"/>
    </row>
    <row r="1448" spans="40:40" ht="20.100000000000001" customHeight="1">
      <c r="AN1448" s="170"/>
    </row>
    <row r="1449" spans="40:40" ht="20.100000000000001" customHeight="1">
      <c r="AN1449" s="170"/>
    </row>
    <row r="1450" spans="40:40" ht="20.100000000000001" customHeight="1">
      <c r="AN1450" s="170"/>
    </row>
    <row r="1451" spans="40:40" ht="20.100000000000001" customHeight="1">
      <c r="AN1451" s="170"/>
    </row>
    <row r="1452" spans="40:40" ht="20.100000000000001" customHeight="1">
      <c r="AN1452" s="170"/>
    </row>
    <row r="1453" spans="40:40" ht="20.100000000000001" customHeight="1">
      <c r="AN1453" s="170"/>
    </row>
    <row r="1454" spans="40:40" ht="20.100000000000001" customHeight="1">
      <c r="AN1454" s="170"/>
    </row>
    <row r="1455" spans="40:40" ht="20.100000000000001" customHeight="1">
      <c r="AN1455" s="170"/>
    </row>
    <row r="1456" spans="40:40" ht="20.100000000000001" customHeight="1">
      <c r="AN1456" s="170"/>
    </row>
    <row r="1457" spans="40:40" ht="20.100000000000001" customHeight="1">
      <c r="AN1457" s="170"/>
    </row>
    <row r="1458" spans="40:40" ht="20.100000000000001" customHeight="1">
      <c r="AN1458" s="170"/>
    </row>
    <row r="1459" spans="40:40" ht="20.100000000000001" customHeight="1">
      <c r="AN1459" s="170"/>
    </row>
    <row r="1460" spans="40:40" ht="20.100000000000001" customHeight="1">
      <c r="AN1460" s="170"/>
    </row>
    <row r="1461" spans="40:40" ht="20.100000000000001" customHeight="1">
      <c r="AN1461" s="170"/>
    </row>
    <row r="1462" spans="40:40" ht="20.100000000000001" customHeight="1">
      <c r="AN1462" s="170"/>
    </row>
    <row r="1463" spans="40:40" ht="20.100000000000001" customHeight="1">
      <c r="AN1463" s="170"/>
    </row>
    <row r="1464" spans="40:40" ht="20.100000000000001" customHeight="1">
      <c r="AN1464" s="170"/>
    </row>
    <row r="1465" spans="40:40" ht="20.100000000000001" customHeight="1">
      <c r="AN1465" s="170"/>
    </row>
    <row r="1466" spans="40:40" ht="20.100000000000001" customHeight="1">
      <c r="AN1466" s="170"/>
    </row>
    <row r="1467" spans="40:40" ht="20.100000000000001" customHeight="1">
      <c r="AN1467" s="170"/>
    </row>
    <row r="1468" spans="40:40" ht="20.100000000000001" customHeight="1">
      <c r="AN1468" s="170"/>
    </row>
    <row r="1469" spans="40:40" ht="20.100000000000001" customHeight="1">
      <c r="AN1469" s="170"/>
    </row>
    <row r="1470" spans="40:40" ht="20.100000000000001" customHeight="1">
      <c r="AN1470" s="170"/>
    </row>
    <row r="1471" spans="40:40" ht="20.100000000000001" customHeight="1">
      <c r="AN1471" s="170"/>
    </row>
    <row r="1472" spans="40:40" ht="20.100000000000001" customHeight="1">
      <c r="AN1472" s="170"/>
    </row>
    <row r="1473" spans="40:40" ht="20.100000000000001" customHeight="1">
      <c r="AN1473" s="170"/>
    </row>
    <row r="1474" spans="40:40" ht="20.100000000000001" customHeight="1">
      <c r="AN1474" s="170"/>
    </row>
    <row r="1475" spans="40:40" ht="20.100000000000001" customHeight="1">
      <c r="AN1475" s="170"/>
    </row>
    <row r="1476" spans="40:40" ht="20.100000000000001" customHeight="1">
      <c r="AN1476" s="170"/>
    </row>
    <row r="1477" spans="40:40" ht="20.100000000000001" customHeight="1">
      <c r="AN1477" s="170"/>
    </row>
    <row r="1478" spans="40:40" ht="20.100000000000001" customHeight="1">
      <c r="AN1478" s="170"/>
    </row>
    <row r="1479" spans="40:40" ht="20.100000000000001" customHeight="1">
      <c r="AN1479" s="170"/>
    </row>
    <row r="1480" spans="40:40" ht="20.100000000000001" customHeight="1">
      <c r="AN1480" s="170"/>
    </row>
    <row r="1481" spans="40:40" ht="20.100000000000001" customHeight="1">
      <c r="AN1481" s="170"/>
    </row>
    <row r="1482" spans="40:40" ht="20.100000000000001" customHeight="1">
      <c r="AN1482" s="170"/>
    </row>
    <row r="1483" spans="40:40" ht="20.100000000000001" customHeight="1">
      <c r="AN1483" s="170"/>
    </row>
    <row r="1484" spans="40:40" ht="20.100000000000001" customHeight="1">
      <c r="AN1484" s="170"/>
    </row>
    <row r="1485" spans="40:40" ht="20.100000000000001" customHeight="1">
      <c r="AN1485" s="170"/>
    </row>
    <row r="1486" spans="40:40" ht="20.100000000000001" customHeight="1">
      <c r="AN1486" s="170"/>
    </row>
    <row r="1487" spans="40:40" ht="20.100000000000001" customHeight="1">
      <c r="AN1487" s="170"/>
    </row>
    <row r="1488" spans="40:40" ht="20.100000000000001" customHeight="1">
      <c r="AN1488" s="170"/>
    </row>
    <row r="1489" spans="40:40" ht="20.100000000000001" customHeight="1">
      <c r="AN1489" s="170"/>
    </row>
    <row r="1490" spans="40:40" ht="20.100000000000001" customHeight="1">
      <c r="AN1490" s="170"/>
    </row>
    <row r="1491" spans="40:40" ht="20.100000000000001" customHeight="1">
      <c r="AN1491" s="170"/>
    </row>
    <row r="1492" spans="40:40" ht="20.100000000000001" customHeight="1">
      <c r="AN1492" s="170"/>
    </row>
    <row r="1493" spans="40:40" ht="20.100000000000001" customHeight="1">
      <c r="AN1493" s="170"/>
    </row>
    <row r="1494" spans="40:40" ht="20.100000000000001" customHeight="1">
      <c r="AN1494" s="170"/>
    </row>
    <row r="1495" spans="40:40" ht="20.100000000000001" customHeight="1">
      <c r="AN1495" s="170"/>
    </row>
    <row r="1496" spans="40:40" ht="20.100000000000001" customHeight="1">
      <c r="AN1496" s="170"/>
    </row>
    <row r="1497" spans="40:40" ht="20.100000000000001" customHeight="1">
      <c r="AN1497" s="170"/>
    </row>
    <row r="1498" spans="40:40" ht="20.100000000000001" customHeight="1">
      <c r="AN1498" s="170"/>
    </row>
    <row r="1499" spans="40:40" ht="20.100000000000001" customHeight="1">
      <c r="AN1499" s="170"/>
    </row>
    <row r="1500" spans="40:40" ht="20.100000000000001" customHeight="1">
      <c r="AN1500" s="170"/>
    </row>
    <row r="1501" spans="40:40" ht="20.100000000000001" customHeight="1">
      <c r="AN1501" s="170"/>
    </row>
    <row r="1502" spans="40:40" ht="20.100000000000001" customHeight="1">
      <c r="AN1502" s="170"/>
    </row>
    <row r="1503" spans="40:40" ht="20.100000000000001" customHeight="1">
      <c r="AN1503" s="170"/>
    </row>
    <row r="1504" spans="40:40" ht="20.100000000000001" customHeight="1">
      <c r="AN1504" s="170"/>
    </row>
    <row r="1505" spans="40:40" ht="20.100000000000001" customHeight="1">
      <c r="AN1505" s="170"/>
    </row>
    <row r="1506" spans="40:40" ht="20.100000000000001" customHeight="1">
      <c r="AN1506" s="170"/>
    </row>
    <row r="1507" spans="40:40" ht="20.100000000000001" customHeight="1">
      <c r="AN1507" s="170"/>
    </row>
    <row r="1508" spans="40:40" ht="20.100000000000001" customHeight="1">
      <c r="AN1508" s="170"/>
    </row>
    <row r="1509" spans="40:40" ht="20.100000000000001" customHeight="1">
      <c r="AN1509" s="170"/>
    </row>
    <row r="1510" spans="40:40" ht="20.100000000000001" customHeight="1">
      <c r="AN1510" s="170"/>
    </row>
    <row r="1511" spans="40:40" ht="20.100000000000001" customHeight="1">
      <c r="AN1511" s="170"/>
    </row>
    <row r="1512" spans="40:40" ht="20.100000000000001" customHeight="1">
      <c r="AN1512" s="170"/>
    </row>
    <row r="1513" spans="40:40" ht="20.100000000000001" customHeight="1">
      <c r="AN1513" s="170"/>
    </row>
    <row r="1514" spans="40:40" ht="20.100000000000001" customHeight="1">
      <c r="AN1514" s="170"/>
    </row>
    <row r="1515" spans="40:40" ht="20.100000000000001" customHeight="1">
      <c r="AN1515" s="170"/>
    </row>
    <row r="1516" spans="40:40" ht="20.100000000000001" customHeight="1">
      <c r="AN1516" s="170"/>
    </row>
    <row r="1517" spans="40:40" ht="20.100000000000001" customHeight="1">
      <c r="AN1517" s="170"/>
    </row>
    <row r="1518" spans="40:40" ht="20.100000000000001" customHeight="1">
      <c r="AN1518" s="170"/>
    </row>
    <row r="1519" spans="40:40" ht="20.100000000000001" customHeight="1">
      <c r="AN1519" s="170"/>
    </row>
    <row r="1520" spans="40:40" ht="20.100000000000001" customHeight="1">
      <c r="AN1520" s="170"/>
    </row>
    <row r="1521" spans="40:40" ht="20.100000000000001" customHeight="1">
      <c r="AN1521" s="170"/>
    </row>
    <row r="1522" spans="40:40" ht="20.100000000000001" customHeight="1">
      <c r="AN1522" s="170"/>
    </row>
    <row r="1523" spans="40:40" ht="20.100000000000001" customHeight="1">
      <c r="AN1523" s="170"/>
    </row>
    <row r="1524" spans="40:40" ht="20.100000000000001" customHeight="1">
      <c r="AN1524" s="170"/>
    </row>
    <row r="1525" spans="40:40" ht="20.100000000000001" customHeight="1">
      <c r="AN1525" s="170"/>
    </row>
    <row r="1526" spans="40:40" ht="20.100000000000001" customHeight="1">
      <c r="AN1526" s="170"/>
    </row>
    <row r="1527" spans="40:40" ht="20.100000000000001" customHeight="1">
      <c r="AN1527" s="170"/>
    </row>
    <row r="1528" spans="40:40" ht="20.100000000000001" customHeight="1">
      <c r="AN1528" s="170"/>
    </row>
    <row r="1529" spans="40:40" ht="20.100000000000001" customHeight="1">
      <c r="AN1529" s="170"/>
    </row>
    <row r="1530" spans="40:40" ht="20.100000000000001" customHeight="1">
      <c r="AN1530" s="170"/>
    </row>
    <row r="1531" spans="40:40" ht="20.100000000000001" customHeight="1">
      <c r="AN1531" s="170"/>
    </row>
    <row r="1532" spans="40:40" ht="20.100000000000001" customHeight="1">
      <c r="AN1532" s="170"/>
    </row>
    <row r="1533" spans="40:40" ht="20.100000000000001" customHeight="1">
      <c r="AN1533" s="170"/>
    </row>
    <row r="1534" spans="40:40" ht="20.100000000000001" customHeight="1">
      <c r="AN1534" s="170"/>
    </row>
    <row r="1535" spans="40:40" ht="20.100000000000001" customHeight="1">
      <c r="AN1535" s="170"/>
    </row>
    <row r="1536" spans="40:40" ht="20.100000000000001" customHeight="1">
      <c r="AN1536" s="170"/>
    </row>
    <row r="1537" spans="40:40" ht="20.100000000000001" customHeight="1">
      <c r="AN1537" s="170"/>
    </row>
    <row r="1538" spans="40:40" ht="20.100000000000001" customHeight="1">
      <c r="AN1538" s="170"/>
    </row>
    <row r="1539" spans="40:40" ht="20.100000000000001" customHeight="1">
      <c r="AN1539" s="170"/>
    </row>
    <row r="1540" spans="40:40" ht="20.100000000000001" customHeight="1">
      <c r="AN1540" s="170"/>
    </row>
    <row r="1541" spans="40:40" ht="20.100000000000001" customHeight="1">
      <c r="AN1541" s="170"/>
    </row>
    <row r="1542" spans="40:40" ht="20.100000000000001" customHeight="1">
      <c r="AN1542" s="170"/>
    </row>
    <row r="1543" spans="40:40" ht="20.100000000000001" customHeight="1">
      <c r="AN1543" s="170"/>
    </row>
    <row r="1544" spans="40:40" ht="20.100000000000001" customHeight="1">
      <c r="AN1544" s="170"/>
    </row>
    <row r="1545" spans="40:40" ht="20.100000000000001" customHeight="1">
      <c r="AN1545" s="170"/>
    </row>
    <row r="1546" spans="40:40" ht="20.100000000000001" customHeight="1">
      <c r="AN1546" s="170"/>
    </row>
    <row r="1547" spans="40:40" ht="20.100000000000001" customHeight="1">
      <c r="AN1547" s="170"/>
    </row>
    <row r="1548" spans="40:40" ht="20.100000000000001" customHeight="1">
      <c r="AN1548" s="170"/>
    </row>
    <row r="1549" spans="40:40" ht="20.100000000000001" customHeight="1">
      <c r="AN1549" s="170"/>
    </row>
    <row r="1550" spans="40:40" ht="20.100000000000001" customHeight="1">
      <c r="AN1550" s="170"/>
    </row>
    <row r="1551" spans="40:40" ht="20.100000000000001" customHeight="1">
      <c r="AN1551" s="170"/>
    </row>
    <row r="1552" spans="40:40" ht="20.100000000000001" customHeight="1">
      <c r="AN1552" s="170"/>
    </row>
    <row r="1553" spans="40:40" ht="20.100000000000001" customHeight="1">
      <c r="AN1553" s="170"/>
    </row>
    <row r="1554" spans="40:40" ht="20.100000000000001" customHeight="1">
      <c r="AN1554" s="170"/>
    </row>
    <row r="1555" spans="40:40" ht="20.100000000000001" customHeight="1">
      <c r="AN1555" s="170"/>
    </row>
    <row r="1556" spans="40:40" ht="20.100000000000001" customHeight="1">
      <c r="AN1556" s="170"/>
    </row>
    <row r="1557" spans="40:40" ht="20.100000000000001" customHeight="1">
      <c r="AN1557" s="170"/>
    </row>
    <row r="1558" spans="40:40" ht="20.100000000000001" customHeight="1">
      <c r="AN1558" s="170"/>
    </row>
    <row r="1559" spans="40:40" ht="20.100000000000001" customHeight="1">
      <c r="AN1559" s="170"/>
    </row>
    <row r="1560" spans="40:40" ht="20.100000000000001" customHeight="1">
      <c r="AN1560" s="170"/>
    </row>
    <row r="1561" spans="40:40" ht="20.100000000000001" customHeight="1">
      <c r="AN1561" s="170"/>
    </row>
    <row r="1562" spans="40:40" ht="20.100000000000001" customHeight="1">
      <c r="AN1562" s="170"/>
    </row>
    <row r="1563" spans="40:40" ht="20.100000000000001" customHeight="1">
      <c r="AN1563" s="170"/>
    </row>
    <row r="1564" spans="40:40" ht="20.100000000000001" customHeight="1">
      <c r="AN1564" s="170"/>
    </row>
    <row r="1565" spans="40:40" ht="20.100000000000001" customHeight="1">
      <c r="AN1565" s="170"/>
    </row>
    <row r="1566" spans="40:40" ht="20.100000000000001" customHeight="1">
      <c r="AN1566" s="170"/>
    </row>
    <row r="1567" spans="40:40" ht="20.100000000000001" customHeight="1">
      <c r="AN1567" s="170"/>
    </row>
    <row r="1568" spans="40:40" ht="20.100000000000001" customHeight="1">
      <c r="AN1568" s="170"/>
    </row>
    <row r="1569" spans="40:40" ht="20.100000000000001" customHeight="1">
      <c r="AN1569" s="170"/>
    </row>
    <row r="1570" spans="40:40" ht="20.100000000000001" customHeight="1">
      <c r="AN1570" s="170"/>
    </row>
    <row r="1571" spans="40:40" ht="20.100000000000001" customHeight="1">
      <c r="AN1571" s="170"/>
    </row>
    <row r="1572" spans="40:40" ht="20.100000000000001" customHeight="1">
      <c r="AN1572" s="170"/>
    </row>
    <row r="1573" spans="40:40" ht="20.100000000000001" customHeight="1">
      <c r="AN1573" s="170"/>
    </row>
    <row r="1574" spans="40:40" ht="20.100000000000001" customHeight="1">
      <c r="AN1574" s="170"/>
    </row>
    <row r="1575" spans="40:40" ht="20.100000000000001" customHeight="1">
      <c r="AN1575" s="170"/>
    </row>
    <row r="1576" spans="40:40" ht="20.100000000000001" customHeight="1">
      <c r="AN1576" s="170"/>
    </row>
    <row r="1577" spans="40:40" ht="20.100000000000001" customHeight="1">
      <c r="AN1577" s="170"/>
    </row>
    <row r="1578" spans="40:40" ht="20.100000000000001" customHeight="1">
      <c r="AN1578" s="170"/>
    </row>
    <row r="1579" spans="40:40" ht="20.100000000000001" customHeight="1">
      <c r="AN1579" s="170"/>
    </row>
    <row r="1580" spans="40:40" ht="20.100000000000001" customHeight="1">
      <c r="AN1580" s="170"/>
    </row>
    <row r="1581" spans="40:40" ht="20.100000000000001" customHeight="1">
      <c r="AN1581" s="170"/>
    </row>
    <row r="1582" spans="40:40" ht="20.100000000000001" customHeight="1">
      <c r="AN1582" s="170"/>
    </row>
    <row r="1583" spans="40:40" ht="20.100000000000001" customHeight="1">
      <c r="AN1583" s="170"/>
    </row>
    <row r="1584" spans="40:40" ht="20.100000000000001" customHeight="1">
      <c r="AN1584" s="170"/>
    </row>
    <row r="1585" spans="40:40" ht="20.100000000000001" customHeight="1">
      <c r="AN1585" s="170"/>
    </row>
    <row r="1586" spans="40:40" ht="20.100000000000001" customHeight="1">
      <c r="AN1586" s="170"/>
    </row>
    <row r="1587" spans="40:40" ht="20.100000000000001" customHeight="1">
      <c r="AN1587" s="170"/>
    </row>
    <row r="1588" spans="40:40" ht="20.100000000000001" customHeight="1">
      <c r="AN1588" s="170"/>
    </row>
    <row r="1589" spans="40:40" ht="20.100000000000001" customHeight="1">
      <c r="AN1589" s="170"/>
    </row>
    <row r="1590" spans="40:40" ht="20.100000000000001" customHeight="1">
      <c r="AN1590" s="170"/>
    </row>
    <row r="1591" spans="40:40" ht="20.100000000000001" customHeight="1">
      <c r="AN1591" s="170"/>
    </row>
    <row r="1592" spans="40:40" ht="20.100000000000001" customHeight="1">
      <c r="AN1592" s="170"/>
    </row>
    <row r="1593" spans="40:40" ht="20.100000000000001" customHeight="1">
      <c r="AN1593" s="170"/>
    </row>
    <row r="1594" spans="40:40" ht="20.100000000000001" customHeight="1">
      <c r="AN1594" s="170"/>
    </row>
    <row r="1595" spans="40:40" ht="20.100000000000001" customHeight="1">
      <c r="AN1595" s="170"/>
    </row>
    <row r="1596" spans="40:40" ht="20.100000000000001" customHeight="1">
      <c r="AN1596" s="170"/>
    </row>
    <row r="1597" spans="40:40" ht="20.100000000000001" customHeight="1">
      <c r="AN1597" s="170"/>
    </row>
    <row r="1598" spans="40:40" ht="20.100000000000001" customHeight="1">
      <c r="AN1598" s="170"/>
    </row>
    <row r="1599" spans="40:40" ht="20.100000000000001" customHeight="1">
      <c r="AN1599" s="170"/>
    </row>
    <row r="1600" spans="40:40" ht="20.100000000000001" customHeight="1">
      <c r="AN1600" s="170"/>
    </row>
    <row r="1601" spans="40:40" ht="20.100000000000001" customHeight="1">
      <c r="AN1601" s="170"/>
    </row>
    <row r="1602" spans="40:40" ht="20.100000000000001" customHeight="1">
      <c r="AN1602" s="170"/>
    </row>
    <row r="1603" spans="40:40" ht="20.100000000000001" customHeight="1">
      <c r="AN1603" s="170"/>
    </row>
    <row r="1604" spans="40:40" ht="20.100000000000001" customHeight="1">
      <c r="AN1604" s="170"/>
    </row>
    <row r="1605" spans="40:40" ht="20.100000000000001" customHeight="1">
      <c r="AN1605" s="170"/>
    </row>
    <row r="1606" spans="40:40" ht="20.100000000000001" customHeight="1">
      <c r="AN1606" s="170"/>
    </row>
    <row r="1607" spans="40:40" ht="20.100000000000001" customHeight="1">
      <c r="AN1607" s="170"/>
    </row>
    <row r="1608" spans="40:40" ht="20.100000000000001" customHeight="1">
      <c r="AN1608" s="170"/>
    </row>
    <row r="1609" spans="40:40" ht="20.100000000000001" customHeight="1">
      <c r="AN1609" s="170"/>
    </row>
    <row r="1610" spans="40:40" ht="20.100000000000001" customHeight="1">
      <c r="AN1610" s="170"/>
    </row>
    <row r="1611" spans="40:40" ht="20.100000000000001" customHeight="1">
      <c r="AN1611" s="170"/>
    </row>
    <row r="1612" spans="40:40" ht="20.100000000000001" customHeight="1">
      <c r="AN1612" s="170"/>
    </row>
    <row r="1613" spans="40:40" ht="20.100000000000001" customHeight="1">
      <c r="AN1613" s="170"/>
    </row>
    <row r="1614" spans="40:40" ht="20.100000000000001" customHeight="1">
      <c r="AN1614" s="170"/>
    </row>
    <row r="1615" spans="40:40" ht="20.100000000000001" customHeight="1">
      <c r="AN1615" s="170"/>
    </row>
    <row r="1616" spans="40:40" ht="20.100000000000001" customHeight="1">
      <c r="AN1616" s="170"/>
    </row>
    <row r="1617" spans="40:40" ht="20.100000000000001" customHeight="1">
      <c r="AN1617" s="170"/>
    </row>
    <row r="1618" spans="40:40" ht="20.100000000000001" customHeight="1">
      <c r="AN1618" s="170"/>
    </row>
    <row r="1619" spans="40:40" ht="20.100000000000001" customHeight="1">
      <c r="AN1619" s="170"/>
    </row>
    <row r="1620" spans="40:40" ht="20.100000000000001" customHeight="1">
      <c r="AN1620" s="170"/>
    </row>
    <row r="1621" spans="40:40" ht="20.100000000000001" customHeight="1">
      <c r="AN1621" s="170"/>
    </row>
    <row r="1622" spans="40:40" ht="20.100000000000001" customHeight="1">
      <c r="AN1622" s="170"/>
    </row>
    <row r="1623" spans="40:40" ht="20.100000000000001" customHeight="1">
      <c r="AN1623" s="170"/>
    </row>
    <row r="1624" spans="40:40" ht="20.100000000000001" customHeight="1">
      <c r="AN1624" s="170"/>
    </row>
    <row r="1625" spans="40:40" ht="20.100000000000001" customHeight="1">
      <c r="AN1625" s="170"/>
    </row>
    <row r="1626" spans="40:40" ht="20.100000000000001" customHeight="1">
      <c r="AN1626" s="170"/>
    </row>
    <row r="1627" spans="40:40" ht="20.100000000000001" customHeight="1">
      <c r="AN1627" s="170"/>
    </row>
    <row r="1628" spans="40:40" ht="20.100000000000001" customHeight="1">
      <c r="AN1628" s="170"/>
    </row>
    <row r="1629" spans="40:40" ht="20.100000000000001" customHeight="1">
      <c r="AN1629" s="170"/>
    </row>
    <row r="1630" spans="40:40" ht="20.100000000000001" customHeight="1">
      <c r="AN1630" s="170"/>
    </row>
    <row r="1631" spans="40:40" ht="20.100000000000001" customHeight="1">
      <c r="AN1631" s="170"/>
    </row>
    <row r="1632" spans="40:40" ht="20.100000000000001" customHeight="1">
      <c r="AN1632" s="170"/>
    </row>
    <row r="1633" spans="40:40" ht="20.100000000000001" customHeight="1">
      <c r="AN1633" s="170"/>
    </row>
    <row r="1634" spans="40:40" ht="20.100000000000001" customHeight="1">
      <c r="AN1634" s="170"/>
    </row>
    <row r="1635" spans="40:40" ht="20.100000000000001" customHeight="1">
      <c r="AN1635" s="170"/>
    </row>
    <row r="1636" spans="40:40" ht="20.100000000000001" customHeight="1">
      <c r="AN1636" s="170"/>
    </row>
    <row r="1637" spans="40:40" ht="20.100000000000001" customHeight="1">
      <c r="AN1637" s="170"/>
    </row>
    <row r="1638" spans="40:40" ht="20.100000000000001" customHeight="1">
      <c r="AN1638" s="170"/>
    </row>
    <row r="1639" spans="40:40" ht="20.100000000000001" customHeight="1">
      <c r="AN1639" s="170"/>
    </row>
    <row r="1640" spans="40:40" ht="20.100000000000001" customHeight="1">
      <c r="AN1640" s="170"/>
    </row>
    <row r="1641" spans="40:40" ht="20.100000000000001" customHeight="1">
      <c r="AN1641" s="170"/>
    </row>
    <row r="1642" spans="40:40" ht="20.100000000000001" customHeight="1">
      <c r="AN1642" s="170"/>
    </row>
    <row r="1643" spans="40:40" ht="20.100000000000001" customHeight="1">
      <c r="AN1643" s="170"/>
    </row>
    <row r="1644" spans="40:40" ht="20.100000000000001" customHeight="1">
      <c r="AN1644" s="170"/>
    </row>
    <row r="1645" spans="40:40" ht="20.100000000000001" customHeight="1">
      <c r="AN1645" s="170"/>
    </row>
    <row r="1646" spans="40:40" ht="20.100000000000001" customHeight="1">
      <c r="AN1646" s="170"/>
    </row>
    <row r="1647" spans="40:40" ht="20.100000000000001" customHeight="1">
      <c r="AN1647" s="170"/>
    </row>
    <row r="1648" spans="40:40" ht="20.100000000000001" customHeight="1">
      <c r="AN1648" s="170"/>
    </row>
    <row r="1649" spans="40:40" ht="20.100000000000001" customHeight="1">
      <c r="AN1649" s="170"/>
    </row>
    <row r="1650" spans="40:40" ht="20.100000000000001" customHeight="1">
      <c r="AN1650" s="170"/>
    </row>
    <row r="1651" spans="40:40" ht="20.100000000000001" customHeight="1">
      <c r="AN1651" s="170"/>
    </row>
    <row r="1652" spans="40:40" ht="20.100000000000001" customHeight="1">
      <c r="AN1652" s="170"/>
    </row>
    <row r="1653" spans="40:40" ht="20.100000000000001" customHeight="1">
      <c r="AN1653" s="170"/>
    </row>
    <row r="1654" spans="40:40" ht="20.100000000000001" customHeight="1">
      <c r="AN1654" s="170"/>
    </row>
    <row r="1655" spans="40:40" ht="20.100000000000001" customHeight="1">
      <c r="AN1655" s="170"/>
    </row>
    <row r="1656" spans="40:40" ht="20.100000000000001" customHeight="1">
      <c r="AN1656" s="170"/>
    </row>
    <row r="1657" spans="40:40" ht="20.100000000000001" customHeight="1">
      <c r="AN1657" s="170"/>
    </row>
    <row r="1658" spans="40:40" ht="20.100000000000001" customHeight="1">
      <c r="AN1658" s="170"/>
    </row>
    <row r="1659" spans="40:40" ht="20.100000000000001" customHeight="1">
      <c r="AN1659" s="170"/>
    </row>
    <row r="1660" spans="40:40" ht="20.100000000000001" customHeight="1">
      <c r="AN1660" s="170"/>
    </row>
    <row r="1661" spans="40:40" ht="20.100000000000001" customHeight="1">
      <c r="AN1661" s="170"/>
    </row>
    <row r="1662" spans="40:40" ht="20.100000000000001" customHeight="1">
      <c r="AN1662" s="170"/>
    </row>
    <row r="1663" spans="40:40" ht="20.100000000000001" customHeight="1">
      <c r="AN1663" s="170"/>
    </row>
    <row r="1664" spans="40:40" ht="20.100000000000001" customHeight="1">
      <c r="AN1664" s="170"/>
    </row>
    <row r="1665" spans="40:40" ht="20.100000000000001" customHeight="1">
      <c r="AN1665" s="170"/>
    </row>
    <row r="1666" spans="40:40" ht="20.100000000000001" customHeight="1">
      <c r="AN1666" s="170"/>
    </row>
    <row r="1667" spans="40:40" ht="20.100000000000001" customHeight="1">
      <c r="AN1667" s="170"/>
    </row>
    <row r="1668" spans="40:40" ht="20.100000000000001" customHeight="1">
      <c r="AN1668" s="170"/>
    </row>
    <row r="1669" spans="40:40" ht="20.100000000000001" customHeight="1">
      <c r="AN1669" s="170"/>
    </row>
    <row r="1670" spans="40:40" ht="20.100000000000001" customHeight="1">
      <c r="AN1670" s="170"/>
    </row>
    <row r="1671" spans="40:40" ht="20.100000000000001" customHeight="1">
      <c r="AN1671" s="170"/>
    </row>
    <row r="1672" spans="40:40" ht="20.100000000000001" customHeight="1">
      <c r="AN1672" s="170"/>
    </row>
    <row r="1673" spans="40:40" ht="20.100000000000001" customHeight="1">
      <c r="AN1673" s="170"/>
    </row>
    <row r="1674" spans="40:40" ht="20.100000000000001" customHeight="1">
      <c r="AN1674" s="170"/>
    </row>
    <row r="1675" spans="40:40" ht="20.100000000000001" customHeight="1">
      <c r="AN1675" s="170"/>
    </row>
    <row r="1676" spans="40:40" ht="20.100000000000001" customHeight="1">
      <c r="AN1676" s="170"/>
    </row>
    <row r="1677" spans="40:40" ht="20.100000000000001" customHeight="1">
      <c r="AN1677" s="170"/>
    </row>
    <row r="1678" spans="40:40" ht="20.100000000000001" customHeight="1">
      <c r="AN1678" s="170"/>
    </row>
    <row r="1679" spans="40:40" ht="20.100000000000001" customHeight="1">
      <c r="AN1679" s="170"/>
    </row>
    <row r="1680" spans="40:40" ht="20.100000000000001" customHeight="1">
      <c r="AN1680" s="170"/>
    </row>
    <row r="1681" spans="40:40" ht="20.100000000000001" customHeight="1">
      <c r="AN1681" s="170"/>
    </row>
    <row r="1682" spans="40:40" ht="20.100000000000001" customHeight="1">
      <c r="AN1682" s="170"/>
    </row>
    <row r="1683" spans="40:40" ht="20.100000000000001" customHeight="1">
      <c r="AN1683" s="170"/>
    </row>
    <row r="1684" spans="40:40" ht="20.100000000000001" customHeight="1">
      <c r="AN1684" s="170"/>
    </row>
    <row r="1685" spans="40:40" ht="20.100000000000001" customHeight="1">
      <c r="AN1685" s="170"/>
    </row>
    <row r="1686" spans="40:40" ht="20.100000000000001" customHeight="1">
      <c r="AN1686" s="170"/>
    </row>
    <row r="1687" spans="40:40" ht="20.100000000000001" customHeight="1">
      <c r="AN1687" s="170"/>
    </row>
    <row r="1688" spans="40:40" ht="20.100000000000001" customHeight="1">
      <c r="AN1688" s="170"/>
    </row>
    <row r="1689" spans="40:40" ht="20.100000000000001" customHeight="1">
      <c r="AN1689" s="170"/>
    </row>
    <row r="1690" spans="40:40" ht="20.100000000000001" customHeight="1">
      <c r="AN1690" s="170"/>
    </row>
    <row r="1691" spans="40:40" ht="20.100000000000001" customHeight="1">
      <c r="AN1691" s="170"/>
    </row>
    <row r="1692" spans="40:40" ht="20.100000000000001" customHeight="1">
      <c r="AN1692" s="170"/>
    </row>
    <row r="1693" spans="40:40" ht="20.100000000000001" customHeight="1">
      <c r="AN1693" s="170"/>
    </row>
    <row r="1694" spans="40:40" ht="20.100000000000001" customHeight="1">
      <c r="AN1694" s="170"/>
    </row>
    <row r="1695" spans="40:40" ht="20.100000000000001" customHeight="1">
      <c r="AN1695" s="170"/>
    </row>
    <row r="1696" spans="40:40" ht="20.100000000000001" customHeight="1">
      <c r="AN1696" s="170"/>
    </row>
    <row r="1697" spans="40:40" ht="20.100000000000001" customHeight="1">
      <c r="AN1697" s="170"/>
    </row>
    <row r="1698" spans="40:40" ht="20.100000000000001" customHeight="1">
      <c r="AN1698" s="170"/>
    </row>
    <row r="1699" spans="40:40" ht="20.100000000000001" customHeight="1">
      <c r="AN1699" s="170"/>
    </row>
    <row r="1700" spans="40:40" ht="20.100000000000001" customHeight="1">
      <c r="AN1700" s="170"/>
    </row>
    <row r="1701" spans="40:40" ht="20.100000000000001" customHeight="1">
      <c r="AN1701" s="170"/>
    </row>
    <row r="1702" spans="40:40" ht="20.100000000000001" customHeight="1">
      <c r="AN1702" s="170"/>
    </row>
    <row r="1703" spans="40:40" ht="20.100000000000001" customHeight="1">
      <c r="AN1703" s="170"/>
    </row>
    <row r="1704" spans="40:40" ht="20.100000000000001" customHeight="1">
      <c r="AN1704" s="170"/>
    </row>
    <row r="1705" spans="40:40" ht="20.100000000000001" customHeight="1">
      <c r="AN1705" s="170"/>
    </row>
    <row r="1706" spans="40:40" ht="20.100000000000001" customHeight="1">
      <c r="AN1706" s="170"/>
    </row>
    <row r="1707" spans="40:40" ht="20.100000000000001" customHeight="1">
      <c r="AN1707" s="170"/>
    </row>
    <row r="1708" spans="40:40" ht="20.100000000000001" customHeight="1">
      <c r="AN1708" s="170"/>
    </row>
    <row r="1709" spans="40:40" ht="20.100000000000001" customHeight="1">
      <c r="AN1709" s="170"/>
    </row>
    <row r="1710" spans="40:40" ht="20.100000000000001" customHeight="1">
      <c r="AN1710" s="170"/>
    </row>
    <row r="1711" spans="40:40" ht="20.100000000000001" customHeight="1">
      <c r="AN1711" s="170"/>
    </row>
    <row r="1712" spans="40:40" ht="20.100000000000001" customHeight="1">
      <c r="AN1712" s="170"/>
    </row>
    <row r="1713" spans="40:40" ht="20.100000000000001" customHeight="1">
      <c r="AN1713" s="170"/>
    </row>
    <row r="1714" spans="40:40" ht="20.100000000000001" customHeight="1">
      <c r="AN1714" s="170"/>
    </row>
    <row r="1715" spans="40:40" ht="20.100000000000001" customHeight="1">
      <c r="AN1715" s="170"/>
    </row>
    <row r="1716" spans="40:40" ht="20.100000000000001" customHeight="1">
      <c r="AN1716" s="170"/>
    </row>
    <row r="1717" spans="40:40" ht="20.100000000000001" customHeight="1">
      <c r="AN1717" s="170"/>
    </row>
    <row r="1718" spans="40:40" ht="20.100000000000001" customHeight="1">
      <c r="AN1718" s="170"/>
    </row>
    <row r="1719" spans="40:40" ht="20.100000000000001" customHeight="1">
      <c r="AN1719" s="170"/>
    </row>
    <row r="1720" spans="40:40" ht="20.100000000000001" customHeight="1">
      <c r="AN1720" s="170"/>
    </row>
    <row r="1721" spans="40:40" ht="20.100000000000001" customHeight="1">
      <c r="AN1721" s="170"/>
    </row>
    <row r="1722" spans="40:40" ht="20.100000000000001" customHeight="1">
      <c r="AN1722" s="170"/>
    </row>
    <row r="1723" spans="40:40" ht="20.100000000000001" customHeight="1">
      <c r="AN1723" s="170"/>
    </row>
    <row r="1724" spans="40:40" ht="20.100000000000001" customHeight="1">
      <c r="AN1724" s="170"/>
    </row>
    <row r="1725" spans="40:40" ht="20.100000000000001" customHeight="1">
      <c r="AN1725" s="170"/>
    </row>
    <row r="1726" spans="40:40" ht="20.100000000000001" customHeight="1">
      <c r="AN1726" s="170"/>
    </row>
    <row r="1727" spans="40:40" ht="20.100000000000001" customHeight="1">
      <c r="AN1727" s="170"/>
    </row>
    <row r="1728" spans="40:40" ht="20.100000000000001" customHeight="1">
      <c r="AN1728" s="170"/>
    </row>
    <row r="1729" spans="40:40" ht="20.100000000000001" customHeight="1">
      <c r="AN1729" s="170"/>
    </row>
    <row r="1730" spans="40:40" ht="20.100000000000001" customHeight="1">
      <c r="AN1730" s="170"/>
    </row>
    <row r="1731" spans="40:40" ht="20.100000000000001" customHeight="1">
      <c r="AN1731" s="170"/>
    </row>
    <row r="1732" spans="40:40" ht="20.100000000000001" customHeight="1">
      <c r="AN1732" s="170"/>
    </row>
    <row r="1733" spans="40:40" ht="20.100000000000001" customHeight="1">
      <c r="AN1733" s="170"/>
    </row>
    <row r="1734" spans="40:40" ht="20.100000000000001" customHeight="1">
      <c r="AN1734" s="170"/>
    </row>
    <row r="1735" spans="40:40" ht="20.100000000000001" customHeight="1">
      <c r="AN1735" s="170"/>
    </row>
    <row r="1736" spans="40:40" ht="20.100000000000001" customHeight="1">
      <c r="AN1736" s="170"/>
    </row>
    <row r="1737" spans="40:40" ht="20.100000000000001" customHeight="1">
      <c r="AN1737" s="170"/>
    </row>
    <row r="1738" spans="40:40" ht="20.100000000000001" customHeight="1">
      <c r="AN1738" s="170"/>
    </row>
    <row r="1739" spans="40:40" ht="20.100000000000001" customHeight="1">
      <c r="AN1739" s="170"/>
    </row>
    <row r="1740" spans="40:40" ht="20.100000000000001" customHeight="1">
      <c r="AN1740" s="170"/>
    </row>
    <row r="1741" spans="40:40" ht="20.100000000000001" customHeight="1">
      <c r="AN1741" s="170"/>
    </row>
    <row r="1742" spans="40:40" ht="20.100000000000001" customHeight="1">
      <c r="AN1742" s="170"/>
    </row>
    <row r="1743" spans="40:40" ht="20.100000000000001" customHeight="1">
      <c r="AN1743" s="170"/>
    </row>
    <row r="1744" spans="40:40" ht="20.100000000000001" customHeight="1">
      <c r="AN1744" s="170"/>
    </row>
    <row r="1745" spans="40:40" ht="20.100000000000001" customHeight="1">
      <c r="AN1745" s="170"/>
    </row>
    <row r="1746" spans="40:40" ht="20.100000000000001" customHeight="1">
      <c r="AN1746" s="170"/>
    </row>
    <row r="1747" spans="40:40" ht="20.100000000000001" customHeight="1">
      <c r="AN1747" s="170"/>
    </row>
    <row r="1748" spans="40:40" ht="20.100000000000001" customHeight="1">
      <c r="AN1748" s="170"/>
    </row>
    <row r="1749" spans="40:40" ht="20.100000000000001" customHeight="1">
      <c r="AN1749" s="170"/>
    </row>
    <row r="1750" spans="40:40" ht="20.100000000000001" customHeight="1">
      <c r="AN1750" s="170"/>
    </row>
    <row r="1751" spans="40:40" ht="20.100000000000001" customHeight="1">
      <c r="AN1751" s="170"/>
    </row>
    <row r="1752" spans="40:40" ht="20.100000000000001" customHeight="1">
      <c r="AN1752" s="170"/>
    </row>
    <row r="1753" spans="40:40" ht="20.100000000000001" customHeight="1">
      <c r="AN1753" s="170"/>
    </row>
    <row r="1754" spans="40:40" ht="20.100000000000001" customHeight="1">
      <c r="AN1754" s="170"/>
    </row>
    <row r="1755" spans="40:40" ht="20.100000000000001" customHeight="1">
      <c r="AN1755" s="170"/>
    </row>
    <row r="1756" spans="40:40" ht="20.100000000000001" customHeight="1">
      <c r="AN1756" s="170"/>
    </row>
    <row r="1757" spans="40:40" ht="20.100000000000001" customHeight="1">
      <c r="AN1757" s="170"/>
    </row>
    <row r="1758" spans="40:40" ht="20.100000000000001" customHeight="1">
      <c r="AN1758" s="170"/>
    </row>
    <row r="1759" spans="40:40" ht="20.100000000000001" customHeight="1">
      <c r="AN1759" s="170"/>
    </row>
    <row r="1760" spans="40:40" ht="20.100000000000001" customHeight="1">
      <c r="AN1760" s="170"/>
    </row>
    <row r="1761" spans="40:40" ht="20.100000000000001" customHeight="1">
      <c r="AN1761" s="170"/>
    </row>
    <row r="1762" spans="40:40" ht="20.100000000000001" customHeight="1">
      <c r="AN1762" s="170"/>
    </row>
    <row r="1763" spans="40:40" ht="20.100000000000001" customHeight="1">
      <c r="AN1763" s="170"/>
    </row>
    <row r="1764" spans="40:40" ht="20.100000000000001" customHeight="1">
      <c r="AN1764" s="170"/>
    </row>
    <row r="1765" spans="40:40" ht="20.100000000000001" customHeight="1">
      <c r="AN1765" s="170"/>
    </row>
    <row r="1766" spans="40:40" ht="20.100000000000001" customHeight="1">
      <c r="AN1766" s="170"/>
    </row>
    <row r="1767" spans="40:40" ht="20.100000000000001" customHeight="1">
      <c r="AN1767" s="170"/>
    </row>
    <row r="1768" spans="40:40" ht="20.100000000000001" customHeight="1">
      <c r="AN1768" s="170"/>
    </row>
    <row r="1769" spans="40:40" ht="20.100000000000001" customHeight="1">
      <c r="AN1769" s="170"/>
    </row>
    <row r="1770" spans="40:40" ht="20.100000000000001" customHeight="1">
      <c r="AN1770" s="170"/>
    </row>
    <row r="1771" spans="40:40" ht="20.100000000000001" customHeight="1">
      <c r="AN1771" s="170"/>
    </row>
    <row r="1772" spans="40:40" ht="20.100000000000001" customHeight="1">
      <c r="AN1772" s="170"/>
    </row>
    <row r="1773" spans="40:40" ht="20.100000000000001" customHeight="1">
      <c r="AN1773" s="170"/>
    </row>
    <row r="1774" spans="40:40" ht="20.100000000000001" customHeight="1">
      <c r="AN1774" s="170"/>
    </row>
    <row r="1775" spans="40:40" ht="20.100000000000001" customHeight="1">
      <c r="AN1775" s="170"/>
    </row>
    <row r="1776" spans="40:40" ht="20.100000000000001" customHeight="1">
      <c r="AN1776" s="170"/>
    </row>
    <row r="1777" spans="40:40" ht="20.100000000000001" customHeight="1">
      <c r="AN1777" s="170"/>
    </row>
    <row r="1778" spans="40:40" ht="20.100000000000001" customHeight="1">
      <c r="AN1778" s="170"/>
    </row>
    <row r="1779" spans="40:40" ht="20.100000000000001" customHeight="1">
      <c r="AN1779" s="170"/>
    </row>
    <row r="1780" spans="40:40" ht="20.100000000000001" customHeight="1">
      <c r="AN1780" s="170"/>
    </row>
    <row r="1781" spans="40:40" ht="20.100000000000001" customHeight="1">
      <c r="AN1781" s="170"/>
    </row>
    <row r="1782" spans="40:40" ht="20.100000000000001" customHeight="1">
      <c r="AN1782" s="170"/>
    </row>
    <row r="1783" spans="40:40" ht="20.100000000000001" customHeight="1">
      <c r="AN1783" s="170"/>
    </row>
    <row r="1784" spans="40:40" ht="20.100000000000001" customHeight="1">
      <c r="AN1784" s="170"/>
    </row>
    <row r="1785" spans="40:40" ht="20.100000000000001" customHeight="1">
      <c r="AN1785" s="170"/>
    </row>
    <row r="1786" spans="40:40" ht="20.100000000000001" customHeight="1">
      <c r="AN1786" s="170"/>
    </row>
    <row r="1787" spans="40:40" ht="20.100000000000001" customHeight="1">
      <c r="AN1787" s="170"/>
    </row>
    <row r="1788" spans="40:40" ht="20.100000000000001" customHeight="1">
      <c r="AN1788" s="170"/>
    </row>
    <row r="1789" spans="40:40" ht="20.100000000000001" customHeight="1">
      <c r="AN1789" s="170"/>
    </row>
    <row r="1790" spans="40:40" ht="20.100000000000001" customHeight="1">
      <c r="AN1790" s="170"/>
    </row>
    <row r="1791" spans="40:40" ht="20.100000000000001" customHeight="1">
      <c r="AN1791" s="170"/>
    </row>
    <row r="1792" spans="40:40" ht="20.100000000000001" customHeight="1">
      <c r="AN1792" s="170"/>
    </row>
    <row r="1793" spans="40:40" ht="20.100000000000001" customHeight="1">
      <c r="AN1793" s="170"/>
    </row>
    <row r="1794" spans="40:40" ht="20.100000000000001" customHeight="1">
      <c r="AN1794" s="170"/>
    </row>
    <row r="1795" spans="40:40" ht="20.100000000000001" customHeight="1">
      <c r="AN1795" s="170"/>
    </row>
    <row r="1796" spans="40:40" ht="20.100000000000001" customHeight="1">
      <c r="AN1796" s="170"/>
    </row>
    <row r="1797" spans="40:40" ht="20.100000000000001" customHeight="1">
      <c r="AN1797" s="170"/>
    </row>
    <row r="1798" spans="40:40" ht="20.100000000000001" customHeight="1">
      <c r="AN1798" s="170"/>
    </row>
    <row r="1799" spans="40:40" ht="20.100000000000001" customHeight="1">
      <c r="AN1799" s="170"/>
    </row>
    <row r="1800" spans="40:40" ht="20.100000000000001" customHeight="1">
      <c r="AN1800" s="170"/>
    </row>
    <row r="1801" spans="40:40" ht="20.100000000000001" customHeight="1">
      <c r="AN1801" s="170"/>
    </row>
    <row r="1802" spans="40:40" ht="20.100000000000001" customHeight="1">
      <c r="AN1802" s="170"/>
    </row>
    <row r="1803" spans="40:40" ht="20.100000000000001" customHeight="1">
      <c r="AN1803" s="170"/>
    </row>
    <row r="1804" spans="40:40" ht="20.100000000000001" customHeight="1">
      <c r="AN1804" s="170"/>
    </row>
    <row r="1805" spans="40:40" ht="20.100000000000001" customHeight="1">
      <c r="AN1805" s="170"/>
    </row>
    <row r="1806" spans="40:40" ht="20.100000000000001" customHeight="1">
      <c r="AN1806" s="170"/>
    </row>
    <row r="1807" spans="40:40" ht="20.100000000000001" customHeight="1">
      <c r="AN1807" s="170"/>
    </row>
    <row r="1808" spans="40:40" ht="20.100000000000001" customHeight="1">
      <c r="AN1808" s="170"/>
    </row>
    <row r="1809" spans="40:40" ht="20.100000000000001" customHeight="1">
      <c r="AN1809" s="170"/>
    </row>
    <row r="1810" spans="40:40" ht="20.100000000000001" customHeight="1">
      <c r="AN1810" s="170"/>
    </row>
    <row r="1811" spans="40:40" ht="20.100000000000001" customHeight="1">
      <c r="AN1811" s="170"/>
    </row>
    <row r="1812" spans="40:40" ht="20.100000000000001" customHeight="1">
      <c r="AN1812" s="170"/>
    </row>
    <row r="1813" spans="40:40" ht="20.100000000000001" customHeight="1">
      <c r="AN1813" s="170"/>
    </row>
    <row r="1814" spans="40:40" ht="20.100000000000001" customHeight="1">
      <c r="AN1814" s="170"/>
    </row>
    <row r="1815" spans="40:40" ht="20.100000000000001" customHeight="1">
      <c r="AN1815" s="170"/>
    </row>
    <row r="1816" spans="40:40" ht="20.100000000000001" customHeight="1">
      <c r="AN1816" s="170"/>
    </row>
    <row r="1817" spans="40:40" ht="20.100000000000001" customHeight="1">
      <c r="AN1817" s="170"/>
    </row>
    <row r="1818" spans="40:40" ht="20.100000000000001" customHeight="1">
      <c r="AN1818" s="170"/>
    </row>
    <row r="1819" spans="40:40" ht="20.100000000000001" customHeight="1">
      <c r="AN1819" s="170"/>
    </row>
    <row r="1820" spans="40:40" ht="20.100000000000001" customHeight="1">
      <c r="AN1820" s="170"/>
    </row>
    <row r="1821" spans="40:40" ht="20.100000000000001" customHeight="1">
      <c r="AN1821" s="170"/>
    </row>
    <row r="1822" spans="40:40" ht="20.100000000000001" customHeight="1">
      <c r="AN1822" s="170"/>
    </row>
    <row r="1823" spans="40:40" ht="20.100000000000001" customHeight="1">
      <c r="AN1823" s="170"/>
    </row>
    <row r="1824" spans="40:40" ht="20.100000000000001" customHeight="1">
      <c r="AN1824" s="170"/>
    </row>
    <row r="1825" spans="40:40" ht="20.100000000000001" customHeight="1">
      <c r="AN1825" s="170"/>
    </row>
    <row r="1826" spans="40:40" ht="20.100000000000001" customHeight="1">
      <c r="AN1826" s="170"/>
    </row>
    <row r="1827" spans="40:40" ht="20.100000000000001" customHeight="1">
      <c r="AN1827" s="170"/>
    </row>
    <row r="1828" spans="40:40" ht="20.100000000000001" customHeight="1">
      <c r="AN1828" s="170"/>
    </row>
    <row r="1829" spans="40:40" ht="20.100000000000001" customHeight="1">
      <c r="AN1829" s="170"/>
    </row>
    <row r="1830" spans="40:40" ht="20.100000000000001" customHeight="1">
      <c r="AN1830" s="170"/>
    </row>
    <row r="1831" spans="40:40" ht="20.100000000000001" customHeight="1">
      <c r="AN1831" s="170"/>
    </row>
    <row r="1832" spans="40:40" ht="20.100000000000001" customHeight="1">
      <c r="AN1832" s="170"/>
    </row>
    <row r="1833" spans="40:40" ht="20.100000000000001" customHeight="1">
      <c r="AN1833" s="170"/>
    </row>
    <row r="1834" spans="40:40" ht="20.100000000000001" customHeight="1">
      <c r="AN1834" s="170"/>
    </row>
    <row r="1835" spans="40:40" ht="20.100000000000001" customHeight="1">
      <c r="AN1835" s="170"/>
    </row>
    <row r="1836" spans="40:40" ht="20.100000000000001" customHeight="1">
      <c r="AN1836" s="170"/>
    </row>
    <row r="1837" spans="40:40" ht="20.100000000000001" customHeight="1">
      <c r="AN1837" s="170"/>
    </row>
    <row r="1838" spans="40:40" ht="20.100000000000001" customHeight="1">
      <c r="AN1838" s="170"/>
    </row>
    <row r="1839" spans="40:40" ht="20.100000000000001" customHeight="1">
      <c r="AN1839" s="170"/>
    </row>
    <row r="1840" spans="40:40" ht="20.100000000000001" customHeight="1">
      <c r="AN1840" s="170"/>
    </row>
    <row r="1841" spans="40:40" ht="20.100000000000001" customHeight="1">
      <c r="AN1841" s="170"/>
    </row>
    <row r="1842" spans="40:40" ht="20.100000000000001" customHeight="1">
      <c r="AN1842" s="170"/>
    </row>
    <row r="1843" spans="40:40" ht="20.100000000000001" customHeight="1">
      <c r="AN1843" s="170"/>
    </row>
    <row r="1844" spans="40:40" ht="20.100000000000001" customHeight="1">
      <c r="AN1844" s="170"/>
    </row>
    <row r="1845" spans="40:40" ht="20.100000000000001" customHeight="1">
      <c r="AN1845" s="170"/>
    </row>
    <row r="1846" spans="40:40" ht="20.100000000000001" customHeight="1">
      <c r="AN1846" s="170"/>
    </row>
    <row r="1847" spans="40:40" ht="20.100000000000001" customHeight="1">
      <c r="AN1847" s="170"/>
    </row>
    <row r="1848" spans="40:40" ht="20.100000000000001" customHeight="1">
      <c r="AN1848" s="170"/>
    </row>
    <row r="1849" spans="40:40" ht="20.100000000000001" customHeight="1">
      <c r="AN1849" s="170"/>
    </row>
    <row r="1850" spans="40:40" ht="20.100000000000001" customHeight="1">
      <c r="AN1850" s="170"/>
    </row>
    <row r="1851" spans="40:40" ht="20.100000000000001" customHeight="1">
      <c r="AN1851" s="170"/>
    </row>
    <row r="1852" spans="40:40" ht="20.100000000000001" customHeight="1">
      <c r="AN1852" s="170"/>
    </row>
    <row r="1853" spans="40:40" ht="20.100000000000001" customHeight="1">
      <c r="AN1853" s="170"/>
    </row>
    <row r="1854" spans="40:40" ht="20.100000000000001" customHeight="1">
      <c r="AN1854" s="170"/>
    </row>
    <row r="1855" spans="40:40" ht="20.100000000000001" customHeight="1">
      <c r="AN1855" s="170"/>
    </row>
    <row r="1856" spans="40:40" ht="20.100000000000001" customHeight="1">
      <c r="AN1856" s="170"/>
    </row>
    <row r="1857" spans="40:40" ht="20.100000000000001" customHeight="1">
      <c r="AN1857" s="170"/>
    </row>
    <row r="1858" spans="40:40" ht="20.100000000000001" customHeight="1">
      <c r="AN1858" s="170"/>
    </row>
    <row r="1859" spans="40:40" ht="20.100000000000001" customHeight="1">
      <c r="AN1859" s="170"/>
    </row>
    <row r="1860" spans="40:40" ht="20.100000000000001" customHeight="1">
      <c r="AN1860" s="170"/>
    </row>
    <row r="1861" spans="40:40" ht="20.100000000000001" customHeight="1">
      <c r="AN1861" s="170"/>
    </row>
    <row r="1862" spans="40:40" ht="20.100000000000001" customHeight="1">
      <c r="AN1862" s="170"/>
    </row>
    <row r="1863" spans="40:40" ht="20.100000000000001" customHeight="1">
      <c r="AN1863" s="170"/>
    </row>
    <row r="1864" spans="40:40" ht="20.100000000000001" customHeight="1">
      <c r="AN1864" s="170"/>
    </row>
    <row r="1865" spans="40:40" ht="20.100000000000001" customHeight="1">
      <c r="AN1865" s="170"/>
    </row>
    <row r="1866" spans="40:40" ht="20.100000000000001" customHeight="1">
      <c r="AN1866" s="170"/>
    </row>
    <row r="1867" spans="40:40" ht="20.100000000000001" customHeight="1">
      <c r="AN1867" s="170"/>
    </row>
    <row r="1868" spans="40:40" ht="20.100000000000001" customHeight="1">
      <c r="AN1868" s="170"/>
    </row>
    <row r="1869" spans="40:40" ht="20.100000000000001" customHeight="1">
      <c r="AN1869" s="170"/>
    </row>
    <row r="1870" spans="40:40" ht="20.100000000000001" customHeight="1">
      <c r="AN1870" s="170"/>
    </row>
    <row r="1871" spans="40:40" ht="20.100000000000001" customHeight="1">
      <c r="AN1871" s="170"/>
    </row>
    <row r="1872" spans="40:40" ht="20.100000000000001" customHeight="1">
      <c r="AN1872" s="170"/>
    </row>
    <row r="1873" spans="40:40" ht="20.100000000000001" customHeight="1">
      <c r="AN1873" s="170"/>
    </row>
    <row r="1874" spans="40:40" ht="20.100000000000001" customHeight="1">
      <c r="AN1874" s="170"/>
    </row>
    <row r="1875" spans="40:40" ht="20.100000000000001" customHeight="1">
      <c r="AN1875" s="170"/>
    </row>
    <row r="1876" spans="40:40" ht="20.100000000000001" customHeight="1">
      <c r="AN1876" s="170"/>
    </row>
    <row r="1877" spans="40:40" ht="20.100000000000001" customHeight="1">
      <c r="AN1877" s="170"/>
    </row>
    <row r="1878" spans="40:40" ht="20.100000000000001" customHeight="1">
      <c r="AN1878" s="170"/>
    </row>
    <row r="1879" spans="40:40" ht="20.100000000000001" customHeight="1">
      <c r="AN1879" s="170"/>
    </row>
    <row r="1880" spans="40:40" ht="20.100000000000001" customHeight="1">
      <c r="AN1880" s="170"/>
    </row>
    <row r="1881" spans="40:40" ht="20.100000000000001" customHeight="1">
      <c r="AN1881" s="170"/>
    </row>
    <row r="1882" spans="40:40" ht="20.100000000000001" customHeight="1">
      <c r="AN1882" s="170"/>
    </row>
    <row r="1883" spans="40:40" ht="20.100000000000001" customHeight="1">
      <c r="AN1883" s="170"/>
    </row>
    <row r="1884" spans="40:40" ht="20.100000000000001" customHeight="1">
      <c r="AN1884" s="170"/>
    </row>
    <row r="1885" spans="40:40" ht="20.100000000000001" customHeight="1">
      <c r="AN1885" s="170"/>
    </row>
    <row r="1886" spans="40:40" ht="20.100000000000001" customHeight="1">
      <c r="AN1886" s="170"/>
    </row>
    <row r="1887" spans="40:40" ht="20.100000000000001" customHeight="1">
      <c r="AN1887" s="170"/>
    </row>
    <row r="1888" spans="40:40" ht="20.100000000000001" customHeight="1">
      <c r="AN1888" s="170"/>
    </row>
    <row r="1889" spans="40:40" ht="20.100000000000001" customHeight="1">
      <c r="AN1889" s="170"/>
    </row>
    <row r="1890" spans="40:40" ht="20.100000000000001" customHeight="1">
      <c r="AN1890" s="170"/>
    </row>
    <row r="1891" spans="40:40" ht="20.100000000000001" customHeight="1">
      <c r="AN1891" s="170"/>
    </row>
    <row r="1892" spans="40:40" ht="20.100000000000001" customHeight="1">
      <c r="AN1892" s="170"/>
    </row>
    <row r="1893" spans="40:40" ht="20.100000000000001" customHeight="1">
      <c r="AN1893" s="170"/>
    </row>
    <row r="1894" spans="40:40" ht="20.100000000000001" customHeight="1">
      <c r="AN1894" s="170"/>
    </row>
    <row r="1895" spans="40:40" ht="20.100000000000001" customHeight="1">
      <c r="AN1895" s="170"/>
    </row>
    <row r="1896" spans="40:40" ht="20.100000000000001" customHeight="1">
      <c r="AN1896" s="170"/>
    </row>
    <row r="1897" spans="40:40" ht="20.100000000000001" customHeight="1">
      <c r="AN1897" s="170"/>
    </row>
    <row r="1898" spans="40:40" ht="20.100000000000001" customHeight="1">
      <c r="AN1898" s="170"/>
    </row>
    <row r="1899" spans="40:40" ht="20.100000000000001" customHeight="1">
      <c r="AN1899" s="170"/>
    </row>
    <row r="1900" spans="40:40" ht="20.100000000000001" customHeight="1">
      <c r="AN1900" s="170"/>
    </row>
    <row r="1901" spans="40:40" ht="20.100000000000001" customHeight="1">
      <c r="AN1901" s="170"/>
    </row>
    <row r="1902" spans="40:40" ht="20.100000000000001" customHeight="1">
      <c r="AN1902" s="170"/>
    </row>
    <row r="1903" spans="40:40" ht="20.100000000000001" customHeight="1">
      <c r="AN1903" s="170"/>
    </row>
    <row r="1904" spans="40:40" ht="20.100000000000001" customHeight="1">
      <c r="AN1904" s="170"/>
    </row>
    <row r="1905" spans="40:40" ht="20.100000000000001" customHeight="1">
      <c r="AN1905" s="170"/>
    </row>
    <row r="1906" spans="40:40" ht="20.100000000000001" customHeight="1">
      <c r="AN1906" s="170"/>
    </row>
    <row r="1907" spans="40:40" ht="20.100000000000001" customHeight="1">
      <c r="AN1907" s="170"/>
    </row>
    <row r="1908" spans="40:40" ht="20.100000000000001" customHeight="1">
      <c r="AN1908" s="170"/>
    </row>
    <row r="1909" spans="40:40" ht="20.100000000000001" customHeight="1">
      <c r="AN1909" s="170"/>
    </row>
    <row r="1910" spans="40:40" ht="20.100000000000001" customHeight="1">
      <c r="AN1910" s="170"/>
    </row>
    <row r="1911" spans="40:40" ht="20.100000000000001" customHeight="1">
      <c r="AN1911" s="170"/>
    </row>
    <row r="1912" spans="40:40" ht="20.100000000000001" customHeight="1">
      <c r="AN1912" s="170"/>
    </row>
    <row r="1913" spans="40:40" ht="20.100000000000001" customHeight="1">
      <c r="AN1913" s="170"/>
    </row>
  </sheetData>
  <phoneticPr fontId="3" type="noConversion"/>
  <hyperlinks>
    <hyperlink ref="AN40" r:id="rId1" xr:uid="{00000000-0004-0000-0300-000000000000}"/>
    <hyperlink ref="AN436" r:id="rId2" xr:uid="{00000000-0004-0000-0300-000001000000}"/>
    <hyperlink ref="AN437" r:id="rId3" xr:uid="{00000000-0004-0000-0300-000002000000}"/>
    <hyperlink ref="AN438" r:id="rId4" xr:uid="{00000000-0004-0000-0300-000003000000}"/>
    <hyperlink ref="AN439" r:id="rId5" xr:uid="{00000000-0004-0000-0300-000004000000}"/>
    <hyperlink ref="AN440" r:id="rId6" xr:uid="{00000000-0004-0000-0300-000005000000}"/>
    <hyperlink ref="AN441" r:id="rId7" xr:uid="{00000000-0004-0000-0300-000006000000}"/>
    <hyperlink ref="AN442" r:id="rId8" xr:uid="{00000000-0004-0000-0300-000007000000}"/>
    <hyperlink ref="AN443" r:id="rId9" xr:uid="{00000000-0004-0000-0300-000008000000}"/>
    <hyperlink ref="AN444" r:id="rId10" xr:uid="{00000000-0004-0000-0300-000009000000}"/>
    <hyperlink ref="AN445" r:id="rId11" xr:uid="{00000000-0004-0000-0300-00000A000000}"/>
  </hyperlinks>
  <pageMargins left="0.75" right="0.75" top="1" bottom="1" header="0.5" footer="0.5"/>
  <pageSetup paperSize="9" orientation="portrait" r:id="rId12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B33"/>
  <sheetViews>
    <sheetView workbookViewId="0">
      <selection activeCell="B31" sqref="B31"/>
    </sheetView>
  </sheetViews>
  <sheetFormatPr defaultRowHeight="15"/>
  <cols>
    <col min="1" max="1" width="9" style="1" customWidth="1"/>
    <col min="2" max="2" width="17.109375" style="1" customWidth="1"/>
  </cols>
  <sheetData>
    <row r="1" spans="1:2">
      <c r="A1" s="301" t="s">
        <v>1578</v>
      </c>
      <c r="B1" s="301"/>
    </row>
    <row r="2" spans="1:2" ht="21.75" customHeight="1">
      <c r="A2" s="1" t="s">
        <v>1579</v>
      </c>
      <c r="B2" s="1" t="s">
        <v>1580</v>
      </c>
    </row>
    <row r="3" spans="1:2">
      <c r="A3" s="1">
        <v>71</v>
      </c>
      <c r="B3" s="1" t="s">
        <v>1581</v>
      </c>
    </row>
    <row r="4" spans="1:2">
      <c r="A4" s="1">
        <v>72</v>
      </c>
      <c r="B4" s="1" t="s">
        <v>1582</v>
      </c>
    </row>
    <row r="5" spans="1:2">
      <c r="A5" s="1">
        <v>73</v>
      </c>
    </row>
    <row r="6" spans="1:2">
      <c r="A6" s="1">
        <v>74</v>
      </c>
      <c r="B6" s="1" t="s">
        <v>1583</v>
      </c>
    </row>
    <row r="7" spans="1:2">
      <c r="A7" s="1">
        <v>75</v>
      </c>
    </row>
    <row r="8" spans="1:2">
      <c r="A8" s="1">
        <v>76</v>
      </c>
      <c r="B8" s="1" t="s">
        <v>1584</v>
      </c>
    </row>
    <row r="9" spans="1:2">
      <c r="A9" s="1">
        <v>77</v>
      </c>
      <c r="B9" s="1" t="s">
        <v>1585</v>
      </c>
    </row>
    <row r="10" spans="1:2">
      <c r="A10" s="1">
        <v>78</v>
      </c>
      <c r="B10" s="1" t="s">
        <v>1586</v>
      </c>
    </row>
    <row r="11" spans="1:2">
      <c r="A11" s="1">
        <v>79</v>
      </c>
      <c r="B11" s="1" t="s">
        <v>1587</v>
      </c>
    </row>
    <row r="12" spans="1:2">
      <c r="A12" s="1">
        <v>80</v>
      </c>
      <c r="B12" s="1" t="s">
        <v>1588</v>
      </c>
    </row>
    <row r="13" spans="1:2">
      <c r="A13" s="1">
        <v>81</v>
      </c>
      <c r="B13" s="1" t="s">
        <v>1589</v>
      </c>
    </row>
    <row r="14" spans="1:2">
      <c r="A14" s="1">
        <v>82</v>
      </c>
      <c r="B14" s="1" t="s">
        <v>1590</v>
      </c>
    </row>
    <row r="15" spans="1:2">
      <c r="A15" s="1">
        <v>83</v>
      </c>
      <c r="B15" s="1" t="s">
        <v>1591</v>
      </c>
    </row>
    <row r="16" spans="1:2">
      <c r="A16" s="1">
        <v>84</v>
      </c>
      <c r="B16" s="1" t="s">
        <v>1592</v>
      </c>
    </row>
    <row r="17" spans="1:2">
      <c r="A17" s="1">
        <v>85</v>
      </c>
      <c r="B17" s="1" t="s">
        <v>1593</v>
      </c>
    </row>
    <row r="18" spans="1:2">
      <c r="A18" s="1">
        <v>86</v>
      </c>
      <c r="B18" s="1" t="s">
        <v>1594</v>
      </c>
    </row>
    <row r="19" spans="1:2">
      <c r="A19" s="1">
        <v>87</v>
      </c>
      <c r="B19" s="1" t="s">
        <v>1595</v>
      </c>
    </row>
    <row r="20" spans="1:2">
      <c r="A20" s="1">
        <v>88</v>
      </c>
      <c r="B20" s="1" t="s">
        <v>1596</v>
      </c>
    </row>
    <row r="21" spans="1:2">
      <c r="A21" s="1">
        <v>89</v>
      </c>
      <c r="B21" s="1" t="s">
        <v>1597</v>
      </c>
    </row>
    <row r="22" spans="1:2">
      <c r="A22" s="1">
        <v>90</v>
      </c>
      <c r="B22" s="1" t="s">
        <v>1598</v>
      </c>
    </row>
    <row r="23" spans="1:2">
      <c r="A23" s="1">
        <v>91</v>
      </c>
      <c r="B23" s="1" t="s">
        <v>1599</v>
      </c>
    </row>
    <row r="24" spans="1:2">
      <c r="A24" s="1">
        <v>92</v>
      </c>
      <c r="B24" s="1" t="s">
        <v>1600</v>
      </c>
    </row>
    <row r="25" spans="1:2">
      <c r="A25" s="1">
        <v>93</v>
      </c>
      <c r="B25" s="1" t="s">
        <v>1601</v>
      </c>
    </row>
    <row r="26" spans="1:2">
      <c r="A26" s="1">
        <v>94</v>
      </c>
      <c r="B26" s="1" t="s">
        <v>1602</v>
      </c>
    </row>
    <row r="27" spans="1:2">
      <c r="A27" s="1">
        <v>95</v>
      </c>
      <c r="B27" s="1" t="s">
        <v>1603</v>
      </c>
    </row>
    <row r="28" spans="1:2">
      <c r="A28" s="1">
        <v>96</v>
      </c>
      <c r="B28" s="1" t="s">
        <v>1604</v>
      </c>
    </row>
    <row r="29" spans="1:2">
      <c r="A29" s="1">
        <v>97</v>
      </c>
    </row>
    <row r="30" spans="1:2">
      <c r="A30" s="1">
        <v>98</v>
      </c>
      <c r="B30" s="1" t="s">
        <v>1605</v>
      </c>
    </row>
    <row r="31" spans="1:2">
      <c r="A31" s="1">
        <v>99</v>
      </c>
      <c r="B31" s="1" t="s">
        <v>1586</v>
      </c>
    </row>
    <row r="33" spans="1:1">
      <c r="A33" s="1" t="s">
        <v>1606</v>
      </c>
    </row>
  </sheetData>
  <mergeCells count="1">
    <mergeCell ref="A1:B1"/>
  </mergeCells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B2:L422"/>
  <sheetViews>
    <sheetView topLeftCell="A400" workbookViewId="0">
      <selection activeCell="G419" sqref="G419"/>
    </sheetView>
  </sheetViews>
  <sheetFormatPr defaultRowHeight="15"/>
  <cols>
    <col min="3" max="3" width="6.44140625" bestFit="1" customWidth="1"/>
    <col min="4" max="4" width="10.33203125" bestFit="1" customWidth="1"/>
  </cols>
  <sheetData>
    <row r="2" spans="2:12">
      <c r="J2" t="s">
        <v>59</v>
      </c>
    </row>
    <row r="3" spans="2:12">
      <c r="B3" t="s">
        <v>261</v>
      </c>
      <c r="C3" t="s">
        <v>59</v>
      </c>
      <c r="D3" t="str">
        <f>CONCATENATE(B3,"@",COUNTIF($B$3:$B3,B3))</f>
        <v>1E@1</v>
      </c>
      <c r="E3" t="str">
        <f t="shared" ref="E3:E66" si="0">C3</f>
        <v>W DT</v>
      </c>
      <c r="F3" s="73">
        <f>IF(G3="","",SUM($G$3:$G3))</f>
        <v>1</v>
      </c>
      <c r="G3" s="73">
        <f>IF(H3="","",1)</f>
        <v>1</v>
      </c>
      <c r="H3" s="73" t="str">
        <f>IF(I3=1,B3,"")</f>
        <v>1E</v>
      </c>
      <c r="I3" s="73">
        <f>COUNTIF($B$3:$B3,B3)</f>
        <v>1</v>
      </c>
      <c r="J3" t="s">
        <v>55</v>
      </c>
      <c r="K3">
        <v>1</v>
      </c>
      <c r="L3" s="73" t="str">
        <f>IF(COUNTIF($F:$F,$K3)=0,"",VLOOKUP(K3,$F:$H,3,0))</f>
        <v>1E</v>
      </c>
    </row>
    <row r="4" spans="2:12">
      <c r="B4" t="s">
        <v>261</v>
      </c>
      <c r="C4" t="s">
        <v>55</v>
      </c>
      <c r="D4" t="str">
        <f>CONCATENATE(B4,"@",COUNTIF($B$3:$B4,B4))</f>
        <v>1E@2</v>
      </c>
      <c r="E4" t="str">
        <f t="shared" si="0"/>
        <v>E AV</v>
      </c>
      <c r="F4" s="73" t="str">
        <f>IF(G4="","",SUM($G$3:$G4))</f>
        <v/>
      </c>
      <c r="G4" s="73" t="str">
        <f t="shared" ref="G4:G67" si="1">IF(H4="","",1)</f>
        <v/>
      </c>
      <c r="H4" s="73" t="str">
        <f t="shared" ref="H4:H67" si="2">IF(I4=1,B4,"")</f>
        <v/>
      </c>
      <c r="I4" s="73">
        <f>COUNTIF($B$3:$B4,B4)</f>
        <v>2</v>
      </c>
      <c r="J4" t="s">
        <v>53</v>
      </c>
      <c r="K4">
        <f>K3+1</f>
        <v>2</v>
      </c>
      <c r="L4" s="73" t="str">
        <f t="shared" ref="L4:L67" si="3">IF(COUNTIF($F:$F,$K4)=0,"",VLOOKUP(K4,$F:$H,3,0))</f>
        <v>1W</v>
      </c>
    </row>
    <row r="5" spans="2:12">
      <c r="B5" t="s">
        <v>261</v>
      </c>
      <c r="C5" t="s">
        <v>53</v>
      </c>
      <c r="D5" t="str">
        <f>CONCATENATE(B5,"@",COUNTIF($B$3:$B5,B5))</f>
        <v>1E@3</v>
      </c>
      <c r="E5" t="str">
        <f t="shared" si="0"/>
        <v>E DT</v>
      </c>
      <c r="F5" s="73" t="str">
        <f>IF(G5="","",SUM($G$3:$G5))</f>
        <v/>
      </c>
      <c r="G5" s="73" t="str">
        <f t="shared" si="1"/>
        <v/>
      </c>
      <c r="H5" s="73" t="str">
        <f t="shared" si="2"/>
        <v/>
      </c>
      <c r="I5" s="73">
        <f>COUNTIF($B$3:$B5,B5)</f>
        <v>3</v>
      </c>
      <c r="J5" t="s">
        <v>57</v>
      </c>
      <c r="K5">
        <f t="shared" ref="K5:K68" si="4">K4+1</f>
        <v>3</v>
      </c>
      <c r="L5" s="73" t="str">
        <f t="shared" si="3"/>
        <v>2E</v>
      </c>
    </row>
    <row r="6" spans="2:12">
      <c r="B6" t="s">
        <v>269</v>
      </c>
      <c r="C6" t="s">
        <v>59</v>
      </c>
      <c r="D6" t="str">
        <f>CONCATENATE(B6,"@",COUNTIF($B$3:$B6,B6))</f>
        <v>1W@1</v>
      </c>
      <c r="E6" t="str">
        <f t="shared" si="0"/>
        <v>W DT</v>
      </c>
      <c r="F6" s="73">
        <f>IF(G6="","",SUM($G$3:$G6))</f>
        <v>2</v>
      </c>
      <c r="G6" s="73">
        <f t="shared" si="1"/>
        <v>1</v>
      </c>
      <c r="H6" s="73" t="str">
        <f t="shared" si="2"/>
        <v>1W</v>
      </c>
      <c r="I6" s="73">
        <f>COUNTIF($B$3:$B6,B6)</f>
        <v>1</v>
      </c>
      <c r="J6" t="s">
        <v>200</v>
      </c>
      <c r="K6">
        <f t="shared" si="4"/>
        <v>4</v>
      </c>
      <c r="L6" s="73" t="str">
        <f t="shared" si="3"/>
        <v>2W</v>
      </c>
    </row>
    <row r="7" spans="2:12">
      <c r="B7" t="s">
        <v>269</v>
      </c>
      <c r="C7" t="s">
        <v>55</v>
      </c>
      <c r="D7" t="str">
        <f>CONCATENATE(B7,"@",COUNTIF($B$3:$B7,B7))</f>
        <v>1W@2</v>
      </c>
      <c r="E7" t="str">
        <f t="shared" si="0"/>
        <v>E AV</v>
      </c>
      <c r="F7" s="73" t="str">
        <f>IF(G7="","",SUM($G$3:$G7))</f>
        <v/>
      </c>
      <c r="G7" s="73" t="str">
        <f t="shared" si="1"/>
        <v/>
      </c>
      <c r="H7" s="73" t="str">
        <f t="shared" si="2"/>
        <v/>
      </c>
      <c r="I7" s="73">
        <f>COUNTIF($B$3:$B7,B7)</f>
        <v>2</v>
      </c>
      <c r="J7" t="s">
        <v>208</v>
      </c>
      <c r="K7">
        <f t="shared" si="4"/>
        <v>5</v>
      </c>
      <c r="L7" s="73" t="str">
        <f t="shared" si="3"/>
        <v>3E</v>
      </c>
    </row>
    <row r="8" spans="2:12">
      <c r="B8" t="s">
        <v>269</v>
      </c>
      <c r="C8" t="s">
        <v>53</v>
      </c>
      <c r="D8" t="str">
        <f>CONCATENATE(B8,"@",COUNTIF($B$3:$B8,B8))</f>
        <v>1W@3</v>
      </c>
      <c r="E8" t="str">
        <f t="shared" si="0"/>
        <v>E DT</v>
      </c>
      <c r="F8" s="73" t="str">
        <f>IF(G8="","",SUM($G$3:$G8))</f>
        <v/>
      </c>
      <c r="G8" s="73" t="str">
        <f t="shared" si="1"/>
        <v/>
      </c>
      <c r="H8" s="73" t="str">
        <f t="shared" si="2"/>
        <v/>
      </c>
      <c r="I8" s="73">
        <f>COUNTIF($B$3:$B8,B8)</f>
        <v>3</v>
      </c>
      <c r="J8" t="s">
        <v>216</v>
      </c>
      <c r="K8">
        <f t="shared" si="4"/>
        <v>6</v>
      </c>
      <c r="L8" s="73" t="str">
        <f t="shared" si="3"/>
        <v>3W</v>
      </c>
    </row>
    <row r="9" spans="2:12">
      <c r="B9" t="s">
        <v>276</v>
      </c>
      <c r="C9" t="s">
        <v>59</v>
      </c>
      <c r="D9" t="str">
        <f>CONCATENATE(B9,"@",COUNTIF($B$3:$B9,B9))</f>
        <v>2E@1</v>
      </c>
      <c r="E9" t="str">
        <f t="shared" si="0"/>
        <v>W DT</v>
      </c>
      <c r="F9" s="73">
        <f>IF(G9="","",SUM($G$3:$G9))</f>
        <v>3</v>
      </c>
      <c r="G9" s="73">
        <f t="shared" si="1"/>
        <v>1</v>
      </c>
      <c r="H9" s="73" t="str">
        <f t="shared" si="2"/>
        <v>2E</v>
      </c>
      <c r="I9" s="73">
        <f>COUNTIF($B$3:$B9,B9)</f>
        <v>1</v>
      </c>
      <c r="J9" t="s">
        <v>224</v>
      </c>
      <c r="K9">
        <f t="shared" si="4"/>
        <v>7</v>
      </c>
      <c r="L9" s="73" t="str">
        <f t="shared" si="3"/>
        <v>4E</v>
      </c>
    </row>
    <row r="10" spans="2:12">
      <c r="B10" t="s">
        <v>276</v>
      </c>
      <c r="C10" t="s">
        <v>55</v>
      </c>
      <c r="D10" t="str">
        <f>CONCATENATE(B10,"@",COUNTIF($B$3:$B10,B10))</f>
        <v>2E@2</v>
      </c>
      <c r="E10" t="str">
        <f t="shared" si="0"/>
        <v>E AV</v>
      </c>
      <c r="F10" s="73" t="str">
        <f>IF(G10="","",SUM($G$3:$G10))</f>
        <v/>
      </c>
      <c r="G10" s="73" t="str">
        <f t="shared" si="1"/>
        <v/>
      </c>
      <c r="H10" s="73" t="str">
        <f t="shared" si="2"/>
        <v/>
      </c>
      <c r="I10" s="73">
        <f>COUNTIF($B$3:$B10,B10)</f>
        <v>2</v>
      </c>
      <c r="J10" t="s">
        <v>231</v>
      </c>
      <c r="K10">
        <f t="shared" si="4"/>
        <v>8</v>
      </c>
      <c r="L10" s="73" t="str">
        <f t="shared" si="3"/>
        <v>4W</v>
      </c>
    </row>
    <row r="11" spans="2:12">
      <c r="B11" t="s">
        <v>276</v>
      </c>
      <c r="C11" t="s">
        <v>53</v>
      </c>
      <c r="D11" t="str">
        <f>CONCATENATE(B11,"@",COUNTIF($B$3:$B11,B11))</f>
        <v>2E@3</v>
      </c>
      <c r="E11" t="str">
        <f t="shared" si="0"/>
        <v>E DT</v>
      </c>
      <c r="F11" s="73" t="str">
        <f>IF(G11="","",SUM($G$3:$G11))</f>
        <v/>
      </c>
      <c r="G11" s="73" t="str">
        <f t="shared" si="1"/>
        <v/>
      </c>
      <c r="H11" s="73" t="str">
        <f t="shared" si="2"/>
        <v/>
      </c>
      <c r="I11" s="73">
        <f>COUNTIF($B$3:$B11,B11)</f>
        <v>3</v>
      </c>
      <c r="J11" t="s">
        <v>238</v>
      </c>
      <c r="K11">
        <f t="shared" si="4"/>
        <v>9</v>
      </c>
      <c r="L11" s="73" t="str">
        <f t="shared" si="3"/>
        <v>5E</v>
      </c>
    </row>
    <row r="12" spans="2:12">
      <c r="B12" t="s">
        <v>285</v>
      </c>
      <c r="C12" t="s">
        <v>59</v>
      </c>
      <c r="D12" t="str">
        <f>CONCATENATE(B12,"@",COUNTIF($B$3:$B12,B12))</f>
        <v>2W@1</v>
      </c>
      <c r="E12" t="str">
        <f t="shared" si="0"/>
        <v>W DT</v>
      </c>
      <c r="F12" s="73">
        <f>IF(G12="","",SUM($G$3:$G12))</f>
        <v>4</v>
      </c>
      <c r="G12" s="73">
        <f t="shared" si="1"/>
        <v>1</v>
      </c>
      <c r="H12" s="73" t="str">
        <f t="shared" si="2"/>
        <v>2W</v>
      </c>
      <c r="I12" s="73">
        <f>COUNTIF($B$3:$B12,B12)</f>
        <v>1</v>
      </c>
      <c r="J12" t="s">
        <v>246</v>
      </c>
      <c r="K12">
        <f t="shared" si="4"/>
        <v>10</v>
      </c>
      <c r="L12" s="73" t="str">
        <f t="shared" si="3"/>
        <v>5W</v>
      </c>
    </row>
    <row r="13" spans="2:12">
      <c r="B13" t="s">
        <v>285</v>
      </c>
      <c r="C13" t="s">
        <v>55</v>
      </c>
      <c r="D13" t="str">
        <f>CONCATENATE(B13,"@",COUNTIF($B$3:$B13,B13))</f>
        <v>2W@2</v>
      </c>
      <c r="E13" t="str">
        <f t="shared" si="0"/>
        <v>E AV</v>
      </c>
      <c r="F13" s="73" t="str">
        <f>IF(G13="","",SUM($G$3:$G13))</f>
        <v/>
      </c>
      <c r="G13" s="73" t="str">
        <f t="shared" si="1"/>
        <v/>
      </c>
      <c r="H13" s="73" t="str">
        <f t="shared" si="2"/>
        <v/>
      </c>
      <c r="I13" s="73">
        <f>COUNTIF($B$3:$B13,B13)</f>
        <v>2</v>
      </c>
      <c r="J13" t="s">
        <v>254</v>
      </c>
      <c r="K13">
        <f t="shared" si="4"/>
        <v>11</v>
      </c>
      <c r="L13" s="73" t="str">
        <f t="shared" si="3"/>
        <v>6E</v>
      </c>
    </row>
    <row r="14" spans="2:12">
      <c r="B14" t="s">
        <v>285</v>
      </c>
      <c r="C14" t="s">
        <v>53</v>
      </c>
      <c r="D14" t="str">
        <f>CONCATENATE(B14,"@",COUNTIF($B$3:$B14,B14))</f>
        <v>2W@3</v>
      </c>
      <c r="E14" t="str">
        <f t="shared" si="0"/>
        <v>E DT</v>
      </c>
      <c r="F14" s="73" t="str">
        <f>IF(G14="","",SUM($G$3:$G14))</f>
        <v/>
      </c>
      <c r="G14" s="73" t="str">
        <f t="shared" si="1"/>
        <v/>
      </c>
      <c r="H14" s="73" t="str">
        <f t="shared" si="2"/>
        <v/>
      </c>
      <c r="I14" s="73">
        <f>COUNTIF($B$3:$B14,B14)</f>
        <v>3</v>
      </c>
      <c r="J14" t="s">
        <v>261</v>
      </c>
      <c r="K14">
        <f t="shared" si="4"/>
        <v>12</v>
      </c>
      <c r="L14" s="73" t="str">
        <f t="shared" si="3"/>
        <v>6W</v>
      </c>
    </row>
    <row r="15" spans="2:12">
      <c r="B15" t="s">
        <v>293</v>
      </c>
      <c r="C15" t="s">
        <v>59</v>
      </c>
      <c r="D15" t="str">
        <f>CONCATENATE(B15,"@",COUNTIF($B$3:$B15,B15))</f>
        <v>3E@1</v>
      </c>
      <c r="E15" t="str">
        <f t="shared" si="0"/>
        <v>W DT</v>
      </c>
      <c r="F15" s="73">
        <f>IF(G15="","",SUM($G$3:$G15))</f>
        <v>5</v>
      </c>
      <c r="G15" s="73">
        <f t="shared" si="1"/>
        <v>1</v>
      </c>
      <c r="H15" s="73" t="str">
        <f t="shared" si="2"/>
        <v>3E</v>
      </c>
      <c r="I15" s="73">
        <f>COUNTIF($B$3:$B15,B15)</f>
        <v>1</v>
      </c>
      <c r="J15" t="s">
        <v>269</v>
      </c>
      <c r="K15">
        <f t="shared" si="4"/>
        <v>13</v>
      </c>
      <c r="L15" s="73" t="str">
        <f t="shared" si="3"/>
        <v>7E</v>
      </c>
    </row>
    <row r="16" spans="2:12">
      <c r="B16" t="s">
        <v>293</v>
      </c>
      <c r="C16" t="s">
        <v>55</v>
      </c>
      <c r="D16" t="str">
        <f>CONCATENATE(B16,"@",COUNTIF($B$3:$B16,B16))</f>
        <v>3E@2</v>
      </c>
      <c r="E16" t="str">
        <f t="shared" si="0"/>
        <v>E AV</v>
      </c>
      <c r="F16" s="73" t="str">
        <f>IF(G16="","",SUM($G$3:$G16))</f>
        <v/>
      </c>
      <c r="G16" s="73" t="str">
        <f t="shared" si="1"/>
        <v/>
      </c>
      <c r="H16" s="73" t="str">
        <f t="shared" si="2"/>
        <v/>
      </c>
      <c r="I16" s="73">
        <f>COUNTIF($B$3:$B16,B16)</f>
        <v>2</v>
      </c>
      <c r="J16" t="s">
        <v>276</v>
      </c>
      <c r="K16">
        <f t="shared" si="4"/>
        <v>14</v>
      </c>
      <c r="L16" s="73" t="str">
        <f t="shared" si="3"/>
        <v>7W</v>
      </c>
    </row>
    <row r="17" spans="2:12">
      <c r="B17" t="s">
        <v>293</v>
      </c>
      <c r="C17" t="s">
        <v>53</v>
      </c>
      <c r="D17" t="str">
        <f>CONCATENATE(B17,"@",COUNTIF($B$3:$B17,B17))</f>
        <v>3E@3</v>
      </c>
      <c r="E17" t="str">
        <f t="shared" si="0"/>
        <v>E DT</v>
      </c>
      <c r="F17" s="73" t="str">
        <f>IF(G17="","",SUM($G$3:$G17))</f>
        <v/>
      </c>
      <c r="G17" s="73" t="str">
        <f t="shared" si="1"/>
        <v/>
      </c>
      <c r="H17" s="73" t="str">
        <f t="shared" si="2"/>
        <v/>
      </c>
      <c r="I17" s="73">
        <f>COUNTIF($B$3:$B17,B17)</f>
        <v>3</v>
      </c>
      <c r="J17" t="s">
        <v>285</v>
      </c>
      <c r="K17">
        <f t="shared" si="4"/>
        <v>15</v>
      </c>
      <c r="L17" s="73" t="str">
        <f t="shared" si="3"/>
        <v>8E</v>
      </c>
    </row>
    <row r="18" spans="2:12">
      <c r="B18" t="s">
        <v>301</v>
      </c>
      <c r="C18" t="s">
        <v>59</v>
      </c>
      <c r="D18" t="str">
        <f>CONCATENATE(B18,"@",COUNTIF($B$3:$B18,B18))</f>
        <v>3W@1</v>
      </c>
      <c r="E18" t="str">
        <f t="shared" si="0"/>
        <v>W DT</v>
      </c>
      <c r="F18" s="73">
        <f>IF(G18="","",SUM($G$3:$G18))</f>
        <v>6</v>
      </c>
      <c r="G18" s="73">
        <f t="shared" si="1"/>
        <v>1</v>
      </c>
      <c r="H18" s="73" t="str">
        <f t="shared" si="2"/>
        <v>3W</v>
      </c>
      <c r="I18" s="73">
        <f>COUNTIF($B$3:$B18,B18)</f>
        <v>1</v>
      </c>
      <c r="J18" t="s">
        <v>293</v>
      </c>
      <c r="K18">
        <f t="shared" si="4"/>
        <v>16</v>
      </c>
      <c r="L18" s="73" t="str">
        <f t="shared" si="3"/>
        <v>8W</v>
      </c>
    </row>
    <row r="19" spans="2:12">
      <c r="B19" t="s">
        <v>301</v>
      </c>
      <c r="C19" t="s">
        <v>55</v>
      </c>
      <c r="D19" t="str">
        <f>CONCATENATE(B19,"@",COUNTIF($B$3:$B19,B19))</f>
        <v>3W@2</v>
      </c>
      <c r="E19" t="str">
        <f t="shared" si="0"/>
        <v>E AV</v>
      </c>
      <c r="F19" s="73" t="str">
        <f>IF(G19="","",SUM($G$3:$G19))</f>
        <v/>
      </c>
      <c r="G19" s="73" t="str">
        <f t="shared" si="1"/>
        <v/>
      </c>
      <c r="H19" s="73" t="str">
        <f t="shared" si="2"/>
        <v/>
      </c>
      <c r="I19" s="73">
        <f>COUNTIF($B$3:$B19,B19)</f>
        <v>2</v>
      </c>
      <c r="J19" t="s">
        <v>301</v>
      </c>
      <c r="K19">
        <f t="shared" si="4"/>
        <v>17</v>
      </c>
      <c r="L19" s="73" t="str">
        <f t="shared" si="3"/>
        <v>E AV</v>
      </c>
    </row>
    <row r="20" spans="2:12">
      <c r="B20" t="s">
        <v>301</v>
      </c>
      <c r="C20" t="s">
        <v>53</v>
      </c>
      <c r="D20" t="str">
        <f>CONCATENATE(B20,"@",COUNTIF($B$3:$B20,B20))</f>
        <v>3W@3</v>
      </c>
      <c r="E20" t="str">
        <f t="shared" si="0"/>
        <v>E DT</v>
      </c>
      <c r="F20" s="73" t="str">
        <f>IF(G20="","",SUM($G$3:$G20))</f>
        <v/>
      </c>
      <c r="G20" s="73" t="str">
        <f t="shared" si="1"/>
        <v/>
      </c>
      <c r="H20" s="73" t="str">
        <f t="shared" si="2"/>
        <v/>
      </c>
      <c r="I20" s="73">
        <f>COUNTIF($B$3:$B20,B20)</f>
        <v>3</v>
      </c>
      <c r="J20" t="s">
        <v>309</v>
      </c>
      <c r="K20">
        <f t="shared" si="4"/>
        <v>18</v>
      </c>
      <c r="L20" s="73" t="str">
        <f t="shared" si="3"/>
        <v>E DT</v>
      </c>
    </row>
    <row r="21" spans="2:12">
      <c r="B21" t="s">
        <v>309</v>
      </c>
      <c r="C21" t="s">
        <v>59</v>
      </c>
      <c r="D21" t="str">
        <f>CONCATENATE(B21,"@",COUNTIF($B$3:$B21,B21))</f>
        <v>4E@1</v>
      </c>
      <c r="E21" t="str">
        <f t="shared" si="0"/>
        <v>W DT</v>
      </c>
      <c r="F21" s="73">
        <f>IF(G21="","",SUM($G$3:$G21))</f>
        <v>7</v>
      </c>
      <c r="G21" s="73">
        <f t="shared" si="1"/>
        <v>1</v>
      </c>
      <c r="H21" s="73" t="str">
        <f t="shared" si="2"/>
        <v>4E</v>
      </c>
      <c r="I21" s="73">
        <f>COUNTIF($B$3:$B21,B21)</f>
        <v>1</v>
      </c>
      <c r="J21" t="s">
        <v>318</v>
      </c>
      <c r="K21">
        <f t="shared" si="4"/>
        <v>19</v>
      </c>
      <c r="L21" s="73" t="str">
        <f t="shared" si="3"/>
        <v>HCTE</v>
      </c>
    </row>
    <row r="22" spans="2:12">
      <c r="B22" t="s">
        <v>309</v>
      </c>
      <c r="C22" t="s">
        <v>55</v>
      </c>
      <c r="D22" t="str">
        <f>CONCATENATE(B22,"@",COUNTIF($B$3:$B22,B22))</f>
        <v>4E@2</v>
      </c>
      <c r="E22" t="str">
        <f t="shared" si="0"/>
        <v>E AV</v>
      </c>
      <c r="F22" s="73" t="str">
        <f>IF(G22="","",SUM($G$3:$G22))</f>
        <v/>
      </c>
      <c r="G22" s="73" t="str">
        <f t="shared" si="1"/>
        <v/>
      </c>
      <c r="H22" s="73" t="str">
        <f t="shared" si="2"/>
        <v/>
      </c>
      <c r="I22" s="73">
        <f>COUNTIF($B$3:$B22,B22)</f>
        <v>2</v>
      </c>
      <c r="J22" t="s">
        <v>325</v>
      </c>
      <c r="K22">
        <f t="shared" si="4"/>
        <v>20</v>
      </c>
      <c r="L22" s="73" t="str">
        <f t="shared" si="3"/>
        <v>HCTW</v>
      </c>
    </row>
    <row r="23" spans="2:12">
      <c r="B23" t="s">
        <v>309</v>
      </c>
      <c r="C23" t="s">
        <v>53</v>
      </c>
      <c r="D23" t="str">
        <f>CONCATENATE(B23,"@",COUNTIF($B$3:$B23,B23))</f>
        <v>4E@3</v>
      </c>
      <c r="E23" t="str">
        <f t="shared" si="0"/>
        <v>E DT</v>
      </c>
      <c r="F23" s="73" t="str">
        <f>IF(G23="","",SUM($G$3:$G23))</f>
        <v/>
      </c>
      <c r="G23" s="73" t="str">
        <f t="shared" si="1"/>
        <v/>
      </c>
      <c r="H23" s="73" t="str">
        <f t="shared" si="2"/>
        <v/>
      </c>
      <c r="I23" s="73">
        <f>COUNTIF($B$3:$B23,B23)</f>
        <v>3</v>
      </c>
      <c r="J23" t="s">
        <v>333</v>
      </c>
      <c r="K23">
        <f t="shared" si="4"/>
        <v>21</v>
      </c>
      <c r="L23" s="73" t="str">
        <f t="shared" si="3"/>
        <v>HM1</v>
      </c>
    </row>
    <row r="24" spans="2:12">
      <c r="B24" t="s">
        <v>318</v>
      </c>
      <c r="C24" t="s">
        <v>59</v>
      </c>
      <c r="D24" t="str">
        <f>CONCATENATE(B24,"@",COUNTIF($B$3:$B24,B24))</f>
        <v>4W@1</v>
      </c>
      <c r="E24" t="str">
        <f t="shared" si="0"/>
        <v>W DT</v>
      </c>
      <c r="F24" s="73">
        <f>IF(G24="","",SUM($G$3:$G24))</f>
        <v>8</v>
      </c>
      <c r="G24" s="73">
        <f t="shared" si="1"/>
        <v>1</v>
      </c>
      <c r="H24" s="73" t="str">
        <f t="shared" si="2"/>
        <v>4W</v>
      </c>
      <c r="I24" s="73">
        <f>COUNTIF($B$3:$B24,B24)</f>
        <v>1</v>
      </c>
      <c r="J24" t="s">
        <v>339</v>
      </c>
      <c r="K24">
        <f t="shared" si="4"/>
        <v>22</v>
      </c>
      <c r="L24" s="73" t="str">
        <f t="shared" si="3"/>
        <v>HM2</v>
      </c>
    </row>
    <row r="25" spans="2:12">
      <c r="B25" t="s">
        <v>318</v>
      </c>
      <c r="C25" t="s">
        <v>55</v>
      </c>
      <c r="D25" t="str">
        <f>CONCATENATE(B25,"@",COUNTIF($B$3:$B25,B25))</f>
        <v>4W@2</v>
      </c>
      <c r="E25" t="str">
        <f t="shared" si="0"/>
        <v>E AV</v>
      </c>
      <c r="F25" s="73" t="str">
        <f>IF(G25="","",SUM($G$3:$G25))</f>
        <v/>
      </c>
      <c r="G25" s="73" t="str">
        <f t="shared" si="1"/>
        <v/>
      </c>
      <c r="H25" s="73" t="str">
        <f t="shared" si="2"/>
        <v/>
      </c>
      <c r="I25" s="73">
        <f>COUNTIF($B$3:$B25,B25)</f>
        <v>2</v>
      </c>
      <c r="J25" t="s">
        <v>346</v>
      </c>
      <c r="K25">
        <f t="shared" si="4"/>
        <v>23</v>
      </c>
      <c r="L25" s="73" t="str">
        <f t="shared" si="3"/>
        <v>HM3</v>
      </c>
    </row>
    <row r="26" spans="2:12">
      <c r="B26" t="s">
        <v>318</v>
      </c>
      <c r="C26" t="s">
        <v>53</v>
      </c>
      <c r="D26" t="str">
        <f>CONCATENATE(B26,"@",COUNTIF($B$3:$B26,B26))</f>
        <v>4W@3</v>
      </c>
      <c r="E26" t="str">
        <f t="shared" si="0"/>
        <v>E DT</v>
      </c>
      <c r="F26" s="73" t="str">
        <f>IF(G26="","",SUM($G$3:$G26))</f>
        <v/>
      </c>
      <c r="G26" s="73" t="str">
        <f t="shared" si="1"/>
        <v/>
      </c>
      <c r="H26" s="73" t="str">
        <f t="shared" si="2"/>
        <v/>
      </c>
      <c r="I26" s="73">
        <f>COUNTIF($B$3:$B26,B26)</f>
        <v>3</v>
      </c>
      <c r="J26" t="s">
        <v>354</v>
      </c>
      <c r="K26">
        <f t="shared" si="4"/>
        <v>24</v>
      </c>
      <c r="L26" s="73" t="str">
        <f t="shared" si="3"/>
        <v>LF3</v>
      </c>
    </row>
    <row r="27" spans="2:12">
      <c r="B27" t="s">
        <v>325</v>
      </c>
      <c r="C27" t="s">
        <v>59</v>
      </c>
      <c r="D27" t="str">
        <f>CONCATENATE(B27,"@",COUNTIF($B$3:$B27,B27))</f>
        <v>5E@1</v>
      </c>
      <c r="E27" t="str">
        <f t="shared" si="0"/>
        <v>W DT</v>
      </c>
      <c r="F27" s="73">
        <f>IF(G27="","",SUM($G$3:$G27))</f>
        <v>9</v>
      </c>
      <c r="G27" s="73">
        <f t="shared" si="1"/>
        <v>1</v>
      </c>
      <c r="H27" s="73" t="str">
        <f t="shared" si="2"/>
        <v>5E</v>
      </c>
      <c r="I27" s="73">
        <f>COUNTIF($B$3:$B27,B27)</f>
        <v>1</v>
      </c>
      <c r="J27" t="s">
        <v>363</v>
      </c>
      <c r="K27">
        <f t="shared" si="4"/>
        <v>25</v>
      </c>
      <c r="L27" s="73" t="str">
        <f t="shared" si="3"/>
        <v>LF4</v>
      </c>
    </row>
    <row r="28" spans="2:12">
      <c r="B28" t="s">
        <v>325</v>
      </c>
      <c r="C28" t="s">
        <v>55</v>
      </c>
      <c r="D28" t="str">
        <f>CONCATENATE(B28,"@",COUNTIF($B$3:$B28,B28))</f>
        <v>5E@2</v>
      </c>
      <c r="E28" t="str">
        <f t="shared" si="0"/>
        <v>E AV</v>
      </c>
      <c r="F28" s="73" t="str">
        <f>IF(G28="","",SUM($G$3:$G28))</f>
        <v/>
      </c>
      <c r="G28" s="73" t="str">
        <f t="shared" si="1"/>
        <v/>
      </c>
      <c r="H28" s="73" t="str">
        <f t="shared" si="2"/>
        <v/>
      </c>
      <c r="I28" s="73">
        <f>COUNTIF($B$3:$B28,B28)</f>
        <v>2</v>
      </c>
      <c r="J28" t="s">
        <v>370</v>
      </c>
      <c r="K28">
        <f t="shared" si="4"/>
        <v>26</v>
      </c>
      <c r="L28" s="73" t="str">
        <f t="shared" si="3"/>
        <v>LS1</v>
      </c>
    </row>
    <row r="29" spans="2:12">
      <c r="B29" t="s">
        <v>325</v>
      </c>
      <c r="C29" t="s">
        <v>53</v>
      </c>
      <c r="D29" t="str">
        <f>CONCATENATE(B29,"@",COUNTIF($B$3:$B29,B29))</f>
        <v>5E@3</v>
      </c>
      <c r="E29" t="str">
        <f t="shared" si="0"/>
        <v>E DT</v>
      </c>
      <c r="F29" s="73" t="str">
        <f>IF(G29="","",SUM($G$3:$G29))</f>
        <v/>
      </c>
      <c r="G29" s="73" t="str">
        <f t="shared" si="1"/>
        <v/>
      </c>
      <c r="H29" s="73" t="str">
        <f t="shared" si="2"/>
        <v/>
      </c>
      <c r="I29" s="73">
        <f>COUNTIF($B$3:$B29,B29)</f>
        <v>3</v>
      </c>
      <c r="J29" t="s">
        <v>377</v>
      </c>
      <c r="K29">
        <f t="shared" si="4"/>
        <v>27</v>
      </c>
      <c r="L29" s="73" t="str">
        <f t="shared" si="3"/>
        <v>LS2</v>
      </c>
    </row>
    <row r="30" spans="2:12">
      <c r="B30" t="s">
        <v>333</v>
      </c>
      <c r="C30" t="s">
        <v>59</v>
      </c>
      <c r="D30" t="str">
        <f>CONCATENATE(B30,"@",COUNTIF($B$3:$B30,B30))</f>
        <v>5W@1</v>
      </c>
      <c r="E30" t="str">
        <f t="shared" si="0"/>
        <v>W DT</v>
      </c>
      <c r="F30" s="73">
        <f>IF(G30="","",SUM($G$3:$G30))</f>
        <v>10</v>
      </c>
      <c r="G30" s="73">
        <f t="shared" si="1"/>
        <v>1</v>
      </c>
      <c r="H30" s="73" t="str">
        <f t="shared" si="2"/>
        <v>5W</v>
      </c>
      <c r="I30" s="73">
        <f>COUNTIF($B$3:$B30,B30)</f>
        <v>1</v>
      </c>
      <c r="J30" t="s">
        <v>82</v>
      </c>
      <c r="K30">
        <f t="shared" si="4"/>
        <v>28</v>
      </c>
      <c r="L30" s="73" t="str">
        <f t="shared" si="3"/>
        <v>LS3</v>
      </c>
    </row>
    <row r="31" spans="2:12">
      <c r="B31" t="s">
        <v>333</v>
      </c>
      <c r="C31" t="s">
        <v>55</v>
      </c>
      <c r="D31" t="str">
        <f>CONCATENATE(B31,"@",COUNTIF($B$3:$B31,B31))</f>
        <v>5W@2</v>
      </c>
      <c r="E31" t="str">
        <f t="shared" si="0"/>
        <v>E AV</v>
      </c>
      <c r="F31" s="73" t="str">
        <f>IF(G31="","",SUM($G$3:$G31))</f>
        <v/>
      </c>
      <c r="G31" s="73" t="str">
        <f t="shared" si="1"/>
        <v/>
      </c>
      <c r="H31" s="73" t="str">
        <f t="shared" si="2"/>
        <v/>
      </c>
      <c r="I31" s="73">
        <f>COUNTIF($B$3:$B31,B31)</f>
        <v>2</v>
      </c>
      <c r="J31" t="s">
        <v>83</v>
      </c>
      <c r="K31">
        <f t="shared" si="4"/>
        <v>29</v>
      </c>
      <c r="L31" s="73" t="str">
        <f t="shared" si="3"/>
        <v>M1</v>
      </c>
    </row>
    <row r="32" spans="2:12">
      <c r="B32" t="s">
        <v>333</v>
      </c>
      <c r="C32" t="s">
        <v>53</v>
      </c>
      <c r="D32" t="str">
        <f>CONCATENATE(B32,"@",COUNTIF($B$3:$B32,B32))</f>
        <v>5W@3</v>
      </c>
      <c r="E32" t="str">
        <f t="shared" si="0"/>
        <v>E DT</v>
      </c>
      <c r="F32" s="73" t="str">
        <f>IF(G32="","",SUM($G$3:$G32))</f>
        <v/>
      </c>
      <c r="G32" s="73" t="str">
        <f t="shared" si="1"/>
        <v/>
      </c>
      <c r="H32" s="73" t="str">
        <f t="shared" si="2"/>
        <v/>
      </c>
      <c r="I32" s="73">
        <f>COUNTIF($B$3:$B32,B32)</f>
        <v>3</v>
      </c>
      <c r="J32" t="s">
        <v>171</v>
      </c>
      <c r="K32">
        <f t="shared" si="4"/>
        <v>30</v>
      </c>
      <c r="L32" s="73" t="str">
        <f t="shared" si="3"/>
        <v>M2</v>
      </c>
    </row>
    <row r="33" spans="2:12">
      <c r="B33" t="s">
        <v>339</v>
      </c>
      <c r="C33" t="s">
        <v>59</v>
      </c>
      <c r="D33" t="str">
        <f>CONCATENATE(B33,"@",COUNTIF($B$3:$B33,B33))</f>
        <v>6E@1</v>
      </c>
      <c r="E33" t="str">
        <f t="shared" si="0"/>
        <v>W DT</v>
      </c>
      <c r="F33" s="73">
        <f>IF(G33="","",SUM($G$3:$G33))</f>
        <v>11</v>
      </c>
      <c r="G33" s="73">
        <f t="shared" si="1"/>
        <v>1</v>
      </c>
      <c r="H33" s="73" t="str">
        <f t="shared" si="2"/>
        <v>6E</v>
      </c>
      <c r="I33" s="73">
        <f>COUNTIF($B$3:$B33,B33)</f>
        <v>1</v>
      </c>
      <c r="J33" t="s">
        <v>182</v>
      </c>
      <c r="K33">
        <f t="shared" si="4"/>
        <v>31</v>
      </c>
      <c r="L33" s="73" t="str">
        <f t="shared" si="3"/>
        <v>M3</v>
      </c>
    </row>
    <row r="34" spans="2:12">
      <c r="B34" t="s">
        <v>339</v>
      </c>
      <c r="C34" t="s">
        <v>55</v>
      </c>
      <c r="D34" t="str">
        <f>CONCATENATE(B34,"@",COUNTIF($B$3:$B34,B34))</f>
        <v>6E@2</v>
      </c>
      <c r="E34" t="str">
        <f t="shared" si="0"/>
        <v>E AV</v>
      </c>
      <c r="F34" s="73" t="str">
        <f>IF(G34="","",SUM($G$3:$G34))</f>
        <v/>
      </c>
      <c r="G34" s="73" t="str">
        <f t="shared" si="1"/>
        <v/>
      </c>
      <c r="H34" s="73" t="str">
        <f t="shared" si="2"/>
        <v/>
      </c>
      <c r="I34" s="73">
        <f>COUNTIF($B$3:$B34,B34)</f>
        <v>2</v>
      </c>
      <c r="J34" t="s">
        <v>191</v>
      </c>
      <c r="K34">
        <f t="shared" si="4"/>
        <v>32</v>
      </c>
      <c r="L34" s="73" t="str">
        <f t="shared" si="3"/>
        <v>RM1E</v>
      </c>
    </row>
    <row r="35" spans="2:12">
      <c r="B35" t="s">
        <v>339</v>
      </c>
      <c r="C35" t="s">
        <v>53</v>
      </c>
      <c r="D35" t="str">
        <f>CONCATENATE(B35,"@",COUNTIF($B$3:$B35,B35))</f>
        <v>6E@3</v>
      </c>
      <c r="E35" t="str">
        <f t="shared" si="0"/>
        <v>E DT</v>
      </c>
      <c r="F35" s="73" t="str">
        <f>IF(G35="","",SUM($G$3:$G35))</f>
        <v/>
      </c>
      <c r="G35" s="73" t="str">
        <f t="shared" si="1"/>
        <v/>
      </c>
      <c r="H35" s="73" t="str">
        <f t="shared" si="2"/>
        <v/>
      </c>
      <c r="I35" s="73">
        <f>COUNTIF($B$3:$B35,B35)</f>
        <v>3</v>
      </c>
      <c r="J35" t="s">
        <v>149</v>
      </c>
      <c r="K35">
        <f t="shared" si="4"/>
        <v>33</v>
      </c>
      <c r="L35" s="73" t="str">
        <f t="shared" si="3"/>
        <v>RM1W</v>
      </c>
    </row>
    <row r="36" spans="2:12">
      <c r="B36" t="s">
        <v>346</v>
      </c>
      <c r="C36" t="s">
        <v>59</v>
      </c>
      <c r="D36" t="str">
        <f>CONCATENATE(B36,"@",COUNTIF($B$3:$B36,B36))</f>
        <v>6W@1</v>
      </c>
      <c r="E36" t="str">
        <f t="shared" si="0"/>
        <v>W DT</v>
      </c>
      <c r="F36" s="73">
        <f>IF(G36="","",SUM($G$3:$G36))</f>
        <v>12</v>
      </c>
      <c r="G36" s="73">
        <f t="shared" si="1"/>
        <v>1</v>
      </c>
      <c r="H36" s="73" t="str">
        <f t="shared" si="2"/>
        <v>6W</v>
      </c>
      <c r="I36" s="73">
        <f>COUNTIF($B$3:$B36,B36)</f>
        <v>1</v>
      </c>
      <c r="J36" t="s">
        <v>383</v>
      </c>
      <c r="K36">
        <f t="shared" si="4"/>
        <v>34</v>
      </c>
      <c r="L36" s="73" t="str">
        <f t="shared" si="3"/>
        <v>RM2E</v>
      </c>
    </row>
    <row r="37" spans="2:12">
      <c r="B37" t="s">
        <v>346</v>
      </c>
      <c r="C37" t="s">
        <v>55</v>
      </c>
      <c r="D37" t="str">
        <f>CONCATENATE(B37,"@",COUNTIF($B$3:$B37,B37))</f>
        <v>6W@2</v>
      </c>
      <c r="E37" t="str">
        <f t="shared" si="0"/>
        <v>E AV</v>
      </c>
      <c r="F37" s="73" t="str">
        <f>IF(G37="","",SUM($G$3:$G37))</f>
        <v/>
      </c>
      <c r="G37" s="73" t="str">
        <f t="shared" si="1"/>
        <v/>
      </c>
      <c r="H37" s="73" t="str">
        <f t="shared" si="2"/>
        <v/>
      </c>
      <c r="I37" s="73">
        <f>COUNTIF($B$3:$B37,B37)</f>
        <v>2</v>
      </c>
      <c r="J37" t="s">
        <v>531</v>
      </c>
      <c r="K37">
        <f t="shared" si="4"/>
        <v>35</v>
      </c>
      <c r="L37" s="73" t="str">
        <f t="shared" si="3"/>
        <v>RM2W</v>
      </c>
    </row>
    <row r="38" spans="2:12">
      <c r="B38" t="s">
        <v>346</v>
      </c>
      <c r="C38" t="s">
        <v>53</v>
      </c>
      <c r="D38" t="str">
        <f>CONCATENATE(B38,"@",COUNTIF($B$3:$B38,B38))</f>
        <v>6W@3</v>
      </c>
      <c r="E38" t="str">
        <f t="shared" si="0"/>
        <v>E DT</v>
      </c>
      <c r="F38" s="73" t="str">
        <f>IF(G38="","",SUM($G$3:$G38))</f>
        <v/>
      </c>
      <c r="G38" s="73" t="str">
        <f t="shared" si="1"/>
        <v/>
      </c>
      <c r="H38" s="73" t="str">
        <f t="shared" si="2"/>
        <v/>
      </c>
      <c r="I38" s="73">
        <f>COUNTIF($B$3:$B38,B38)</f>
        <v>3</v>
      </c>
      <c r="J38" t="s">
        <v>672</v>
      </c>
      <c r="K38">
        <f t="shared" si="4"/>
        <v>36</v>
      </c>
      <c r="L38" s="73" t="str">
        <f t="shared" si="3"/>
        <v>RM3E</v>
      </c>
    </row>
    <row r="39" spans="2:12">
      <c r="B39" t="s">
        <v>354</v>
      </c>
      <c r="C39" t="s">
        <v>59</v>
      </c>
      <c r="D39" t="str">
        <f>CONCATENATE(B39,"@",COUNTIF($B$3:$B39,B39))</f>
        <v>7E@1</v>
      </c>
      <c r="E39" t="str">
        <f t="shared" si="0"/>
        <v>W DT</v>
      </c>
      <c r="F39" s="73">
        <f>IF(G39="","",SUM($G$3:$G39))</f>
        <v>13</v>
      </c>
      <c r="G39" s="73">
        <f t="shared" si="1"/>
        <v>1</v>
      </c>
      <c r="H39" s="73" t="str">
        <f t="shared" si="2"/>
        <v>7E</v>
      </c>
      <c r="I39" s="73">
        <f>COUNTIF($B$3:$B39,B39)</f>
        <v>1</v>
      </c>
      <c r="J39" t="s">
        <v>863</v>
      </c>
      <c r="K39">
        <f t="shared" si="4"/>
        <v>37</v>
      </c>
      <c r="L39" s="73" t="str">
        <f t="shared" si="3"/>
        <v>RM3W</v>
      </c>
    </row>
    <row r="40" spans="2:12">
      <c r="B40" t="s">
        <v>354</v>
      </c>
      <c r="C40" t="s">
        <v>55</v>
      </c>
      <c r="D40" t="str">
        <f>CONCATENATE(B40,"@",COUNTIF($B$3:$B40,B40))</f>
        <v>7E@2</v>
      </c>
      <c r="E40" t="str">
        <f t="shared" si="0"/>
        <v>E AV</v>
      </c>
      <c r="F40" s="73" t="str">
        <f>IF(G40="","",SUM($G$3:$G40))</f>
        <v/>
      </c>
      <c r="G40" s="73" t="str">
        <f t="shared" si="1"/>
        <v/>
      </c>
      <c r="H40" s="73" t="str">
        <f t="shared" si="2"/>
        <v/>
      </c>
      <c r="I40" s="73">
        <f>COUNTIF($B$3:$B40,B40)</f>
        <v>2</v>
      </c>
      <c r="J40" t="s">
        <v>994</v>
      </c>
      <c r="K40">
        <f t="shared" si="4"/>
        <v>38</v>
      </c>
      <c r="L40" s="73" t="str">
        <f t="shared" si="3"/>
        <v>TEST</v>
      </c>
    </row>
    <row r="41" spans="2:12">
      <c r="B41" t="s">
        <v>354</v>
      </c>
      <c r="C41" t="s">
        <v>53</v>
      </c>
      <c r="D41" t="str">
        <f>CONCATENATE(B41,"@",COUNTIF($B$3:$B41,B41))</f>
        <v>7E@3</v>
      </c>
      <c r="E41" t="str">
        <f t="shared" si="0"/>
        <v>E DT</v>
      </c>
      <c r="F41" s="73" t="str">
        <f>IF(G41="","",SUM($G$3:$G41))</f>
        <v/>
      </c>
      <c r="G41" s="73" t="str">
        <f t="shared" si="1"/>
        <v/>
      </c>
      <c r="H41" s="73" t="str">
        <f t="shared" si="2"/>
        <v/>
      </c>
      <c r="I41" s="73">
        <f>COUNTIF($B$3:$B41,B41)</f>
        <v>3</v>
      </c>
      <c r="J41" t="s">
        <v>1142</v>
      </c>
      <c r="K41">
        <f t="shared" si="4"/>
        <v>39</v>
      </c>
      <c r="L41" s="73" t="str">
        <f t="shared" si="3"/>
        <v>W DT</v>
      </c>
    </row>
    <row r="42" spans="2:12">
      <c r="B42" t="s">
        <v>363</v>
      </c>
      <c r="C42" t="s">
        <v>59</v>
      </c>
      <c r="D42" t="str">
        <f>CONCATENATE(B42,"@",COUNTIF($B$3:$B42,B42))</f>
        <v>7W@1</v>
      </c>
      <c r="E42" t="str">
        <f t="shared" si="0"/>
        <v>W DT</v>
      </c>
      <c r="F42" s="73">
        <f>IF(G42="","",SUM($G$3:$G42))</f>
        <v>14</v>
      </c>
      <c r="G42" s="73">
        <f t="shared" si="1"/>
        <v>1</v>
      </c>
      <c r="H42" s="73" t="str">
        <f t="shared" si="2"/>
        <v>7W</v>
      </c>
      <c r="I42" s="73">
        <f>COUNTIF($B$3:$B42,B42)</f>
        <v>1</v>
      </c>
      <c r="J42" t="s">
        <v>331</v>
      </c>
      <c r="K42">
        <f t="shared" si="4"/>
        <v>40</v>
      </c>
      <c r="L42" s="73" t="str">
        <f t="shared" si="3"/>
        <v>M5</v>
      </c>
    </row>
    <row r="43" spans="2:12">
      <c r="B43" t="s">
        <v>363</v>
      </c>
      <c r="C43" t="s">
        <v>55</v>
      </c>
      <c r="D43" t="str">
        <f>CONCATENATE(B43,"@",COUNTIF($B$3:$B43,B43))</f>
        <v>7W@2</v>
      </c>
      <c r="E43" t="str">
        <f t="shared" si="0"/>
        <v>E AV</v>
      </c>
      <c r="F43" s="73" t="str">
        <f>IF(G43="","",SUM($G$3:$G43))</f>
        <v/>
      </c>
      <c r="G43" s="73" t="str">
        <f t="shared" si="1"/>
        <v/>
      </c>
      <c r="H43" s="73" t="str">
        <f t="shared" si="2"/>
        <v/>
      </c>
      <c r="I43" s="73">
        <f>COUNTIF($B$3:$B43,B43)</f>
        <v>2</v>
      </c>
      <c r="J43" t="s">
        <v>1381</v>
      </c>
      <c r="K43">
        <f t="shared" si="4"/>
        <v>41</v>
      </c>
      <c r="L43" s="73" t="str">
        <f t="shared" si="3"/>
        <v>M4</v>
      </c>
    </row>
    <row r="44" spans="2:12">
      <c r="B44" t="s">
        <v>363</v>
      </c>
      <c r="C44" t="s">
        <v>53</v>
      </c>
      <c r="D44" t="str">
        <f>CONCATENATE(B44,"@",COUNTIF($B$3:$B44,B44))</f>
        <v>7W@3</v>
      </c>
      <c r="E44" t="str">
        <f t="shared" si="0"/>
        <v>E DT</v>
      </c>
      <c r="F44" s="73" t="str">
        <f>IF(G44="","",SUM($G$3:$G44))</f>
        <v/>
      </c>
      <c r="G44" s="73" t="str">
        <f t="shared" si="1"/>
        <v/>
      </c>
      <c r="H44" s="73" t="str">
        <f t="shared" si="2"/>
        <v/>
      </c>
      <c r="I44" s="73">
        <f>COUNTIF($B$3:$B44,B44)</f>
        <v>3</v>
      </c>
      <c r="K44">
        <f t="shared" si="4"/>
        <v>42</v>
      </c>
      <c r="L44" s="73" t="str">
        <f t="shared" si="3"/>
        <v>LB</v>
      </c>
    </row>
    <row r="45" spans="2:12">
      <c r="B45" t="s">
        <v>370</v>
      </c>
      <c r="C45" t="s">
        <v>59</v>
      </c>
      <c r="D45" t="str">
        <f>CONCATENATE(B45,"@",COUNTIF($B$3:$B45,B45))</f>
        <v>8E@1</v>
      </c>
      <c r="E45" t="str">
        <f t="shared" si="0"/>
        <v>W DT</v>
      </c>
      <c r="F45" s="73">
        <f>IF(G45="","",SUM($G$3:$G45))</f>
        <v>15</v>
      </c>
      <c r="G45" s="73">
        <f t="shared" si="1"/>
        <v>1</v>
      </c>
      <c r="H45" s="73" t="str">
        <f t="shared" si="2"/>
        <v>8E</v>
      </c>
      <c r="I45" s="73">
        <f>COUNTIF($B$3:$B45,B45)</f>
        <v>1</v>
      </c>
      <c r="K45">
        <f t="shared" si="4"/>
        <v>43</v>
      </c>
      <c r="L45" s="73" t="str">
        <f t="shared" si="3"/>
        <v>SHD16</v>
      </c>
    </row>
    <row r="46" spans="2:12">
      <c r="B46" t="s">
        <v>370</v>
      </c>
      <c r="C46" t="s">
        <v>55</v>
      </c>
      <c r="D46" t="str">
        <f>CONCATENATE(B46,"@",COUNTIF($B$3:$B46,B46))</f>
        <v>8E@2</v>
      </c>
      <c r="E46" t="str">
        <f t="shared" si="0"/>
        <v>E AV</v>
      </c>
      <c r="F46" s="73" t="str">
        <f>IF(G46="","",SUM($G$3:$G46))</f>
        <v/>
      </c>
      <c r="G46" s="73" t="str">
        <f t="shared" si="1"/>
        <v/>
      </c>
      <c r="H46" s="73" t="str">
        <f t="shared" si="2"/>
        <v/>
      </c>
      <c r="I46" s="73">
        <f>COUNTIF($B$3:$B46,B46)</f>
        <v>2</v>
      </c>
      <c r="K46">
        <f t="shared" si="4"/>
        <v>44</v>
      </c>
      <c r="L46" s="73" t="str">
        <f t="shared" si="3"/>
        <v>WL</v>
      </c>
    </row>
    <row r="47" spans="2:12">
      <c r="B47" t="s">
        <v>370</v>
      </c>
      <c r="C47" t="s">
        <v>53</v>
      </c>
      <c r="D47" t="str">
        <f>CONCATENATE(B47,"@",COUNTIF($B$3:$B47,B47))</f>
        <v>8E@3</v>
      </c>
      <c r="E47" t="str">
        <f t="shared" si="0"/>
        <v>E DT</v>
      </c>
      <c r="F47" s="73" t="str">
        <f>IF(G47="","",SUM($G$3:$G47))</f>
        <v/>
      </c>
      <c r="G47" s="73" t="str">
        <f t="shared" si="1"/>
        <v/>
      </c>
      <c r="H47" s="73" t="str">
        <f t="shared" si="2"/>
        <v/>
      </c>
      <c r="I47" s="73">
        <f>COUNTIF($B$3:$B47,B47)</f>
        <v>3</v>
      </c>
      <c r="K47">
        <f t="shared" si="4"/>
        <v>45</v>
      </c>
      <c r="L47" s="73" t="str">
        <f t="shared" si="3"/>
        <v>SHD10</v>
      </c>
    </row>
    <row r="48" spans="2:12">
      <c r="B48" t="s">
        <v>377</v>
      </c>
      <c r="C48" t="s">
        <v>59</v>
      </c>
      <c r="D48" t="str">
        <f>CONCATENATE(B48,"@",COUNTIF($B$3:$B48,B48))</f>
        <v>8W@1</v>
      </c>
      <c r="E48" t="str">
        <f t="shared" si="0"/>
        <v>W DT</v>
      </c>
      <c r="F48" s="73">
        <f>IF(G48="","",SUM($G$3:$G48))</f>
        <v>16</v>
      </c>
      <c r="G48" s="73">
        <f t="shared" si="1"/>
        <v>1</v>
      </c>
      <c r="H48" s="73" t="str">
        <f t="shared" si="2"/>
        <v>8W</v>
      </c>
      <c r="I48" s="73">
        <f>COUNTIF($B$3:$B48,B48)</f>
        <v>1</v>
      </c>
      <c r="K48">
        <f t="shared" si="4"/>
        <v>46</v>
      </c>
      <c r="L48" s="73" t="str">
        <f t="shared" si="3"/>
        <v>AB9</v>
      </c>
    </row>
    <row r="49" spans="2:12">
      <c r="B49" t="s">
        <v>377</v>
      </c>
      <c r="C49" t="s">
        <v>55</v>
      </c>
      <c r="D49" t="str">
        <f>CONCATENATE(B49,"@",COUNTIF($B$3:$B49,B49))</f>
        <v>8W@2</v>
      </c>
      <c r="E49" t="str">
        <f t="shared" si="0"/>
        <v>E AV</v>
      </c>
      <c r="F49" s="73" t="str">
        <f>IF(G49="","",SUM($G$3:$G49))</f>
        <v/>
      </c>
      <c r="G49" s="73" t="str">
        <f t="shared" si="1"/>
        <v/>
      </c>
      <c r="H49" s="73" t="str">
        <f t="shared" si="2"/>
        <v/>
      </c>
      <c r="I49" s="73">
        <f>COUNTIF($B$3:$B49,B49)</f>
        <v>2</v>
      </c>
      <c r="K49">
        <f t="shared" si="4"/>
        <v>47</v>
      </c>
      <c r="L49" s="73" t="str">
        <f t="shared" si="3"/>
        <v>EM1</v>
      </c>
    </row>
    <row r="50" spans="2:12">
      <c r="B50" t="s">
        <v>377</v>
      </c>
      <c r="C50" t="s">
        <v>53</v>
      </c>
      <c r="D50" t="str">
        <f>CONCATENATE(B50,"@",COUNTIF($B$3:$B50,B50))</f>
        <v>8W@3</v>
      </c>
      <c r="E50" t="str">
        <f t="shared" si="0"/>
        <v>E DT</v>
      </c>
      <c r="F50" s="73" t="str">
        <f>IF(G50="","",SUM($G$3:$G50))</f>
        <v/>
      </c>
      <c r="G50" s="73" t="str">
        <f t="shared" si="1"/>
        <v/>
      </c>
      <c r="H50" s="73" t="str">
        <f t="shared" si="2"/>
        <v/>
      </c>
      <c r="I50" s="73">
        <f>COUNTIF($B$3:$B50,B50)</f>
        <v>3</v>
      </c>
      <c r="K50">
        <f t="shared" si="4"/>
        <v>48</v>
      </c>
      <c r="L50" s="73" t="str">
        <f t="shared" si="3"/>
        <v>PS1</v>
      </c>
    </row>
    <row r="51" spans="2:12">
      <c r="B51" t="s">
        <v>55</v>
      </c>
      <c r="C51" t="s">
        <v>57</v>
      </c>
      <c r="D51" t="str">
        <f>CONCATENATE(B51,"@",COUNTIF($B$3:$B51,B51))</f>
        <v>E AV@1</v>
      </c>
      <c r="E51" t="str">
        <f t="shared" si="0"/>
        <v>TEST</v>
      </c>
      <c r="F51" s="73">
        <f>IF(G51="","",SUM($G$3:$G51))</f>
        <v>17</v>
      </c>
      <c r="G51" s="73">
        <f t="shared" si="1"/>
        <v>1</v>
      </c>
      <c r="H51" s="73" t="str">
        <f t="shared" si="2"/>
        <v>E AV</v>
      </c>
      <c r="I51" s="73">
        <f>COUNTIF($B$3:$B51,B51)</f>
        <v>1</v>
      </c>
      <c r="K51">
        <f t="shared" si="4"/>
        <v>49</v>
      </c>
      <c r="L51" s="73" t="str">
        <f t="shared" si="3"/>
        <v>PS2</v>
      </c>
    </row>
    <row r="52" spans="2:12">
      <c r="B52" t="s">
        <v>55</v>
      </c>
      <c r="C52" t="s">
        <v>200</v>
      </c>
      <c r="D52" t="str">
        <f>CONCATENATE(B52,"@",COUNTIF($B$3:$B52,B52))</f>
        <v>E AV@2</v>
      </c>
      <c r="E52" t="str">
        <f t="shared" si="0"/>
        <v>RM1E</v>
      </c>
      <c r="F52" s="73" t="str">
        <f>IF(G52="","",SUM($G$3:$G52))</f>
        <v/>
      </c>
      <c r="G52" s="73" t="str">
        <f t="shared" si="1"/>
        <v/>
      </c>
      <c r="H52" s="73" t="str">
        <f t="shared" si="2"/>
        <v/>
      </c>
      <c r="I52" s="73">
        <f>COUNTIF($B$3:$B52,B52)</f>
        <v>2</v>
      </c>
      <c r="K52">
        <f t="shared" si="4"/>
        <v>50</v>
      </c>
      <c r="L52" s="73" t="str">
        <f t="shared" si="3"/>
        <v/>
      </c>
    </row>
    <row r="53" spans="2:12">
      <c r="B53" t="s">
        <v>55</v>
      </c>
      <c r="C53" t="s">
        <v>208</v>
      </c>
      <c r="D53" t="str">
        <f>CONCATENATE(B53,"@",COUNTIF($B$3:$B53,B53))</f>
        <v>E AV@3</v>
      </c>
      <c r="E53" t="str">
        <f t="shared" si="0"/>
        <v>RM1W</v>
      </c>
      <c r="F53" s="73" t="str">
        <f>IF(G53="","",SUM($G$3:$G53))</f>
        <v/>
      </c>
      <c r="G53" s="73" t="str">
        <f t="shared" si="1"/>
        <v/>
      </c>
      <c r="H53" s="73" t="str">
        <f t="shared" si="2"/>
        <v/>
      </c>
      <c r="I53" s="73">
        <f>COUNTIF($B$3:$B53,B53)</f>
        <v>3</v>
      </c>
      <c r="K53">
        <f t="shared" si="4"/>
        <v>51</v>
      </c>
      <c r="L53" s="73" t="str">
        <f t="shared" si="3"/>
        <v/>
      </c>
    </row>
    <row r="54" spans="2:12">
      <c r="B54" t="s">
        <v>55</v>
      </c>
      <c r="C54" t="s">
        <v>216</v>
      </c>
      <c r="D54" t="str">
        <f>CONCATENATE(B54,"@",COUNTIF($B$3:$B54,B54))</f>
        <v>E AV@4</v>
      </c>
      <c r="E54" t="str">
        <f t="shared" si="0"/>
        <v>RM2E</v>
      </c>
      <c r="F54" s="73" t="str">
        <f>IF(G54="","",SUM($G$3:$G54))</f>
        <v/>
      </c>
      <c r="G54" s="73" t="str">
        <f t="shared" si="1"/>
        <v/>
      </c>
      <c r="H54" s="73" t="str">
        <f t="shared" si="2"/>
        <v/>
      </c>
      <c r="I54" s="73">
        <f>COUNTIF($B$3:$B54,B54)</f>
        <v>4</v>
      </c>
      <c r="K54">
        <f t="shared" si="4"/>
        <v>52</v>
      </c>
      <c r="L54" s="73" t="str">
        <f t="shared" si="3"/>
        <v/>
      </c>
    </row>
    <row r="55" spans="2:12">
      <c r="B55" t="s">
        <v>55</v>
      </c>
      <c r="C55" t="s">
        <v>224</v>
      </c>
      <c r="D55" t="str">
        <f>CONCATENATE(B55,"@",COUNTIF($B$3:$B55,B55))</f>
        <v>E AV@5</v>
      </c>
      <c r="E55" t="str">
        <f t="shared" si="0"/>
        <v>RM2W</v>
      </c>
      <c r="F55" s="73" t="str">
        <f>IF(G55="","",SUM($G$3:$G55))</f>
        <v/>
      </c>
      <c r="G55" s="73" t="str">
        <f t="shared" si="1"/>
        <v/>
      </c>
      <c r="H55" s="73" t="str">
        <f t="shared" si="2"/>
        <v/>
      </c>
      <c r="I55" s="73">
        <f>COUNTIF($B$3:$B55,B55)</f>
        <v>5</v>
      </c>
      <c r="K55">
        <f t="shared" si="4"/>
        <v>53</v>
      </c>
      <c r="L55" s="73" t="str">
        <f t="shared" si="3"/>
        <v/>
      </c>
    </row>
    <row r="56" spans="2:12">
      <c r="B56" t="s">
        <v>55</v>
      </c>
      <c r="C56" t="s">
        <v>231</v>
      </c>
      <c r="D56" t="str">
        <f>CONCATENATE(B56,"@",COUNTIF($B$3:$B56,B56))</f>
        <v>E AV@6</v>
      </c>
      <c r="E56" t="str">
        <f t="shared" si="0"/>
        <v>RM3E</v>
      </c>
      <c r="F56" s="73" t="str">
        <f>IF(G56="","",SUM($G$3:$G56))</f>
        <v/>
      </c>
      <c r="G56" s="73" t="str">
        <f t="shared" si="1"/>
        <v/>
      </c>
      <c r="H56" s="73" t="str">
        <f t="shared" si="2"/>
        <v/>
      </c>
      <c r="I56" s="73">
        <f>COUNTIF($B$3:$B56,B56)</f>
        <v>6</v>
      </c>
      <c r="K56">
        <f t="shared" si="4"/>
        <v>54</v>
      </c>
      <c r="L56" s="73" t="str">
        <f t="shared" si="3"/>
        <v/>
      </c>
    </row>
    <row r="57" spans="2:12">
      <c r="B57" t="s">
        <v>55</v>
      </c>
      <c r="C57" t="s">
        <v>238</v>
      </c>
      <c r="D57" t="str">
        <f>CONCATENATE(B57,"@",COUNTIF($B$3:$B57,B57))</f>
        <v>E AV@7</v>
      </c>
      <c r="E57" t="str">
        <f t="shared" si="0"/>
        <v>RM3W</v>
      </c>
      <c r="F57" s="73" t="str">
        <f>IF(G57="","",SUM($G$3:$G57))</f>
        <v/>
      </c>
      <c r="G57" s="73" t="str">
        <f t="shared" si="1"/>
        <v/>
      </c>
      <c r="H57" s="73" t="str">
        <f t="shared" si="2"/>
        <v/>
      </c>
      <c r="I57" s="73">
        <f>COUNTIF($B$3:$B57,B57)</f>
        <v>7</v>
      </c>
      <c r="K57">
        <f t="shared" si="4"/>
        <v>55</v>
      </c>
      <c r="L57" s="73" t="str">
        <f t="shared" si="3"/>
        <v/>
      </c>
    </row>
    <row r="58" spans="2:12">
      <c r="B58" t="s">
        <v>55</v>
      </c>
      <c r="C58" t="s">
        <v>246</v>
      </c>
      <c r="D58" t="str">
        <f>CONCATENATE(B58,"@",COUNTIF($B$3:$B58,B58))</f>
        <v>E AV@8</v>
      </c>
      <c r="E58" t="str">
        <f t="shared" si="0"/>
        <v>HCTE</v>
      </c>
      <c r="F58" s="73" t="str">
        <f>IF(G58="","",SUM($G$3:$G58))</f>
        <v/>
      </c>
      <c r="G58" s="73" t="str">
        <f t="shared" si="1"/>
        <v/>
      </c>
      <c r="H58" s="73" t="str">
        <f t="shared" si="2"/>
        <v/>
      </c>
      <c r="I58" s="73">
        <f>COUNTIF($B$3:$B58,B58)</f>
        <v>8</v>
      </c>
      <c r="K58">
        <f t="shared" si="4"/>
        <v>56</v>
      </c>
      <c r="L58" s="73" t="str">
        <f t="shared" si="3"/>
        <v/>
      </c>
    </row>
    <row r="59" spans="2:12">
      <c r="B59" t="s">
        <v>55</v>
      </c>
      <c r="C59" t="s">
        <v>254</v>
      </c>
      <c r="D59" t="str">
        <f>CONCATENATE(B59,"@",COUNTIF($B$3:$B59,B59))</f>
        <v>E AV@9</v>
      </c>
      <c r="E59" t="str">
        <f t="shared" si="0"/>
        <v>HCTW</v>
      </c>
      <c r="F59" s="73" t="str">
        <f>IF(G59="","",SUM($G$3:$G59))</f>
        <v/>
      </c>
      <c r="G59" s="73" t="str">
        <f t="shared" si="1"/>
        <v/>
      </c>
      <c r="H59" s="73" t="str">
        <f t="shared" si="2"/>
        <v/>
      </c>
      <c r="I59" s="73">
        <f>COUNTIF($B$3:$B59,B59)</f>
        <v>9</v>
      </c>
      <c r="K59">
        <f t="shared" si="4"/>
        <v>57</v>
      </c>
      <c r="L59" s="73" t="str">
        <f t="shared" si="3"/>
        <v/>
      </c>
    </row>
    <row r="60" spans="2:12">
      <c r="B60" t="s">
        <v>55</v>
      </c>
      <c r="C60" t="s">
        <v>261</v>
      </c>
      <c r="D60" t="str">
        <f>CONCATENATE(B60,"@",COUNTIF($B$3:$B60,B60))</f>
        <v>E AV@10</v>
      </c>
      <c r="E60" t="str">
        <f t="shared" si="0"/>
        <v>1E</v>
      </c>
      <c r="F60" s="73" t="str">
        <f>IF(G60="","",SUM($G$3:$G60))</f>
        <v/>
      </c>
      <c r="G60" s="73" t="str">
        <f t="shared" si="1"/>
        <v/>
      </c>
      <c r="H60" s="73" t="str">
        <f t="shared" si="2"/>
        <v/>
      </c>
      <c r="I60" s="73">
        <f>COUNTIF($B$3:$B60,B60)</f>
        <v>10</v>
      </c>
      <c r="K60">
        <f t="shared" si="4"/>
        <v>58</v>
      </c>
      <c r="L60" s="73" t="str">
        <f t="shared" si="3"/>
        <v/>
      </c>
    </row>
    <row r="61" spans="2:12">
      <c r="B61" t="s">
        <v>55</v>
      </c>
      <c r="C61" t="s">
        <v>269</v>
      </c>
      <c r="D61" t="str">
        <f>CONCATENATE(B61,"@",COUNTIF($B$3:$B61,B61))</f>
        <v>E AV@11</v>
      </c>
      <c r="E61" t="str">
        <f t="shared" si="0"/>
        <v>1W</v>
      </c>
      <c r="F61" s="73" t="str">
        <f>IF(G61="","",SUM($G$3:$G61))</f>
        <v/>
      </c>
      <c r="G61" s="73" t="str">
        <f t="shared" si="1"/>
        <v/>
      </c>
      <c r="H61" s="73" t="str">
        <f t="shared" si="2"/>
        <v/>
      </c>
      <c r="I61" s="73">
        <f>COUNTIF($B$3:$B61,B61)</f>
        <v>11</v>
      </c>
      <c r="K61">
        <f t="shared" si="4"/>
        <v>59</v>
      </c>
      <c r="L61" s="73" t="str">
        <f t="shared" si="3"/>
        <v/>
      </c>
    </row>
    <row r="62" spans="2:12">
      <c r="B62" t="s">
        <v>55</v>
      </c>
      <c r="C62" t="s">
        <v>276</v>
      </c>
      <c r="D62" t="str">
        <f>CONCATENATE(B62,"@",COUNTIF($B$3:$B62,B62))</f>
        <v>E AV@12</v>
      </c>
      <c r="E62" t="str">
        <f t="shared" si="0"/>
        <v>2E</v>
      </c>
      <c r="F62" s="73" t="str">
        <f>IF(G62="","",SUM($G$3:$G62))</f>
        <v/>
      </c>
      <c r="G62" s="73" t="str">
        <f t="shared" si="1"/>
        <v/>
      </c>
      <c r="H62" s="73" t="str">
        <f t="shared" si="2"/>
        <v/>
      </c>
      <c r="I62" s="73">
        <f>COUNTIF($B$3:$B62,B62)</f>
        <v>12</v>
      </c>
      <c r="K62">
        <f t="shared" si="4"/>
        <v>60</v>
      </c>
      <c r="L62" s="73" t="str">
        <f t="shared" si="3"/>
        <v/>
      </c>
    </row>
    <row r="63" spans="2:12">
      <c r="B63" t="s">
        <v>55</v>
      </c>
      <c r="C63" t="s">
        <v>285</v>
      </c>
      <c r="D63" t="str">
        <f>CONCATENATE(B63,"@",COUNTIF($B$3:$B63,B63))</f>
        <v>E AV@13</v>
      </c>
      <c r="E63" t="str">
        <f t="shared" si="0"/>
        <v>2W</v>
      </c>
      <c r="F63" s="73" t="str">
        <f>IF(G63="","",SUM($G$3:$G63))</f>
        <v/>
      </c>
      <c r="G63" s="73" t="str">
        <f t="shared" si="1"/>
        <v/>
      </c>
      <c r="H63" s="73" t="str">
        <f t="shared" si="2"/>
        <v/>
      </c>
      <c r="I63" s="73">
        <f>COUNTIF($B$3:$B63,B63)</f>
        <v>13</v>
      </c>
      <c r="K63">
        <f t="shared" si="4"/>
        <v>61</v>
      </c>
      <c r="L63" s="73" t="str">
        <f t="shared" si="3"/>
        <v/>
      </c>
    </row>
    <row r="64" spans="2:12">
      <c r="B64" t="s">
        <v>55</v>
      </c>
      <c r="C64" t="s">
        <v>293</v>
      </c>
      <c r="D64" t="str">
        <f>CONCATENATE(B64,"@",COUNTIF($B$3:$B64,B64))</f>
        <v>E AV@14</v>
      </c>
      <c r="E64" t="str">
        <f t="shared" si="0"/>
        <v>3E</v>
      </c>
      <c r="F64" s="73" t="str">
        <f>IF(G64="","",SUM($G$3:$G64))</f>
        <v/>
      </c>
      <c r="G64" s="73" t="str">
        <f t="shared" si="1"/>
        <v/>
      </c>
      <c r="H64" s="73" t="str">
        <f t="shared" si="2"/>
        <v/>
      </c>
      <c r="I64" s="73">
        <f>COUNTIF($B$3:$B64,B64)</f>
        <v>14</v>
      </c>
      <c r="K64">
        <f t="shared" si="4"/>
        <v>62</v>
      </c>
      <c r="L64" s="73" t="str">
        <f t="shared" si="3"/>
        <v/>
      </c>
    </row>
    <row r="65" spans="2:12">
      <c r="B65" t="s">
        <v>55</v>
      </c>
      <c r="C65" t="s">
        <v>301</v>
      </c>
      <c r="D65" t="str">
        <f>CONCATENATE(B65,"@",COUNTIF($B$3:$B65,B65))</f>
        <v>E AV@15</v>
      </c>
      <c r="E65" t="str">
        <f t="shared" si="0"/>
        <v>3W</v>
      </c>
      <c r="F65" s="73" t="str">
        <f>IF(G65="","",SUM($G$3:$G65))</f>
        <v/>
      </c>
      <c r="G65" s="73" t="str">
        <f t="shared" si="1"/>
        <v/>
      </c>
      <c r="H65" s="73" t="str">
        <f t="shared" si="2"/>
        <v/>
      </c>
      <c r="I65" s="73">
        <f>COUNTIF($B$3:$B65,B65)</f>
        <v>15</v>
      </c>
      <c r="K65">
        <f t="shared" si="4"/>
        <v>63</v>
      </c>
      <c r="L65" s="73" t="str">
        <f t="shared" si="3"/>
        <v/>
      </c>
    </row>
    <row r="66" spans="2:12">
      <c r="B66" t="s">
        <v>55</v>
      </c>
      <c r="C66" t="s">
        <v>309</v>
      </c>
      <c r="D66" t="str">
        <f>CONCATENATE(B66,"@",COUNTIF($B$3:$B66,B66))</f>
        <v>E AV@16</v>
      </c>
      <c r="E66" t="str">
        <f t="shared" si="0"/>
        <v>4E</v>
      </c>
      <c r="F66" s="73" t="str">
        <f>IF(G66="","",SUM($G$3:$G66))</f>
        <v/>
      </c>
      <c r="G66" s="73" t="str">
        <f t="shared" si="1"/>
        <v/>
      </c>
      <c r="H66" s="73" t="str">
        <f t="shared" si="2"/>
        <v/>
      </c>
      <c r="I66" s="73">
        <f>COUNTIF($B$3:$B66,B66)</f>
        <v>16</v>
      </c>
      <c r="K66">
        <f t="shared" si="4"/>
        <v>64</v>
      </c>
      <c r="L66" s="73" t="str">
        <f t="shared" si="3"/>
        <v/>
      </c>
    </row>
    <row r="67" spans="2:12">
      <c r="B67" t="s">
        <v>55</v>
      </c>
      <c r="C67" t="s">
        <v>318</v>
      </c>
      <c r="D67" t="str">
        <f>CONCATENATE(B67,"@",COUNTIF($B$3:$B67,B67))</f>
        <v>E AV@17</v>
      </c>
      <c r="E67" t="str">
        <f t="shared" ref="E67:E130" si="5">C67</f>
        <v>4W</v>
      </c>
      <c r="F67" s="73" t="str">
        <f>IF(G67="","",SUM($G$3:$G67))</f>
        <v/>
      </c>
      <c r="G67" s="73" t="str">
        <f t="shared" si="1"/>
        <v/>
      </c>
      <c r="H67" s="73" t="str">
        <f t="shared" si="2"/>
        <v/>
      </c>
      <c r="I67" s="73">
        <f>COUNTIF($B$3:$B67,B67)</f>
        <v>17</v>
      </c>
      <c r="K67">
        <f t="shared" si="4"/>
        <v>65</v>
      </c>
      <c r="L67" s="73" t="str">
        <f t="shared" si="3"/>
        <v/>
      </c>
    </row>
    <row r="68" spans="2:12">
      <c r="B68" t="s">
        <v>55</v>
      </c>
      <c r="C68" t="s">
        <v>325</v>
      </c>
      <c r="D68" t="str">
        <f>CONCATENATE(B68,"@",COUNTIF($B$3:$B68,B68))</f>
        <v>E AV@18</v>
      </c>
      <c r="E68" t="str">
        <f t="shared" si="5"/>
        <v>5E</v>
      </c>
      <c r="F68" s="73" t="str">
        <f>IF(G68="","",SUM($G$3:$G68))</f>
        <v/>
      </c>
      <c r="G68" s="73" t="str">
        <f t="shared" ref="G68:G131" si="6">IF(H68="","",1)</f>
        <v/>
      </c>
      <c r="H68" s="73" t="str">
        <f t="shared" ref="H68:H131" si="7">IF(I68=1,B68,"")</f>
        <v/>
      </c>
      <c r="I68" s="73">
        <f>COUNTIF($B$3:$B68,B68)</f>
        <v>18</v>
      </c>
      <c r="K68">
        <f t="shared" si="4"/>
        <v>66</v>
      </c>
      <c r="L68" s="73" t="str">
        <f t="shared" ref="L68:L131" si="8">IF(COUNTIF($F:$F,$K68)=0,"",VLOOKUP(K68,$F:$H,3,0))</f>
        <v/>
      </c>
    </row>
    <row r="69" spans="2:12">
      <c r="B69" t="s">
        <v>55</v>
      </c>
      <c r="C69" t="s">
        <v>333</v>
      </c>
      <c r="D69" t="str">
        <f>CONCATENATE(B69,"@",COUNTIF($B$3:$B69,B69))</f>
        <v>E AV@19</v>
      </c>
      <c r="E69" t="str">
        <f t="shared" si="5"/>
        <v>5W</v>
      </c>
      <c r="F69" s="73" t="str">
        <f>IF(G69="","",SUM($G$3:$G69))</f>
        <v/>
      </c>
      <c r="G69" s="73" t="str">
        <f t="shared" si="6"/>
        <v/>
      </c>
      <c r="H69" s="73" t="str">
        <f t="shared" si="7"/>
        <v/>
      </c>
      <c r="I69" s="73">
        <f>COUNTIF($B$3:$B69,B69)</f>
        <v>19</v>
      </c>
      <c r="K69">
        <f t="shared" ref="K69:K132" si="9">K68+1</f>
        <v>67</v>
      </c>
      <c r="L69" s="73" t="str">
        <f t="shared" si="8"/>
        <v/>
      </c>
    </row>
    <row r="70" spans="2:12">
      <c r="B70" t="s">
        <v>55</v>
      </c>
      <c r="C70" t="s">
        <v>339</v>
      </c>
      <c r="D70" t="str">
        <f>CONCATENATE(B70,"@",COUNTIF($B$3:$B70,B70))</f>
        <v>E AV@20</v>
      </c>
      <c r="E70" t="str">
        <f t="shared" si="5"/>
        <v>6E</v>
      </c>
      <c r="F70" s="73" t="str">
        <f>IF(G70="","",SUM($G$3:$G70))</f>
        <v/>
      </c>
      <c r="G70" s="73" t="str">
        <f t="shared" si="6"/>
        <v/>
      </c>
      <c r="H70" s="73" t="str">
        <f t="shared" si="7"/>
        <v/>
      </c>
      <c r="I70" s="73">
        <f>COUNTIF($B$3:$B70,B70)</f>
        <v>20</v>
      </c>
      <c r="K70">
        <f t="shared" si="9"/>
        <v>68</v>
      </c>
      <c r="L70" s="73" t="str">
        <f t="shared" si="8"/>
        <v/>
      </c>
    </row>
    <row r="71" spans="2:12">
      <c r="B71" t="s">
        <v>55</v>
      </c>
      <c r="C71" t="s">
        <v>346</v>
      </c>
      <c r="D71" t="str">
        <f>CONCATENATE(B71,"@",COUNTIF($B$3:$B71,B71))</f>
        <v>E AV@21</v>
      </c>
      <c r="E71" t="str">
        <f t="shared" si="5"/>
        <v>6W</v>
      </c>
      <c r="F71" s="73" t="str">
        <f>IF(G71="","",SUM($G$3:$G71))</f>
        <v/>
      </c>
      <c r="G71" s="73" t="str">
        <f t="shared" si="6"/>
        <v/>
      </c>
      <c r="H71" s="73" t="str">
        <f t="shared" si="7"/>
        <v/>
      </c>
      <c r="I71" s="73">
        <f>COUNTIF($B$3:$B71,B71)</f>
        <v>21</v>
      </c>
      <c r="K71">
        <f t="shared" si="9"/>
        <v>69</v>
      </c>
      <c r="L71" s="73" t="str">
        <f t="shared" si="8"/>
        <v/>
      </c>
    </row>
    <row r="72" spans="2:12">
      <c r="B72" t="s">
        <v>55</v>
      </c>
      <c r="C72" t="s">
        <v>354</v>
      </c>
      <c r="D72" t="str">
        <f>CONCATENATE(B72,"@",COUNTIF($B$3:$B72,B72))</f>
        <v>E AV@22</v>
      </c>
      <c r="E72" t="str">
        <f t="shared" si="5"/>
        <v>7E</v>
      </c>
      <c r="F72" s="73" t="str">
        <f>IF(G72="","",SUM($G$3:$G72))</f>
        <v/>
      </c>
      <c r="G72" s="73" t="str">
        <f t="shared" si="6"/>
        <v/>
      </c>
      <c r="H72" s="73" t="str">
        <f t="shared" si="7"/>
        <v/>
      </c>
      <c r="I72" s="73">
        <f>COUNTIF($B$3:$B72,B72)</f>
        <v>22</v>
      </c>
      <c r="K72">
        <f t="shared" si="9"/>
        <v>70</v>
      </c>
      <c r="L72" s="73" t="str">
        <f t="shared" si="8"/>
        <v/>
      </c>
    </row>
    <row r="73" spans="2:12">
      <c r="B73" t="s">
        <v>55</v>
      </c>
      <c r="C73" t="s">
        <v>363</v>
      </c>
      <c r="D73" t="str">
        <f>CONCATENATE(B73,"@",COUNTIF($B$3:$B73,B73))</f>
        <v>E AV@23</v>
      </c>
      <c r="E73" t="str">
        <f t="shared" si="5"/>
        <v>7W</v>
      </c>
      <c r="F73" s="73" t="str">
        <f>IF(G73="","",SUM($G$3:$G73))</f>
        <v/>
      </c>
      <c r="G73" s="73" t="str">
        <f t="shared" si="6"/>
        <v/>
      </c>
      <c r="H73" s="73" t="str">
        <f t="shared" si="7"/>
        <v/>
      </c>
      <c r="I73" s="73">
        <f>COUNTIF($B$3:$B73,B73)</f>
        <v>23</v>
      </c>
      <c r="K73">
        <f t="shared" si="9"/>
        <v>71</v>
      </c>
      <c r="L73" s="73" t="str">
        <f t="shared" si="8"/>
        <v/>
      </c>
    </row>
    <row r="74" spans="2:12">
      <c r="B74" t="s">
        <v>55</v>
      </c>
      <c r="C74" t="s">
        <v>370</v>
      </c>
      <c r="D74" t="str">
        <f>CONCATENATE(B74,"@",COUNTIF($B$3:$B74,B74))</f>
        <v>E AV@24</v>
      </c>
      <c r="E74" t="str">
        <f t="shared" si="5"/>
        <v>8E</v>
      </c>
      <c r="F74" s="73" t="str">
        <f>IF(G74="","",SUM($G$3:$G74))</f>
        <v/>
      </c>
      <c r="G74" s="73" t="str">
        <f t="shared" si="6"/>
        <v/>
      </c>
      <c r="H74" s="73" t="str">
        <f t="shared" si="7"/>
        <v/>
      </c>
      <c r="I74" s="73">
        <f>COUNTIF($B$3:$B74,B74)</f>
        <v>24</v>
      </c>
      <c r="K74">
        <f t="shared" si="9"/>
        <v>72</v>
      </c>
      <c r="L74" s="73" t="str">
        <f t="shared" si="8"/>
        <v/>
      </c>
    </row>
    <row r="75" spans="2:12">
      <c r="B75" t="s">
        <v>55</v>
      </c>
      <c r="C75" t="s">
        <v>377</v>
      </c>
      <c r="D75" t="str">
        <f>CONCATENATE(B75,"@",COUNTIF($B$3:$B75,B75))</f>
        <v>E AV@25</v>
      </c>
      <c r="E75" t="str">
        <f t="shared" si="5"/>
        <v>8W</v>
      </c>
      <c r="F75" s="73" t="str">
        <f>IF(G75="","",SUM($G$3:$G75))</f>
        <v/>
      </c>
      <c r="G75" s="73" t="str">
        <f t="shared" si="6"/>
        <v/>
      </c>
      <c r="H75" s="73" t="str">
        <f t="shared" si="7"/>
        <v/>
      </c>
      <c r="I75" s="73">
        <f>COUNTIF($B$3:$B75,B75)</f>
        <v>25</v>
      </c>
      <c r="K75">
        <f t="shared" si="9"/>
        <v>73</v>
      </c>
      <c r="L75" s="73" t="str">
        <f t="shared" si="8"/>
        <v/>
      </c>
    </row>
    <row r="76" spans="2:12">
      <c r="B76" t="s">
        <v>55</v>
      </c>
      <c r="C76" t="s">
        <v>82</v>
      </c>
      <c r="D76" t="str">
        <f>CONCATENATE(B76,"@",COUNTIF($B$3:$B76,B76))</f>
        <v>E AV@26</v>
      </c>
      <c r="E76" t="str">
        <f t="shared" si="5"/>
        <v>LF3</v>
      </c>
      <c r="F76" s="73" t="str">
        <f>IF(G76="","",SUM($G$3:$G76))</f>
        <v/>
      </c>
      <c r="G76" s="73" t="str">
        <f t="shared" si="6"/>
        <v/>
      </c>
      <c r="H76" s="73" t="str">
        <f t="shared" si="7"/>
        <v/>
      </c>
      <c r="I76" s="73">
        <f>COUNTIF($B$3:$B76,B76)</f>
        <v>26</v>
      </c>
      <c r="K76">
        <f t="shared" si="9"/>
        <v>74</v>
      </c>
      <c r="L76" s="73" t="str">
        <f t="shared" si="8"/>
        <v/>
      </c>
    </row>
    <row r="77" spans="2:12">
      <c r="B77" t="s">
        <v>55</v>
      </c>
      <c r="C77" t="s">
        <v>83</v>
      </c>
      <c r="D77" t="str">
        <f>CONCATENATE(B77,"@",COUNTIF($B$3:$B77,B77))</f>
        <v>E AV@27</v>
      </c>
      <c r="E77" t="str">
        <f t="shared" si="5"/>
        <v>LF4</v>
      </c>
      <c r="F77" s="73" t="str">
        <f>IF(G77="","",SUM($G$3:$G77))</f>
        <v/>
      </c>
      <c r="G77" s="73" t="str">
        <f t="shared" si="6"/>
        <v/>
      </c>
      <c r="H77" s="73" t="str">
        <f t="shared" si="7"/>
        <v/>
      </c>
      <c r="I77" s="73">
        <f>COUNTIF($B$3:$B77,B77)</f>
        <v>27</v>
      </c>
      <c r="K77">
        <f t="shared" si="9"/>
        <v>75</v>
      </c>
      <c r="L77" s="73" t="str">
        <f t="shared" si="8"/>
        <v/>
      </c>
    </row>
    <row r="78" spans="2:12">
      <c r="B78" t="s">
        <v>55</v>
      </c>
      <c r="C78" t="s">
        <v>171</v>
      </c>
      <c r="D78" t="str">
        <f>CONCATENATE(B78,"@",COUNTIF($B$3:$B78,B78))</f>
        <v>E AV@28</v>
      </c>
      <c r="E78" t="str">
        <f t="shared" si="5"/>
        <v>HM1</v>
      </c>
      <c r="F78" s="73" t="str">
        <f>IF(G78="","",SUM($G$3:$G78))</f>
        <v/>
      </c>
      <c r="G78" s="73" t="str">
        <f t="shared" si="6"/>
        <v/>
      </c>
      <c r="H78" s="73" t="str">
        <f t="shared" si="7"/>
        <v/>
      </c>
      <c r="I78" s="73">
        <f>COUNTIF($B$3:$B78,B78)</f>
        <v>28</v>
      </c>
      <c r="K78">
        <f t="shared" si="9"/>
        <v>76</v>
      </c>
      <c r="L78" s="73" t="str">
        <f t="shared" si="8"/>
        <v/>
      </c>
    </row>
    <row r="79" spans="2:12">
      <c r="B79" t="s">
        <v>55</v>
      </c>
      <c r="C79" t="s">
        <v>182</v>
      </c>
      <c r="D79" t="str">
        <f>CONCATENATE(B79,"@",COUNTIF($B$3:$B79,B79))</f>
        <v>E AV@29</v>
      </c>
      <c r="E79" t="str">
        <f t="shared" si="5"/>
        <v>HM2</v>
      </c>
      <c r="F79" s="73" t="str">
        <f>IF(G79="","",SUM($G$3:$G79))</f>
        <v/>
      </c>
      <c r="G79" s="73" t="str">
        <f t="shared" si="6"/>
        <v/>
      </c>
      <c r="H79" s="73" t="str">
        <f t="shared" si="7"/>
        <v/>
      </c>
      <c r="I79" s="73">
        <f>COUNTIF($B$3:$B79,B79)</f>
        <v>29</v>
      </c>
      <c r="K79">
        <f t="shared" si="9"/>
        <v>77</v>
      </c>
      <c r="L79" s="73" t="str">
        <f t="shared" si="8"/>
        <v/>
      </c>
    </row>
    <row r="80" spans="2:12">
      <c r="B80" t="s">
        <v>55</v>
      </c>
      <c r="C80" t="s">
        <v>191</v>
      </c>
      <c r="D80" t="str">
        <f>CONCATENATE(B80,"@",COUNTIF($B$3:$B80,B80))</f>
        <v>E AV@30</v>
      </c>
      <c r="E80" t="str">
        <f t="shared" si="5"/>
        <v>HM3</v>
      </c>
      <c r="F80" s="73" t="str">
        <f>IF(G80="","",SUM($G$3:$G80))</f>
        <v/>
      </c>
      <c r="G80" s="73" t="str">
        <f t="shared" si="6"/>
        <v/>
      </c>
      <c r="H80" s="73" t="str">
        <f t="shared" si="7"/>
        <v/>
      </c>
      <c r="I80" s="73">
        <f>COUNTIF($B$3:$B80,B80)</f>
        <v>30</v>
      </c>
      <c r="K80">
        <f t="shared" si="9"/>
        <v>78</v>
      </c>
      <c r="L80" s="73" t="str">
        <f t="shared" si="8"/>
        <v/>
      </c>
    </row>
    <row r="81" spans="2:12">
      <c r="D81" t="str">
        <f>CONCATENATE(B81,"@",COUNTIF($B$3:$B81,B81))</f>
        <v>@0</v>
      </c>
      <c r="E81">
        <f t="shared" si="5"/>
        <v>0</v>
      </c>
      <c r="F81" s="73" t="str">
        <f>IF(G81="","",SUM($G$3:$G81))</f>
        <v/>
      </c>
      <c r="G81" s="73" t="str">
        <f t="shared" si="6"/>
        <v/>
      </c>
      <c r="H81" s="73" t="str">
        <f t="shared" si="7"/>
        <v/>
      </c>
      <c r="I81" s="73">
        <f>COUNTIF($B$3:$B81,B81)</f>
        <v>0</v>
      </c>
      <c r="K81">
        <f t="shared" si="9"/>
        <v>79</v>
      </c>
      <c r="L81" s="73" t="str">
        <f t="shared" si="8"/>
        <v/>
      </c>
    </row>
    <row r="82" spans="2:12">
      <c r="D82" t="str">
        <f>CONCATENATE(B82,"@",COUNTIF($B$3:$B82,B82))</f>
        <v>@0</v>
      </c>
      <c r="E82">
        <f t="shared" si="5"/>
        <v>0</v>
      </c>
      <c r="F82" s="73" t="str">
        <f>IF(G82="","",SUM($G$3:$G82))</f>
        <v/>
      </c>
      <c r="G82" s="73" t="str">
        <f t="shared" si="6"/>
        <v/>
      </c>
      <c r="H82" s="73" t="str">
        <f t="shared" si="7"/>
        <v/>
      </c>
      <c r="I82" s="73">
        <f>COUNTIF($B$3:$B82,B82)</f>
        <v>0</v>
      </c>
      <c r="K82">
        <f t="shared" si="9"/>
        <v>80</v>
      </c>
      <c r="L82" s="73" t="str">
        <f t="shared" si="8"/>
        <v/>
      </c>
    </row>
    <row r="83" spans="2:12">
      <c r="D83" t="str">
        <f>CONCATENATE(B83,"@",COUNTIF($B$3:$B83,B83))</f>
        <v>@0</v>
      </c>
      <c r="E83">
        <f t="shared" si="5"/>
        <v>0</v>
      </c>
      <c r="F83" s="73" t="str">
        <f>IF(G83="","",SUM($G$3:$G83))</f>
        <v/>
      </c>
      <c r="G83" s="73" t="str">
        <f t="shared" si="6"/>
        <v/>
      </c>
      <c r="H83" s="73" t="str">
        <f t="shared" si="7"/>
        <v/>
      </c>
      <c r="I83" s="73">
        <f>COUNTIF($B$3:$B83,B83)</f>
        <v>0</v>
      </c>
      <c r="K83">
        <f t="shared" si="9"/>
        <v>81</v>
      </c>
      <c r="L83" s="73" t="str">
        <f t="shared" si="8"/>
        <v/>
      </c>
    </row>
    <row r="84" spans="2:12">
      <c r="D84" t="str">
        <f>CONCATENATE(B84,"@",COUNTIF($B$3:$B84,B84))</f>
        <v>@0</v>
      </c>
      <c r="E84">
        <f t="shared" si="5"/>
        <v>0</v>
      </c>
      <c r="F84" s="73" t="str">
        <f>IF(G84="","",SUM($G$3:$G84))</f>
        <v/>
      </c>
      <c r="G84" s="73" t="str">
        <f t="shared" si="6"/>
        <v/>
      </c>
      <c r="H84" s="73" t="str">
        <f t="shared" si="7"/>
        <v/>
      </c>
      <c r="I84" s="73">
        <f>COUNTIF($B$3:$B84,B84)</f>
        <v>0</v>
      </c>
      <c r="K84">
        <f t="shared" si="9"/>
        <v>82</v>
      </c>
      <c r="L84" s="73" t="str">
        <f t="shared" si="8"/>
        <v/>
      </c>
    </row>
    <row r="85" spans="2:12">
      <c r="D85" t="str">
        <f>CONCATENATE(B85,"@",COUNTIF($B$3:$B85,B85))</f>
        <v>@0</v>
      </c>
      <c r="E85">
        <f t="shared" si="5"/>
        <v>0</v>
      </c>
      <c r="F85" s="73" t="str">
        <f>IF(G85="","",SUM($G$3:$G85))</f>
        <v/>
      </c>
      <c r="G85" s="73" t="str">
        <f t="shared" si="6"/>
        <v/>
      </c>
      <c r="H85" s="73" t="str">
        <f t="shared" si="7"/>
        <v/>
      </c>
      <c r="I85" s="73">
        <f>COUNTIF($B$3:$B85,B85)</f>
        <v>0</v>
      </c>
      <c r="K85">
        <f t="shared" si="9"/>
        <v>83</v>
      </c>
      <c r="L85" s="73" t="str">
        <f t="shared" si="8"/>
        <v/>
      </c>
    </row>
    <row r="86" spans="2:12">
      <c r="D86" t="str">
        <f>CONCATENATE(B86,"@",COUNTIF($B$3:$B86,B86))</f>
        <v>@0</v>
      </c>
      <c r="E86">
        <f t="shared" si="5"/>
        <v>0</v>
      </c>
      <c r="F86" s="73" t="str">
        <f>IF(G86="","",SUM($G$3:$G86))</f>
        <v/>
      </c>
      <c r="G86" s="73" t="str">
        <f t="shared" si="6"/>
        <v/>
      </c>
      <c r="H86" s="73" t="str">
        <f t="shared" si="7"/>
        <v/>
      </c>
      <c r="I86" s="73">
        <f>COUNTIF($B$3:$B86,B86)</f>
        <v>0</v>
      </c>
      <c r="K86">
        <f t="shared" si="9"/>
        <v>84</v>
      </c>
      <c r="L86" s="73" t="str">
        <f t="shared" si="8"/>
        <v/>
      </c>
    </row>
    <row r="87" spans="2:12">
      <c r="D87" t="str">
        <f>CONCATENATE(B87,"@",COUNTIF($B$3:$B87,B87))</f>
        <v>@0</v>
      </c>
      <c r="E87">
        <f t="shared" si="5"/>
        <v>0</v>
      </c>
      <c r="F87" s="73" t="str">
        <f>IF(G87="","",SUM($G$3:$G87))</f>
        <v/>
      </c>
      <c r="G87" s="73" t="str">
        <f t="shared" si="6"/>
        <v/>
      </c>
      <c r="H87" s="73" t="str">
        <f t="shared" si="7"/>
        <v/>
      </c>
      <c r="I87" s="73">
        <f>COUNTIF($B$3:$B87,B87)</f>
        <v>0</v>
      </c>
      <c r="K87">
        <f t="shared" si="9"/>
        <v>85</v>
      </c>
      <c r="L87" s="73" t="str">
        <f t="shared" si="8"/>
        <v/>
      </c>
    </row>
    <row r="88" spans="2:12">
      <c r="D88" t="str">
        <f>CONCATENATE(B88,"@",COUNTIF($B$3:$B88,B88))</f>
        <v>@0</v>
      </c>
      <c r="E88">
        <f t="shared" si="5"/>
        <v>0</v>
      </c>
      <c r="F88" s="73" t="str">
        <f>IF(G88="","",SUM($G$3:$G88))</f>
        <v/>
      </c>
      <c r="G88" s="73" t="str">
        <f t="shared" si="6"/>
        <v/>
      </c>
      <c r="H88" s="73" t="str">
        <f t="shared" si="7"/>
        <v/>
      </c>
      <c r="I88" s="73">
        <f>COUNTIF($B$3:$B88,B88)</f>
        <v>0</v>
      </c>
      <c r="K88">
        <f t="shared" si="9"/>
        <v>86</v>
      </c>
      <c r="L88" s="73" t="str">
        <f t="shared" si="8"/>
        <v/>
      </c>
    </row>
    <row r="89" spans="2:12">
      <c r="D89" t="str">
        <f>CONCATENATE(B89,"@",COUNTIF($B$3:$B89,B89))</f>
        <v>@0</v>
      </c>
      <c r="E89">
        <f t="shared" si="5"/>
        <v>0</v>
      </c>
      <c r="F89" s="73" t="str">
        <f>IF(G89="","",SUM($G$3:$G89))</f>
        <v/>
      </c>
      <c r="G89" s="73" t="str">
        <f t="shared" si="6"/>
        <v/>
      </c>
      <c r="H89" s="73" t="str">
        <f t="shared" si="7"/>
        <v/>
      </c>
      <c r="I89" s="73">
        <f>COUNTIF($B$3:$B89,B89)</f>
        <v>0</v>
      </c>
      <c r="K89">
        <f t="shared" si="9"/>
        <v>87</v>
      </c>
      <c r="L89" s="73" t="str">
        <f t="shared" si="8"/>
        <v/>
      </c>
    </row>
    <row r="90" spans="2:12">
      <c r="B90" t="s">
        <v>53</v>
      </c>
      <c r="C90" t="s">
        <v>57</v>
      </c>
      <c r="D90" t="str">
        <f>CONCATENATE(B90,"@",COUNTIF($B$3:$B90,B90))</f>
        <v>E DT@1</v>
      </c>
      <c r="E90" t="str">
        <f t="shared" si="5"/>
        <v>TEST</v>
      </c>
      <c r="F90" s="73">
        <f>IF(G90="","",SUM($G$3:$G90))</f>
        <v>18</v>
      </c>
      <c r="G90" s="73">
        <f t="shared" si="6"/>
        <v>1</v>
      </c>
      <c r="H90" s="73" t="str">
        <f t="shared" si="7"/>
        <v>E DT</v>
      </c>
      <c r="I90" s="73">
        <f>COUNTIF($B$3:$B90,B90)</f>
        <v>1</v>
      </c>
      <c r="K90">
        <f t="shared" si="9"/>
        <v>88</v>
      </c>
      <c r="L90" s="73" t="str">
        <f t="shared" si="8"/>
        <v/>
      </c>
    </row>
    <row r="91" spans="2:12">
      <c r="B91" t="s">
        <v>53</v>
      </c>
      <c r="C91" t="s">
        <v>200</v>
      </c>
      <c r="D91" t="str">
        <f>CONCATENATE(B91,"@",COUNTIF($B$3:$B91,B91))</f>
        <v>E DT@2</v>
      </c>
      <c r="E91" t="str">
        <f t="shared" si="5"/>
        <v>RM1E</v>
      </c>
      <c r="F91" s="73" t="str">
        <f>IF(G91="","",SUM($G$3:$G91))</f>
        <v/>
      </c>
      <c r="G91" s="73" t="str">
        <f t="shared" si="6"/>
        <v/>
      </c>
      <c r="H91" s="73" t="str">
        <f t="shared" si="7"/>
        <v/>
      </c>
      <c r="I91" s="73">
        <f>COUNTIF($B$3:$B91,B91)</f>
        <v>2</v>
      </c>
      <c r="K91">
        <f t="shared" si="9"/>
        <v>89</v>
      </c>
      <c r="L91" s="73" t="str">
        <f t="shared" si="8"/>
        <v/>
      </c>
    </row>
    <row r="92" spans="2:12">
      <c r="B92" t="s">
        <v>53</v>
      </c>
      <c r="C92" t="s">
        <v>208</v>
      </c>
      <c r="D92" t="str">
        <f>CONCATENATE(B92,"@",COUNTIF($B$3:$B92,B92))</f>
        <v>E DT@3</v>
      </c>
      <c r="E92" t="str">
        <f t="shared" si="5"/>
        <v>RM1W</v>
      </c>
      <c r="F92" s="73" t="str">
        <f>IF(G92="","",SUM($G$3:$G92))</f>
        <v/>
      </c>
      <c r="G92" s="73" t="str">
        <f t="shared" si="6"/>
        <v/>
      </c>
      <c r="H92" s="73" t="str">
        <f t="shared" si="7"/>
        <v/>
      </c>
      <c r="I92" s="73">
        <f>COUNTIF($B$3:$B92,B92)</f>
        <v>3</v>
      </c>
      <c r="K92">
        <f t="shared" si="9"/>
        <v>90</v>
      </c>
      <c r="L92" s="73" t="str">
        <f t="shared" si="8"/>
        <v/>
      </c>
    </row>
    <row r="93" spans="2:12">
      <c r="B93" t="s">
        <v>53</v>
      </c>
      <c r="C93" t="s">
        <v>216</v>
      </c>
      <c r="D93" t="str">
        <f>CONCATENATE(B93,"@",COUNTIF($B$3:$B93,B93))</f>
        <v>E DT@4</v>
      </c>
      <c r="E93" t="str">
        <f t="shared" si="5"/>
        <v>RM2E</v>
      </c>
      <c r="F93" s="73" t="str">
        <f>IF(G93="","",SUM($G$3:$G93))</f>
        <v/>
      </c>
      <c r="G93" s="73" t="str">
        <f t="shared" si="6"/>
        <v/>
      </c>
      <c r="H93" s="73" t="str">
        <f t="shared" si="7"/>
        <v/>
      </c>
      <c r="I93" s="73">
        <f>COUNTIF($B$3:$B93,B93)</f>
        <v>4</v>
      </c>
      <c r="K93">
        <f t="shared" si="9"/>
        <v>91</v>
      </c>
      <c r="L93" s="73" t="str">
        <f t="shared" si="8"/>
        <v/>
      </c>
    </row>
    <row r="94" spans="2:12">
      <c r="B94" t="s">
        <v>53</v>
      </c>
      <c r="C94" t="s">
        <v>224</v>
      </c>
      <c r="D94" t="str">
        <f>CONCATENATE(B94,"@",COUNTIF($B$3:$B94,B94))</f>
        <v>E DT@5</v>
      </c>
      <c r="E94" t="str">
        <f t="shared" si="5"/>
        <v>RM2W</v>
      </c>
      <c r="F94" s="73" t="str">
        <f>IF(G94="","",SUM($G$3:$G94))</f>
        <v/>
      </c>
      <c r="G94" s="73" t="str">
        <f t="shared" si="6"/>
        <v/>
      </c>
      <c r="H94" s="73" t="str">
        <f t="shared" si="7"/>
        <v/>
      </c>
      <c r="I94" s="73">
        <f>COUNTIF($B$3:$B94,B94)</f>
        <v>5</v>
      </c>
      <c r="K94">
        <f t="shared" si="9"/>
        <v>92</v>
      </c>
      <c r="L94" s="73" t="str">
        <f t="shared" si="8"/>
        <v/>
      </c>
    </row>
    <row r="95" spans="2:12">
      <c r="B95" t="s">
        <v>53</v>
      </c>
      <c r="C95" t="s">
        <v>231</v>
      </c>
      <c r="D95" t="str">
        <f>CONCATENATE(B95,"@",COUNTIF($B$3:$B95,B95))</f>
        <v>E DT@6</v>
      </c>
      <c r="E95" t="str">
        <f t="shared" si="5"/>
        <v>RM3E</v>
      </c>
      <c r="F95" s="73" t="str">
        <f>IF(G95="","",SUM($G$3:$G95))</f>
        <v/>
      </c>
      <c r="G95" s="73" t="str">
        <f t="shared" si="6"/>
        <v/>
      </c>
      <c r="H95" s="73" t="str">
        <f t="shared" si="7"/>
        <v/>
      </c>
      <c r="I95" s="73">
        <f>COUNTIF($B$3:$B95,B95)</f>
        <v>6</v>
      </c>
      <c r="K95">
        <f t="shared" si="9"/>
        <v>93</v>
      </c>
      <c r="L95" s="73" t="str">
        <f t="shared" si="8"/>
        <v/>
      </c>
    </row>
    <row r="96" spans="2:12">
      <c r="B96" t="s">
        <v>53</v>
      </c>
      <c r="C96" t="s">
        <v>238</v>
      </c>
      <c r="D96" t="str">
        <f>CONCATENATE(B96,"@",COUNTIF($B$3:$B96,B96))</f>
        <v>E DT@7</v>
      </c>
      <c r="E96" t="str">
        <f t="shared" si="5"/>
        <v>RM3W</v>
      </c>
      <c r="F96" s="73" t="str">
        <f>IF(G96="","",SUM($G$3:$G96))</f>
        <v/>
      </c>
      <c r="G96" s="73" t="str">
        <f t="shared" si="6"/>
        <v/>
      </c>
      <c r="H96" s="73" t="str">
        <f t="shared" si="7"/>
        <v/>
      </c>
      <c r="I96" s="73">
        <f>COUNTIF($B$3:$B96,B96)</f>
        <v>7</v>
      </c>
      <c r="K96">
        <f t="shared" si="9"/>
        <v>94</v>
      </c>
      <c r="L96" s="73" t="str">
        <f t="shared" si="8"/>
        <v/>
      </c>
    </row>
    <row r="97" spans="2:12">
      <c r="B97" t="s">
        <v>53</v>
      </c>
      <c r="C97" t="s">
        <v>246</v>
      </c>
      <c r="D97" t="str">
        <f>CONCATENATE(B97,"@",COUNTIF($B$3:$B97,B97))</f>
        <v>E DT@8</v>
      </c>
      <c r="E97" t="str">
        <f t="shared" si="5"/>
        <v>HCTE</v>
      </c>
      <c r="F97" s="73" t="str">
        <f>IF(G97="","",SUM($G$3:$G97))</f>
        <v/>
      </c>
      <c r="G97" s="73" t="str">
        <f t="shared" si="6"/>
        <v/>
      </c>
      <c r="H97" s="73" t="str">
        <f t="shared" si="7"/>
        <v/>
      </c>
      <c r="I97" s="73">
        <f>COUNTIF($B$3:$B97,B97)</f>
        <v>8</v>
      </c>
      <c r="K97">
        <f t="shared" si="9"/>
        <v>95</v>
      </c>
      <c r="L97" s="73" t="str">
        <f t="shared" si="8"/>
        <v/>
      </c>
    </row>
    <row r="98" spans="2:12">
      <c r="B98" t="s">
        <v>53</v>
      </c>
      <c r="C98" t="s">
        <v>254</v>
      </c>
      <c r="D98" t="str">
        <f>CONCATENATE(B98,"@",COUNTIF($B$3:$B98,B98))</f>
        <v>E DT@9</v>
      </c>
      <c r="E98" t="str">
        <f t="shared" si="5"/>
        <v>HCTW</v>
      </c>
      <c r="F98" s="73" t="str">
        <f>IF(G98="","",SUM($G$3:$G98))</f>
        <v/>
      </c>
      <c r="G98" s="73" t="str">
        <f t="shared" si="6"/>
        <v/>
      </c>
      <c r="H98" s="73" t="str">
        <f t="shared" si="7"/>
        <v/>
      </c>
      <c r="I98" s="73">
        <f>COUNTIF($B$3:$B98,B98)</f>
        <v>9</v>
      </c>
      <c r="K98">
        <f t="shared" si="9"/>
        <v>96</v>
      </c>
      <c r="L98" s="73" t="str">
        <f t="shared" si="8"/>
        <v/>
      </c>
    </row>
    <row r="99" spans="2:12">
      <c r="B99" t="s">
        <v>53</v>
      </c>
      <c r="C99" t="s">
        <v>261</v>
      </c>
      <c r="D99" t="str">
        <f>CONCATENATE(B99,"@",COUNTIF($B$3:$B99,B99))</f>
        <v>E DT@10</v>
      </c>
      <c r="E99" t="str">
        <f t="shared" si="5"/>
        <v>1E</v>
      </c>
      <c r="F99" s="73" t="str">
        <f>IF(G99="","",SUM($G$3:$G99))</f>
        <v/>
      </c>
      <c r="G99" s="73" t="str">
        <f t="shared" si="6"/>
        <v/>
      </c>
      <c r="H99" s="73" t="str">
        <f t="shared" si="7"/>
        <v/>
      </c>
      <c r="I99" s="73">
        <f>COUNTIF($B$3:$B99,B99)</f>
        <v>10</v>
      </c>
      <c r="K99">
        <f t="shared" si="9"/>
        <v>97</v>
      </c>
      <c r="L99" s="73" t="str">
        <f t="shared" si="8"/>
        <v/>
      </c>
    </row>
    <row r="100" spans="2:12">
      <c r="B100" t="s">
        <v>53</v>
      </c>
      <c r="C100" t="s">
        <v>269</v>
      </c>
      <c r="D100" t="str">
        <f>CONCATENATE(B100,"@",COUNTIF($B$3:$B100,B100))</f>
        <v>E DT@11</v>
      </c>
      <c r="E100" t="str">
        <f t="shared" si="5"/>
        <v>1W</v>
      </c>
      <c r="F100" s="73" t="str">
        <f>IF(G100="","",SUM($G$3:$G100))</f>
        <v/>
      </c>
      <c r="G100" s="73" t="str">
        <f t="shared" si="6"/>
        <v/>
      </c>
      <c r="H100" s="73" t="str">
        <f t="shared" si="7"/>
        <v/>
      </c>
      <c r="I100" s="73">
        <f>COUNTIF($B$3:$B100,B100)</f>
        <v>11</v>
      </c>
      <c r="K100">
        <f t="shared" si="9"/>
        <v>98</v>
      </c>
      <c r="L100" s="73" t="str">
        <f t="shared" si="8"/>
        <v/>
      </c>
    </row>
    <row r="101" spans="2:12">
      <c r="B101" t="s">
        <v>53</v>
      </c>
      <c r="C101" t="s">
        <v>276</v>
      </c>
      <c r="D101" t="str">
        <f>CONCATENATE(B101,"@",COUNTIF($B$3:$B101,B101))</f>
        <v>E DT@12</v>
      </c>
      <c r="E101" t="str">
        <f t="shared" si="5"/>
        <v>2E</v>
      </c>
      <c r="F101" s="73" t="str">
        <f>IF(G101="","",SUM($G$3:$G101))</f>
        <v/>
      </c>
      <c r="G101" s="73" t="str">
        <f t="shared" si="6"/>
        <v/>
      </c>
      <c r="H101" s="73" t="str">
        <f t="shared" si="7"/>
        <v/>
      </c>
      <c r="I101" s="73">
        <f>COUNTIF($B$3:$B101,B101)</f>
        <v>12</v>
      </c>
      <c r="K101">
        <f t="shared" si="9"/>
        <v>99</v>
      </c>
      <c r="L101" s="73" t="str">
        <f t="shared" si="8"/>
        <v/>
      </c>
    </row>
    <row r="102" spans="2:12">
      <c r="B102" t="s">
        <v>53</v>
      </c>
      <c r="C102" t="s">
        <v>285</v>
      </c>
      <c r="D102" t="str">
        <f>CONCATENATE(B102,"@",COUNTIF($B$3:$B102,B102))</f>
        <v>E DT@13</v>
      </c>
      <c r="E102" t="str">
        <f t="shared" si="5"/>
        <v>2W</v>
      </c>
      <c r="F102" s="73" t="str">
        <f>IF(G102="","",SUM($G$3:$G102))</f>
        <v/>
      </c>
      <c r="G102" s="73" t="str">
        <f t="shared" si="6"/>
        <v/>
      </c>
      <c r="H102" s="73" t="str">
        <f t="shared" si="7"/>
        <v/>
      </c>
      <c r="I102" s="73">
        <f>COUNTIF($B$3:$B102,B102)</f>
        <v>13</v>
      </c>
      <c r="K102">
        <f t="shared" si="9"/>
        <v>100</v>
      </c>
      <c r="L102" s="73" t="str">
        <f t="shared" si="8"/>
        <v/>
      </c>
    </row>
    <row r="103" spans="2:12">
      <c r="B103" t="s">
        <v>53</v>
      </c>
      <c r="C103" t="s">
        <v>293</v>
      </c>
      <c r="D103" t="str">
        <f>CONCATENATE(B103,"@",COUNTIF($B$3:$B103,B103))</f>
        <v>E DT@14</v>
      </c>
      <c r="E103" t="str">
        <f t="shared" si="5"/>
        <v>3E</v>
      </c>
      <c r="F103" s="73" t="str">
        <f>IF(G103="","",SUM($G$3:$G103))</f>
        <v/>
      </c>
      <c r="G103" s="73" t="str">
        <f t="shared" si="6"/>
        <v/>
      </c>
      <c r="H103" s="73" t="str">
        <f t="shared" si="7"/>
        <v/>
      </c>
      <c r="I103" s="73">
        <f>COUNTIF($B$3:$B103,B103)</f>
        <v>14</v>
      </c>
      <c r="K103">
        <f t="shared" si="9"/>
        <v>101</v>
      </c>
      <c r="L103" s="73" t="str">
        <f t="shared" si="8"/>
        <v/>
      </c>
    </row>
    <row r="104" spans="2:12">
      <c r="B104" t="s">
        <v>53</v>
      </c>
      <c r="C104" t="s">
        <v>301</v>
      </c>
      <c r="D104" t="str">
        <f>CONCATENATE(B104,"@",COUNTIF($B$3:$B104,B104))</f>
        <v>E DT@15</v>
      </c>
      <c r="E104" t="str">
        <f t="shared" si="5"/>
        <v>3W</v>
      </c>
      <c r="F104" s="73" t="str">
        <f>IF(G104="","",SUM($G$3:$G104))</f>
        <v/>
      </c>
      <c r="G104" s="73" t="str">
        <f t="shared" si="6"/>
        <v/>
      </c>
      <c r="H104" s="73" t="str">
        <f t="shared" si="7"/>
        <v/>
      </c>
      <c r="I104" s="73">
        <f>COUNTIF($B$3:$B104,B104)</f>
        <v>15</v>
      </c>
      <c r="K104">
        <f t="shared" si="9"/>
        <v>102</v>
      </c>
      <c r="L104" s="73" t="str">
        <f t="shared" si="8"/>
        <v/>
      </c>
    </row>
    <row r="105" spans="2:12">
      <c r="B105" t="s">
        <v>53</v>
      </c>
      <c r="C105" t="s">
        <v>309</v>
      </c>
      <c r="D105" t="str">
        <f>CONCATENATE(B105,"@",COUNTIF($B$3:$B105,B105))</f>
        <v>E DT@16</v>
      </c>
      <c r="E105" t="str">
        <f t="shared" si="5"/>
        <v>4E</v>
      </c>
      <c r="F105" s="73" t="str">
        <f>IF(G105="","",SUM($G$3:$G105))</f>
        <v/>
      </c>
      <c r="G105" s="73" t="str">
        <f t="shared" si="6"/>
        <v/>
      </c>
      <c r="H105" s="73" t="str">
        <f t="shared" si="7"/>
        <v/>
      </c>
      <c r="I105" s="73">
        <f>COUNTIF($B$3:$B105,B105)</f>
        <v>16</v>
      </c>
      <c r="K105">
        <f t="shared" si="9"/>
        <v>103</v>
      </c>
      <c r="L105" s="73" t="str">
        <f t="shared" si="8"/>
        <v/>
      </c>
    </row>
    <row r="106" spans="2:12">
      <c r="B106" t="s">
        <v>53</v>
      </c>
      <c r="C106" t="s">
        <v>318</v>
      </c>
      <c r="D106" t="str">
        <f>CONCATENATE(B106,"@",COUNTIF($B$3:$B106,B106))</f>
        <v>E DT@17</v>
      </c>
      <c r="E106" t="str">
        <f t="shared" si="5"/>
        <v>4W</v>
      </c>
      <c r="F106" s="73" t="str">
        <f>IF(G106="","",SUM($G$3:$G106))</f>
        <v/>
      </c>
      <c r="G106" s="73" t="str">
        <f t="shared" si="6"/>
        <v/>
      </c>
      <c r="H106" s="73" t="str">
        <f t="shared" si="7"/>
        <v/>
      </c>
      <c r="I106" s="73">
        <f>COUNTIF($B$3:$B106,B106)</f>
        <v>17</v>
      </c>
      <c r="K106">
        <f t="shared" si="9"/>
        <v>104</v>
      </c>
      <c r="L106" s="73" t="str">
        <f t="shared" si="8"/>
        <v/>
      </c>
    </row>
    <row r="107" spans="2:12">
      <c r="B107" t="s">
        <v>53</v>
      </c>
      <c r="C107" t="s">
        <v>325</v>
      </c>
      <c r="D107" t="str">
        <f>CONCATENATE(B107,"@",COUNTIF($B$3:$B107,B107))</f>
        <v>E DT@18</v>
      </c>
      <c r="E107" t="str">
        <f t="shared" si="5"/>
        <v>5E</v>
      </c>
      <c r="F107" s="73" t="str">
        <f>IF(G107="","",SUM($G$3:$G107))</f>
        <v/>
      </c>
      <c r="G107" s="73" t="str">
        <f t="shared" si="6"/>
        <v/>
      </c>
      <c r="H107" s="73" t="str">
        <f t="shared" si="7"/>
        <v/>
      </c>
      <c r="I107" s="73">
        <f>COUNTIF($B$3:$B107,B107)</f>
        <v>18</v>
      </c>
      <c r="K107">
        <f t="shared" si="9"/>
        <v>105</v>
      </c>
      <c r="L107" s="73" t="str">
        <f t="shared" si="8"/>
        <v/>
      </c>
    </row>
    <row r="108" spans="2:12">
      <c r="B108" t="s">
        <v>53</v>
      </c>
      <c r="C108" t="s">
        <v>333</v>
      </c>
      <c r="D108" t="str">
        <f>CONCATENATE(B108,"@",COUNTIF($B$3:$B108,B108))</f>
        <v>E DT@19</v>
      </c>
      <c r="E108" t="str">
        <f t="shared" si="5"/>
        <v>5W</v>
      </c>
      <c r="F108" s="73" t="str">
        <f>IF(G108="","",SUM($G$3:$G108))</f>
        <v/>
      </c>
      <c r="G108" s="73" t="str">
        <f t="shared" si="6"/>
        <v/>
      </c>
      <c r="H108" s="73" t="str">
        <f t="shared" si="7"/>
        <v/>
      </c>
      <c r="I108" s="73">
        <f>COUNTIF($B$3:$B108,B108)</f>
        <v>19</v>
      </c>
      <c r="K108">
        <f t="shared" si="9"/>
        <v>106</v>
      </c>
      <c r="L108" s="73" t="str">
        <f t="shared" si="8"/>
        <v/>
      </c>
    </row>
    <row r="109" spans="2:12">
      <c r="B109" t="s">
        <v>53</v>
      </c>
      <c r="C109" t="s">
        <v>339</v>
      </c>
      <c r="D109" t="str">
        <f>CONCATENATE(B109,"@",COUNTIF($B$3:$B109,B109))</f>
        <v>E DT@20</v>
      </c>
      <c r="E109" t="str">
        <f t="shared" si="5"/>
        <v>6E</v>
      </c>
      <c r="F109" s="73" t="str">
        <f>IF(G109="","",SUM($G$3:$G109))</f>
        <v/>
      </c>
      <c r="G109" s="73" t="str">
        <f t="shared" si="6"/>
        <v/>
      </c>
      <c r="H109" s="73" t="str">
        <f t="shared" si="7"/>
        <v/>
      </c>
      <c r="I109" s="73">
        <f>COUNTIF($B$3:$B109,B109)</f>
        <v>20</v>
      </c>
      <c r="K109">
        <f t="shared" si="9"/>
        <v>107</v>
      </c>
      <c r="L109" s="73" t="str">
        <f t="shared" si="8"/>
        <v/>
      </c>
    </row>
    <row r="110" spans="2:12">
      <c r="B110" t="s">
        <v>53</v>
      </c>
      <c r="C110" t="s">
        <v>346</v>
      </c>
      <c r="D110" t="str">
        <f>CONCATENATE(B110,"@",COUNTIF($B$3:$B110,B110))</f>
        <v>E DT@21</v>
      </c>
      <c r="E110" t="str">
        <f t="shared" si="5"/>
        <v>6W</v>
      </c>
      <c r="F110" s="73" t="str">
        <f>IF(G110="","",SUM($G$3:$G110))</f>
        <v/>
      </c>
      <c r="G110" s="73" t="str">
        <f t="shared" si="6"/>
        <v/>
      </c>
      <c r="H110" s="73" t="str">
        <f t="shared" si="7"/>
        <v/>
      </c>
      <c r="I110" s="73">
        <f>COUNTIF($B$3:$B110,B110)</f>
        <v>21</v>
      </c>
      <c r="K110">
        <f t="shared" si="9"/>
        <v>108</v>
      </c>
      <c r="L110" s="73" t="str">
        <f t="shared" si="8"/>
        <v/>
      </c>
    </row>
    <row r="111" spans="2:12">
      <c r="B111" t="s">
        <v>53</v>
      </c>
      <c r="C111" t="s">
        <v>354</v>
      </c>
      <c r="D111" t="str">
        <f>CONCATENATE(B111,"@",COUNTIF($B$3:$B111,B111))</f>
        <v>E DT@22</v>
      </c>
      <c r="E111" t="str">
        <f t="shared" si="5"/>
        <v>7E</v>
      </c>
      <c r="F111" s="73" t="str">
        <f>IF(G111="","",SUM($G$3:$G111))</f>
        <v/>
      </c>
      <c r="G111" s="73" t="str">
        <f t="shared" si="6"/>
        <v/>
      </c>
      <c r="H111" s="73" t="str">
        <f t="shared" si="7"/>
        <v/>
      </c>
      <c r="I111" s="73">
        <f>COUNTIF($B$3:$B111,B111)</f>
        <v>22</v>
      </c>
      <c r="K111">
        <f t="shared" si="9"/>
        <v>109</v>
      </c>
      <c r="L111" s="73" t="str">
        <f t="shared" si="8"/>
        <v/>
      </c>
    </row>
    <row r="112" spans="2:12">
      <c r="B112" t="s">
        <v>53</v>
      </c>
      <c r="C112" t="s">
        <v>363</v>
      </c>
      <c r="D112" t="str">
        <f>CONCATENATE(B112,"@",COUNTIF($B$3:$B112,B112))</f>
        <v>E DT@23</v>
      </c>
      <c r="E112" t="str">
        <f t="shared" si="5"/>
        <v>7W</v>
      </c>
      <c r="F112" s="73" t="str">
        <f>IF(G112="","",SUM($G$3:$G112))</f>
        <v/>
      </c>
      <c r="G112" s="73" t="str">
        <f t="shared" si="6"/>
        <v/>
      </c>
      <c r="H112" s="73" t="str">
        <f t="shared" si="7"/>
        <v/>
      </c>
      <c r="I112" s="73">
        <f>COUNTIF($B$3:$B112,B112)</f>
        <v>23</v>
      </c>
      <c r="K112">
        <f t="shared" si="9"/>
        <v>110</v>
      </c>
      <c r="L112" s="73" t="str">
        <f t="shared" si="8"/>
        <v/>
      </c>
    </row>
    <row r="113" spans="2:12">
      <c r="B113" t="s">
        <v>53</v>
      </c>
      <c r="C113" t="s">
        <v>370</v>
      </c>
      <c r="D113" t="str">
        <f>CONCATENATE(B113,"@",COUNTIF($B$3:$B113,B113))</f>
        <v>E DT@24</v>
      </c>
      <c r="E113" t="str">
        <f t="shared" si="5"/>
        <v>8E</v>
      </c>
      <c r="F113" s="73" t="str">
        <f>IF(G113="","",SUM($G$3:$G113))</f>
        <v/>
      </c>
      <c r="G113" s="73" t="str">
        <f t="shared" si="6"/>
        <v/>
      </c>
      <c r="H113" s="73" t="str">
        <f t="shared" si="7"/>
        <v/>
      </c>
      <c r="I113" s="73">
        <f>COUNTIF($B$3:$B113,B113)</f>
        <v>24</v>
      </c>
      <c r="K113">
        <f t="shared" si="9"/>
        <v>111</v>
      </c>
      <c r="L113" s="73" t="str">
        <f t="shared" si="8"/>
        <v/>
      </c>
    </row>
    <row r="114" spans="2:12">
      <c r="B114" t="s">
        <v>53</v>
      </c>
      <c r="C114" t="s">
        <v>377</v>
      </c>
      <c r="D114" t="str">
        <f>CONCATENATE(B114,"@",COUNTIF($B$3:$B114,B114))</f>
        <v>E DT@25</v>
      </c>
      <c r="E114" t="str">
        <f t="shared" si="5"/>
        <v>8W</v>
      </c>
      <c r="F114" s="73" t="str">
        <f>IF(G114="","",SUM($G$3:$G114))</f>
        <v/>
      </c>
      <c r="G114" s="73" t="str">
        <f t="shared" si="6"/>
        <v/>
      </c>
      <c r="H114" s="73" t="str">
        <f t="shared" si="7"/>
        <v/>
      </c>
      <c r="I114" s="73">
        <f>COUNTIF($B$3:$B114,B114)</f>
        <v>25</v>
      </c>
      <c r="K114">
        <f t="shared" si="9"/>
        <v>112</v>
      </c>
      <c r="L114" s="73" t="str">
        <f t="shared" si="8"/>
        <v/>
      </c>
    </row>
    <row r="115" spans="2:12">
      <c r="B115" t="s">
        <v>53</v>
      </c>
      <c r="C115" t="s">
        <v>82</v>
      </c>
      <c r="D115" t="str">
        <f>CONCATENATE(B115,"@",COUNTIF($B$3:$B115,B115))</f>
        <v>E DT@26</v>
      </c>
      <c r="E115" t="str">
        <f t="shared" si="5"/>
        <v>LF3</v>
      </c>
      <c r="F115" s="73" t="str">
        <f>IF(G115="","",SUM($G$3:$G115))</f>
        <v/>
      </c>
      <c r="G115" s="73" t="str">
        <f t="shared" si="6"/>
        <v/>
      </c>
      <c r="H115" s="73" t="str">
        <f t="shared" si="7"/>
        <v/>
      </c>
      <c r="I115" s="73">
        <f>COUNTIF($B$3:$B115,B115)</f>
        <v>26</v>
      </c>
      <c r="K115">
        <f t="shared" si="9"/>
        <v>113</v>
      </c>
      <c r="L115" s="73" t="str">
        <f t="shared" si="8"/>
        <v/>
      </c>
    </row>
    <row r="116" spans="2:12">
      <c r="B116" t="s">
        <v>53</v>
      </c>
      <c r="C116" t="s">
        <v>83</v>
      </c>
      <c r="D116" t="str">
        <f>CONCATENATE(B116,"@",COUNTIF($B$3:$B116,B116))</f>
        <v>E DT@27</v>
      </c>
      <c r="E116" t="str">
        <f t="shared" si="5"/>
        <v>LF4</v>
      </c>
      <c r="F116" s="73" t="str">
        <f>IF(G116="","",SUM($G$3:$G116))</f>
        <v/>
      </c>
      <c r="G116" s="73" t="str">
        <f t="shared" si="6"/>
        <v/>
      </c>
      <c r="H116" s="73" t="str">
        <f t="shared" si="7"/>
        <v/>
      </c>
      <c r="I116" s="73">
        <f>COUNTIF($B$3:$B116,B116)</f>
        <v>27</v>
      </c>
      <c r="K116">
        <f t="shared" si="9"/>
        <v>114</v>
      </c>
      <c r="L116" s="73" t="str">
        <f t="shared" si="8"/>
        <v/>
      </c>
    </row>
    <row r="117" spans="2:12">
      <c r="B117" t="s">
        <v>53</v>
      </c>
      <c r="C117" t="s">
        <v>171</v>
      </c>
      <c r="D117" t="str">
        <f>CONCATENATE(B117,"@",COUNTIF($B$3:$B117,B117))</f>
        <v>E DT@28</v>
      </c>
      <c r="E117" t="str">
        <f t="shared" si="5"/>
        <v>HM1</v>
      </c>
      <c r="F117" s="73" t="str">
        <f>IF(G117="","",SUM($G$3:$G117))</f>
        <v/>
      </c>
      <c r="G117" s="73" t="str">
        <f t="shared" si="6"/>
        <v/>
      </c>
      <c r="H117" s="73" t="str">
        <f t="shared" si="7"/>
        <v/>
      </c>
      <c r="I117" s="73">
        <f>COUNTIF($B$3:$B117,B117)</f>
        <v>28</v>
      </c>
      <c r="K117">
        <f t="shared" si="9"/>
        <v>115</v>
      </c>
      <c r="L117" s="73" t="str">
        <f t="shared" si="8"/>
        <v/>
      </c>
    </row>
    <row r="118" spans="2:12">
      <c r="B118" t="s">
        <v>53</v>
      </c>
      <c r="C118" t="s">
        <v>182</v>
      </c>
      <c r="D118" t="str">
        <f>CONCATENATE(B118,"@",COUNTIF($B$3:$B118,B118))</f>
        <v>E DT@29</v>
      </c>
      <c r="E118" t="str">
        <f t="shared" si="5"/>
        <v>HM2</v>
      </c>
      <c r="F118" s="73" t="str">
        <f>IF(G118="","",SUM($G$3:$G118))</f>
        <v/>
      </c>
      <c r="G118" s="73" t="str">
        <f t="shared" si="6"/>
        <v/>
      </c>
      <c r="H118" s="73" t="str">
        <f t="shared" si="7"/>
        <v/>
      </c>
      <c r="I118" s="73">
        <f>COUNTIF($B$3:$B118,B118)</f>
        <v>29</v>
      </c>
      <c r="K118">
        <f t="shared" si="9"/>
        <v>116</v>
      </c>
      <c r="L118" s="73" t="str">
        <f t="shared" si="8"/>
        <v/>
      </c>
    </row>
    <row r="119" spans="2:12">
      <c r="B119" t="s">
        <v>53</v>
      </c>
      <c r="C119" t="s">
        <v>191</v>
      </c>
      <c r="D119" t="str">
        <f>CONCATENATE(B119,"@",COUNTIF($B$3:$B119,B119))</f>
        <v>E DT@30</v>
      </c>
      <c r="E119" t="str">
        <f t="shared" si="5"/>
        <v>HM3</v>
      </c>
      <c r="F119" s="73" t="str">
        <f>IF(G119="","",SUM($G$3:$G119))</f>
        <v/>
      </c>
      <c r="G119" s="73" t="str">
        <f t="shared" si="6"/>
        <v/>
      </c>
      <c r="H119" s="73" t="str">
        <f t="shared" si="7"/>
        <v/>
      </c>
      <c r="I119" s="73">
        <f>COUNTIF($B$3:$B119,B119)</f>
        <v>30</v>
      </c>
      <c r="K119">
        <f t="shared" si="9"/>
        <v>117</v>
      </c>
      <c r="L119" s="73" t="str">
        <f t="shared" si="8"/>
        <v/>
      </c>
    </row>
    <row r="120" spans="2:12">
      <c r="D120" t="str">
        <f>CONCATENATE(B120,"@",COUNTIF($B$3:$B120,B120))</f>
        <v>@0</v>
      </c>
      <c r="E120">
        <f t="shared" si="5"/>
        <v>0</v>
      </c>
      <c r="F120" s="73" t="str">
        <f>IF(G120="","",SUM($G$3:$G120))</f>
        <v/>
      </c>
      <c r="G120" s="73" t="str">
        <f t="shared" si="6"/>
        <v/>
      </c>
      <c r="H120" s="73" t="str">
        <f t="shared" si="7"/>
        <v/>
      </c>
      <c r="I120" s="73">
        <f>COUNTIF($B$3:$B120,B120)</f>
        <v>0</v>
      </c>
      <c r="K120">
        <f t="shared" si="9"/>
        <v>118</v>
      </c>
      <c r="L120" s="73" t="str">
        <f t="shared" si="8"/>
        <v/>
      </c>
    </row>
    <row r="121" spans="2:12">
      <c r="D121" t="str">
        <f>CONCATENATE(B121,"@",COUNTIF($B$3:$B121,B121))</f>
        <v>@0</v>
      </c>
      <c r="E121">
        <f t="shared" si="5"/>
        <v>0</v>
      </c>
      <c r="F121" s="73" t="str">
        <f>IF(G121="","",SUM($G$3:$G121))</f>
        <v/>
      </c>
      <c r="G121" s="73" t="str">
        <f t="shared" si="6"/>
        <v/>
      </c>
      <c r="H121" s="73" t="str">
        <f t="shared" si="7"/>
        <v/>
      </c>
      <c r="I121" s="73">
        <f>COUNTIF($B$3:$B121,B121)</f>
        <v>0</v>
      </c>
      <c r="K121">
        <f t="shared" si="9"/>
        <v>119</v>
      </c>
      <c r="L121" s="73" t="str">
        <f t="shared" si="8"/>
        <v/>
      </c>
    </row>
    <row r="122" spans="2:12">
      <c r="D122" t="str">
        <f>CONCATENATE(B122,"@",COUNTIF($B$3:$B122,B122))</f>
        <v>@0</v>
      </c>
      <c r="E122">
        <f t="shared" si="5"/>
        <v>0</v>
      </c>
      <c r="F122" s="73" t="str">
        <f>IF(G122="","",SUM($G$3:$G122))</f>
        <v/>
      </c>
      <c r="G122" s="73" t="str">
        <f t="shared" si="6"/>
        <v/>
      </c>
      <c r="H122" s="73" t="str">
        <f t="shared" si="7"/>
        <v/>
      </c>
      <c r="I122" s="73">
        <f>COUNTIF($B$3:$B122,B122)</f>
        <v>0</v>
      </c>
      <c r="K122">
        <f t="shared" si="9"/>
        <v>120</v>
      </c>
      <c r="L122" s="73" t="str">
        <f t="shared" si="8"/>
        <v/>
      </c>
    </row>
    <row r="123" spans="2:12">
      <c r="D123" t="str">
        <f>CONCATENATE(B123,"@",COUNTIF($B$3:$B123,B123))</f>
        <v>@0</v>
      </c>
      <c r="E123">
        <f t="shared" si="5"/>
        <v>0</v>
      </c>
      <c r="F123" s="73" t="str">
        <f>IF(G123="","",SUM($G$3:$G123))</f>
        <v/>
      </c>
      <c r="G123" s="73" t="str">
        <f t="shared" si="6"/>
        <v/>
      </c>
      <c r="H123" s="73" t="str">
        <f t="shared" si="7"/>
        <v/>
      </c>
      <c r="I123" s="73">
        <f>COUNTIF($B$3:$B123,B123)</f>
        <v>0</v>
      </c>
      <c r="K123">
        <f t="shared" si="9"/>
        <v>121</v>
      </c>
      <c r="L123" s="73" t="str">
        <f t="shared" si="8"/>
        <v/>
      </c>
    </row>
    <row r="124" spans="2:12">
      <c r="D124" t="str">
        <f>CONCATENATE(B124,"@",COUNTIF($B$3:$B124,B124))</f>
        <v>@0</v>
      </c>
      <c r="E124">
        <f t="shared" si="5"/>
        <v>0</v>
      </c>
      <c r="F124" s="73" t="str">
        <f>IF(G124="","",SUM($G$3:$G124))</f>
        <v/>
      </c>
      <c r="G124" s="73" t="str">
        <f t="shared" si="6"/>
        <v/>
      </c>
      <c r="H124" s="73" t="str">
        <f t="shared" si="7"/>
        <v/>
      </c>
      <c r="I124" s="73">
        <f>COUNTIF($B$3:$B124,B124)</f>
        <v>0</v>
      </c>
      <c r="K124">
        <f t="shared" si="9"/>
        <v>122</v>
      </c>
      <c r="L124" s="73" t="str">
        <f t="shared" si="8"/>
        <v/>
      </c>
    </row>
    <row r="125" spans="2:12">
      <c r="D125" t="str">
        <f>CONCATENATE(B125,"@",COUNTIF($B$3:$B125,B125))</f>
        <v>@0</v>
      </c>
      <c r="E125">
        <f t="shared" si="5"/>
        <v>0</v>
      </c>
      <c r="F125" s="73" t="str">
        <f>IF(G125="","",SUM($G$3:$G125))</f>
        <v/>
      </c>
      <c r="G125" s="73" t="str">
        <f t="shared" si="6"/>
        <v/>
      </c>
      <c r="H125" s="73" t="str">
        <f t="shared" si="7"/>
        <v/>
      </c>
      <c r="I125" s="73">
        <f>COUNTIF($B$3:$B125,B125)</f>
        <v>0</v>
      </c>
      <c r="K125">
        <f t="shared" si="9"/>
        <v>123</v>
      </c>
      <c r="L125" s="73" t="str">
        <f t="shared" si="8"/>
        <v/>
      </c>
    </row>
    <row r="126" spans="2:12">
      <c r="D126" t="str">
        <f>CONCATENATE(B126,"@",COUNTIF($B$3:$B126,B126))</f>
        <v>@0</v>
      </c>
      <c r="E126">
        <f t="shared" si="5"/>
        <v>0</v>
      </c>
      <c r="F126" s="73" t="str">
        <f>IF(G126="","",SUM($G$3:$G126))</f>
        <v/>
      </c>
      <c r="G126" s="73" t="str">
        <f t="shared" si="6"/>
        <v/>
      </c>
      <c r="H126" s="73" t="str">
        <f t="shared" si="7"/>
        <v/>
      </c>
      <c r="I126" s="73">
        <f>COUNTIF($B$3:$B126,B126)</f>
        <v>0</v>
      </c>
      <c r="K126">
        <f t="shared" si="9"/>
        <v>124</v>
      </c>
      <c r="L126" s="73" t="str">
        <f t="shared" si="8"/>
        <v/>
      </c>
    </row>
    <row r="127" spans="2:12">
      <c r="D127" t="str">
        <f>CONCATENATE(B127,"@",COUNTIF($B$3:$B127,B127))</f>
        <v>@0</v>
      </c>
      <c r="E127">
        <f t="shared" si="5"/>
        <v>0</v>
      </c>
      <c r="F127" s="73" t="str">
        <f>IF(G127="","",SUM($G$3:$G127))</f>
        <v/>
      </c>
      <c r="G127" s="73" t="str">
        <f t="shared" si="6"/>
        <v/>
      </c>
      <c r="H127" s="73" t="str">
        <f t="shared" si="7"/>
        <v/>
      </c>
      <c r="I127" s="73">
        <f>COUNTIF($B$3:$B127,B127)</f>
        <v>0</v>
      </c>
      <c r="K127">
        <f t="shared" si="9"/>
        <v>125</v>
      </c>
      <c r="L127" s="73" t="str">
        <f t="shared" si="8"/>
        <v/>
      </c>
    </row>
    <row r="128" spans="2:12">
      <c r="D128" t="str">
        <f>CONCATENATE(B128,"@",COUNTIF($B$3:$B128,B128))</f>
        <v>@0</v>
      </c>
      <c r="E128">
        <f t="shared" si="5"/>
        <v>0</v>
      </c>
      <c r="F128" s="73" t="str">
        <f>IF(G128="","",SUM($G$3:$G128))</f>
        <v/>
      </c>
      <c r="G128" s="73" t="str">
        <f t="shared" si="6"/>
        <v/>
      </c>
      <c r="H128" s="73" t="str">
        <f t="shared" si="7"/>
        <v/>
      </c>
      <c r="I128" s="73">
        <f>COUNTIF($B$3:$B128,B128)</f>
        <v>0</v>
      </c>
      <c r="K128">
        <f t="shared" si="9"/>
        <v>126</v>
      </c>
      <c r="L128" s="73" t="str">
        <f t="shared" si="8"/>
        <v/>
      </c>
    </row>
    <row r="129" spans="2:12">
      <c r="B129" t="s">
        <v>246</v>
      </c>
      <c r="C129" t="s">
        <v>59</v>
      </c>
      <c r="D129" t="str">
        <f>CONCATENATE(B129,"@",COUNTIF($B$3:$B129,B129))</f>
        <v>HCTE@1</v>
      </c>
      <c r="E129" t="str">
        <f t="shared" si="5"/>
        <v>W DT</v>
      </c>
      <c r="F129" s="73">
        <f>IF(G129="","",SUM($G$3:$G129))</f>
        <v>19</v>
      </c>
      <c r="G129" s="73">
        <f t="shared" si="6"/>
        <v>1</v>
      </c>
      <c r="H129" s="73" t="str">
        <f t="shared" si="7"/>
        <v>HCTE</v>
      </c>
      <c r="I129" s="73">
        <f>COUNTIF($B$3:$B129,B129)</f>
        <v>1</v>
      </c>
      <c r="K129">
        <f t="shared" si="9"/>
        <v>127</v>
      </c>
      <c r="L129" s="73" t="str">
        <f t="shared" si="8"/>
        <v/>
      </c>
    </row>
    <row r="130" spans="2:12">
      <c r="B130" t="s">
        <v>246</v>
      </c>
      <c r="C130" t="s">
        <v>55</v>
      </c>
      <c r="D130" t="str">
        <f>CONCATENATE(B130,"@",COUNTIF($B$3:$B130,B130))</f>
        <v>HCTE@2</v>
      </c>
      <c r="E130" t="str">
        <f t="shared" si="5"/>
        <v>E AV</v>
      </c>
      <c r="F130" s="73" t="str">
        <f>IF(G130="","",SUM($G$3:$G130))</f>
        <v/>
      </c>
      <c r="G130" s="73" t="str">
        <f t="shared" si="6"/>
        <v/>
      </c>
      <c r="H130" s="73" t="str">
        <f t="shared" si="7"/>
        <v/>
      </c>
      <c r="I130" s="73">
        <f>COUNTIF($B$3:$B130,B130)</f>
        <v>2</v>
      </c>
      <c r="K130">
        <f t="shared" si="9"/>
        <v>128</v>
      </c>
      <c r="L130" s="73" t="str">
        <f t="shared" si="8"/>
        <v/>
      </c>
    </row>
    <row r="131" spans="2:12">
      <c r="B131" t="s">
        <v>246</v>
      </c>
      <c r="C131" t="s">
        <v>53</v>
      </c>
      <c r="D131" t="str">
        <f>CONCATENATE(B131,"@",COUNTIF($B$3:$B131,B131))</f>
        <v>HCTE@3</v>
      </c>
      <c r="E131" t="str">
        <f t="shared" ref="E131:E194" si="10">C131</f>
        <v>E DT</v>
      </c>
      <c r="F131" s="73" t="str">
        <f>IF(G131="","",SUM($G$3:$G131))</f>
        <v/>
      </c>
      <c r="G131" s="73" t="str">
        <f t="shared" si="6"/>
        <v/>
      </c>
      <c r="H131" s="73" t="str">
        <f t="shared" si="7"/>
        <v/>
      </c>
      <c r="I131" s="73">
        <f>COUNTIF($B$3:$B131,B131)</f>
        <v>3</v>
      </c>
      <c r="K131">
        <f t="shared" si="9"/>
        <v>129</v>
      </c>
      <c r="L131" s="73" t="str">
        <f t="shared" si="8"/>
        <v/>
      </c>
    </row>
    <row r="132" spans="2:12">
      <c r="B132" t="s">
        <v>254</v>
      </c>
      <c r="C132" t="s">
        <v>59</v>
      </c>
      <c r="D132" t="str">
        <f>CONCATENATE(B132,"@",COUNTIF($B$3:$B132,B132))</f>
        <v>HCTW@1</v>
      </c>
      <c r="E132" t="str">
        <f t="shared" si="10"/>
        <v>W DT</v>
      </c>
      <c r="F132" s="73">
        <f>IF(G132="","",SUM($G$3:$G132))</f>
        <v>20</v>
      </c>
      <c r="G132" s="73">
        <f t="shared" ref="G132:G195" si="11">IF(H132="","",1)</f>
        <v>1</v>
      </c>
      <c r="H132" s="73" t="str">
        <f t="shared" ref="H132:H195" si="12">IF(I132=1,B132,"")</f>
        <v>HCTW</v>
      </c>
      <c r="I132" s="73">
        <f>COUNTIF($B$3:$B132,B132)</f>
        <v>1</v>
      </c>
      <c r="K132">
        <f t="shared" si="9"/>
        <v>130</v>
      </c>
      <c r="L132" s="73" t="str">
        <f t="shared" ref="L132:L195" si="13">IF(COUNTIF($F:$F,$K132)=0,"",VLOOKUP(K132,$F:$H,3,0))</f>
        <v/>
      </c>
    </row>
    <row r="133" spans="2:12">
      <c r="B133" t="s">
        <v>254</v>
      </c>
      <c r="C133" t="s">
        <v>55</v>
      </c>
      <c r="D133" t="str">
        <f>CONCATENATE(B133,"@",COUNTIF($B$3:$B133,B133))</f>
        <v>HCTW@2</v>
      </c>
      <c r="E133" t="str">
        <f t="shared" si="10"/>
        <v>E AV</v>
      </c>
      <c r="F133" s="73" t="str">
        <f>IF(G133="","",SUM($G$3:$G133))</f>
        <v/>
      </c>
      <c r="G133" s="73" t="str">
        <f t="shared" si="11"/>
        <v/>
      </c>
      <c r="H133" s="73" t="str">
        <f t="shared" si="12"/>
        <v/>
      </c>
      <c r="I133" s="73">
        <f>COUNTIF($B$3:$B133,B133)</f>
        <v>2</v>
      </c>
      <c r="K133">
        <f t="shared" ref="K133:K196" si="14">K132+1</f>
        <v>131</v>
      </c>
      <c r="L133" s="73" t="str">
        <f t="shared" si="13"/>
        <v/>
      </c>
    </row>
    <row r="134" spans="2:12">
      <c r="B134" t="s">
        <v>254</v>
      </c>
      <c r="C134" t="s">
        <v>53</v>
      </c>
      <c r="D134" t="str">
        <f>CONCATENATE(B134,"@",COUNTIF($B$3:$B134,B134))</f>
        <v>HCTW@3</v>
      </c>
      <c r="E134" t="str">
        <f t="shared" si="10"/>
        <v>E DT</v>
      </c>
      <c r="F134" s="73" t="str">
        <f>IF(G134="","",SUM($G$3:$G134))</f>
        <v/>
      </c>
      <c r="G134" s="73" t="str">
        <f t="shared" si="11"/>
        <v/>
      </c>
      <c r="H134" s="73" t="str">
        <f t="shared" si="12"/>
        <v/>
      </c>
      <c r="I134" s="73">
        <f>COUNTIF($B$3:$B134,B134)</f>
        <v>3</v>
      </c>
      <c r="K134">
        <f t="shared" si="14"/>
        <v>132</v>
      </c>
      <c r="L134" s="73" t="str">
        <f t="shared" si="13"/>
        <v/>
      </c>
    </row>
    <row r="135" spans="2:12">
      <c r="B135" t="s">
        <v>171</v>
      </c>
      <c r="C135" t="s">
        <v>55</v>
      </c>
      <c r="D135" t="str">
        <f>CONCATENATE(B135,"@",COUNTIF($B$3:$B135,B135))</f>
        <v>HM1@1</v>
      </c>
      <c r="E135" t="str">
        <f t="shared" si="10"/>
        <v>E AV</v>
      </c>
      <c r="F135" s="73">
        <f>IF(G135="","",SUM($G$3:$G135))</f>
        <v>21</v>
      </c>
      <c r="G135" s="73">
        <f t="shared" si="11"/>
        <v>1</v>
      </c>
      <c r="H135" s="73" t="str">
        <f t="shared" si="12"/>
        <v>HM1</v>
      </c>
      <c r="I135" s="73">
        <f>COUNTIF($B$3:$B135,B135)</f>
        <v>1</v>
      </c>
      <c r="K135">
        <f t="shared" si="14"/>
        <v>133</v>
      </c>
      <c r="L135" s="73" t="str">
        <f t="shared" si="13"/>
        <v/>
      </c>
    </row>
    <row r="136" spans="2:12">
      <c r="B136" t="s">
        <v>171</v>
      </c>
      <c r="C136" t="s">
        <v>53</v>
      </c>
      <c r="D136" t="str">
        <f>CONCATENATE(B136,"@",COUNTIF($B$3:$B136,B136))</f>
        <v>HM1@2</v>
      </c>
      <c r="E136" t="str">
        <f t="shared" si="10"/>
        <v>E DT</v>
      </c>
      <c r="F136" s="73" t="str">
        <f>IF(G136="","",SUM($G$3:$G136))</f>
        <v/>
      </c>
      <c r="G136" s="73" t="str">
        <f t="shared" si="11"/>
        <v/>
      </c>
      <c r="H136" s="73" t="str">
        <f t="shared" si="12"/>
        <v/>
      </c>
      <c r="I136" s="73">
        <f>COUNTIF($B$3:$B136,B136)</f>
        <v>2</v>
      </c>
      <c r="K136">
        <f t="shared" si="14"/>
        <v>134</v>
      </c>
      <c r="L136" s="73" t="str">
        <f t="shared" si="13"/>
        <v/>
      </c>
    </row>
    <row r="137" spans="2:12">
      <c r="B137" t="s">
        <v>182</v>
      </c>
      <c r="C137" t="s">
        <v>55</v>
      </c>
      <c r="D137" t="str">
        <f>CONCATENATE(B137,"@",COUNTIF($B$3:$B137,B137))</f>
        <v>HM2@1</v>
      </c>
      <c r="E137" t="str">
        <f t="shared" si="10"/>
        <v>E AV</v>
      </c>
      <c r="F137" s="73">
        <f>IF(G137="","",SUM($G$3:$G137))</f>
        <v>22</v>
      </c>
      <c r="G137" s="73">
        <f t="shared" si="11"/>
        <v>1</v>
      </c>
      <c r="H137" s="73" t="str">
        <f t="shared" si="12"/>
        <v>HM2</v>
      </c>
      <c r="I137" s="73">
        <f>COUNTIF($B$3:$B137,B137)</f>
        <v>1</v>
      </c>
      <c r="K137">
        <f t="shared" si="14"/>
        <v>135</v>
      </c>
      <c r="L137" s="73" t="str">
        <f t="shared" si="13"/>
        <v/>
      </c>
    </row>
    <row r="138" spans="2:12">
      <c r="B138" t="s">
        <v>182</v>
      </c>
      <c r="C138" t="s">
        <v>53</v>
      </c>
      <c r="D138" t="str">
        <f>CONCATENATE(B138,"@",COUNTIF($B$3:$B138,B138))</f>
        <v>HM2@2</v>
      </c>
      <c r="E138" t="str">
        <f t="shared" si="10"/>
        <v>E DT</v>
      </c>
      <c r="F138" s="73" t="str">
        <f>IF(G138="","",SUM($G$3:$G138))</f>
        <v/>
      </c>
      <c r="G138" s="73" t="str">
        <f t="shared" si="11"/>
        <v/>
      </c>
      <c r="H138" s="73" t="str">
        <f t="shared" si="12"/>
        <v/>
      </c>
      <c r="I138" s="73">
        <f>COUNTIF($B$3:$B138,B138)</f>
        <v>2</v>
      </c>
      <c r="K138">
        <f t="shared" si="14"/>
        <v>136</v>
      </c>
      <c r="L138" s="73" t="str">
        <f t="shared" si="13"/>
        <v/>
      </c>
    </row>
    <row r="139" spans="2:12">
      <c r="B139" t="s">
        <v>191</v>
      </c>
      <c r="C139" t="s">
        <v>55</v>
      </c>
      <c r="D139" t="str">
        <f>CONCATENATE(B139,"@",COUNTIF($B$3:$B139,B139))</f>
        <v>HM3@1</v>
      </c>
      <c r="E139" t="str">
        <f t="shared" si="10"/>
        <v>E AV</v>
      </c>
      <c r="F139" s="73">
        <f>IF(G139="","",SUM($G$3:$G139))</f>
        <v>23</v>
      </c>
      <c r="G139" s="73">
        <f t="shared" si="11"/>
        <v>1</v>
      </c>
      <c r="H139" s="73" t="str">
        <f t="shared" si="12"/>
        <v>HM3</v>
      </c>
      <c r="I139" s="73">
        <f>COUNTIF($B$3:$B139,B139)</f>
        <v>1</v>
      </c>
      <c r="K139">
        <f t="shared" si="14"/>
        <v>137</v>
      </c>
      <c r="L139" s="73" t="str">
        <f t="shared" si="13"/>
        <v/>
      </c>
    </row>
    <row r="140" spans="2:12">
      <c r="B140" t="s">
        <v>191</v>
      </c>
      <c r="C140" t="s">
        <v>53</v>
      </c>
      <c r="D140" t="str">
        <f>CONCATENATE(B140,"@",COUNTIF($B$3:$B140,B140))</f>
        <v>HM3@2</v>
      </c>
      <c r="E140" t="str">
        <f t="shared" si="10"/>
        <v>E DT</v>
      </c>
      <c r="F140" s="73" t="str">
        <f>IF(G140="","",SUM($G$3:$G140))</f>
        <v/>
      </c>
      <c r="G140" s="73" t="str">
        <f t="shared" si="11"/>
        <v/>
      </c>
      <c r="H140" s="73" t="str">
        <f t="shared" si="12"/>
        <v/>
      </c>
      <c r="I140" s="73">
        <f>COUNTIF($B$3:$B140,B140)</f>
        <v>2</v>
      </c>
      <c r="K140">
        <f t="shared" si="14"/>
        <v>138</v>
      </c>
      <c r="L140" s="73" t="str">
        <f t="shared" si="13"/>
        <v/>
      </c>
    </row>
    <row r="141" spans="2:12">
      <c r="D141" t="str">
        <f>CONCATENATE(B141,"@",COUNTIF($B$3:$B141,B141))</f>
        <v>@0</v>
      </c>
      <c r="E141">
        <f t="shared" si="10"/>
        <v>0</v>
      </c>
      <c r="F141" s="73" t="str">
        <f>IF(G141="","",SUM($G$3:$G141))</f>
        <v/>
      </c>
      <c r="G141" s="73" t="str">
        <f t="shared" si="11"/>
        <v/>
      </c>
      <c r="H141" s="73" t="str">
        <f t="shared" si="12"/>
        <v/>
      </c>
      <c r="I141" s="73">
        <f>COUNTIF($B$3:$B141,B141)</f>
        <v>0</v>
      </c>
      <c r="K141">
        <f t="shared" si="14"/>
        <v>139</v>
      </c>
      <c r="L141" s="73" t="str">
        <f t="shared" si="13"/>
        <v/>
      </c>
    </row>
    <row r="142" spans="2:12">
      <c r="D142" t="str">
        <f>CONCATENATE(B142,"@",COUNTIF($B$3:$B142,B142))</f>
        <v>@0</v>
      </c>
      <c r="E142">
        <f t="shared" si="10"/>
        <v>0</v>
      </c>
      <c r="F142" s="73" t="str">
        <f>IF(G142="","",SUM($G$3:$G142))</f>
        <v/>
      </c>
      <c r="G142" s="73" t="str">
        <f t="shared" si="11"/>
        <v/>
      </c>
      <c r="H142" s="73" t="str">
        <f t="shared" si="12"/>
        <v/>
      </c>
      <c r="I142" s="73">
        <f>COUNTIF($B$3:$B142,B142)</f>
        <v>0</v>
      </c>
      <c r="K142">
        <f t="shared" si="14"/>
        <v>140</v>
      </c>
      <c r="L142" s="73" t="str">
        <f t="shared" si="13"/>
        <v/>
      </c>
    </row>
    <row r="143" spans="2:12">
      <c r="B143" t="s">
        <v>82</v>
      </c>
      <c r="C143" t="s">
        <v>55</v>
      </c>
      <c r="D143" t="str">
        <f>CONCATENATE(B143,"@",COUNTIF($B$3:$B143,B143))</f>
        <v>LF3@1</v>
      </c>
      <c r="E143" t="str">
        <f t="shared" si="10"/>
        <v>E AV</v>
      </c>
      <c r="F143" s="73">
        <f>IF(G143="","",SUM($G$3:$G143))</f>
        <v>24</v>
      </c>
      <c r="G143" s="73">
        <f t="shared" si="11"/>
        <v>1</v>
      </c>
      <c r="H143" s="73" t="str">
        <f t="shared" si="12"/>
        <v>LF3</v>
      </c>
      <c r="I143" s="73">
        <f>COUNTIF($B$3:$B143,B143)</f>
        <v>1</v>
      </c>
      <c r="K143">
        <f t="shared" si="14"/>
        <v>141</v>
      </c>
      <c r="L143" s="73" t="str">
        <f t="shared" si="13"/>
        <v/>
      </c>
    </row>
    <row r="144" spans="2:12">
      <c r="B144" t="s">
        <v>82</v>
      </c>
      <c r="C144" t="s">
        <v>53</v>
      </c>
      <c r="D144" t="str">
        <f>CONCATENATE(B144,"@",COUNTIF($B$3:$B144,B144))</f>
        <v>LF3@2</v>
      </c>
      <c r="E144" t="str">
        <f t="shared" si="10"/>
        <v>E DT</v>
      </c>
      <c r="F144" s="73" t="str">
        <f>IF(G144="","",SUM($G$3:$G144))</f>
        <v/>
      </c>
      <c r="G144" s="73" t="str">
        <f t="shared" si="11"/>
        <v/>
      </c>
      <c r="H144" s="73" t="str">
        <f t="shared" si="12"/>
        <v/>
      </c>
      <c r="I144" s="73">
        <f>COUNTIF($B$3:$B144,B144)</f>
        <v>2</v>
      </c>
      <c r="K144">
        <f t="shared" si="14"/>
        <v>142</v>
      </c>
      <c r="L144" s="73" t="str">
        <f t="shared" si="13"/>
        <v/>
      </c>
    </row>
    <row r="145" spans="2:12">
      <c r="B145" t="s">
        <v>83</v>
      </c>
      <c r="C145" t="s">
        <v>55</v>
      </c>
      <c r="D145" t="str">
        <f>CONCATENATE(B145,"@",COUNTIF($B$3:$B145,B145))</f>
        <v>LF4@1</v>
      </c>
      <c r="E145" t="str">
        <f t="shared" si="10"/>
        <v>E AV</v>
      </c>
      <c r="F145" s="73">
        <f>IF(G145="","",SUM($G$3:$G145))</f>
        <v>25</v>
      </c>
      <c r="G145" s="73">
        <f t="shared" si="11"/>
        <v>1</v>
      </c>
      <c r="H145" s="73" t="str">
        <f t="shared" si="12"/>
        <v>LF4</v>
      </c>
      <c r="I145" s="73">
        <f>COUNTIF($B$3:$B145,B145)</f>
        <v>1</v>
      </c>
      <c r="K145">
        <f t="shared" si="14"/>
        <v>143</v>
      </c>
      <c r="L145" s="73" t="str">
        <f t="shared" si="13"/>
        <v/>
      </c>
    </row>
    <row r="146" spans="2:12">
      <c r="B146" t="s">
        <v>83</v>
      </c>
      <c r="C146" t="s">
        <v>53</v>
      </c>
      <c r="D146" t="str">
        <f>CONCATENATE(B146,"@",COUNTIF($B$3:$B146,B146))</f>
        <v>LF4@2</v>
      </c>
      <c r="E146" t="str">
        <f t="shared" si="10"/>
        <v>E DT</v>
      </c>
      <c r="F146" s="73" t="str">
        <f>IF(G146="","",SUM($G$3:$G146))</f>
        <v/>
      </c>
      <c r="G146" s="73" t="str">
        <f t="shared" si="11"/>
        <v/>
      </c>
      <c r="H146" s="73" t="str">
        <f t="shared" si="12"/>
        <v/>
      </c>
      <c r="I146" s="73">
        <f>COUNTIF($B$3:$B146,B146)</f>
        <v>2</v>
      </c>
      <c r="K146">
        <f t="shared" si="14"/>
        <v>144</v>
      </c>
      <c r="L146" s="73" t="str">
        <f t="shared" si="13"/>
        <v/>
      </c>
    </row>
    <row r="147" spans="2:12">
      <c r="B147" t="s">
        <v>149</v>
      </c>
      <c r="C147" t="s">
        <v>383</v>
      </c>
      <c r="D147" t="str">
        <f>CONCATENATE(B147,"@",COUNTIF($B$3:$B147,B147))</f>
        <v>LS1@1</v>
      </c>
      <c r="E147" t="str">
        <f t="shared" si="10"/>
        <v>LS2</v>
      </c>
      <c r="F147" s="73">
        <f>IF(G147="","",SUM($G$3:$G147))</f>
        <v>26</v>
      </c>
      <c r="G147" s="73">
        <f t="shared" si="11"/>
        <v>1</v>
      </c>
      <c r="H147" s="73" t="str">
        <f t="shared" si="12"/>
        <v>LS1</v>
      </c>
      <c r="I147" s="73">
        <f>COUNTIF($B$3:$B147,B147)</f>
        <v>1</v>
      </c>
      <c r="K147">
        <f t="shared" si="14"/>
        <v>145</v>
      </c>
      <c r="L147" s="73" t="str">
        <f t="shared" si="13"/>
        <v/>
      </c>
    </row>
    <row r="148" spans="2:12">
      <c r="B148" t="s">
        <v>149</v>
      </c>
      <c r="C148" t="s">
        <v>531</v>
      </c>
      <c r="D148" t="str">
        <f>CONCATENATE(B148,"@",COUNTIF($B$3:$B148,B148))</f>
        <v>LS1@2</v>
      </c>
      <c r="E148" t="str">
        <f t="shared" si="10"/>
        <v>LS3</v>
      </c>
      <c r="F148" s="73" t="str">
        <f>IF(G148="","",SUM($G$3:$G148))</f>
        <v/>
      </c>
      <c r="G148" s="73" t="str">
        <f t="shared" si="11"/>
        <v/>
      </c>
      <c r="H148" s="73" t="str">
        <f t="shared" si="12"/>
        <v/>
      </c>
      <c r="I148" s="73">
        <f>COUNTIF($B$3:$B148,B148)</f>
        <v>2</v>
      </c>
      <c r="K148">
        <f t="shared" si="14"/>
        <v>146</v>
      </c>
      <c r="L148" s="73" t="str">
        <f t="shared" si="13"/>
        <v/>
      </c>
    </row>
    <row r="149" spans="2:12">
      <c r="D149" t="str">
        <f>CONCATENATE(B149,"@",COUNTIF($B$3:$B149,B149))</f>
        <v>@0</v>
      </c>
      <c r="E149">
        <f t="shared" si="10"/>
        <v>0</v>
      </c>
      <c r="F149" s="73" t="str">
        <f>IF(G149="","",SUM($G$3:$G149))</f>
        <v/>
      </c>
      <c r="G149" s="73" t="str">
        <f t="shared" si="11"/>
        <v/>
      </c>
      <c r="H149" s="73" t="str">
        <f t="shared" si="12"/>
        <v/>
      </c>
      <c r="I149" s="73">
        <f>COUNTIF($B$3:$B149,B149)</f>
        <v>0</v>
      </c>
      <c r="K149">
        <f t="shared" si="14"/>
        <v>147</v>
      </c>
      <c r="L149" s="73" t="str">
        <f t="shared" si="13"/>
        <v/>
      </c>
    </row>
    <row r="150" spans="2:12">
      <c r="D150" t="str">
        <f>CONCATENATE(B150,"@",COUNTIF($B$3:$B150,B150))</f>
        <v>@0</v>
      </c>
      <c r="E150">
        <f t="shared" si="10"/>
        <v>0</v>
      </c>
      <c r="F150" s="73" t="str">
        <f>IF(G150="","",SUM($G$3:$G150))</f>
        <v/>
      </c>
      <c r="G150" s="73" t="str">
        <f t="shared" si="11"/>
        <v/>
      </c>
      <c r="H150" s="73" t="str">
        <f t="shared" si="12"/>
        <v/>
      </c>
      <c r="I150" s="73">
        <f>COUNTIF($B$3:$B150,B150)</f>
        <v>0</v>
      </c>
      <c r="K150">
        <f t="shared" si="14"/>
        <v>148</v>
      </c>
      <c r="L150" s="73" t="str">
        <f t="shared" si="13"/>
        <v/>
      </c>
    </row>
    <row r="151" spans="2:12">
      <c r="B151" t="s">
        <v>383</v>
      </c>
      <c r="C151" t="s">
        <v>149</v>
      </c>
      <c r="D151" t="str">
        <f>CONCATENATE(B151,"@",COUNTIF($B$3:$B151,B151))</f>
        <v>LS2@1</v>
      </c>
      <c r="E151" t="str">
        <f t="shared" si="10"/>
        <v>LS1</v>
      </c>
      <c r="F151" s="73">
        <f>IF(G151="","",SUM($G$3:$G151))</f>
        <v>27</v>
      </c>
      <c r="G151" s="73">
        <f t="shared" si="11"/>
        <v>1</v>
      </c>
      <c r="H151" s="73" t="str">
        <f t="shared" si="12"/>
        <v>LS2</v>
      </c>
      <c r="I151" s="73">
        <f>COUNTIF($B$3:$B151,B151)</f>
        <v>1</v>
      </c>
      <c r="K151">
        <f t="shared" si="14"/>
        <v>149</v>
      </c>
      <c r="L151" s="73" t="str">
        <f t="shared" si="13"/>
        <v/>
      </c>
    </row>
    <row r="152" spans="2:12">
      <c r="B152" t="s">
        <v>383</v>
      </c>
      <c r="C152" t="s">
        <v>531</v>
      </c>
      <c r="D152" t="str">
        <f>CONCATENATE(B152,"@",COUNTIF($B$3:$B152,B152))</f>
        <v>LS2@2</v>
      </c>
      <c r="E152" t="str">
        <f t="shared" si="10"/>
        <v>LS3</v>
      </c>
      <c r="F152" s="73" t="str">
        <f>IF(G152="","",SUM($G$3:$G152))</f>
        <v/>
      </c>
      <c r="G152" s="73" t="str">
        <f t="shared" si="11"/>
        <v/>
      </c>
      <c r="H152" s="73" t="str">
        <f t="shared" si="12"/>
        <v/>
      </c>
      <c r="I152" s="73">
        <f>COUNTIF($B$3:$B152,B152)</f>
        <v>2</v>
      </c>
      <c r="K152">
        <f t="shared" si="14"/>
        <v>150</v>
      </c>
      <c r="L152" s="73" t="str">
        <f t="shared" si="13"/>
        <v/>
      </c>
    </row>
    <row r="153" spans="2:12">
      <c r="D153" t="str">
        <f>CONCATENATE(B153,"@",COUNTIF($B$3:$B153,B153))</f>
        <v>@0</v>
      </c>
      <c r="E153">
        <f t="shared" si="10"/>
        <v>0</v>
      </c>
      <c r="F153" s="73" t="str">
        <f>IF(G153="","",SUM($G$3:$G153))</f>
        <v/>
      </c>
      <c r="G153" s="73" t="str">
        <f t="shared" si="11"/>
        <v/>
      </c>
      <c r="H153" s="73" t="str">
        <f t="shared" si="12"/>
        <v/>
      </c>
      <c r="I153" s="73">
        <f>COUNTIF($B$3:$B153,B153)</f>
        <v>0</v>
      </c>
      <c r="K153">
        <f t="shared" si="14"/>
        <v>151</v>
      </c>
      <c r="L153" s="73" t="str">
        <f t="shared" si="13"/>
        <v/>
      </c>
    </row>
    <row r="154" spans="2:12">
      <c r="D154" t="str">
        <f>CONCATENATE(B154,"@",COUNTIF($B$3:$B154,B154))</f>
        <v>@0</v>
      </c>
      <c r="E154">
        <f t="shared" si="10"/>
        <v>0</v>
      </c>
      <c r="F154" s="73" t="str">
        <f>IF(G154="","",SUM($G$3:$G154))</f>
        <v/>
      </c>
      <c r="G154" s="73" t="str">
        <f t="shared" si="11"/>
        <v/>
      </c>
      <c r="H154" s="73" t="str">
        <f t="shared" si="12"/>
        <v/>
      </c>
      <c r="I154" s="73">
        <f>COUNTIF($B$3:$B154,B154)</f>
        <v>0</v>
      </c>
      <c r="K154">
        <f t="shared" si="14"/>
        <v>152</v>
      </c>
      <c r="L154" s="73" t="str">
        <f t="shared" si="13"/>
        <v/>
      </c>
    </row>
    <row r="155" spans="2:12">
      <c r="B155" t="s">
        <v>531</v>
      </c>
      <c r="C155" t="s">
        <v>149</v>
      </c>
      <c r="D155" t="str">
        <f>CONCATENATE(B155,"@",COUNTIF($B$3:$B155,B155))</f>
        <v>LS3@1</v>
      </c>
      <c r="E155" t="str">
        <f t="shared" si="10"/>
        <v>LS1</v>
      </c>
      <c r="F155" s="73">
        <f>IF(G155="","",SUM($G$3:$G155))</f>
        <v>28</v>
      </c>
      <c r="G155" s="73">
        <f t="shared" si="11"/>
        <v>1</v>
      </c>
      <c r="H155" s="73" t="str">
        <f t="shared" si="12"/>
        <v>LS3</v>
      </c>
      <c r="I155" s="73">
        <f>COUNTIF($B$3:$B155,B155)</f>
        <v>1</v>
      </c>
      <c r="K155">
        <f t="shared" si="14"/>
        <v>153</v>
      </c>
      <c r="L155" s="73" t="str">
        <f t="shared" si="13"/>
        <v/>
      </c>
    </row>
    <row r="156" spans="2:12">
      <c r="B156" t="s">
        <v>531</v>
      </c>
      <c r="C156" t="s">
        <v>383</v>
      </c>
      <c r="D156" t="str">
        <f>CONCATENATE(B156,"@",COUNTIF($B$3:$B156,B156))</f>
        <v>LS3@2</v>
      </c>
      <c r="E156" t="str">
        <f t="shared" si="10"/>
        <v>LS2</v>
      </c>
      <c r="F156" s="73" t="str">
        <f>IF(G156="","",SUM($G$3:$G156))</f>
        <v/>
      </c>
      <c r="G156" s="73" t="str">
        <f t="shared" si="11"/>
        <v/>
      </c>
      <c r="H156" s="73" t="str">
        <f t="shared" si="12"/>
        <v/>
      </c>
      <c r="I156" s="73">
        <f>COUNTIF($B$3:$B156,B156)</f>
        <v>2</v>
      </c>
      <c r="K156">
        <f t="shared" si="14"/>
        <v>154</v>
      </c>
      <c r="L156" s="73" t="str">
        <f t="shared" si="13"/>
        <v/>
      </c>
    </row>
    <row r="157" spans="2:12">
      <c r="D157" t="str">
        <f>CONCATENATE(B157,"@",COUNTIF($B$3:$B157,B157))</f>
        <v>@0</v>
      </c>
      <c r="E157">
        <f t="shared" si="10"/>
        <v>0</v>
      </c>
      <c r="F157" s="73" t="str">
        <f>IF(G157="","",SUM($G$3:$G157))</f>
        <v/>
      </c>
      <c r="G157" s="73" t="str">
        <f t="shared" si="11"/>
        <v/>
      </c>
      <c r="H157" s="73" t="str">
        <f t="shared" si="12"/>
        <v/>
      </c>
      <c r="I157" s="73">
        <f>COUNTIF($B$3:$B157,B157)</f>
        <v>0</v>
      </c>
      <c r="K157">
        <f t="shared" si="14"/>
        <v>155</v>
      </c>
      <c r="L157" s="73" t="str">
        <f t="shared" si="13"/>
        <v/>
      </c>
    </row>
    <row r="158" spans="2:12">
      <c r="D158" t="str">
        <f>CONCATENATE(B158,"@",COUNTIF($B$3:$B158,B158))</f>
        <v>@0</v>
      </c>
      <c r="E158">
        <f t="shared" si="10"/>
        <v>0</v>
      </c>
      <c r="F158" s="73" t="str">
        <f>IF(G158="","",SUM($G$3:$G158))</f>
        <v/>
      </c>
      <c r="G158" s="73" t="str">
        <f t="shared" si="11"/>
        <v/>
      </c>
      <c r="H158" s="73" t="str">
        <f t="shared" si="12"/>
        <v/>
      </c>
      <c r="I158" s="73">
        <f>COUNTIF($B$3:$B158,B158)</f>
        <v>0</v>
      </c>
      <c r="K158">
        <f t="shared" si="14"/>
        <v>156</v>
      </c>
      <c r="L158" s="73" t="str">
        <f t="shared" si="13"/>
        <v/>
      </c>
    </row>
    <row r="159" spans="2:12">
      <c r="B159" t="s">
        <v>863</v>
      </c>
      <c r="C159" t="s">
        <v>994</v>
      </c>
      <c r="D159" t="str">
        <f>CONCATENATE(B159,"@",COUNTIF($B$3:$B159,B159))</f>
        <v>M1@1</v>
      </c>
      <c r="E159" t="str">
        <f t="shared" si="10"/>
        <v>M2</v>
      </c>
      <c r="F159" s="73">
        <f>IF(G159="","",SUM($G$3:$G159))</f>
        <v>29</v>
      </c>
      <c r="G159" s="73">
        <f t="shared" si="11"/>
        <v>1</v>
      </c>
      <c r="H159" s="73" t="str">
        <f t="shared" si="12"/>
        <v>M1</v>
      </c>
      <c r="I159" s="73">
        <f>COUNTIF($B$3:$B159,B159)</f>
        <v>1</v>
      </c>
      <c r="K159">
        <f t="shared" si="14"/>
        <v>157</v>
      </c>
      <c r="L159" s="73" t="str">
        <f t="shared" si="13"/>
        <v/>
      </c>
    </row>
    <row r="160" spans="2:12">
      <c r="B160" t="s">
        <v>863</v>
      </c>
      <c r="C160" t="s">
        <v>1142</v>
      </c>
      <c r="D160" t="str">
        <f>CONCATENATE(B160,"@",COUNTIF($B$3:$B160,B160))</f>
        <v>M1@2</v>
      </c>
      <c r="E160" t="str">
        <f t="shared" si="10"/>
        <v>M3</v>
      </c>
      <c r="F160" s="73" t="str">
        <f>IF(G160="","",SUM($G$3:$G160))</f>
        <v/>
      </c>
      <c r="G160" s="73" t="str">
        <f t="shared" si="11"/>
        <v/>
      </c>
      <c r="H160" s="73" t="str">
        <f t="shared" si="12"/>
        <v/>
      </c>
      <c r="I160" s="73">
        <f>COUNTIF($B$3:$B160,B160)</f>
        <v>2</v>
      </c>
      <c r="K160">
        <f t="shared" si="14"/>
        <v>158</v>
      </c>
      <c r="L160" s="73" t="str">
        <f t="shared" si="13"/>
        <v/>
      </c>
    </row>
    <row r="161" spans="2:12">
      <c r="B161" t="s">
        <v>863</v>
      </c>
      <c r="C161" t="s">
        <v>331</v>
      </c>
      <c r="D161" t="str">
        <f>CONCATENATE(B161,"@",COUNTIF($B$3:$B161,B161))</f>
        <v>M1@3</v>
      </c>
      <c r="E161" t="str">
        <f t="shared" si="10"/>
        <v>M4</v>
      </c>
      <c r="F161" s="73" t="str">
        <f>IF(G161="","",SUM($G$3:$G161))</f>
        <v/>
      </c>
      <c r="G161" s="73" t="str">
        <f t="shared" si="11"/>
        <v/>
      </c>
      <c r="H161" s="73" t="str">
        <f t="shared" si="12"/>
        <v/>
      </c>
      <c r="I161" s="73">
        <f>COUNTIF($B$3:$B161,B161)</f>
        <v>3</v>
      </c>
      <c r="K161">
        <f t="shared" si="14"/>
        <v>159</v>
      </c>
      <c r="L161" s="73" t="str">
        <f t="shared" si="13"/>
        <v/>
      </c>
    </row>
    <row r="162" spans="2:12">
      <c r="B162" t="s">
        <v>863</v>
      </c>
      <c r="C162" t="s">
        <v>1381</v>
      </c>
      <c r="D162" t="str">
        <f>CONCATENATE(B162,"@",COUNTIF($B$3:$B162,B162))</f>
        <v>M1@4</v>
      </c>
      <c r="E162" t="str">
        <f t="shared" si="10"/>
        <v>M5</v>
      </c>
      <c r="F162" s="73" t="str">
        <f>IF(G162="","",SUM($G$3:$G162))</f>
        <v/>
      </c>
      <c r="G162" s="73" t="str">
        <f t="shared" si="11"/>
        <v/>
      </c>
      <c r="H162" s="73" t="str">
        <f t="shared" si="12"/>
        <v/>
      </c>
      <c r="I162" s="73">
        <f>COUNTIF($B$3:$B162,B162)</f>
        <v>4</v>
      </c>
      <c r="K162">
        <f t="shared" si="14"/>
        <v>160</v>
      </c>
      <c r="L162" s="73" t="str">
        <f t="shared" si="13"/>
        <v/>
      </c>
    </row>
    <row r="163" spans="2:12">
      <c r="B163" t="s">
        <v>863</v>
      </c>
      <c r="C163" t="s">
        <v>55</v>
      </c>
      <c r="D163" t="str">
        <f>CONCATENATE(B163,"@",COUNTIF($B$3:$B163,B163))</f>
        <v>M1@5</v>
      </c>
      <c r="E163" t="str">
        <f t="shared" si="10"/>
        <v>E AV</v>
      </c>
      <c r="F163" s="73" t="str">
        <f>IF(G163="","",SUM($G$3:$G163))</f>
        <v/>
      </c>
      <c r="G163" s="73" t="str">
        <f t="shared" si="11"/>
        <v/>
      </c>
      <c r="H163" s="73" t="str">
        <f t="shared" si="12"/>
        <v/>
      </c>
      <c r="I163" s="73">
        <f>COUNTIF($B$3:$B163,B163)</f>
        <v>5</v>
      </c>
      <c r="K163">
        <f t="shared" si="14"/>
        <v>161</v>
      </c>
      <c r="L163" s="73" t="str">
        <f t="shared" si="13"/>
        <v/>
      </c>
    </row>
    <row r="164" spans="2:12">
      <c r="B164" t="s">
        <v>863</v>
      </c>
      <c r="C164" t="s">
        <v>53</v>
      </c>
      <c r="D164" t="str">
        <f>CONCATENATE(B164,"@",COUNTIF($B$3:$B164,B164))</f>
        <v>M1@6</v>
      </c>
      <c r="E164" t="str">
        <f t="shared" si="10"/>
        <v>E DT</v>
      </c>
      <c r="F164" s="73" t="str">
        <f>IF(G164="","",SUM($G$3:$G164))</f>
        <v/>
      </c>
      <c r="G164" s="73" t="str">
        <f t="shared" si="11"/>
        <v/>
      </c>
      <c r="H164" s="73" t="str">
        <f t="shared" si="12"/>
        <v/>
      </c>
      <c r="I164" s="73">
        <f>COUNTIF($B$3:$B164,B164)</f>
        <v>6</v>
      </c>
      <c r="K164">
        <f t="shared" si="14"/>
        <v>162</v>
      </c>
      <c r="L164" s="73" t="str">
        <f t="shared" si="13"/>
        <v/>
      </c>
    </row>
    <row r="165" spans="2:12">
      <c r="D165" t="str">
        <f>CONCATENATE(B165,"@",COUNTIF($B$3:$B165,B165))</f>
        <v>@0</v>
      </c>
      <c r="E165">
        <f t="shared" si="10"/>
        <v>0</v>
      </c>
      <c r="F165" s="73" t="str">
        <f>IF(G165="","",SUM($G$3:$G165))</f>
        <v/>
      </c>
      <c r="G165" s="73" t="str">
        <f t="shared" si="11"/>
        <v/>
      </c>
      <c r="H165" s="73" t="str">
        <f t="shared" si="12"/>
        <v/>
      </c>
      <c r="I165" s="73">
        <f>COUNTIF($B$3:$B165,B165)</f>
        <v>0</v>
      </c>
      <c r="K165">
        <f t="shared" si="14"/>
        <v>163</v>
      </c>
      <c r="L165" s="73" t="str">
        <f t="shared" si="13"/>
        <v/>
      </c>
    </row>
    <row r="166" spans="2:12">
      <c r="B166" t="s">
        <v>994</v>
      </c>
      <c r="C166" t="s">
        <v>1142</v>
      </c>
      <c r="D166" t="str">
        <f>CONCATENATE(B166,"@",COUNTIF($B$3:$B166,B166))</f>
        <v>M2@1</v>
      </c>
      <c r="E166" t="str">
        <f t="shared" si="10"/>
        <v>M3</v>
      </c>
      <c r="F166" s="73">
        <f>IF(G166="","",SUM($G$3:$G166))</f>
        <v>30</v>
      </c>
      <c r="G166" s="73">
        <f t="shared" si="11"/>
        <v>1</v>
      </c>
      <c r="H166" s="73" t="str">
        <f t="shared" si="12"/>
        <v>M2</v>
      </c>
      <c r="I166" s="73">
        <f>COUNTIF($B$3:$B166,B166)</f>
        <v>1</v>
      </c>
      <c r="K166">
        <f t="shared" si="14"/>
        <v>164</v>
      </c>
      <c r="L166" s="73" t="str">
        <f t="shared" si="13"/>
        <v/>
      </c>
    </row>
    <row r="167" spans="2:12">
      <c r="B167" t="s">
        <v>994</v>
      </c>
      <c r="C167" t="s">
        <v>331</v>
      </c>
      <c r="D167" t="str">
        <f>CONCATENATE(B167,"@",COUNTIF($B$3:$B167,B167))</f>
        <v>M2@2</v>
      </c>
      <c r="E167" t="str">
        <f t="shared" si="10"/>
        <v>M4</v>
      </c>
      <c r="F167" s="73" t="str">
        <f>IF(G167="","",SUM($G$3:$G167))</f>
        <v/>
      </c>
      <c r="G167" s="73" t="str">
        <f t="shared" si="11"/>
        <v/>
      </c>
      <c r="H167" s="73" t="str">
        <f t="shared" si="12"/>
        <v/>
      </c>
      <c r="I167" s="73">
        <f>COUNTIF($B$3:$B167,B167)</f>
        <v>2</v>
      </c>
      <c r="K167">
        <f t="shared" si="14"/>
        <v>165</v>
      </c>
      <c r="L167" s="73" t="str">
        <f t="shared" si="13"/>
        <v/>
      </c>
    </row>
    <row r="168" spans="2:12">
      <c r="B168" t="s">
        <v>994</v>
      </c>
      <c r="C168" t="s">
        <v>1381</v>
      </c>
      <c r="D168" t="str">
        <f>CONCATENATE(B168,"@",COUNTIF($B$3:$B168,B168))</f>
        <v>M2@3</v>
      </c>
      <c r="E168" t="str">
        <f t="shared" si="10"/>
        <v>M5</v>
      </c>
      <c r="F168" s="73" t="str">
        <f>IF(G168="","",SUM($G$3:$G168))</f>
        <v/>
      </c>
      <c r="G168" s="73" t="str">
        <f t="shared" si="11"/>
        <v/>
      </c>
      <c r="H168" s="73" t="str">
        <f t="shared" si="12"/>
        <v/>
      </c>
      <c r="I168" s="73">
        <f>COUNTIF($B$3:$B168,B168)</f>
        <v>3</v>
      </c>
      <c r="K168">
        <f t="shared" si="14"/>
        <v>166</v>
      </c>
      <c r="L168" s="73" t="str">
        <f t="shared" si="13"/>
        <v/>
      </c>
    </row>
    <row r="169" spans="2:12">
      <c r="D169" t="str">
        <f>CONCATENATE(B169,"@",COUNTIF($B$3:$B169,B169))</f>
        <v>@0</v>
      </c>
      <c r="E169">
        <f t="shared" si="10"/>
        <v>0</v>
      </c>
      <c r="F169" s="73" t="str">
        <f>IF(G169="","",SUM($G$3:$G169))</f>
        <v/>
      </c>
      <c r="G169" s="73" t="str">
        <f t="shared" si="11"/>
        <v/>
      </c>
      <c r="H169" s="73" t="str">
        <f t="shared" si="12"/>
        <v/>
      </c>
      <c r="I169" s="73">
        <f>COUNTIF($B$3:$B169,B169)</f>
        <v>0</v>
      </c>
      <c r="K169">
        <f t="shared" si="14"/>
        <v>167</v>
      </c>
      <c r="L169" s="73" t="str">
        <f t="shared" si="13"/>
        <v/>
      </c>
    </row>
    <row r="170" spans="2:12">
      <c r="D170" t="str">
        <f>CONCATENATE(B170,"@",COUNTIF($B$3:$B170,B170))</f>
        <v>@0</v>
      </c>
      <c r="E170">
        <f t="shared" si="10"/>
        <v>0</v>
      </c>
      <c r="F170" s="73" t="str">
        <f>IF(G170="","",SUM($G$3:$G170))</f>
        <v/>
      </c>
      <c r="G170" s="73" t="str">
        <f t="shared" si="11"/>
        <v/>
      </c>
      <c r="H170" s="73" t="str">
        <f t="shared" si="12"/>
        <v/>
      </c>
      <c r="I170" s="73">
        <f>COUNTIF($B$3:$B170,B170)</f>
        <v>0</v>
      </c>
      <c r="K170">
        <f t="shared" si="14"/>
        <v>168</v>
      </c>
      <c r="L170" s="73" t="str">
        <f t="shared" si="13"/>
        <v/>
      </c>
    </row>
    <row r="171" spans="2:12">
      <c r="B171" t="s">
        <v>1142</v>
      </c>
      <c r="C171" t="s">
        <v>863</v>
      </c>
      <c r="D171" t="str">
        <f>CONCATENATE(B171,"@",COUNTIF($B$3:$B171,B171))</f>
        <v>M3@1</v>
      </c>
      <c r="E171" t="str">
        <f t="shared" si="10"/>
        <v>M1</v>
      </c>
      <c r="F171" s="73">
        <f>IF(G171="","",SUM($G$3:$G171))</f>
        <v>31</v>
      </c>
      <c r="G171" s="73">
        <f t="shared" si="11"/>
        <v>1</v>
      </c>
      <c r="H171" s="73" t="str">
        <f t="shared" si="12"/>
        <v>M3</v>
      </c>
      <c r="I171" s="73">
        <f>COUNTIF($B$3:$B171,B171)</f>
        <v>1</v>
      </c>
      <c r="K171">
        <f t="shared" si="14"/>
        <v>169</v>
      </c>
      <c r="L171" s="73" t="str">
        <f t="shared" si="13"/>
        <v/>
      </c>
    </row>
    <row r="172" spans="2:12">
      <c r="B172" t="s">
        <v>1142</v>
      </c>
      <c r="C172" t="s">
        <v>994</v>
      </c>
      <c r="D172" t="str">
        <f>CONCATENATE(B172,"@",COUNTIF($B$3:$B172,B172))</f>
        <v>M3@2</v>
      </c>
      <c r="E172" t="str">
        <f t="shared" si="10"/>
        <v>M2</v>
      </c>
      <c r="F172" s="73" t="str">
        <f>IF(G172="","",SUM($G$3:$G172))</f>
        <v/>
      </c>
      <c r="G172" s="73" t="str">
        <f t="shared" si="11"/>
        <v/>
      </c>
      <c r="H172" s="73" t="str">
        <f t="shared" si="12"/>
        <v/>
      </c>
      <c r="I172" s="73">
        <f>COUNTIF($B$3:$B172,B172)</f>
        <v>2</v>
      </c>
      <c r="K172">
        <f t="shared" si="14"/>
        <v>170</v>
      </c>
      <c r="L172" s="73" t="str">
        <f t="shared" si="13"/>
        <v/>
      </c>
    </row>
    <row r="173" spans="2:12">
      <c r="B173" t="s">
        <v>1142</v>
      </c>
      <c r="C173" t="s">
        <v>331</v>
      </c>
      <c r="D173" t="str">
        <f>CONCATENATE(B173,"@",COUNTIF($B$3:$B173,B173))</f>
        <v>M3@3</v>
      </c>
      <c r="E173" t="str">
        <f t="shared" si="10"/>
        <v>M4</v>
      </c>
      <c r="F173" s="73" t="str">
        <f>IF(G173="","",SUM($G$3:$G173))</f>
        <v/>
      </c>
      <c r="G173" s="73" t="str">
        <f t="shared" si="11"/>
        <v/>
      </c>
      <c r="H173" s="73" t="str">
        <f t="shared" si="12"/>
        <v/>
      </c>
      <c r="I173" s="73">
        <f>COUNTIF($B$3:$B173,B173)</f>
        <v>3</v>
      </c>
      <c r="K173">
        <f t="shared" si="14"/>
        <v>171</v>
      </c>
      <c r="L173" s="73" t="str">
        <f t="shared" si="13"/>
        <v/>
      </c>
    </row>
    <row r="174" spans="2:12">
      <c r="B174" t="s">
        <v>1142</v>
      </c>
      <c r="C174" t="s">
        <v>1381</v>
      </c>
      <c r="D174" t="str">
        <f>CONCATENATE(B174,"@",COUNTIF($B$3:$B174,B174))</f>
        <v>M3@4</v>
      </c>
      <c r="E174" t="str">
        <f t="shared" si="10"/>
        <v>M5</v>
      </c>
      <c r="F174" s="73" t="str">
        <f>IF(G174="","",SUM($G$3:$G174))</f>
        <v/>
      </c>
      <c r="G174" s="73" t="str">
        <f t="shared" si="11"/>
        <v/>
      </c>
      <c r="H174" s="73" t="str">
        <f t="shared" si="12"/>
        <v/>
      </c>
      <c r="I174" s="73">
        <f>COUNTIF($B$3:$B174,B174)</f>
        <v>4</v>
      </c>
      <c r="K174">
        <f t="shared" si="14"/>
        <v>172</v>
      </c>
      <c r="L174" s="73" t="str">
        <f t="shared" si="13"/>
        <v/>
      </c>
    </row>
    <row r="175" spans="2:12">
      <c r="D175" t="str">
        <f>CONCATENATE(B175,"@",COUNTIF($B$3:$B175,B175))</f>
        <v>@0</v>
      </c>
      <c r="E175">
        <f t="shared" si="10"/>
        <v>0</v>
      </c>
      <c r="F175" s="73" t="str">
        <f>IF(G175="","",SUM($G$3:$G175))</f>
        <v/>
      </c>
      <c r="G175" s="73" t="str">
        <f t="shared" si="11"/>
        <v/>
      </c>
      <c r="H175" s="73" t="str">
        <f t="shared" si="12"/>
        <v/>
      </c>
      <c r="I175" s="73">
        <f>COUNTIF($B$3:$B175,B175)</f>
        <v>0</v>
      </c>
      <c r="K175">
        <f t="shared" si="14"/>
        <v>173</v>
      </c>
      <c r="L175" s="73" t="str">
        <f t="shared" si="13"/>
        <v/>
      </c>
    </row>
    <row r="176" spans="2:12">
      <c r="D176" t="str">
        <f>CONCATENATE(B176,"@",COUNTIF($B$3:$B176,B176))</f>
        <v>@0</v>
      </c>
      <c r="E176">
        <f t="shared" si="10"/>
        <v>0</v>
      </c>
      <c r="F176" s="73" t="str">
        <f>IF(G176="","",SUM($G$3:$G176))</f>
        <v/>
      </c>
      <c r="G176" s="73" t="str">
        <f t="shared" si="11"/>
        <v/>
      </c>
      <c r="H176" s="73" t="str">
        <f t="shared" si="12"/>
        <v/>
      </c>
      <c r="I176" s="73">
        <f>COUNTIF($B$3:$B176,B176)</f>
        <v>0</v>
      </c>
      <c r="K176">
        <f t="shared" si="14"/>
        <v>174</v>
      </c>
      <c r="L176" s="73" t="str">
        <f t="shared" si="13"/>
        <v/>
      </c>
    </row>
    <row r="177" spans="2:12">
      <c r="D177" t="str">
        <f>CONCATENATE(B177,"@",COUNTIF($B$3:$B177,B177))</f>
        <v>@0</v>
      </c>
      <c r="E177">
        <f t="shared" si="10"/>
        <v>0</v>
      </c>
      <c r="F177" s="73" t="str">
        <f>IF(G177="","",SUM($G$3:$G177))</f>
        <v/>
      </c>
      <c r="G177" s="73" t="str">
        <f t="shared" si="11"/>
        <v/>
      </c>
      <c r="H177" s="73" t="str">
        <f t="shared" si="12"/>
        <v/>
      </c>
      <c r="I177" s="73">
        <f>COUNTIF($B$3:$B177,B177)</f>
        <v>0</v>
      </c>
      <c r="K177">
        <f t="shared" si="14"/>
        <v>175</v>
      </c>
      <c r="L177" s="73" t="str">
        <f t="shared" si="13"/>
        <v/>
      </c>
    </row>
    <row r="178" spans="2:12">
      <c r="D178" t="str">
        <f>CONCATENATE(B178,"@",COUNTIF($B$3:$B178,B178))</f>
        <v>@0</v>
      </c>
      <c r="E178">
        <f t="shared" si="10"/>
        <v>0</v>
      </c>
      <c r="F178" s="73" t="str">
        <f>IF(G178="","",SUM($G$3:$G178))</f>
        <v/>
      </c>
      <c r="G178" s="73" t="str">
        <f t="shared" si="11"/>
        <v/>
      </c>
      <c r="H178" s="73" t="str">
        <f t="shared" si="12"/>
        <v/>
      </c>
      <c r="I178" s="73">
        <f>COUNTIF($B$3:$B178,B178)</f>
        <v>0</v>
      </c>
      <c r="K178">
        <f t="shared" si="14"/>
        <v>176</v>
      </c>
      <c r="L178" s="73" t="str">
        <f t="shared" si="13"/>
        <v/>
      </c>
    </row>
    <row r="179" spans="2:12">
      <c r="D179" t="str">
        <f>CONCATENATE(B179,"@",COUNTIF($B$3:$B179,B179))</f>
        <v>@0</v>
      </c>
      <c r="E179">
        <f t="shared" si="10"/>
        <v>0</v>
      </c>
      <c r="F179" s="73" t="str">
        <f>IF(G179="","",SUM($G$3:$G179))</f>
        <v/>
      </c>
      <c r="G179" s="73" t="str">
        <f t="shared" si="11"/>
        <v/>
      </c>
      <c r="H179" s="73" t="str">
        <f t="shared" si="12"/>
        <v/>
      </c>
      <c r="I179" s="73">
        <f>COUNTIF($B$3:$B179,B179)</f>
        <v>0</v>
      </c>
      <c r="K179">
        <f t="shared" si="14"/>
        <v>177</v>
      </c>
      <c r="L179" s="73" t="str">
        <f t="shared" si="13"/>
        <v/>
      </c>
    </row>
    <row r="180" spans="2:12">
      <c r="D180" t="str">
        <f>CONCATENATE(B180,"@",COUNTIF($B$3:$B180,B180))</f>
        <v>@0</v>
      </c>
      <c r="E180">
        <f t="shared" si="10"/>
        <v>0</v>
      </c>
      <c r="F180" s="73" t="str">
        <f>IF(G180="","",SUM($G$3:$G180))</f>
        <v/>
      </c>
      <c r="G180" s="73" t="str">
        <f t="shared" si="11"/>
        <v/>
      </c>
      <c r="H180" s="73" t="str">
        <f t="shared" si="12"/>
        <v/>
      </c>
      <c r="I180" s="73">
        <f>COUNTIF($B$3:$B180,B180)</f>
        <v>0</v>
      </c>
      <c r="K180">
        <f t="shared" si="14"/>
        <v>178</v>
      </c>
      <c r="L180" s="73" t="str">
        <f t="shared" si="13"/>
        <v/>
      </c>
    </row>
    <row r="181" spans="2:12">
      <c r="B181" t="s">
        <v>200</v>
      </c>
      <c r="C181" t="s">
        <v>59</v>
      </c>
      <c r="D181" t="str">
        <f>CONCATENATE(B181,"@",COUNTIF($B$3:$B181,B181))</f>
        <v>RM1E@1</v>
      </c>
      <c r="E181" t="str">
        <f t="shared" si="10"/>
        <v>W DT</v>
      </c>
      <c r="F181" s="73">
        <f>IF(G181="","",SUM($G$3:$G181))</f>
        <v>32</v>
      </c>
      <c r="G181" s="73">
        <f t="shared" si="11"/>
        <v>1</v>
      </c>
      <c r="H181" s="73" t="str">
        <f t="shared" si="12"/>
        <v>RM1E</v>
      </c>
      <c r="I181" s="73">
        <f>COUNTIF($B$3:$B181,B181)</f>
        <v>1</v>
      </c>
      <c r="K181">
        <f t="shared" si="14"/>
        <v>179</v>
      </c>
      <c r="L181" s="73" t="str">
        <f t="shared" si="13"/>
        <v/>
      </c>
    </row>
    <row r="182" spans="2:12">
      <c r="B182" t="s">
        <v>200</v>
      </c>
      <c r="C182" t="s">
        <v>55</v>
      </c>
      <c r="D182" t="str">
        <f>CONCATENATE(B182,"@",COUNTIF($B$3:$B182,B182))</f>
        <v>RM1E@2</v>
      </c>
      <c r="E182" t="str">
        <f t="shared" si="10"/>
        <v>E AV</v>
      </c>
      <c r="F182" s="73" t="str">
        <f>IF(G182="","",SUM($G$3:$G182))</f>
        <v/>
      </c>
      <c r="G182" s="73" t="str">
        <f t="shared" si="11"/>
        <v/>
      </c>
      <c r="H182" s="73" t="str">
        <f t="shared" si="12"/>
        <v/>
      </c>
      <c r="I182" s="73">
        <f>COUNTIF($B$3:$B182,B182)</f>
        <v>2</v>
      </c>
      <c r="K182">
        <f t="shared" si="14"/>
        <v>180</v>
      </c>
      <c r="L182" s="73" t="str">
        <f t="shared" si="13"/>
        <v/>
      </c>
    </row>
    <row r="183" spans="2:12">
      <c r="B183" t="s">
        <v>200</v>
      </c>
      <c r="C183" t="s">
        <v>53</v>
      </c>
      <c r="D183" t="str">
        <f>CONCATENATE(B183,"@",COUNTIF($B$3:$B183,B183))</f>
        <v>RM1E@3</v>
      </c>
      <c r="E183" t="str">
        <f t="shared" si="10"/>
        <v>E DT</v>
      </c>
      <c r="F183" s="73" t="str">
        <f>IF(G183="","",SUM($G$3:$G183))</f>
        <v/>
      </c>
      <c r="G183" s="73" t="str">
        <f t="shared" si="11"/>
        <v/>
      </c>
      <c r="H183" s="73" t="str">
        <f t="shared" si="12"/>
        <v/>
      </c>
      <c r="I183" s="73">
        <f>COUNTIF($B$3:$B183,B183)</f>
        <v>3</v>
      </c>
      <c r="K183">
        <f t="shared" si="14"/>
        <v>181</v>
      </c>
      <c r="L183" s="73" t="str">
        <f t="shared" si="13"/>
        <v/>
      </c>
    </row>
    <row r="184" spans="2:12">
      <c r="B184" t="s">
        <v>208</v>
      </c>
      <c r="C184" t="s">
        <v>59</v>
      </c>
      <c r="D184" t="str">
        <f>CONCATENATE(B184,"@",COUNTIF($B$3:$B184,B184))</f>
        <v>RM1W@1</v>
      </c>
      <c r="E184" t="str">
        <f t="shared" si="10"/>
        <v>W DT</v>
      </c>
      <c r="F184" s="73">
        <f>IF(G184="","",SUM($G$3:$G184))</f>
        <v>33</v>
      </c>
      <c r="G184" s="73">
        <f t="shared" si="11"/>
        <v>1</v>
      </c>
      <c r="H184" s="73" t="str">
        <f t="shared" si="12"/>
        <v>RM1W</v>
      </c>
      <c r="I184" s="73">
        <f>COUNTIF($B$3:$B184,B184)</f>
        <v>1</v>
      </c>
      <c r="K184">
        <f t="shared" si="14"/>
        <v>182</v>
      </c>
      <c r="L184" s="73" t="str">
        <f t="shared" si="13"/>
        <v/>
      </c>
    </row>
    <row r="185" spans="2:12">
      <c r="B185" t="s">
        <v>208</v>
      </c>
      <c r="C185" t="s">
        <v>55</v>
      </c>
      <c r="D185" t="str">
        <f>CONCATENATE(B185,"@",COUNTIF($B$3:$B185,B185))</f>
        <v>RM1W@2</v>
      </c>
      <c r="E185" t="str">
        <f t="shared" si="10"/>
        <v>E AV</v>
      </c>
      <c r="F185" s="73" t="str">
        <f>IF(G185="","",SUM($G$3:$G185))</f>
        <v/>
      </c>
      <c r="G185" s="73" t="str">
        <f t="shared" si="11"/>
        <v/>
      </c>
      <c r="H185" s="73" t="str">
        <f t="shared" si="12"/>
        <v/>
      </c>
      <c r="I185" s="73">
        <f>COUNTIF($B$3:$B185,B185)</f>
        <v>2</v>
      </c>
      <c r="K185">
        <f t="shared" si="14"/>
        <v>183</v>
      </c>
      <c r="L185" s="73" t="str">
        <f t="shared" si="13"/>
        <v/>
      </c>
    </row>
    <row r="186" spans="2:12">
      <c r="B186" t="s">
        <v>208</v>
      </c>
      <c r="C186" t="s">
        <v>53</v>
      </c>
      <c r="D186" t="str">
        <f>CONCATENATE(B186,"@",COUNTIF($B$3:$B186,B186))</f>
        <v>RM1W@3</v>
      </c>
      <c r="E186" t="str">
        <f t="shared" si="10"/>
        <v>E DT</v>
      </c>
      <c r="F186" s="73" t="str">
        <f>IF(G186="","",SUM($G$3:$G186))</f>
        <v/>
      </c>
      <c r="G186" s="73" t="str">
        <f t="shared" si="11"/>
        <v/>
      </c>
      <c r="H186" s="73" t="str">
        <f t="shared" si="12"/>
        <v/>
      </c>
      <c r="I186" s="73">
        <f>COUNTIF($B$3:$B186,B186)</f>
        <v>3</v>
      </c>
      <c r="K186">
        <f t="shared" si="14"/>
        <v>184</v>
      </c>
      <c r="L186" s="73" t="str">
        <f t="shared" si="13"/>
        <v/>
      </c>
    </row>
    <row r="187" spans="2:12">
      <c r="B187" t="s">
        <v>216</v>
      </c>
      <c r="C187" t="s">
        <v>59</v>
      </c>
      <c r="D187" t="str">
        <f>CONCATENATE(B187,"@",COUNTIF($B$3:$B187,B187))</f>
        <v>RM2E@1</v>
      </c>
      <c r="E187" t="str">
        <f t="shared" si="10"/>
        <v>W DT</v>
      </c>
      <c r="F187" s="73">
        <f>IF(G187="","",SUM($G$3:$G187))</f>
        <v>34</v>
      </c>
      <c r="G187" s="73">
        <f t="shared" si="11"/>
        <v>1</v>
      </c>
      <c r="H187" s="73" t="str">
        <f t="shared" si="12"/>
        <v>RM2E</v>
      </c>
      <c r="I187" s="73">
        <f>COUNTIF($B$3:$B187,B187)</f>
        <v>1</v>
      </c>
      <c r="K187">
        <f t="shared" si="14"/>
        <v>185</v>
      </c>
      <c r="L187" s="73" t="str">
        <f t="shared" si="13"/>
        <v/>
      </c>
    </row>
    <row r="188" spans="2:12">
      <c r="B188" t="s">
        <v>216</v>
      </c>
      <c r="C188" t="s">
        <v>55</v>
      </c>
      <c r="D188" t="str">
        <f>CONCATENATE(B188,"@",COUNTIF($B$3:$B188,B188))</f>
        <v>RM2E@2</v>
      </c>
      <c r="E188" t="str">
        <f t="shared" si="10"/>
        <v>E AV</v>
      </c>
      <c r="F188" s="73" t="str">
        <f>IF(G188="","",SUM($G$3:$G188))</f>
        <v/>
      </c>
      <c r="G188" s="73" t="str">
        <f t="shared" si="11"/>
        <v/>
      </c>
      <c r="H188" s="73" t="str">
        <f t="shared" si="12"/>
        <v/>
      </c>
      <c r="I188" s="73">
        <f>COUNTIF($B$3:$B188,B188)</f>
        <v>2</v>
      </c>
      <c r="K188">
        <f t="shared" si="14"/>
        <v>186</v>
      </c>
      <c r="L188" s="73" t="str">
        <f t="shared" si="13"/>
        <v/>
      </c>
    </row>
    <row r="189" spans="2:12">
      <c r="B189" t="s">
        <v>216</v>
      </c>
      <c r="C189" t="s">
        <v>53</v>
      </c>
      <c r="D189" t="str">
        <f>CONCATENATE(B189,"@",COUNTIF($B$3:$B189,B189))</f>
        <v>RM2E@3</v>
      </c>
      <c r="E189" t="str">
        <f t="shared" si="10"/>
        <v>E DT</v>
      </c>
      <c r="F189" s="73" t="str">
        <f>IF(G189="","",SUM($G$3:$G189))</f>
        <v/>
      </c>
      <c r="G189" s="73" t="str">
        <f t="shared" si="11"/>
        <v/>
      </c>
      <c r="H189" s="73" t="str">
        <f t="shared" si="12"/>
        <v/>
      </c>
      <c r="I189" s="73">
        <f>COUNTIF($B$3:$B189,B189)</f>
        <v>3</v>
      </c>
      <c r="K189">
        <f t="shared" si="14"/>
        <v>187</v>
      </c>
      <c r="L189" s="73" t="str">
        <f t="shared" si="13"/>
        <v/>
      </c>
    </row>
    <row r="190" spans="2:12">
      <c r="B190" t="s">
        <v>224</v>
      </c>
      <c r="C190" t="s">
        <v>59</v>
      </c>
      <c r="D190" t="str">
        <f>CONCATENATE(B190,"@",COUNTIF($B$3:$B190,B190))</f>
        <v>RM2W@1</v>
      </c>
      <c r="E190" t="str">
        <f t="shared" si="10"/>
        <v>W DT</v>
      </c>
      <c r="F190" s="73">
        <f>IF(G190="","",SUM($G$3:$G190))</f>
        <v>35</v>
      </c>
      <c r="G190" s="73">
        <f t="shared" si="11"/>
        <v>1</v>
      </c>
      <c r="H190" s="73" t="str">
        <f t="shared" si="12"/>
        <v>RM2W</v>
      </c>
      <c r="I190" s="73">
        <f>COUNTIF($B$3:$B190,B190)</f>
        <v>1</v>
      </c>
      <c r="K190">
        <f t="shared" si="14"/>
        <v>188</v>
      </c>
      <c r="L190" s="73" t="str">
        <f t="shared" si="13"/>
        <v/>
      </c>
    </row>
    <row r="191" spans="2:12">
      <c r="B191" t="s">
        <v>224</v>
      </c>
      <c r="C191" t="s">
        <v>55</v>
      </c>
      <c r="D191" t="str">
        <f>CONCATENATE(B191,"@",COUNTIF($B$3:$B191,B191))</f>
        <v>RM2W@2</v>
      </c>
      <c r="E191" t="str">
        <f t="shared" si="10"/>
        <v>E AV</v>
      </c>
      <c r="F191" s="73" t="str">
        <f>IF(G191="","",SUM($G$3:$G191))</f>
        <v/>
      </c>
      <c r="G191" s="73" t="str">
        <f t="shared" si="11"/>
        <v/>
      </c>
      <c r="H191" s="73" t="str">
        <f t="shared" si="12"/>
        <v/>
      </c>
      <c r="I191" s="73">
        <f>COUNTIF($B$3:$B191,B191)</f>
        <v>2</v>
      </c>
      <c r="K191">
        <f t="shared" si="14"/>
        <v>189</v>
      </c>
      <c r="L191" s="73" t="str">
        <f t="shared" si="13"/>
        <v/>
      </c>
    </row>
    <row r="192" spans="2:12">
      <c r="B192" t="s">
        <v>224</v>
      </c>
      <c r="C192" t="s">
        <v>53</v>
      </c>
      <c r="D192" t="str">
        <f>CONCATENATE(B192,"@",COUNTIF($B$3:$B192,B192))</f>
        <v>RM2W@3</v>
      </c>
      <c r="E192" t="str">
        <f t="shared" si="10"/>
        <v>E DT</v>
      </c>
      <c r="F192" s="73" t="str">
        <f>IF(G192="","",SUM($G$3:$G192))</f>
        <v/>
      </c>
      <c r="G192" s="73" t="str">
        <f t="shared" si="11"/>
        <v/>
      </c>
      <c r="H192" s="73" t="str">
        <f t="shared" si="12"/>
        <v/>
      </c>
      <c r="I192" s="73">
        <f>COUNTIF($B$3:$B192,B192)</f>
        <v>3</v>
      </c>
      <c r="K192">
        <f t="shared" si="14"/>
        <v>190</v>
      </c>
      <c r="L192" s="73" t="str">
        <f t="shared" si="13"/>
        <v/>
      </c>
    </row>
    <row r="193" spans="2:12">
      <c r="B193" t="s">
        <v>231</v>
      </c>
      <c r="C193" t="s">
        <v>59</v>
      </c>
      <c r="D193" t="str">
        <f>CONCATENATE(B193,"@",COUNTIF($B$3:$B193,B193))</f>
        <v>RM3E@1</v>
      </c>
      <c r="E193" t="str">
        <f t="shared" si="10"/>
        <v>W DT</v>
      </c>
      <c r="F193" s="73">
        <f>IF(G193="","",SUM($G$3:$G193))</f>
        <v>36</v>
      </c>
      <c r="G193" s="73">
        <f t="shared" si="11"/>
        <v>1</v>
      </c>
      <c r="H193" s="73" t="str">
        <f t="shared" si="12"/>
        <v>RM3E</v>
      </c>
      <c r="I193" s="73">
        <f>COUNTIF($B$3:$B193,B193)</f>
        <v>1</v>
      </c>
      <c r="K193">
        <f t="shared" si="14"/>
        <v>191</v>
      </c>
      <c r="L193" s="73" t="str">
        <f t="shared" si="13"/>
        <v/>
      </c>
    </row>
    <row r="194" spans="2:12">
      <c r="B194" t="s">
        <v>231</v>
      </c>
      <c r="C194" t="s">
        <v>55</v>
      </c>
      <c r="D194" t="str">
        <f>CONCATENATE(B194,"@",COUNTIF($B$3:$B194,B194))</f>
        <v>RM3E@2</v>
      </c>
      <c r="E194" t="str">
        <f t="shared" si="10"/>
        <v>E AV</v>
      </c>
      <c r="F194" s="73" t="str">
        <f>IF(G194="","",SUM($G$3:$G194))</f>
        <v/>
      </c>
      <c r="G194" s="73" t="str">
        <f t="shared" si="11"/>
        <v/>
      </c>
      <c r="H194" s="73" t="str">
        <f t="shared" si="12"/>
        <v/>
      </c>
      <c r="I194" s="73">
        <f>COUNTIF($B$3:$B194,B194)</f>
        <v>2</v>
      </c>
      <c r="K194">
        <f t="shared" si="14"/>
        <v>192</v>
      </c>
      <c r="L194" s="73" t="str">
        <f t="shared" si="13"/>
        <v/>
      </c>
    </row>
    <row r="195" spans="2:12">
      <c r="B195" t="s">
        <v>231</v>
      </c>
      <c r="C195" t="s">
        <v>53</v>
      </c>
      <c r="D195" t="str">
        <f>CONCATENATE(B195,"@",COUNTIF($B$3:$B195,B195))</f>
        <v>RM3E@3</v>
      </c>
      <c r="E195" t="str">
        <f t="shared" ref="E195:E258" si="15">C195</f>
        <v>E DT</v>
      </c>
      <c r="F195" s="73" t="str">
        <f>IF(G195="","",SUM($G$3:$G195))</f>
        <v/>
      </c>
      <c r="G195" s="73" t="str">
        <f t="shared" si="11"/>
        <v/>
      </c>
      <c r="H195" s="73" t="str">
        <f t="shared" si="12"/>
        <v/>
      </c>
      <c r="I195" s="73">
        <f>COUNTIF($B$3:$B195,B195)</f>
        <v>3</v>
      </c>
      <c r="K195">
        <f t="shared" si="14"/>
        <v>193</v>
      </c>
      <c r="L195" s="73" t="str">
        <f t="shared" si="13"/>
        <v/>
      </c>
    </row>
    <row r="196" spans="2:12">
      <c r="B196" t="s">
        <v>238</v>
      </c>
      <c r="C196" t="s">
        <v>59</v>
      </c>
      <c r="D196" t="str">
        <f>CONCATENATE(B196,"@",COUNTIF($B$3:$B196,B196))</f>
        <v>RM3W@1</v>
      </c>
      <c r="E196" t="str">
        <f t="shared" si="15"/>
        <v>W DT</v>
      </c>
      <c r="F196" s="73">
        <f>IF(G196="","",SUM($G$3:$G196))</f>
        <v>37</v>
      </c>
      <c r="G196" s="73">
        <f t="shared" ref="G196:G259" si="16">IF(H196="","",1)</f>
        <v>1</v>
      </c>
      <c r="H196" s="73" t="str">
        <f t="shared" ref="H196:H259" si="17">IF(I196=1,B196,"")</f>
        <v>RM3W</v>
      </c>
      <c r="I196" s="73">
        <f>COUNTIF($B$3:$B196,B196)</f>
        <v>1</v>
      </c>
      <c r="K196">
        <f t="shared" si="14"/>
        <v>194</v>
      </c>
      <c r="L196" s="73" t="str">
        <f t="shared" ref="L196:L259" si="18">IF(COUNTIF($F:$F,$K196)=0,"",VLOOKUP(K196,$F:$H,3,0))</f>
        <v/>
      </c>
    </row>
    <row r="197" spans="2:12">
      <c r="B197" t="s">
        <v>238</v>
      </c>
      <c r="C197" t="s">
        <v>55</v>
      </c>
      <c r="D197" t="str">
        <f>CONCATENATE(B197,"@",COUNTIF($B$3:$B197,B197))</f>
        <v>RM3W@2</v>
      </c>
      <c r="E197" t="str">
        <f t="shared" si="15"/>
        <v>E AV</v>
      </c>
      <c r="F197" s="73" t="str">
        <f>IF(G197="","",SUM($G$3:$G197))</f>
        <v/>
      </c>
      <c r="G197" s="73" t="str">
        <f t="shared" si="16"/>
        <v/>
      </c>
      <c r="H197" s="73" t="str">
        <f t="shared" si="17"/>
        <v/>
      </c>
      <c r="I197" s="73">
        <f>COUNTIF($B$3:$B197,B197)</f>
        <v>2</v>
      </c>
      <c r="K197">
        <f t="shared" ref="K197:K260" si="19">K196+1</f>
        <v>195</v>
      </c>
      <c r="L197" s="73" t="str">
        <f t="shared" si="18"/>
        <v/>
      </c>
    </row>
    <row r="198" spans="2:12">
      <c r="B198" t="s">
        <v>238</v>
      </c>
      <c r="C198" t="s">
        <v>53</v>
      </c>
      <c r="D198" t="str">
        <f>CONCATENATE(B198,"@",COUNTIF($B$3:$B198,B198))</f>
        <v>RM3W@3</v>
      </c>
      <c r="E198" t="str">
        <f t="shared" si="15"/>
        <v>E DT</v>
      </c>
      <c r="F198" s="73" t="str">
        <f>IF(G198="","",SUM($G$3:$G198))</f>
        <v/>
      </c>
      <c r="G198" s="73" t="str">
        <f t="shared" si="16"/>
        <v/>
      </c>
      <c r="H198" s="73" t="str">
        <f t="shared" si="17"/>
        <v/>
      </c>
      <c r="I198" s="73">
        <f>COUNTIF($B$3:$B198,B198)</f>
        <v>3</v>
      </c>
      <c r="K198">
        <f t="shared" si="19"/>
        <v>196</v>
      </c>
      <c r="L198" s="73" t="str">
        <f t="shared" si="18"/>
        <v/>
      </c>
    </row>
    <row r="199" spans="2:12">
      <c r="B199" t="s">
        <v>57</v>
      </c>
      <c r="C199" t="s">
        <v>59</v>
      </c>
      <c r="D199" t="str">
        <f>CONCATENATE(B199,"@",COUNTIF($B$3:$B199,B199))</f>
        <v>TEST@1</v>
      </c>
      <c r="E199" t="str">
        <f t="shared" si="15"/>
        <v>W DT</v>
      </c>
      <c r="F199" s="73">
        <f>IF(G199="","",SUM($G$3:$G199))</f>
        <v>38</v>
      </c>
      <c r="G199" s="73">
        <f t="shared" si="16"/>
        <v>1</v>
      </c>
      <c r="H199" s="73" t="str">
        <f t="shared" si="17"/>
        <v>TEST</v>
      </c>
      <c r="I199" s="73">
        <f>COUNTIF($B$3:$B199,B199)</f>
        <v>1</v>
      </c>
      <c r="K199">
        <f t="shared" si="19"/>
        <v>197</v>
      </c>
      <c r="L199" s="73" t="str">
        <f t="shared" si="18"/>
        <v/>
      </c>
    </row>
    <row r="200" spans="2:12">
      <c r="B200" t="s">
        <v>57</v>
      </c>
      <c r="C200" t="s">
        <v>55</v>
      </c>
      <c r="D200" t="str">
        <f>CONCATENATE(B200,"@",COUNTIF($B$3:$B200,B200))</f>
        <v>TEST@2</v>
      </c>
      <c r="E200" t="str">
        <f t="shared" si="15"/>
        <v>E AV</v>
      </c>
      <c r="F200" s="73" t="str">
        <f>IF(G200="","",SUM($G$3:$G200))</f>
        <v/>
      </c>
      <c r="G200" s="73" t="str">
        <f t="shared" si="16"/>
        <v/>
      </c>
      <c r="H200" s="73" t="str">
        <f t="shared" si="17"/>
        <v/>
      </c>
      <c r="I200" s="73">
        <f>COUNTIF($B$3:$B200,B200)</f>
        <v>2</v>
      </c>
      <c r="K200">
        <f t="shared" si="19"/>
        <v>198</v>
      </c>
      <c r="L200" s="73" t="str">
        <f t="shared" si="18"/>
        <v/>
      </c>
    </row>
    <row r="201" spans="2:12">
      <c r="B201" t="s">
        <v>57</v>
      </c>
      <c r="C201" t="s">
        <v>53</v>
      </c>
      <c r="D201" t="str">
        <f>CONCATENATE(B201,"@",COUNTIF($B$3:$B201,B201))</f>
        <v>TEST@3</v>
      </c>
      <c r="E201" t="str">
        <f t="shared" si="15"/>
        <v>E DT</v>
      </c>
      <c r="F201" s="73" t="str">
        <f>IF(G201="","",SUM($G$3:$G201))</f>
        <v/>
      </c>
      <c r="G201" s="73" t="str">
        <f t="shared" si="16"/>
        <v/>
      </c>
      <c r="H201" s="73" t="str">
        <f t="shared" si="17"/>
        <v/>
      </c>
      <c r="I201" s="73">
        <f>COUNTIF($B$3:$B201,B201)</f>
        <v>3</v>
      </c>
      <c r="K201">
        <f t="shared" si="19"/>
        <v>199</v>
      </c>
      <c r="L201" s="73" t="str">
        <f t="shared" si="18"/>
        <v/>
      </c>
    </row>
    <row r="202" spans="2:12">
      <c r="B202" t="s">
        <v>59</v>
      </c>
      <c r="C202" t="s">
        <v>200</v>
      </c>
      <c r="D202" t="str">
        <f>CONCATENATE(B202,"@",COUNTIF($B$3:$B202,B202))</f>
        <v>W DT@1</v>
      </c>
      <c r="E202" t="str">
        <f t="shared" si="15"/>
        <v>RM1E</v>
      </c>
      <c r="F202" s="73">
        <f>IF(G202="","",SUM($G$3:$G202))</f>
        <v>39</v>
      </c>
      <c r="G202" s="73">
        <f t="shared" si="16"/>
        <v>1</v>
      </c>
      <c r="H202" s="73" t="str">
        <f t="shared" si="17"/>
        <v>W DT</v>
      </c>
      <c r="I202" s="73">
        <f>COUNTIF($B$3:$B202,B202)</f>
        <v>1</v>
      </c>
      <c r="K202">
        <f t="shared" si="19"/>
        <v>200</v>
      </c>
      <c r="L202" s="73" t="str">
        <f t="shared" si="18"/>
        <v/>
      </c>
    </row>
    <row r="203" spans="2:12">
      <c r="B203" t="s">
        <v>59</v>
      </c>
      <c r="C203" t="s">
        <v>208</v>
      </c>
      <c r="D203" t="str">
        <f>CONCATENATE(B203,"@",COUNTIF($B$3:$B203,B203))</f>
        <v>W DT@2</v>
      </c>
      <c r="E203" t="str">
        <f t="shared" si="15"/>
        <v>RM1W</v>
      </c>
      <c r="F203" s="73" t="str">
        <f>IF(G203="","",SUM($G$3:$G203))</f>
        <v/>
      </c>
      <c r="G203" s="73" t="str">
        <f t="shared" si="16"/>
        <v/>
      </c>
      <c r="H203" s="73" t="str">
        <f t="shared" si="17"/>
        <v/>
      </c>
      <c r="I203" s="73">
        <f>COUNTIF($B$3:$B203,B203)</f>
        <v>2</v>
      </c>
      <c r="K203">
        <f t="shared" si="19"/>
        <v>201</v>
      </c>
      <c r="L203" s="73" t="str">
        <f t="shared" si="18"/>
        <v/>
      </c>
    </row>
    <row r="204" spans="2:12">
      <c r="B204" t="s">
        <v>59</v>
      </c>
      <c r="C204" t="s">
        <v>216</v>
      </c>
      <c r="D204" t="str">
        <f>CONCATENATE(B204,"@",COUNTIF($B$3:$B204,B204))</f>
        <v>W DT@3</v>
      </c>
      <c r="E204" t="str">
        <f t="shared" si="15"/>
        <v>RM2E</v>
      </c>
      <c r="F204" s="73" t="str">
        <f>IF(G204="","",SUM($G$3:$G204))</f>
        <v/>
      </c>
      <c r="G204" s="73" t="str">
        <f t="shared" si="16"/>
        <v/>
      </c>
      <c r="H204" s="73" t="str">
        <f t="shared" si="17"/>
        <v/>
      </c>
      <c r="I204" s="73">
        <f>COUNTIF($B$3:$B204,B204)</f>
        <v>3</v>
      </c>
      <c r="K204">
        <f t="shared" si="19"/>
        <v>202</v>
      </c>
      <c r="L204" s="73" t="str">
        <f t="shared" si="18"/>
        <v/>
      </c>
    </row>
    <row r="205" spans="2:12">
      <c r="B205" t="s">
        <v>59</v>
      </c>
      <c r="C205" t="s">
        <v>224</v>
      </c>
      <c r="D205" t="str">
        <f>CONCATENATE(B205,"@",COUNTIF($B$3:$B205,B205))</f>
        <v>W DT@4</v>
      </c>
      <c r="E205" t="str">
        <f t="shared" si="15"/>
        <v>RM2W</v>
      </c>
      <c r="F205" s="73" t="str">
        <f>IF(G205="","",SUM($G$3:$G205))</f>
        <v/>
      </c>
      <c r="G205" s="73" t="str">
        <f t="shared" si="16"/>
        <v/>
      </c>
      <c r="H205" s="73" t="str">
        <f t="shared" si="17"/>
        <v/>
      </c>
      <c r="I205" s="73">
        <f>COUNTIF($B$3:$B205,B205)</f>
        <v>4</v>
      </c>
      <c r="K205">
        <f t="shared" si="19"/>
        <v>203</v>
      </c>
      <c r="L205" s="73" t="str">
        <f t="shared" si="18"/>
        <v/>
      </c>
    </row>
    <row r="206" spans="2:12">
      <c r="B206" t="s">
        <v>59</v>
      </c>
      <c r="C206" t="s">
        <v>231</v>
      </c>
      <c r="D206" t="str">
        <f>CONCATENATE(B206,"@",COUNTIF($B$3:$B206,B206))</f>
        <v>W DT@5</v>
      </c>
      <c r="E206" t="str">
        <f t="shared" si="15"/>
        <v>RM3E</v>
      </c>
      <c r="F206" s="73" t="str">
        <f>IF(G206="","",SUM($G$3:$G206))</f>
        <v/>
      </c>
      <c r="G206" s="73" t="str">
        <f t="shared" si="16"/>
        <v/>
      </c>
      <c r="H206" s="73" t="str">
        <f t="shared" si="17"/>
        <v/>
      </c>
      <c r="I206" s="73">
        <f>COUNTIF($B$3:$B206,B206)</f>
        <v>5</v>
      </c>
      <c r="K206">
        <f t="shared" si="19"/>
        <v>204</v>
      </c>
      <c r="L206" s="73" t="str">
        <f t="shared" si="18"/>
        <v/>
      </c>
    </row>
    <row r="207" spans="2:12">
      <c r="B207" t="s">
        <v>59</v>
      </c>
      <c r="C207" t="s">
        <v>238</v>
      </c>
      <c r="D207" t="str">
        <f>CONCATENATE(B207,"@",COUNTIF($B$3:$B207,B207))</f>
        <v>W DT@6</v>
      </c>
      <c r="E207" t="str">
        <f t="shared" si="15"/>
        <v>RM3W</v>
      </c>
      <c r="F207" s="73" t="str">
        <f>IF(G207="","",SUM($G$3:$G207))</f>
        <v/>
      </c>
      <c r="G207" s="73" t="str">
        <f t="shared" si="16"/>
        <v/>
      </c>
      <c r="H207" s="73" t="str">
        <f t="shared" si="17"/>
        <v/>
      </c>
      <c r="I207" s="73">
        <f>COUNTIF($B$3:$B207,B207)</f>
        <v>6</v>
      </c>
      <c r="K207">
        <f t="shared" si="19"/>
        <v>205</v>
      </c>
      <c r="L207" s="73" t="str">
        <f t="shared" si="18"/>
        <v/>
      </c>
    </row>
    <row r="208" spans="2:12">
      <c r="B208" t="s">
        <v>59</v>
      </c>
      <c r="C208" t="s">
        <v>246</v>
      </c>
      <c r="D208" t="str">
        <f>CONCATENATE(B208,"@",COUNTIF($B$3:$B208,B208))</f>
        <v>W DT@7</v>
      </c>
      <c r="E208" t="str">
        <f t="shared" si="15"/>
        <v>HCTE</v>
      </c>
      <c r="F208" s="73" t="str">
        <f>IF(G208="","",SUM($G$3:$G208))</f>
        <v/>
      </c>
      <c r="G208" s="73" t="str">
        <f t="shared" si="16"/>
        <v/>
      </c>
      <c r="H208" s="73" t="str">
        <f t="shared" si="17"/>
        <v/>
      </c>
      <c r="I208" s="73">
        <f>COUNTIF($B$3:$B208,B208)</f>
        <v>7</v>
      </c>
      <c r="K208">
        <f t="shared" si="19"/>
        <v>206</v>
      </c>
      <c r="L208" s="73" t="str">
        <f t="shared" si="18"/>
        <v/>
      </c>
    </row>
    <row r="209" spans="2:12">
      <c r="B209" t="s">
        <v>59</v>
      </c>
      <c r="C209" t="s">
        <v>254</v>
      </c>
      <c r="D209" t="str">
        <f>CONCATENATE(B209,"@",COUNTIF($B$3:$B209,B209))</f>
        <v>W DT@8</v>
      </c>
      <c r="E209" t="str">
        <f t="shared" si="15"/>
        <v>HCTW</v>
      </c>
      <c r="F209" s="73" t="str">
        <f>IF(G209="","",SUM($G$3:$G209))</f>
        <v/>
      </c>
      <c r="G209" s="73" t="str">
        <f t="shared" si="16"/>
        <v/>
      </c>
      <c r="H209" s="73" t="str">
        <f t="shared" si="17"/>
        <v/>
      </c>
      <c r="I209" s="73">
        <f>COUNTIF($B$3:$B209,B209)</f>
        <v>8</v>
      </c>
      <c r="K209">
        <f t="shared" si="19"/>
        <v>207</v>
      </c>
      <c r="L209" s="73" t="str">
        <f t="shared" si="18"/>
        <v/>
      </c>
    </row>
    <row r="210" spans="2:12">
      <c r="B210" t="s">
        <v>59</v>
      </c>
      <c r="C210" t="s">
        <v>261</v>
      </c>
      <c r="D210" t="str">
        <f>CONCATENATE(B210,"@",COUNTIF($B$3:$B210,B210))</f>
        <v>W DT@9</v>
      </c>
      <c r="E210" t="str">
        <f t="shared" si="15"/>
        <v>1E</v>
      </c>
      <c r="F210" s="73" t="str">
        <f>IF(G210="","",SUM($G$3:$G210))</f>
        <v/>
      </c>
      <c r="G210" s="73" t="str">
        <f t="shared" si="16"/>
        <v/>
      </c>
      <c r="H210" s="73" t="str">
        <f t="shared" si="17"/>
        <v/>
      </c>
      <c r="I210" s="73">
        <f>COUNTIF($B$3:$B210,B210)</f>
        <v>9</v>
      </c>
      <c r="K210">
        <f t="shared" si="19"/>
        <v>208</v>
      </c>
      <c r="L210" s="73" t="str">
        <f t="shared" si="18"/>
        <v/>
      </c>
    </row>
    <row r="211" spans="2:12">
      <c r="B211" t="s">
        <v>59</v>
      </c>
      <c r="C211" t="s">
        <v>269</v>
      </c>
      <c r="D211" t="str">
        <f>CONCATENATE(B211,"@",COUNTIF($B$3:$B211,B211))</f>
        <v>W DT@10</v>
      </c>
      <c r="E211" t="str">
        <f t="shared" si="15"/>
        <v>1W</v>
      </c>
      <c r="F211" s="73" t="str">
        <f>IF(G211="","",SUM($G$3:$G211))</f>
        <v/>
      </c>
      <c r="G211" s="73" t="str">
        <f t="shared" si="16"/>
        <v/>
      </c>
      <c r="H211" s="73" t="str">
        <f t="shared" si="17"/>
        <v/>
      </c>
      <c r="I211" s="73">
        <f>COUNTIF($B$3:$B211,B211)</f>
        <v>10</v>
      </c>
      <c r="K211">
        <f t="shared" si="19"/>
        <v>209</v>
      </c>
      <c r="L211" s="73" t="str">
        <f t="shared" si="18"/>
        <v/>
      </c>
    </row>
    <row r="212" spans="2:12">
      <c r="B212" t="s">
        <v>59</v>
      </c>
      <c r="C212" t="s">
        <v>276</v>
      </c>
      <c r="D212" t="str">
        <f>CONCATENATE(B212,"@",COUNTIF($B$3:$B212,B212))</f>
        <v>W DT@11</v>
      </c>
      <c r="E212" t="str">
        <f t="shared" si="15"/>
        <v>2E</v>
      </c>
      <c r="F212" s="73" t="str">
        <f>IF(G212="","",SUM($G$3:$G212))</f>
        <v/>
      </c>
      <c r="G212" s="73" t="str">
        <f t="shared" si="16"/>
        <v/>
      </c>
      <c r="H212" s="73" t="str">
        <f t="shared" si="17"/>
        <v/>
      </c>
      <c r="I212" s="73">
        <f>COUNTIF($B$3:$B212,B212)</f>
        <v>11</v>
      </c>
      <c r="K212">
        <f t="shared" si="19"/>
        <v>210</v>
      </c>
      <c r="L212" s="73" t="str">
        <f t="shared" si="18"/>
        <v/>
      </c>
    </row>
    <row r="213" spans="2:12">
      <c r="B213" t="s">
        <v>59</v>
      </c>
      <c r="C213" t="s">
        <v>285</v>
      </c>
      <c r="D213" t="str">
        <f>CONCATENATE(B213,"@",COUNTIF($B$3:$B213,B213))</f>
        <v>W DT@12</v>
      </c>
      <c r="E213" t="str">
        <f t="shared" si="15"/>
        <v>2W</v>
      </c>
      <c r="F213" s="73" t="str">
        <f>IF(G213="","",SUM($G$3:$G213))</f>
        <v/>
      </c>
      <c r="G213" s="73" t="str">
        <f t="shared" si="16"/>
        <v/>
      </c>
      <c r="H213" s="73" t="str">
        <f t="shared" si="17"/>
        <v/>
      </c>
      <c r="I213" s="73">
        <f>COUNTIF($B$3:$B213,B213)</f>
        <v>12</v>
      </c>
      <c r="K213">
        <f t="shared" si="19"/>
        <v>211</v>
      </c>
      <c r="L213" s="73" t="str">
        <f t="shared" si="18"/>
        <v/>
      </c>
    </row>
    <row r="214" spans="2:12">
      <c r="B214" t="s">
        <v>59</v>
      </c>
      <c r="C214" t="s">
        <v>293</v>
      </c>
      <c r="D214" t="str">
        <f>CONCATENATE(B214,"@",COUNTIF($B$3:$B214,B214))</f>
        <v>W DT@13</v>
      </c>
      <c r="E214" t="str">
        <f t="shared" si="15"/>
        <v>3E</v>
      </c>
      <c r="F214" s="73" t="str">
        <f>IF(G214="","",SUM($G$3:$G214))</f>
        <v/>
      </c>
      <c r="G214" s="73" t="str">
        <f t="shared" si="16"/>
        <v/>
      </c>
      <c r="H214" s="73" t="str">
        <f t="shared" si="17"/>
        <v/>
      </c>
      <c r="I214" s="73">
        <f>COUNTIF($B$3:$B214,B214)</f>
        <v>13</v>
      </c>
      <c r="K214">
        <f t="shared" si="19"/>
        <v>212</v>
      </c>
      <c r="L214" s="73" t="str">
        <f t="shared" si="18"/>
        <v/>
      </c>
    </row>
    <row r="215" spans="2:12">
      <c r="B215" t="s">
        <v>59</v>
      </c>
      <c r="C215" t="s">
        <v>301</v>
      </c>
      <c r="D215" t="str">
        <f>CONCATENATE(B215,"@",COUNTIF($B$3:$B215,B215))</f>
        <v>W DT@14</v>
      </c>
      <c r="E215" t="str">
        <f t="shared" si="15"/>
        <v>3W</v>
      </c>
      <c r="F215" s="73" t="str">
        <f>IF(G215="","",SUM($G$3:$G215))</f>
        <v/>
      </c>
      <c r="G215" s="73" t="str">
        <f t="shared" si="16"/>
        <v/>
      </c>
      <c r="H215" s="73" t="str">
        <f t="shared" si="17"/>
        <v/>
      </c>
      <c r="I215" s="73">
        <f>COUNTIF($B$3:$B215,B215)</f>
        <v>14</v>
      </c>
      <c r="K215">
        <f t="shared" si="19"/>
        <v>213</v>
      </c>
      <c r="L215" s="73" t="str">
        <f t="shared" si="18"/>
        <v/>
      </c>
    </row>
    <row r="216" spans="2:12">
      <c r="B216" t="s">
        <v>59</v>
      </c>
      <c r="C216" t="s">
        <v>309</v>
      </c>
      <c r="D216" t="str">
        <f>CONCATENATE(B216,"@",COUNTIF($B$3:$B216,B216))</f>
        <v>W DT@15</v>
      </c>
      <c r="E216" t="str">
        <f t="shared" si="15"/>
        <v>4E</v>
      </c>
      <c r="F216" s="73" t="str">
        <f>IF(G216="","",SUM($G$3:$G216))</f>
        <v/>
      </c>
      <c r="G216" s="73" t="str">
        <f t="shared" si="16"/>
        <v/>
      </c>
      <c r="H216" s="73" t="str">
        <f t="shared" si="17"/>
        <v/>
      </c>
      <c r="I216" s="73">
        <f>COUNTIF($B$3:$B216,B216)</f>
        <v>15</v>
      </c>
      <c r="K216">
        <f t="shared" si="19"/>
        <v>214</v>
      </c>
      <c r="L216" s="73" t="str">
        <f t="shared" si="18"/>
        <v/>
      </c>
    </row>
    <row r="217" spans="2:12">
      <c r="B217" t="s">
        <v>59</v>
      </c>
      <c r="C217" t="s">
        <v>318</v>
      </c>
      <c r="D217" t="str">
        <f>CONCATENATE(B217,"@",COUNTIF($B$3:$B217,B217))</f>
        <v>W DT@16</v>
      </c>
      <c r="E217" t="str">
        <f t="shared" si="15"/>
        <v>4W</v>
      </c>
      <c r="F217" s="73" t="str">
        <f>IF(G217="","",SUM($G$3:$G217))</f>
        <v/>
      </c>
      <c r="G217" s="73" t="str">
        <f t="shared" si="16"/>
        <v/>
      </c>
      <c r="H217" s="73" t="str">
        <f t="shared" si="17"/>
        <v/>
      </c>
      <c r="I217" s="73">
        <f>COUNTIF($B$3:$B217,B217)</f>
        <v>16</v>
      </c>
      <c r="K217">
        <f t="shared" si="19"/>
        <v>215</v>
      </c>
      <c r="L217" s="73" t="str">
        <f t="shared" si="18"/>
        <v/>
      </c>
    </row>
    <row r="218" spans="2:12">
      <c r="B218" t="s">
        <v>59</v>
      </c>
      <c r="C218" t="s">
        <v>325</v>
      </c>
      <c r="D218" t="str">
        <f>CONCATENATE(B218,"@",COUNTIF($B$3:$B218,B218))</f>
        <v>W DT@17</v>
      </c>
      <c r="E218" t="str">
        <f t="shared" si="15"/>
        <v>5E</v>
      </c>
      <c r="F218" s="73" t="str">
        <f>IF(G218="","",SUM($G$3:$G218))</f>
        <v/>
      </c>
      <c r="G218" s="73" t="str">
        <f t="shared" si="16"/>
        <v/>
      </c>
      <c r="H218" s="73" t="str">
        <f t="shared" si="17"/>
        <v/>
      </c>
      <c r="I218" s="73">
        <f>COUNTIF($B$3:$B218,B218)</f>
        <v>17</v>
      </c>
      <c r="K218">
        <f t="shared" si="19"/>
        <v>216</v>
      </c>
      <c r="L218" s="73" t="str">
        <f t="shared" si="18"/>
        <v/>
      </c>
    </row>
    <row r="219" spans="2:12">
      <c r="B219" t="s">
        <v>59</v>
      </c>
      <c r="C219" t="s">
        <v>333</v>
      </c>
      <c r="D219" t="str">
        <f>CONCATENATE(B219,"@",COUNTIF($B$3:$B219,B219))</f>
        <v>W DT@18</v>
      </c>
      <c r="E219" t="str">
        <f t="shared" si="15"/>
        <v>5W</v>
      </c>
      <c r="F219" s="73" t="str">
        <f>IF(G219="","",SUM($G$3:$G219))</f>
        <v/>
      </c>
      <c r="G219" s="73" t="str">
        <f t="shared" si="16"/>
        <v/>
      </c>
      <c r="H219" s="73" t="str">
        <f t="shared" si="17"/>
        <v/>
      </c>
      <c r="I219" s="73">
        <f>COUNTIF($B$3:$B219,B219)</f>
        <v>18</v>
      </c>
      <c r="K219">
        <f t="shared" si="19"/>
        <v>217</v>
      </c>
      <c r="L219" s="73" t="str">
        <f t="shared" si="18"/>
        <v/>
      </c>
    </row>
    <row r="220" spans="2:12">
      <c r="B220" t="s">
        <v>59</v>
      </c>
      <c r="C220" t="s">
        <v>339</v>
      </c>
      <c r="D220" t="str">
        <f>CONCATENATE(B220,"@",COUNTIF($B$3:$B220,B220))</f>
        <v>W DT@19</v>
      </c>
      <c r="E220" t="str">
        <f t="shared" si="15"/>
        <v>6E</v>
      </c>
      <c r="F220" s="73" t="str">
        <f>IF(G220="","",SUM($G$3:$G220))</f>
        <v/>
      </c>
      <c r="G220" s="73" t="str">
        <f t="shared" si="16"/>
        <v/>
      </c>
      <c r="H220" s="73" t="str">
        <f t="shared" si="17"/>
        <v/>
      </c>
      <c r="I220" s="73">
        <f>COUNTIF($B$3:$B220,B220)</f>
        <v>19</v>
      </c>
      <c r="K220">
        <f t="shared" si="19"/>
        <v>218</v>
      </c>
      <c r="L220" s="73" t="str">
        <f t="shared" si="18"/>
        <v/>
      </c>
    </row>
    <row r="221" spans="2:12">
      <c r="B221" t="s">
        <v>59</v>
      </c>
      <c r="C221" t="s">
        <v>346</v>
      </c>
      <c r="D221" t="str">
        <f>CONCATENATE(B221,"@",COUNTIF($B$3:$B221,B221))</f>
        <v>W DT@20</v>
      </c>
      <c r="E221" t="str">
        <f t="shared" si="15"/>
        <v>6W</v>
      </c>
      <c r="F221" s="73" t="str">
        <f>IF(G221="","",SUM($G$3:$G221))</f>
        <v/>
      </c>
      <c r="G221" s="73" t="str">
        <f t="shared" si="16"/>
        <v/>
      </c>
      <c r="H221" s="73" t="str">
        <f t="shared" si="17"/>
        <v/>
      </c>
      <c r="I221" s="73">
        <f>COUNTIF($B$3:$B221,B221)</f>
        <v>20</v>
      </c>
      <c r="K221">
        <f t="shared" si="19"/>
        <v>219</v>
      </c>
      <c r="L221" s="73" t="str">
        <f t="shared" si="18"/>
        <v/>
      </c>
    </row>
    <row r="222" spans="2:12">
      <c r="B222" t="s">
        <v>59</v>
      </c>
      <c r="C222" t="s">
        <v>354</v>
      </c>
      <c r="D222" t="str">
        <f>CONCATENATE(B222,"@",COUNTIF($B$3:$B222,B222))</f>
        <v>W DT@21</v>
      </c>
      <c r="E222" t="str">
        <f t="shared" si="15"/>
        <v>7E</v>
      </c>
      <c r="F222" s="73" t="str">
        <f>IF(G222="","",SUM($G$3:$G222))</f>
        <v/>
      </c>
      <c r="G222" s="73" t="str">
        <f t="shared" si="16"/>
        <v/>
      </c>
      <c r="H222" s="73" t="str">
        <f t="shared" si="17"/>
        <v/>
      </c>
      <c r="I222" s="73">
        <f>COUNTIF($B$3:$B222,B222)</f>
        <v>21</v>
      </c>
      <c r="K222">
        <f t="shared" si="19"/>
        <v>220</v>
      </c>
      <c r="L222" s="73" t="str">
        <f t="shared" si="18"/>
        <v/>
      </c>
    </row>
    <row r="223" spans="2:12">
      <c r="B223" t="s">
        <v>59</v>
      </c>
      <c r="C223" t="s">
        <v>363</v>
      </c>
      <c r="D223" t="str">
        <f>CONCATENATE(B223,"@",COUNTIF($B$3:$B223,B223))</f>
        <v>W DT@22</v>
      </c>
      <c r="E223" t="str">
        <f t="shared" si="15"/>
        <v>7W</v>
      </c>
      <c r="F223" s="73" t="str">
        <f>IF(G223="","",SUM($G$3:$G223))</f>
        <v/>
      </c>
      <c r="G223" s="73" t="str">
        <f t="shared" si="16"/>
        <v/>
      </c>
      <c r="H223" s="73" t="str">
        <f t="shared" si="17"/>
        <v/>
      </c>
      <c r="I223" s="73">
        <f>COUNTIF($B$3:$B223,B223)</f>
        <v>22</v>
      </c>
      <c r="K223">
        <f t="shared" si="19"/>
        <v>221</v>
      </c>
      <c r="L223" s="73" t="str">
        <f t="shared" si="18"/>
        <v/>
      </c>
    </row>
    <row r="224" spans="2:12">
      <c r="B224" t="s">
        <v>59</v>
      </c>
      <c r="C224" t="s">
        <v>370</v>
      </c>
      <c r="D224" t="str">
        <f>CONCATENATE(B224,"@",COUNTIF($B$3:$B224,B224))</f>
        <v>W DT@23</v>
      </c>
      <c r="E224" t="str">
        <f t="shared" si="15"/>
        <v>8E</v>
      </c>
      <c r="F224" s="73" t="str">
        <f>IF(G224="","",SUM($G$3:$G224))</f>
        <v/>
      </c>
      <c r="G224" s="73" t="str">
        <f t="shared" si="16"/>
        <v/>
      </c>
      <c r="H224" s="73" t="str">
        <f t="shared" si="17"/>
        <v/>
      </c>
      <c r="I224" s="73">
        <f>COUNTIF($B$3:$B224,B224)</f>
        <v>23</v>
      </c>
      <c r="K224">
        <f t="shared" si="19"/>
        <v>222</v>
      </c>
      <c r="L224" s="73" t="str">
        <f t="shared" si="18"/>
        <v/>
      </c>
    </row>
    <row r="225" spans="2:12">
      <c r="B225" t="s">
        <v>59</v>
      </c>
      <c r="C225" t="s">
        <v>377</v>
      </c>
      <c r="D225" t="str">
        <f>CONCATENATE(B225,"@",COUNTIF($B$3:$B225,B225))</f>
        <v>W DT@24</v>
      </c>
      <c r="E225" t="str">
        <f t="shared" si="15"/>
        <v>8W</v>
      </c>
      <c r="F225" s="73" t="str">
        <f>IF(G225="","",SUM($G$3:$G225))</f>
        <v/>
      </c>
      <c r="G225" s="73" t="str">
        <f t="shared" si="16"/>
        <v/>
      </c>
      <c r="H225" s="73" t="str">
        <f t="shared" si="17"/>
        <v/>
      </c>
      <c r="I225" s="73">
        <f>COUNTIF($B$3:$B225,B225)</f>
        <v>24</v>
      </c>
      <c r="K225">
        <f t="shared" si="19"/>
        <v>223</v>
      </c>
      <c r="L225" s="73" t="str">
        <f t="shared" si="18"/>
        <v/>
      </c>
    </row>
    <row r="226" spans="2:12">
      <c r="B226" t="s">
        <v>59</v>
      </c>
      <c r="C226" t="s">
        <v>57</v>
      </c>
      <c r="D226" t="str">
        <f>CONCATENATE(B226,"@",COUNTIF($B$3:$B226,B226))</f>
        <v>W DT@25</v>
      </c>
      <c r="E226" t="str">
        <f t="shared" si="15"/>
        <v>TEST</v>
      </c>
      <c r="F226" s="73" t="str">
        <f>IF(G226="","",SUM($G$3:$G226))</f>
        <v/>
      </c>
      <c r="G226" s="73" t="str">
        <f t="shared" si="16"/>
        <v/>
      </c>
      <c r="H226" s="73" t="str">
        <f t="shared" si="17"/>
        <v/>
      </c>
      <c r="I226" s="73">
        <f>COUNTIF($B$3:$B226,B226)</f>
        <v>25</v>
      </c>
      <c r="K226">
        <f t="shared" si="19"/>
        <v>224</v>
      </c>
      <c r="L226" s="73" t="str">
        <f t="shared" si="18"/>
        <v/>
      </c>
    </row>
    <row r="227" spans="2:12">
      <c r="B227" t="s">
        <v>1381</v>
      </c>
      <c r="C227" t="s">
        <v>994</v>
      </c>
      <c r="D227" t="str">
        <f>CONCATENATE(B227,"@",COUNTIF($B$3:$B227,B227))</f>
        <v>M5@1</v>
      </c>
      <c r="E227" t="str">
        <f t="shared" si="15"/>
        <v>M2</v>
      </c>
      <c r="F227" s="73">
        <f>IF(G227="","",SUM($G$3:$G227))</f>
        <v>40</v>
      </c>
      <c r="G227" s="73">
        <f t="shared" si="16"/>
        <v>1</v>
      </c>
      <c r="H227" s="73" t="str">
        <f t="shared" si="17"/>
        <v>M5</v>
      </c>
      <c r="I227" s="73">
        <f>COUNTIF($B$3:$B227,B227)</f>
        <v>1</v>
      </c>
      <c r="K227">
        <f t="shared" si="19"/>
        <v>225</v>
      </c>
      <c r="L227" s="73" t="str">
        <f t="shared" si="18"/>
        <v/>
      </c>
    </row>
    <row r="228" spans="2:12">
      <c r="B228" t="s">
        <v>1381</v>
      </c>
      <c r="C228" t="s">
        <v>1142</v>
      </c>
      <c r="D228" t="str">
        <f>CONCATENATE(B228,"@",COUNTIF($B$3:$B228,B228))</f>
        <v>M5@2</v>
      </c>
      <c r="E228" t="str">
        <f t="shared" si="15"/>
        <v>M3</v>
      </c>
      <c r="F228" s="73" t="str">
        <f>IF(G228="","",SUM($G$3:$G228))</f>
        <v/>
      </c>
      <c r="G228" s="73" t="str">
        <f t="shared" si="16"/>
        <v/>
      </c>
      <c r="H228" s="73" t="str">
        <f t="shared" si="17"/>
        <v/>
      </c>
      <c r="I228" s="73">
        <f>COUNTIF($B$3:$B228,B228)</f>
        <v>2</v>
      </c>
      <c r="K228">
        <f t="shared" si="19"/>
        <v>226</v>
      </c>
      <c r="L228" s="73" t="str">
        <f t="shared" si="18"/>
        <v/>
      </c>
    </row>
    <row r="229" spans="2:12">
      <c r="B229" t="s">
        <v>1381</v>
      </c>
      <c r="C229" t="s">
        <v>331</v>
      </c>
      <c r="D229" t="str">
        <f>CONCATENATE(B229,"@",COUNTIF($B$3:$B229,B229))</f>
        <v>M5@3</v>
      </c>
      <c r="E229" t="str">
        <f t="shared" si="15"/>
        <v>M4</v>
      </c>
      <c r="F229" s="73" t="str">
        <f>IF(G229="","",SUM($G$3:$G229))</f>
        <v/>
      </c>
      <c r="G229" s="73" t="str">
        <f t="shared" si="16"/>
        <v/>
      </c>
      <c r="H229" s="73" t="str">
        <f t="shared" si="17"/>
        <v/>
      </c>
      <c r="I229" s="73">
        <f>COUNTIF($B$3:$B229,B229)</f>
        <v>3</v>
      </c>
      <c r="K229">
        <f t="shared" si="19"/>
        <v>227</v>
      </c>
      <c r="L229" s="73" t="str">
        <f t="shared" si="18"/>
        <v/>
      </c>
    </row>
    <row r="230" spans="2:12">
      <c r="B230" t="s">
        <v>331</v>
      </c>
      <c r="C230" t="s">
        <v>994</v>
      </c>
      <c r="D230" t="str">
        <f>CONCATENATE(B230,"@",COUNTIF($B$3:$B230,B230))</f>
        <v>M4@1</v>
      </c>
      <c r="E230" t="str">
        <f t="shared" si="15"/>
        <v>M2</v>
      </c>
      <c r="F230" s="73">
        <f>IF(G230="","",SUM($G$3:$G230))</f>
        <v>41</v>
      </c>
      <c r="G230" s="73">
        <f t="shared" si="16"/>
        <v>1</v>
      </c>
      <c r="H230" s="73" t="str">
        <f t="shared" si="17"/>
        <v>M4</v>
      </c>
      <c r="I230" s="73">
        <f>COUNTIF($B$3:$B230,B230)</f>
        <v>1</v>
      </c>
      <c r="K230">
        <f t="shared" si="19"/>
        <v>228</v>
      </c>
      <c r="L230" s="73" t="str">
        <f t="shared" si="18"/>
        <v/>
      </c>
    </row>
    <row r="231" spans="2:12">
      <c r="B231" t="s">
        <v>331</v>
      </c>
      <c r="C231" t="s">
        <v>1142</v>
      </c>
      <c r="D231" t="str">
        <f>CONCATENATE(B231,"@",COUNTIF($B$3:$B231,B231))</f>
        <v>M4@2</v>
      </c>
      <c r="E231" t="str">
        <f t="shared" si="15"/>
        <v>M3</v>
      </c>
      <c r="F231" s="73" t="str">
        <f>IF(G231="","",SUM($G$3:$G231))</f>
        <v/>
      </c>
      <c r="G231" s="73" t="str">
        <f t="shared" si="16"/>
        <v/>
      </c>
      <c r="H231" s="73" t="str">
        <f t="shared" si="17"/>
        <v/>
      </c>
      <c r="I231" s="73">
        <f>COUNTIF($B$3:$B231,B231)</f>
        <v>2</v>
      </c>
      <c r="K231">
        <f t="shared" si="19"/>
        <v>229</v>
      </c>
      <c r="L231" s="73" t="str">
        <f t="shared" si="18"/>
        <v/>
      </c>
    </row>
    <row r="232" spans="2:12">
      <c r="B232" t="s">
        <v>331</v>
      </c>
      <c r="C232" t="s">
        <v>1381</v>
      </c>
      <c r="D232" t="str">
        <f>CONCATENATE(B232,"@",COUNTIF($B$3:$B232,B232))</f>
        <v>M4@3</v>
      </c>
      <c r="E232" t="str">
        <f t="shared" si="15"/>
        <v>M5</v>
      </c>
      <c r="F232" s="73" t="str">
        <f>IF(G232="","",SUM($G$3:$G232))</f>
        <v/>
      </c>
      <c r="G232" s="73" t="str">
        <f t="shared" si="16"/>
        <v/>
      </c>
      <c r="H232" s="73" t="str">
        <f t="shared" si="17"/>
        <v/>
      </c>
      <c r="I232" s="73">
        <f>COUNTIF($B$3:$B232,B232)</f>
        <v>3</v>
      </c>
      <c r="K232">
        <f t="shared" si="19"/>
        <v>230</v>
      </c>
      <c r="L232" s="73" t="str">
        <f t="shared" si="18"/>
        <v/>
      </c>
    </row>
    <row r="233" spans="2:12">
      <c r="B233" t="s">
        <v>149</v>
      </c>
      <c r="C233" t="s">
        <v>672</v>
      </c>
      <c r="D233" t="str">
        <f>CONCATENATE(B233,"@",COUNTIF($B$3:$B233,B233))</f>
        <v>LS1@3</v>
      </c>
      <c r="E233" t="str">
        <f t="shared" si="15"/>
        <v>LB</v>
      </c>
      <c r="F233" s="73" t="str">
        <f>IF(G233="","",SUM($G$3:$G233))</f>
        <v/>
      </c>
      <c r="G233" s="73" t="str">
        <f t="shared" si="16"/>
        <v/>
      </c>
      <c r="H233" s="73" t="str">
        <f t="shared" si="17"/>
        <v/>
      </c>
      <c r="I233" s="73">
        <f>COUNTIF($B$3:$B233,B233)</f>
        <v>3</v>
      </c>
      <c r="K233">
        <f t="shared" si="19"/>
        <v>231</v>
      </c>
      <c r="L233" s="73" t="str">
        <f t="shared" si="18"/>
        <v/>
      </c>
    </row>
    <row r="234" spans="2:12">
      <c r="B234" t="s">
        <v>383</v>
      </c>
      <c r="C234" t="s">
        <v>672</v>
      </c>
      <c r="D234" t="str">
        <f>CONCATENATE(B234,"@",COUNTIF($B$3:$B234,B234))</f>
        <v>LS2@3</v>
      </c>
      <c r="E234" t="str">
        <f t="shared" si="15"/>
        <v>LB</v>
      </c>
      <c r="F234" s="73" t="str">
        <f>IF(G234="","",SUM($G$3:$G234))</f>
        <v/>
      </c>
      <c r="G234" s="73" t="str">
        <f t="shared" si="16"/>
        <v/>
      </c>
      <c r="H234" s="73" t="str">
        <f t="shared" si="17"/>
        <v/>
      </c>
      <c r="I234" s="73">
        <f>COUNTIF($B$3:$B234,B234)</f>
        <v>3</v>
      </c>
      <c r="K234">
        <f t="shared" si="19"/>
        <v>232</v>
      </c>
      <c r="L234" s="73" t="str">
        <f t="shared" si="18"/>
        <v/>
      </c>
    </row>
    <row r="235" spans="2:12">
      <c r="B235" t="s">
        <v>672</v>
      </c>
      <c r="C235" t="s">
        <v>149</v>
      </c>
      <c r="D235" t="str">
        <f>CONCATENATE(B235,"@",COUNTIF($B$3:$B235,B235))</f>
        <v>LB@1</v>
      </c>
      <c r="E235" t="str">
        <f t="shared" si="15"/>
        <v>LS1</v>
      </c>
      <c r="F235" s="73">
        <f>IF(G235="","",SUM($G$3:$G235))</f>
        <v>42</v>
      </c>
      <c r="G235" s="73">
        <f t="shared" si="16"/>
        <v>1</v>
      </c>
      <c r="H235" s="73" t="str">
        <f t="shared" si="17"/>
        <v>LB</v>
      </c>
      <c r="I235" s="73">
        <f>COUNTIF($B$3:$B235,B235)</f>
        <v>1</v>
      </c>
      <c r="K235">
        <f t="shared" si="19"/>
        <v>233</v>
      </c>
      <c r="L235" s="73" t="str">
        <f t="shared" si="18"/>
        <v/>
      </c>
    </row>
    <row r="236" spans="2:12">
      <c r="B236" t="s">
        <v>672</v>
      </c>
      <c r="C236" t="s">
        <v>383</v>
      </c>
      <c r="D236" t="str">
        <f>CONCATENATE(B236,"@",COUNTIF($B$3:$B236,B236))</f>
        <v>LB@2</v>
      </c>
      <c r="E236" t="str">
        <f t="shared" si="15"/>
        <v>LS2</v>
      </c>
      <c r="F236" s="73" t="str">
        <f>IF(G236="","",SUM($G$3:$G236))</f>
        <v/>
      </c>
      <c r="G236" s="73" t="str">
        <f t="shared" si="16"/>
        <v/>
      </c>
      <c r="H236" s="73" t="str">
        <f t="shared" si="17"/>
        <v/>
      </c>
      <c r="I236" s="73">
        <f>COUNTIF($B$3:$B236,B236)</f>
        <v>2</v>
      </c>
      <c r="K236">
        <f t="shared" si="19"/>
        <v>234</v>
      </c>
      <c r="L236" s="73" t="str">
        <f t="shared" si="18"/>
        <v/>
      </c>
    </row>
    <row r="237" spans="2:12">
      <c r="B237" t="s">
        <v>65</v>
      </c>
      <c r="C237" t="s">
        <v>82</v>
      </c>
      <c r="D237" t="str">
        <f>CONCATENATE(B237,"@",COUNTIF($B$3:$B237,B237))</f>
        <v>SHD16@1</v>
      </c>
      <c r="E237" t="str">
        <f t="shared" si="15"/>
        <v>LF3</v>
      </c>
      <c r="F237" s="73">
        <f>IF(G237="","",SUM($G$3:$G237))</f>
        <v>43</v>
      </c>
      <c r="G237" s="73">
        <f t="shared" si="16"/>
        <v>1</v>
      </c>
      <c r="H237" s="73" t="str">
        <f t="shared" si="17"/>
        <v>SHD16</v>
      </c>
      <c r="I237" s="73">
        <f>COUNTIF($B$3:$B237,B237)</f>
        <v>1</v>
      </c>
      <c r="K237">
        <f t="shared" si="19"/>
        <v>235</v>
      </c>
      <c r="L237" s="73" t="str">
        <f t="shared" si="18"/>
        <v/>
      </c>
    </row>
    <row r="238" spans="2:12">
      <c r="B238" t="s">
        <v>65</v>
      </c>
      <c r="C238" t="s">
        <v>83</v>
      </c>
      <c r="D238" t="str">
        <f>CONCATENATE(B238,"@",COUNTIF($B$3:$B238,B238))</f>
        <v>SHD16@2</v>
      </c>
      <c r="E238" t="str">
        <f t="shared" si="15"/>
        <v>LF4</v>
      </c>
      <c r="F238" s="73" t="str">
        <f>IF(G238="","",SUM($G$3:$G238))</f>
        <v/>
      </c>
      <c r="G238" s="73" t="str">
        <f t="shared" si="16"/>
        <v/>
      </c>
      <c r="H238" s="73" t="str">
        <f t="shared" si="17"/>
        <v/>
      </c>
      <c r="I238" s="73">
        <f>COUNTIF($B$3:$B238,B238)</f>
        <v>2</v>
      </c>
      <c r="K238">
        <f t="shared" si="19"/>
        <v>236</v>
      </c>
      <c r="L238" s="73" t="str">
        <f t="shared" si="18"/>
        <v/>
      </c>
    </row>
    <row r="239" spans="2:12">
      <c r="B239" t="s">
        <v>65</v>
      </c>
      <c r="C239" t="s">
        <v>171</v>
      </c>
      <c r="D239" t="str">
        <f>CONCATENATE(B239,"@",COUNTIF($B$3:$B239,B239))</f>
        <v>SHD16@3</v>
      </c>
      <c r="E239" t="str">
        <f t="shared" si="15"/>
        <v>HM1</v>
      </c>
      <c r="F239" s="73" t="str">
        <f>IF(G239="","",SUM($G$3:$G239))</f>
        <v/>
      </c>
      <c r="G239" s="73" t="str">
        <f t="shared" si="16"/>
        <v/>
      </c>
      <c r="H239" s="73" t="str">
        <f t="shared" si="17"/>
        <v/>
      </c>
      <c r="I239" s="73">
        <f>COUNTIF($B$3:$B239,B239)</f>
        <v>3</v>
      </c>
      <c r="K239">
        <f t="shared" si="19"/>
        <v>237</v>
      </c>
      <c r="L239" s="73" t="str">
        <f t="shared" si="18"/>
        <v/>
      </c>
    </row>
    <row r="240" spans="2:12">
      <c r="B240" t="s">
        <v>65</v>
      </c>
      <c r="C240" t="s">
        <v>182</v>
      </c>
      <c r="D240" t="str">
        <f>CONCATENATE(B240,"@",COUNTIF($B$3:$B240,B240))</f>
        <v>SHD16@4</v>
      </c>
      <c r="E240" t="str">
        <f t="shared" si="15"/>
        <v>HM2</v>
      </c>
      <c r="F240" s="73" t="str">
        <f>IF(G240="","",SUM($G$3:$G240))</f>
        <v/>
      </c>
      <c r="G240" s="73" t="str">
        <f t="shared" si="16"/>
        <v/>
      </c>
      <c r="H240" s="73" t="str">
        <f t="shared" si="17"/>
        <v/>
      </c>
      <c r="I240" s="73">
        <f>COUNTIF($B$3:$B240,B240)</f>
        <v>4</v>
      </c>
      <c r="K240">
        <f t="shared" si="19"/>
        <v>238</v>
      </c>
      <c r="L240" s="73" t="str">
        <f t="shared" si="18"/>
        <v/>
      </c>
    </row>
    <row r="241" spans="2:12">
      <c r="B241" t="s">
        <v>65</v>
      </c>
      <c r="C241" t="s">
        <v>191</v>
      </c>
      <c r="D241" t="str">
        <f>CONCATENATE(B241,"@",COUNTIF($B$3:$B241,B241))</f>
        <v>SHD16@5</v>
      </c>
      <c r="E241" t="str">
        <f t="shared" si="15"/>
        <v>HM3</v>
      </c>
      <c r="F241" s="73" t="str">
        <f>IF(G241="","",SUM($G$3:$G241))</f>
        <v/>
      </c>
      <c r="G241" s="73" t="str">
        <f t="shared" si="16"/>
        <v/>
      </c>
      <c r="H241" s="73" t="str">
        <f t="shared" si="17"/>
        <v/>
      </c>
      <c r="I241" s="73">
        <f>COUNTIF($B$3:$B241,B241)</f>
        <v>5</v>
      </c>
      <c r="K241">
        <f t="shared" si="19"/>
        <v>239</v>
      </c>
      <c r="L241" s="73" t="str">
        <f t="shared" si="18"/>
        <v/>
      </c>
    </row>
    <row r="242" spans="2:12">
      <c r="B242" t="s">
        <v>65</v>
      </c>
      <c r="C242" t="s">
        <v>200</v>
      </c>
      <c r="D242" t="str">
        <f>CONCATENATE(B242,"@",COUNTIF($B$3:$B242,B242))</f>
        <v>SHD16@6</v>
      </c>
      <c r="E242" t="str">
        <f t="shared" si="15"/>
        <v>RM1E</v>
      </c>
      <c r="F242" s="73" t="str">
        <f>IF(G242="","",SUM($G$3:$G242))</f>
        <v/>
      </c>
      <c r="G242" s="73" t="str">
        <f t="shared" si="16"/>
        <v/>
      </c>
      <c r="H242" s="73" t="str">
        <f t="shared" si="17"/>
        <v/>
      </c>
      <c r="I242" s="73">
        <f>COUNTIF($B$3:$B242,B242)</f>
        <v>6</v>
      </c>
      <c r="K242">
        <f t="shared" si="19"/>
        <v>240</v>
      </c>
      <c r="L242" s="73" t="str">
        <f t="shared" si="18"/>
        <v/>
      </c>
    </row>
    <row r="243" spans="2:12">
      <c r="B243" t="s">
        <v>65</v>
      </c>
      <c r="C243" t="s">
        <v>208</v>
      </c>
      <c r="D243" t="str">
        <f>CONCATENATE(B243,"@",COUNTIF($B$3:$B243,B243))</f>
        <v>SHD16@7</v>
      </c>
      <c r="E243" t="str">
        <f t="shared" si="15"/>
        <v>RM1W</v>
      </c>
      <c r="F243" s="73" t="str">
        <f>IF(G243="","",SUM($G$3:$G243))</f>
        <v/>
      </c>
      <c r="G243" s="73" t="str">
        <f t="shared" si="16"/>
        <v/>
      </c>
      <c r="H243" s="73" t="str">
        <f t="shared" si="17"/>
        <v/>
      </c>
      <c r="I243" s="73">
        <f>COUNTIF($B$3:$B243,B243)</f>
        <v>7</v>
      </c>
      <c r="K243">
        <f t="shared" si="19"/>
        <v>241</v>
      </c>
      <c r="L243" s="73" t="str">
        <f t="shared" si="18"/>
        <v/>
      </c>
    </row>
    <row r="244" spans="2:12">
      <c r="B244" t="s">
        <v>65</v>
      </c>
      <c r="C244" t="s">
        <v>216</v>
      </c>
      <c r="D244" t="str">
        <f>CONCATENATE(B244,"@",COUNTIF($B$3:$B244,B244))</f>
        <v>SHD16@8</v>
      </c>
      <c r="E244" t="str">
        <f t="shared" si="15"/>
        <v>RM2E</v>
      </c>
      <c r="F244" s="73" t="str">
        <f>IF(G244="","",SUM($G$3:$G244))</f>
        <v/>
      </c>
      <c r="G244" s="73" t="str">
        <f t="shared" si="16"/>
        <v/>
      </c>
      <c r="H244" s="73" t="str">
        <f t="shared" si="17"/>
        <v/>
      </c>
      <c r="I244" s="73">
        <f>COUNTIF($B$3:$B244,B244)</f>
        <v>8</v>
      </c>
      <c r="K244">
        <f t="shared" si="19"/>
        <v>242</v>
      </c>
      <c r="L244" s="73" t="str">
        <f t="shared" si="18"/>
        <v/>
      </c>
    </row>
    <row r="245" spans="2:12">
      <c r="B245" t="s">
        <v>65</v>
      </c>
      <c r="C245" t="s">
        <v>224</v>
      </c>
      <c r="D245" t="str">
        <f>CONCATENATE(B245,"@",COUNTIF($B$3:$B245,B245))</f>
        <v>SHD16@9</v>
      </c>
      <c r="E245" t="str">
        <f t="shared" si="15"/>
        <v>RM2W</v>
      </c>
      <c r="F245" s="73" t="str">
        <f>IF(G245="","",SUM($G$3:$G245))</f>
        <v/>
      </c>
      <c r="G245" s="73" t="str">
        <f t="shared" si="16"/>
        <v/>
      </c>
      <c r="H245" s="73" t="str">
        <f t="shared" si="17"/>
        <v/>
      </c>
      <c r="I245" s="73">
        <f>COUNTIF($B$3:$B245,B245)</f>
        <v>9</v>
      </c>
      <c r="K245">
        <f t="shared" si="19"/>
        <v>243</v>
      </c>
      <c r="L245" s="73" t="str">
        <f t="shared" si="18"/>
        <v/>
      </c>
    </row>
    <row r="246" spans="2:12">
      <c r="B246" t="s">
        <v>65</v>
      </c>
      <c r="C246" t="s">
        <v>231</v>
      </c>
      <c r="D246" t="str">
        <f>CONCATENATE(B246,"@",COUNTIF($B$3:$B246,B246))</f>
        <v>SHD16@10</v>
      </c>
      <c r="E246" t="str">
        <f t="shared" si="15"/>
        <v>RM3E</v>
      </c>
      <c r="F246" s="73" t="str">
        <f>IF(G246="","",SUM($G$3:$G246))</f>
        <v/>
      </c>
      <c r="G246" s="73" t="str">
        <f t="shared" si="16"/>
        <v/>
      </c>
      <c r="H246" s="73" t="str">
        <f t="shared" si="17"/>
        <v/>
      </c>
      <c r="I246" s="73">
        <f>COUNTIF($B$3:$B246,B246)</f>
        <v>10</v>
      </c>
      <c r="K246">
        <f t="shared" si="19"/>
        <v>244</v>
      </c>
      <c r="L246" s="73" t="str">
        <f t="shared" si="18"/>
        <v/>
      </c>
    </row>
    <row r="247" spans="2:12">
      <c r="B247" t="s">
        <v>65</v>
      </c>
      <c r="C247" t="s">
        <v>238</v>
      </c>
      <c r="D247" t="str">
        <f>CONCATENATE(B247,"@",COUNTIF($B$3:$B247,B247))</f>
        <v>SHD16@11</v>
      </c>
      <c r="E247" t="str">
        <f t="shared" si="15"/>
        <v>RM3W</v>
      </c>
      <c r="F247" s="73" t="str">
        <f>IF(G247="","",SUM($G$3:$G247))</f>
        <v/>
      </c>
      <c r="G247" s="73" t="str">
        <f t="shared" si="16"/>
        <v/>
      </c>
      <c r="H247" s="73" t="str">
        <f t="shared" si="17"/>
        <v/>
      </c>
      <c r="I247" s="73">
        <f>COUNTIF($B$3:$B247,B247)</f>
        <v>11</v>
      </c>
      <c r="K247">
        <f t="shared" si="19"/>
        <v>245</v>
      </c>
      <c r="L247" s="73" t="str">
        <f t="shared" si="18"/>
        <v/>
      </c>
    </row>
    <row r="248" spans="2:12">
      <c r="B248" t="s">
        <v>65</v>
      </c>
      <c r="C248" t="s">
        <v>246</v>
      </c>
      <c r="D248" t="str">
        <f>CONCATENATE(B248,"@",COUNTIF($B$3:$B248,B248))</f>
        <v>SHD16@12</v>
      </c>
      <c r="E248" t="str">
        <f t="shared" si="15"/>
        <v>HCTE</v>
      </c>
      <c r="F248" s="73" t="str">
        <f>IF(G248="","",SUM($G$3:$G248))</f>
        <v/>
      </c>
      <c r="G248" s="73" t="str">
        <f t="shared" si="16"/>
        <v/>
      </c>
      <c r="H248" s="73" t="str">
        <f t="shared" si="17"/>
        <v/>
      </c>
      <c r="I248" s="73">
        <f>COUNTIF($B$3:$B248,B248)</f>
        <v>12</v>
      </c>
      <c r="K248">
        <f t="shared" si="19"/>
        <v>246</v>
      </c>
      <c r="L248" s="73" t="str">
        <f t="shared" si="18"/>
        <v/>
      </c>
    </row>
    <row r="249" spans="2:12">
      <c r="B249" t="s">
        <v>65</v>
      </c>
      <c r="C249" t="s">
        <v>254</v>
      </c>
      <c r="D249" t="str">
        <f>CONCATENATE(B249,"@",COUNTIF($B$3:$B249,B249))</f>
        <v>SHD16@13</v>
      </c>
      <c r="E249" t="str">
        <f t="shared" si="15"/>
        <v>HCTW</v>
      </c>
      <c r="F249" s="73" t="str">
        <f>IF(G249="","",SUM($G$3:$G249))</f>
        <v/>
      </c>
      <c r="G249" s="73" t="str">
        <f t="shared" si="16"/>
        <v/>
      </c>
      <c r="H249" s="73" t="str">
        <f t="shared" si="17"/>
        <v/>
      </c>
      <c r="I249" s="73">
        <f>COUNTIF($B$3:$B249,B249)</f>
        <v>13</v>
      </c>
      <c r="K249">
        <f t="shared" si="19"/>
        <v>247</v>
      </c>
      <c r="L249" s="73" t="str">
        <f t="shared" si="18"/>
        <v/>
      </c>
    </row>
    <row r="250" spans="2:12">
      <c r="B250" t="s">
        <v>65</v>
      </c>
      <c r="C250" t="s">
        <v>261</v>
      </c>
      <c r="D250" t="str">
        <f>CONCATENATE(B250,"@",COUNTIF($B$3:$B250,B250))</f>
        <v>SHD16@14</v>
      </c>
      <c r="E250" t="str">
        <f t="shared" si="15"/>
        <v>1E</v>
      </c>
      <c r="F250" s="73" t="str">
        <f>IF(G250="","",SUM($G$3:$G250))</f>
        <v/>
      </c>
      <c r="G250" s="73" t="str">
        <f t="shared" si="16"/>
        <v/>
      </c>
      <c r="H250" s="73" t="str">
        <f t="shared" si="17"/>
        <v/>
      </c>
      <c r="I250" s="73">
        <f>COUNTIF($B$3:$B250,B250)</f>
        <v>14</v>
      </c>
      <c r="K250">
        <f t="shared" si="19"/>
        <v>248</v>
      </c>
      <c r="L250" s="73" t="str">
        <f t="shared" si="18"/>
        <v/>
      </c>
    </row>
    <row r="251" spans="2:12">
      <c r="B251" t="s">
        <v>65</v>
      </c>
      <c r="C251" t="s">
        <v>269</v>
      </c>
      <c r="D251" t="str">
        <f>CONCATENATE(B251,"@",COUNTIF($B$3:$B251,B251))</f>
        <v>SHD16@15</v>
      </c>
      <c r="E251" t="str">
        <f t="shared" si="15"/>
        <v>1W</v>
      </c>
      <c r="F251" s="73" t="str">
        <f>IF(G251="","",SUM($G$3:$G251))</f>
        <v/>
      </c>
      <c r="G251" s="73" t="str">
        <f t="shared" si="16"/>
        <v/>
      </c>
      <c r="H251" s="73" t="str">
        <f t="shared" si="17"/>
        <v/>
      </c>
      <c r="I251" s="73">
        <f>COUNTIF($B$3:$B251,B251)</f>
        <v>15</v>
      </c>
      <c r="K251">
        <f t="shared" si="19"/>
        <v>249</v>
      </c>
      <c r="L251" s="73" t="str">
        <f t="shared" si="18"/>
        <v/>
      </c>
    </row>
    <row r="252" spans="2:12">
      <c r="B252" t="s">
        <v>65</v>
      </c>
      <c r="C252" t="s">
        <v>276</v>
      </c>
      <c r="D252" t="str">
        <f>CONCATENATE(B252,"@",COUNTIF($B$3:$B252,B252))</f>
        <v>SHD16@16</v>
      </c>
      <c r="E252" t="str">
        <f t="shared" si="15"/>
        <v>2E</v>
      </c>
      <c r="F252" s="73" t="str">
        <f>IF(G252="","",SUM($G$3:$G252))</f>
        <v/>
      </c>
      <c r="G252" s="73" t="str">
        <f t="shared" si="16"/>
        <v/>
      </c>
      <c r="H252" s="73" t="str">
        <f t="shared" si="17"/>
        <v/>
      </c>
      <c r="I252" s="73">
        <f>COUNTIF($B$3:$B252,B252)</f>
        <v>16</v>
      </c>
      <c r="K252">
        <f t="shared" si="19"/>
        <v>250</v>
      </c>
      <c r="L252" s="73" t="str">
        <f t="shared" si="18"/>
        <v/>
      </c>
    </row>
    <row r="253" spans="2:12">
      <c r="B253" t="s">
        <v>65</v>
      </c>
      <c r="C253" t="s">
        <v>285</v>
      </c>
      <c r="D253" t="str">
        <f>CONCATENATE(B253,"@",COUNTIF($B$3:$B253,B253))</f>
        <v>SHD16@17</v>
      </c>
      <c r="E253" t="str">
        <f t="shared" si="15"/>
        <v>2W</v>
      </c>
      <c r="F253" s="73" t="str">
        <f>IF(G253="","",SUM($G$3:$G253))</f>
        <v/>
      </c>
      <c r="G253" s="73" t="str">
        <f t="shared" si="16"/>
        <v/>
      </c>
      <c r="H253" s="73" t="str">
        <f t="shared" si="17"/>
        <v/>
      </c>
      <c r="I253" s="73">
        <f>COUNTIF($B$3:$B253,B253)</f>
        <v>17</v>
      </c>
      <c r="K253">
        <f t="shared" si="19"/>
        <v>251</v>
      </c>
      <c r="L253" s="73" t="str">
        <f t="shared" si="18"/>
        <v/>
      </c>
    </row>
    <row r="254" spans="2:12">
      <c r="B254" t="s">
        <v>65</v>
      </c>
      <c r="C254" t="s">
        <v>293</v>
      </c>
      <c r="D254" t="str">
        <f>CONCATENATE(B254,"@",COUNTIF($B$3:$B254,B254))</f>
        <v>SHD16@18</v>
      </c>
      <c r="E254" t="str">
        <f t="shared" si="15"/>
        <v>3E</v>
      </c>
      <c r="F254" s="73" t="str">
        <f>IF(G254="","",SUM($G$3:$G254))</f>
        <v/>
      </c>
      <c r="G254" s="73" t="str">
        <f t="shared" si="16"/>
        <v/>
      </c>
      <c r="H254" s="73" t="str">
        <f t="shared" si="17"/>
        <v/>
      </c>
      <c r="I254" s="73">
        <f>COUNTIF($B$3:$B254,B254)</f>
        <v>18</v>
      </c>
      <c r="K254">
        <f t="shared" si="19"/>
        <v>252</v>
      </c>
      <c r="L254" s="73" t="str">
        <f t="shared" si="18"/>
        <v/>
      </c>
    </row>
    <row r="255" spans="2:12">
      <c r="B255" t="s">
        <v>65</v>
      </c>
      <c r="C255" t="s">
        <v>301</v>
      </c>
      <c r="D255" t="str">
        <f>CONCATENATE(B255,"@",COUNTIF($B$3:$B255,B255))</f>
        <v>SHD16@19</v>
      </c>
      <c r="E255" t="str">
        <f t="shared" si="15"/>
        <v>3W</v>
      </c>
      <c r="F255" s="73" t="str">
        <f>IF(G255="","",SUM($G$3:$G255))</f>
        <v/>
      </c>
      <c r="G255" s="73" t="str">
        <f t="shared" si="16"/>
        <v/>
      </c>
      <c r="H255" s="73" t="str">
        <f t="shared" si="17"/>
        <v/>
      </c>
      <c r="I255" s="73">
        <f>COUNTIF($B$3:$B255,B255)</f>
        <v>19</v>
      </c>
      <c r="K255">
        <f t="shared" si="19"/>
        <v>253</v>
      </c>
      <c r="L255" s="73" t="str">
        <f t="shared" si="18"/>
        <v/>
      </c>
    </row>
    <row r="256" spans="2:12">
      <c r="B256" t="s">
        <v>65</v>
      </c>
      <c r="C256" t="s">
        <v>309</v>
      </c>
      <c r="D256" t="str">
        <f>CONCATENATE(B256,"@",COUNTIF($B$3:$B256,B256))</f>
        <v>SHD16@20</v>
      </c>
      <c r="E256" t="str">
        <f t="shared" si="15"/>
        <v>4E</v>
      </c>
      <c r="F256" s="73" t="str">
        <f>IF(G256="","",SUM($G$3:$G256))</f>
        <v/>
      </c>
      <c r="G256" s="73" t="str">
        <f t="shared" si="16"/>
        <v/>
      </c>
      <c r="H256" s="73" t="str">
        <f t="shared" si="17"/>
        <v/>
      </c>
      <c r="I256" s="73">
        <f>COUNTIF($B$3:$B256,B256)</f>
        <v>20</v>
      </c>
      <c r="K256">
        <f t="shared" si="19"/>
        <v>254</v>
      </c>
      <c r="L256" s="73" t="str">
        <f t="shared" si="18"/>
        <v/>
      </c>
    </row>
    <row r="257" spans="2:12">
      <c r="B257" t="s">
        <v>65</v>
      </c>
      <c r="C257" t="s">
        <v>318</v>
      </c>
      <c r="D257" t="str">
        <f>CONCATENATE(B257,"@",COUNTIF($B$3:$B257,B257))</f>
        <v>SHD16@21</v>
      </c>
      <c r="E257" t="str">
        <f t="shared" si="15"/>
        <v>4W</v>
      </c>
      <c r="F257" s="73" t="str">
        <f>IF(G257="","",SUM($G$3:$G257))</f>
        <v/>
      </c>
      <c r="G257" s="73" t="str">
        <f t="shared" si="16"/>
        <v/>
      </c>
      <c r="H257" s="73" t="str">
        <f t="shared" si="17"/>
        <v/>
      </c>
      <c r="I257" s="73">
        <f>COUNTIF($B$3:$B257,B257)</f>
        <v>21</v>
      </c>
      <c r="K257">
        <f t="shared" si="19"/>
        <v>255</v>
      </c>
      <c r="L257" s="73" t="str">
        <f t="shared" si="18"/>
        <v/>
      </c>
    </row>
    <row r="258" spans="2:12">
      <c r="B258" t="s">
        <v>65</v>
      </c>
      <c r="C258" t="s">
        <v>325</v>
      </c>
      <c r="D258" t="str">
        <f>CONCATENATE(B258,"@",COUNTIF($B$3:$B258,B258))</f>
        <v>SHD16@22</v>
      </c>
      <c r="E258" t="str">
        <f t="shared" si="15"/>
        <v>5E</v>
      </c>
      <c r="F258" s="73" t="str">
        <f>IF(G258="","",SUM($G$3:$G258))</f>
        <v/>
      </c>
      <c r="G258" s="73" t="str">
        <f t="shared" si="16"/>
        <v/>
      </c>
      <c r="H258" s="73" t="str">
        <f t="shared" si="17"/>
        <v/>
      </c>
      <c r="I258" s="73">
        <f>COUNTIF($B$3:$B258,B258)</f>
        <v>22</v>
      </c>
      <c r="K258">
        <f t="shared" si="19"/>
        <v>256</v>
      </c>
      <c r="L258" s="73" t="str">
        <f t="shared" si="18"/>
        <v/>
      </c>
    </row>
    <row r="259" spans="2:12">
      <c r="B259" t="s">
        <v>65</v>
      </c>
      <c r="C259" t="s">
        <v>333</v>
      </c>
      <c r="D259" t="str">
        <f>CONCATENATE(B259,"@",COUNTIF($B$3:$B259,B259))</f>
        <v>SHD16@23</v>
      </c>
      <c r="E259" t="str">
        <f t="shared" ref="E259:E294" si="20">C259</f>
        <v>5W</v>
      </c>
      <c r="F259" s="73" t="str">
        <f>IF(G259="","",SUM($G$3:$G259))</f>
        <v/>
      </c>
      <c r="G259" s="73" t="str">
        <f t="shared" si="16"/>
        <v/>
      </c>
      <c r="H259" s="73" t="str">
        <f t="shared" si="17"/>
        <v/>
      </c>
      <c r="I259" s="73">
        <f>COUNTIF($B$3:$B259,B259)</f>
        <v>23</v>
      </c>
      <c r="K259">
        <f t="shared" si="19"/>
        <v>257</v>
      </c>
      <c r="L259" s="73" t="str">
        <f t="shared" si="18"/>
        <v/>
      </c>
    </row>
    <row r="260" spans="2:12">
      <c r="B260" t="s">
        <v>65</v>
      </c>
      <c r="C260" t="s">
        <v>339</v>
      </c>
      <c r="D260" t="str">
        <f>CONCATENATE(B260,"@",COUNTIF($B$3:$B260,B260))</f>
        <v>SHD16@24</v>
      </c>
      <c r="E260" t="str">
        <f t="shared" si="20"/>
        <v>6E</v>
      </c>
      <c r="F260" s="73" t="str">
        <f>IF(G260="","",SUM($G$3:$G260))</f>
        <v/>
      </c>
      <c r="G260" s="73" t="str">
        <f t="shared" ref="G260:G323" si="21">IF(H260="","",1)</f>
        <v/>
      </c>
      <c r="H260" s="73" t="str">
        <f t="shared" ref="H260:H323" si="22">IF(I260=1,B260,"")</f>
        <v/>
      </c>
      <c r="I260" s="73">
        <f>COUNTIF($B$3:$B260,B260)</f>
        <v>24</v>
      </c>
      <c r="K260">
        <f t="shared" si="19"/>
        <v>258</v>
      </c>
      <c r="L260" s="73" t="str">
        <f t="shared" ref="L260:L323" si="23">IF(COUNTIF($F:$F,$K260)=0,"",VLOOKUP(K260,$F:$H,3,0))</f>
        <v/>
      </c>
    </row>
    <row r="261" spans="2:12">
      <c r="B261" t="s">
        <v>65</v>
      </c>
      <c r="C261" t="s">
        <v>346</v>
      </c>
      <c r="D261" t="str">
        <f>CONCATENATE(B261,"@",COUNTIF($B$3:$B261,B261))</f>
        <v>SHD16@25</v>
      </c>
      <c r="E261" t="str">
        <f t="shared" si="20"/>
        <v>6W</v>
      </c>
      <c r="F261" s="73" t="str">
        <f>IF(G261="","",SUM($G$3:$G261))</f>
        <v/>
      </c>
      <c r="G261" s="73" t="str">
        <f t="shared" si="21"/>
        <v/>
      </c>
      <c r="H261" s="73" t="str">
        <f t="shared" si="22"/>
        <v/>
      </c>
      <c r="I261" s="73">
        <f>COUNTIF($B$3:$B261,B261)</f>
        <v>25</v>
      </c>
      <c r="K261">
        <f t="shared" ref="K261:K324" si="24">K260+1</f>
        <v>259</v>
      </c>
      <c r="L261" s="73" t="str">
        <f t="shared" si="23"/>
        <v/>
      </c>
    </row>
    <row r="262" spans="2:12">
      <c r="B262" t="s">
        <v>65</v>
      </c>
      <c r="C262" t="s">
        <v>354</v>
      </c>
      <c r="D262" t="str">
        <f>CONCATENATE(B262,"@",COUNTIF($B$3:$B262,B262))</f>
        <v>SHD16@26</v>
      </c>
      <c r="E262" t="str">
        <f t="shared" si="20"/>
        <v>7E</v>
      </c>
      <c r="F262" s="73" t="str">
        <f>IF(G262="","",SUM($G$3:$G262))</f>
        <v/>
      </c>
      <c r="G262" s="73" t="str">
        <f t="shared" si="21"/>
        <v/>
      </c>
      <c r="H262" s="73" t="str">
        <f t="shared" si="22"/>
        <v/>
      </c>
      <c r="I262" s="73">
        <f>COUNTIF($B$3:$B262,B262)</f>
        <v>26</v>
      </c>
      <c r="K262">
        <f t="shared" si="24"/>
        <v>260</v>
      </c>
      <c r="L262" s="73" t="str">
        <f t="shared" si="23"/>
        <v/>
      </c>
    </row>
    <row r="263" spans="2:12">
      <c r="B263" t="s">
        <v>65</v>
      </c>
      <c r="C263" t="s">
        <v>363</v>
      </c>
      <c r="D263" t="str">
        <f>CONCATENATE(B263,"@",COUNTIF($B$3:$B263,B263))</f>
        <v>SHD16@27</v>
      </c>
      <c r="E263" t="str">
        <f t="shared" si="20"/>
        <v>7W</v>
      </c>
      <c r="F263" s="73" t="str">
        <f>IF(G263="","",SUM($G$3:$G263))</f>
        <v/>
      </c>
      <c r="G263" s="73" t="str">
        <f t="shared" si="21"/>
        <v/>
      </c>
      <c r="H263" s="73" t="str">
        <f t="shared" si="22"/>
        <v/>
      </c>
      <c r="I263" s="73">
        <f>COUNTIF($B$3:$B263,B263)</f>
        <v>27</v>
      </c>
      <c r="K263">
        <f t="shared" si="24"/>
        <v>261</v>
      </c>
      <c r="L263" s="73" t="str">
        <f t="shared" si="23"/>
        <v/>
      </c>
    </row>
    <row r="264" spans="2:12">
      <c r="B264" t="s">
        <v>65</v>
      </c>
      <c r="C264" t="s">
        <v>370</v>
      </c>
      <c r="D264" t="str">
        <f>CONCATENATE(B264,"@",COUNTIF($B$3:$B264,B264))</f>
        <v>SHD16@28</v>
      </c>
      <c r="E264" t="str">
        <f t="shared" si="20"/>
        <v>8E</v>
      </c>
      <c r="F264" s="73" t="str">
        <f>IF(G264="","",SUM($G$3:$G264))</f>
        <v/>
      </c>
      <c r="G264" s="73" t="str">
        <f t="shared" si="21"/>
        <v/>
      </c>
      <c r="H264" s="73" t="str">
        <f t="shared" si="22"/>
        <v/>
      </c>
      <c r="I264" s="73">
        <f>COUNTIF($B$3:$B264,B264)</f>
        <v>28</v>
      </c>
      <c r="K264">
        <f t="shared" si="24"/>
        <v>262</v>
      </c>
      <c r="L264" s="73" t="str">
        <f t="shared" si="23"/>
        <v/>
      </c>
    </row>
    <row r="265" spans="2:12">
      <c r="B265" t="s">
        <v>65</v>
      </c>
      <c r="C265" t="s">
        <v>377</v>
      </c>
      <c r="D265" t="str">
        <f>CONCATENATE(B265,"@",COUNTIF($B$3:$B265,B265))</f>
        <v>SHD16@29</v>
      </c>
      <c r="E265" t="str">
        <f t="shared" si="20"/>
        <v>8W</v>
      </c>
      <c r="F265" s="73" t="str">
        <f>IF(G265="","",SUM($G$3:$G265))</f>
        <v/>
      </c>
      <c r="G265" s="73" t="str">
        <f t="shared" si="21"/>
        <v/>
      </c>
      <c r="H265" s="73" t="str">
        <f t="shared" si="22"/>
        <v/>
      </c>
      <c r="I265" s="73">
        <f>COUNTIF($B$3:$B265,B265)</f>
        <v>29</v>
      </c>
      <c r="K265">
        <f t="shared" si="24"/>
        <v>263</v>
      </c>
      <c r="L265" s="73" t="str">
        <f t="shared" si="23"/>
        <v/>
      </c>
    </row>
    <row r="266" spans="2:12">
      <c r="B266" t="s">
        <v>82</v>
      </c>
      <c r="C266" t="s">
        <v>65</v>
      </c>
      <c r="D266" t="str">
        <f>CONCATENATE(B266,"@",COUNTIF($B$3:$B266,B266))</f>
        <v>LF3@3</v>
      </c>
      <c r="E266" t="str">
        <f t="shared" si="20"/>
        <v>SHD16</v>
      </c>
      <c r="F266" s="73" t="str">
        <f>IF(G266="","",SUM($G$3:$G266))</f>
        <v/>
      </c>
      <c r="G266" s="73" t="str">
        <f t="shared" si="21"/>
        <v/>
      </c>
      <c r="H266" s="73" t="str">
        <f t="shared" si="22"/>
        <v/>
      </c>
      <c r="I266" s="73">
        <f>COUNTIF($B$3:$B266,B266)</f>
        <v>3</v>
      </c>
      <c r="K266">
        <f t="shared" si="24"/>
        <v>264</v>
      </c>
      <c r="L266" s="73" t="str">
        <f t="shared" si="23"/>
        <v/>
      </c>
    </row>
    <row r="267" spans="2:12">
      <c r="B267" t="s">
        <v>83</v>
      </c>
      <c r="C267" t="s">
        <v>65</v>
      </c>
      <c r="D267" t="str">
        <f>CONCATENATE(B267,"@",COUNTIF($B$3:$B267,B267))</f>
        <v>LF4@3</v>
      </c>
      <c r="E267" t="str">
        <f t="shared" si="20"/>
        <v>SHD16</v>
      </c>
      <c r="F267" s="73" t="str">
        <f>IF(G267="","",SUM($G$3:$G267))</f>
        <v/>
      </c>
      <c r="G267" s="73" t="str">
        <f t="shared" si="21"/>
        <v/>
      </c>
      <c r="H267" s="73" t="str">
        <f t="shared" si="22"/>
        <v/>
      </c>
      <c r="I267" s="73">
        <f>COUNTIF($B$3:$B267,B267)</f>
        <v>3</v>
      </c>
      <c r="K267">
        <f t="shared" si="24"/>
        <v>265</v>
      </c>
      <c r="L267" s="73" t="str">
        <f t="shared" si="23"/>
        <v/>
      </c>
    </row>
    <row r="268" spans="2:12">
      <c r="B268" t="s">
        <v>171</v>
      </c>
      <c r="C268" t="s">
        <v>65</v>
      </c>
      <c r="D268" t="str">
        <f>CONCATENATE(B268,"@",COUNTIF($B$3:$B268,B268))</f>
        <v>HM1@3</v>
      </c>
      <c r="E268" t="str">
        <f t="shared" si="20"/>
        <v>SHD16</v>
      </c>
      <c r="F268" s="73" t="str">
        <f>IF(G268="","",SUM($G$3:$G268))</f>
        <v/>
      </c>
      <c r="G268" s="73" t="str">
        <f t="shared" si="21"/>
        <v/>
      </c>
      <c r="H268" s="73" t="str">
        <f t="shared" si="22"/>
        <v/>
      </c>
      <c r="I268" s="73">
        <f>COUNTIF($B$3:$B268,B268)</f>
        <v>3</v>
      </c>
      <c r="K268">
        <f t="shared" si="24"/>
        <v>266</v>
      </c>
      <c r="L268" s="73" t="str">
        <f t="shared" si="23"/>
        <v/>
      </c>
    </row>
    <row r="269" spans="2:12">
      <c r="B269" t="s">
        <v>182</v>
      </c>
      <c r="C269" t="s">
        <v>65</v>
      </c>
      <c r="D269" t="str">
        <f>CONCATENATE(B269,"@",COUNTIF($B$3:$B269,B269))</f>
        <v>HM2@3</v>
      </c>
      <c r="E269" t="str">
        <f t="shared" si="20"/>
        <v>SHD16</v>
      </c>
      <c r="F269" s="73" t="str">
        <f>IF(G269="","",SUM($G$3:$G269))</f>
        <v/>
      </c>
      <c r="G269" s="73" t="str">
        <f t="shared" si="21"/>
        <v/>
      </c>
      <c r="H269" s="73" t="str">
        <f t="shared" si="22"/>
        <v/>
      </c>
      <c r="I269" s="73">
        <f>COUNTIF($B$3:$B269,B269)</f>
        <v>3</v>
      </c>
      <c r="K269">
        <f t="shared" si="24"/>
        <v>267</v>
      </c>
      <c r="L269" s="73" t="str">
        <f t="shared" si="23"/>
        <v/>
      </c>
    </row>
    <row r="270" spans="2:12">
      <c r="B270" t="s">
        <v>191</v>
      </c>
      <c r="C270" t="s">
        <v>65</v>
      </c>
      <c r="D270" t="str">
        <f>CONCATENATE(B270,"@",COUNTIF($B$3:$B270,B270))</f>
        <v>HM3@3</v>
      </c>
      <c r="E270" t="str">
        <f t="shared" si="20"/>
        <v>SHD16</v>
      </c>
      <c r="F270" s="73" t="str">
        <f>IF(G270="","",SUM($G$3:$G270))</f>
        <v/>
      </c>
      <c r="G270" s="73" t="str">
        <f t="shared" si="21"/>
        <v/>
      </c>
      <c r="H270" s="73" t="str">
        <f t="shared" si="22"/>
        <v/>
      </c>
      <c r="I270" s="73">
        <f>COUNTIF($B$3:$B270,B270)</f>
        <v>3</v>
      </c>
      <c r="K270">
        <f t="shared" si="24"/>
        <v>268</v>
      </c>
      <c r="L270" s="73" t="str">
        <f t="shared" si="23"/>
        <v/>
      </c>
    </row>
    <row r="271" spans="2:12">
      <c r="B271" t="s">
        <v>200</v>
      </c>
      <c r="C271" t="s">
        <v>65</v>
      </c>
      <c r="D271" t="str">
        <f>CONCATENATE(B271,"@",COUNTIF($B$3:$B271,B271))</f>
        <v>RM1E@4</v>
      </c>
      <c r="E271" t="str">
        <f t="shared" si="20"/>
        <v>SHD16</v>
      </c>
      <c r="F271" s="73" t="str">
        <f>IF(G271="","",SUM($G$3:$G271))</f>
        <v/>
      </c>
      <c r="G271" s="73" t="str">
        <f t="shared" si="21"/>
        <v/>
      </c>
      <c r="H271" s="73" t="str">
        <f t="shared" si="22"/>
        <v/>
      </c>
      <c r="I271" s="73">
        <f>COUNTIF($B$3:$B271,B271)</f>
        <v>4</v>
      </c>
      <c r="K271">
        <f t="shared" si="24"/>
        <v>269</v>
      </c>
      <c r="L271" s="73" t="str">
        <f t="shared" si="23"/>
        <v/>
      </c>
    </row>
    <row r="272" spans="2:12">
      <c r="B272" t="s">
        <v>208</v>
      </c>
      <c r="C272" t="s">
        <v>65</v>
      </c>
      <c r="D272" t="str">
        <f>CONCATENATE(B272,"@",COUNTIF($B$3:$B272,B272))</f>
        <v>RM1W@4</v>
      </c>
      <c r="E272" t="str">
        <f t="shared" si="20"/>
        <v>SHD16</v>
      </c>
      <c r="F272" s="73" t="str">
        <f>IF(G272="","",SUM($G$3:$G272))</f>
        <v/>
      </c>
      <c r="G272" s="73" t="str">
        <f t="shared" si="21"/>
        <v/>
      </c>
      <c r="H272" s="73" t="str">
        <f t="shared" si="22"/>
        <v/>
      </c>
      <c r="I272" s="73">
        <f>COUNTIF($B$3:$B272,B272)</f>
        <v>4</v>
      </c>
      <c r="K272">
        <f t="shared" si="24"/>
        <v>270</v>
      </c>
      <c r="L272" s="73" t="str">
        <f t="shared" si="23"/>
        <v/>
      </c>
    </row>
    <row r="273" spans="2:12">
      <c r="B273" t="s">
        <v>216</v>
      </c>
      <c r="C273" t="s">
        <v>65</v>
      </c>
      <c r="D273" t="str">
        <f>CONCATENATE(B273,"@",COUNTIF($B$3:$B273,B273))</f>
        <v>RM2E@4</v>
      </c>
      <c r="E273" t="str">
        <f t="shared" si="20"/>
        <v>SHD16</v>
      </c>
      <c r="F273" s="73" t="str">
        <f>IF(G273="","",SUM($G$3:$G273))</f>
        <v/>
      </c>
      <c r="G273" s="73" t="str">
        <f t="shared" si="21"/>
        <v/>
      </c>
      <c r="H273" s="73" t="str">
        <f t="shared" si="22"/>
        <v/>
      </c>
      <c r="I273" s="73">
        <f>COUNTIF($B$3:$B273,B273)</f>
        <v>4</v>
      </c>
      <c r="K273">
        <f t="shared" si="24"/>
        <v>271</v>
      </c>
      <c r="L273" s="73" t="str">
        <f t="shared" si="23"/>
        <v/>
      </c>
    </row>
    <row r="274" spans="2:12">
      <c r="B274" t="s">
        <v>224</v>
      </c>
      <c r="C274" t="s">
        <v>65</v>
      </c>
      <c r="D274" t="str">
        <f>CONCATENATE(B274,"@",COUNTIF($B$3:$B274,B274))</f>
        <v>RM2W@4</v>
      </c>
      <c r="E274" t="str">
        <f t="shared" si="20"/>
        <v>SHD16</v>
      </c>
      <c r="F274" s="73" t="str">
        <f>IF(G274="","",SUM($G$3:$G274))</f>
        <v/>
      </c>
      <c r="G274" s="73" t="str">
        <f t="shared" si="21"/>
        <v/>
      </c>
      <c r="H274" s="73" t="str">
        <f t="shared" si="22"/>
        <v/>
      </c>
      <c r="I274" s="73">
        <f>COUNTIF($B$3:$B274,B274)</f>
        <v>4</v>
      </c>
      <c r="K274">
        <f t="shared" si="24"/>
        <v>272</v>
      </c>
      <c r="L274" s="73" t="str">
        <f t="shared" si="23"/>
        <v/>
      </c>
    </row>
    <row r="275" spans="2:12">
      <c r="B275" t="s">
        <v>231</v>
      </c>
      <c r="C275" t="s">
        <v>65</v>
      </c>
      <c r="D275" t="str">
        <f>CONCATENATE(B275,"@",COUNTIF($B$3:$B275,B275))</f>
        <v>RM3E@4</v>
      </c>
      <c r="E275" t="str">
        <f t="shared" si="20"/>
        <v>SHD16</v>
      </c>
      <c r="F275" s="73" t="str">
        <f>IF(G275="","",SUM($G$3:$G275))</f>
        <v/>
      </c>
      <c r="G275" s="73" t="str">
        <f t="shared" si="21"/>
        <v/>
      </c>
      <c r="H275" s="73" t="str">
        <f t="shared" si="22"/>
        <v/>
      </c>
      <c r="I275" s="73">
        <f>COUNTIF($B$3:$B275,B275)</f>
        <v>4</v>
      </c>
      <c r="K275">
        <f t="shared" si="24"/>
        <v>273</v>
      </c>
      <c r="L275" s="73" t="str">
        <f t="shared" si="23"/>
        <v/>
      </c>
    </row>
    <row r="276" spans="2:12">
      <c r="B276" t="s">
        <v>238</v>
      </c>
      <c r="C276" t="s">
        <v>65</v>
      </c>
      <c r="D276" t="str">
        <f>CONCATENATE(B276,"@",COUNTIF($B$3:$B276,B276))</f>
        <v>RM3W@4</v>
      </c>
      <c r="E276" t="str">
        <f t="shared" si="20"/>
        <v>SHD16</v>
      </c>
      <c r="F276" s="73" t="str">
        <f>IF(G276="","",SUM($G$3:$G276))</f>
        <v/>
      </c>
      <c r="G276" s="73" t="str">
        <f t="shared" si="21"/>
        <v/>
      </c>
      <c r="H276" s="73" t="str">
        <f t="shared" si="22"/>
        <v/>
      </c>
      <c r="I276" s="73">
        <f>COUNTIF($B$3:$B276,B276)</f>
        <v>4</v>
      </c>
      <c r="K276">
        <f t="shared" si="24"/>
        <v>274</v>
      </c>
      <c r="L276" s="73" t="str">
        <f t="shared" si="23"/>
        <v/>
      </c>
    </row>
    <row r="277" spans="2:12">
      <c r="B277" t="s">
        <v>246</v>
      </c>
      <c r="C277" t="s">
        <v>65</v>
      </c>
      <c r="D277" t="str">
        <f>CONCATENATE(B277,"@",COUNTIF($B$3:$B277,B277))</f>
        <v>HCTE@4</v>
      </c>
      <c r="E277" t="str">
        <f t="shared" si="20"/>
        <v>SHD16</v>
      </c>
      <c r="F277" s="73" t="str">
        <f>IF(G277="","",SUM($G$3:$G277))</f>
        <v/>
      </c>
      <c r="G277" s="73" t="str">
        <f t="shared" si="21"/>
        <v/>
      </c>
      <c r="H277" s="73" t="str">
        <f t="shared" si="22"/>
        <v/>
      </c>
      <c r="I277" s="73">
        <f>COUNTIF($B$3:$B277,B277)</f>
        <v>4</v>
      </c>
      <c r="K277">
        <f t="shared" si="24"/>
        <v>275</v>
      </c>
      <c r="L277" s="73" t="str">
        <f t="shared" si="23"/>
        <v/>
      </c>
    </row>
    <row r="278" spans="2:12">
      <c r="B278" t="s">
        <v>254</v>
      </c>
      <c r="C278" t="s">
        <v>65</v>
      </c>
      <c r="D278" t="str">
        <f>CONCATENATE(B278,"@",COUNTIF($B$3:$B278,B278))</f>
        <v>HCTW@4</v>
      </c>
      <c r="E278" t="str">
        <f t="shared" si="20"/>
        <v>SHD16</v>
      </c>
      <c r="F278" s="73" t="str">
        <f>IF(G278="","",SUM($G$3:$G278))</f>
        <v/>
      </c>
      <c r="G278" s="73" t="str">
        <f t="shared" si="21"/>
        <v/>
      </c>
      <c r="H278" s="73" t="str">
        <f t="shared" si="22"/>
        <v/>
      </c>
      <c r="I278" s="73">
        <f>COUNTIF($B$3:$B278,B278)</f>
        <v>4</v>
      </c>
      <c r="K278">
        <f t="shared" si="24"/>
        <v>276</v>
      </c>
      <c r="L278" s="73" t="str">
        <f t="shared" si="23"/>
        <v/>
      </c>
    </row>
    <row r="279" spans="2:12">
      <c r="B279" t="s">
        <v>261</v>
      </c>
      <c r="C279" t="s">
        <v>65</v>
      </c>
      <c r="D279" t="str">
        <f>CONCATENATE(B279,"@",COUNTIF($B$3:$B279,B279))</f>
        <v>1E@4</v>
      </c>
      <c r="E279" t="str">
        <f t="shared" si="20"/>
        <v>SHD16</v>
      </c>
      <c r="F279" s="73" t="str">
        <f>IF(G279="","",SUM($G$3:$G279))</f>
        <v/>
      </c>
      <c r="G279" s="73" t="str">
        <f t="shared" si="21"/>
        <v/>
      </c>
      <c r="H279" s="73" t="str">
        <f t="shared" si="22"/>
        <v/>
      </c>
      <c r="I279" s="73">
        <f>COUNTIF($B$3:$B279,B279)</f>
        <v>4</v>
      </c>
      <c r="K279">
        <f t="shared" si="24"/>
        <v>277</v>
      </c>
      <c r="L279" s="73" t="str">
        <f t="shared" si="23"/>
        <v/>
      </c>
    </row>
    <row r="280" spans="2:12">
      <c r="B280" t="s">
        <v>269</v>
      </c>
      <c r="C280" t="s">
        <v>65</v>
      </c>
      <c r="D280" t="str">
        <f>CONCATENATE(B280,"@",COUNTIF($B$3:$B280,B280))</f>
        <v>1W@4</v>
      </c>
      <c r="E280" t="str">
        <f t="shared" si="20"/>
        <v>SHD16</v>
      </c>
      <c r="F280" s="73" t="str">
        <f>IF(G280="","",SUM($G$3:$G280))</f>
        <v/>
      </c>
      <c r="G280" s="73" t="str">
        <f t="shared" si="21"/>
        <v/>
      </c>
      <c r="H280" s="73" t="str">
        <f t="shared" si="22"/>
        <v/>
      </c>
      <c r="I280" s="73">
        <f>COUNTIF($B$3:$B280,B280)</f>
        <v>4</v>
      </c>
      <c r="K280">
        <f t="shared" si="24"/>
        <v>278</v>
      </c>
      <c r="L280" s="73" t="str">
        <f t="shared" si="23"/>
        <v/>
      </c>
    </row>
    <row r="281" spans="2:12">
      <c r="B281" t="s">
        <v>276</v>
      </c>
      <c r="C281" t="s">
        <v>65</v>
      </c>
      <c r="D281" t="str">
        <f>CONCATENATE(B281,"@",COUNTIF($B$3:$B281,B281))</f>
        <v>2E@4</v>
      </c>
      <c r="E281" t="str">
        <f t="shared" si="20"/>
        <v>SHD16</v>
      </c>
      <c r="F281" s="73" t="str">
        <f>IF(G281="","",SUM($G$3:$G281))</f>
        <v/>
      </c>
      <c r="G281" s="73" t="str">
        <f t="shared" si="21"/>
        <v/>
      </c>
      <c r="H281" s="73" t="str">
        <f t="shared" si="22"/>
        <v/>
      </c>
      <c r="I281" s="73">
        <f>COUNTIF($B$3:$B281,B281)</f>
        <v>4</v>
      </c>
      <c r="K281">
        <f t="shared" si="24"/>
        <v>279</v>
      </c>
      <c r="L281" s="73" t="str">
        <f t="shared" si="23"/>
        <v/>
      </c>
    </row>
    <row r="282" spans="2:12">
      <c r="B282" t="s">
        <v>285</v>
      </c>
      <c r="C282" t="s">
        <v>65</v>
      </c>
      <c r="D282" t="str">
        <f>CONCATENATE(B282,"@",COUNTIF($B$3:$B282,B282))</f>
        <v>2W@4</v>
      </c>
      <c r="E282" t="str">
        <f t="shared" si="20"/>
        <v>SHD16</v>
      </c>
      <c r="F282" s="73" t="str">
        <f>IF(G282="","",SUM($G$3:$G282))</f>
        <v/>
      </c>
      <c r="G282" s="73" t="str">
        <f t="shared" si="21"/>
        <v/>
      </c>
      <c r="H282" s="73" t="str">
        <f t="shared" si="22"/>
        <v/>
      </c>
      <c r="I282" s="73">
        <f>COUNTIF($B$3:$B282,B282)</f>
        <v>4</v>
      </c>
      <c r="K282">
        <f t="shared" si="24"/>
        <v>280</v>
      </c>
      <c r="L282" s="73" t="str">
        <f t="shared" si="23"/>
        <v/>
      </c>
    </row>
    <row r="283" spans="2:12">
      <c r="B283" t="s">
        <v>293</v>
      </c>
      <c r="C283" t="s">
        <v>65</v>
      </c>
      <c r="D283" t="str">
        <f>CONCATENATE(B283,"@",COUNTIF($B$3:$B283,B283))</f>
        <v>3E@4</v>
      </c>
      <c r="E283" t="str">
        <f t="shared" si="20"/>
        <v>SHD16</v>
      </c>
      <c r="F283" s="73" t="str">
        <f>IF(G283="","",SUM($G$3:$G283))</f>
        <v/>
      </c>
      <c r="G283" s="73" t="str">
        <f t="shared" si="21"/>
        <v/>
      </c>
      <c r="H283" s="73" t="str">
        <f t="shared" si="22"/>
        <v/>
      </c>
      <c r="I283" s="73">
        <f>COUNTIF($B$3:$B283,B283)</f>
        <v>4</v>
      </c>
      <c r="K283">
        <f t="shared" si="24"/>
        <v>281</v>
      </c>
      <c r="L283" s="73" t="str">
        <f t="shared" si="23"/>
        <v/>
      </c>
    </row>
    <row r="284" spans="2:12">
      <c r="B284" t="s">
        <v>301</v>
      </c>
      <c r="C284" t="s">
        <v>65</v>
      </c>
      <c r="D284" t="str">
        <f>CONCATENATE(B284,"@",COUNTIF($B$3:$B284,B284))</f>
        <v>3W@4</v>
      </c>
      <c r="E284" t="str">
        <f t="shared" si="20"/>
        <v>SHD16</v>
      </c>
      <c r="F284" s="73" t="str">
        <f>IF(G284="","",SUM($G$3:$G284))</f>
        <v/>
      </c>
      <c r="G284" s="73" t="str">
        <f t="shared" si="21"/>
        <v/>
      </c>
      <c r="H284" s="73" t="str">
        <f t="shared" si="22"/>
        <v/>
      </c>
      <c r="I284" s="73">
        <f>COUNTIF($B$3:$B284,B284)</f>
        <v>4</v>
      </c>
      <c r="K284">
        <f t="shared" si="24"/>
        <v>282</v>
      </c>
      <c r="L284" s="73" t="str">
        <f t="shared" si="23"/>
        <v/>
      </c>
    </row>
    <row r="285" spans="2:12">
      <c r="B285" t="s">
        <v>309</v>
      </c>
      <c r="C285" t="s">
        <v>65</v>
      </c>
      <c r="D285" t="str">
        <f>CONCATENATE(B285,"@",COUNTIF($B$3:$B285,B285))</f>
        <v>4E@4</v>
      </c>
      <c r="E285" t="str">
        <f t="shared" si="20"/>
        <v>SHD16</v>
      </c>
      <c r="F285" s="73" t="str">
        <f>IF(G285="","",SUM($G$3:$G285))</f>
        <v/>
      </c>
      <c r="G285" s="73" t="str">
        <f t="shared" si="21"/>
        <v/>
      </c>
      <c r="H285" s="73" t="str">
        <f t="shared" si="22"/>
        <v/>
      </c>
      <c r="I285" s="73">
        <f>COUNTIF($B$3:$B285,B285)</f>
        <v>4</v>
      </c>
      <c r="K285">
        <f t="shared" si="24"/>
        <v>283</v>
      </c>
      <c r="L285" s="73" t="str">
        <f t="shared" si="23"/>
        <v/>
      </c>
    </row>
    <row r="286" spans="2:12">
      <c r="B286" t="s">
        <v>318</v>
      </c>
      <c r="C286" t="s">
        <v>65</v>
      </c>
      <c r="D286" t="str">
        <f>CONCATENATE(B286,"@",COUNTIF($B$3:$B286,B286))</f>
        <v>4W@4</v>
      </c>
      <c r="E286" t="str">
        <f t="shared" si="20"/>
        <v>SHD16</v>
      </c>
      <c r="F286" s="73" t="str">
        <f>IF(G286="","",SUM($G$3:$G286))</f>
        <v/>
      </c>
      <c r="G286" s="73" t="str">
        <f t="shared" si="21"/>
        <v/>
      </c>
      <c r="H286" s="73" t="str">
        <f t="shared" si="22"/>
        <v/>
      </c>
      <c r="I286" s="73">
        <f>COUNTIF($B$3:$B286,B286)</f>
        <v>4</v>
      </c>
      <c r="K286">
        <f t="shared" si="24"/>
        <v>284</v>
      </c>
      <c r="L286" s="73" t="str">
        <f t="shared" si="23"/>
        <v/>
      </c>
    </row>
    <row r="287" spans="2:12">
      <c r="B287" t="s">
        <v>325</v>
      </c>
      <c r="C287" t="s">
        <v>65</v>
      </c>
      <c r="D287" t="str">
        <f>CONCATENATE(B287,"@",COUNTIF($B$3:$B287,B287))</f>
        <v>5E@4</v>
      </c>
      <c r="E287" t="str">
        <f t="shared" si="20"/>
        <v>SHD16</v>
      </c>
      <c r="F287" s="73" t="str">
        <f>IF(G287="","",SUM($G$3:$G287))</f>
        <v/>
      </c>
      <c r="G287" s="73" t="str">
        <f t="shared" si="21"/>
        <v/>
      </c>
      <c r="H287" s="73" t="str">
        <f t="shared" si="22"/>
        <v/>
      </c>
      <c r="I287" s="73">
        <f>COUNTIF($B$3:$B287,B287)</f>
        <v>4</v>
      </c>
      <c r="K287">
        <f t="shared" si="24"/>
        <v>285</v>
      </c>
      <c r="L287" s="73" t="str">
        <f t="shared" si="23"/>
        <v/>
      </c>
    </row>
    <row r="288" spans="2:12">
      <c r="B288" t="s">
        <v>333</v>
      </c>
      <c r="C288" t="s">
        <v>65</v>
      </c>
      <c r="D288" t="str">
        <f>CONCATENATE(B288,"@",COUNTIF($B$3:$B288,B288))</f>
        <v>5W@4</v>
      </c>
      <c r="E288" t="str">
        <f t="shared" si="20"/>
        <v>SHD16</v>
      </c>
      <c r="F288" s="73" t="str">
        <f>IF(G288="","",SUM($G$3:$G288))</f>
        <v/>
      </c>
      <c r="G288" s="73" t="str">
        <f t="shared" si="21"/>
        <v/>
      </c>
      <c r="H288" s="73" t="str">
        <f t="shared" si="22"/>
        <v/>
      </c>
      <c r="I288" s="73">
        <f>COUNTIF($B$3:$B288,B288)</f>
        <v>4</v>
      </c>
      <c r="K288">
        <f t="shared" si="24"/>
        <v>286</v>
      </c>
      <c r="L288" s="73" t="str">
        <f t="shared" si="23"/>
        <v/>
      </c>
    </row>
    <row r="289" spans="2:12">
      <c r="B289" t="s">
        <v>339</v>
      </c>
      <c r="C289" t="s">
        <v>65</v>
      </c>
      <c r="D289" t="str">
        <f>CONCATENATE(B289,"@",COUNTIF($B$3:$B289,B289))</f>
        <v>6E@4</v>
      </c>
      <c r="E289" t="str">
        <f t="shared" si="20"/>
        <v>SHD16</v>
      </c>
      <c r="F289" s="73" t="str">
        <f>IF(G289="","",SUM($G$3:$G289))</f>
        <v/>
      </c>
      <c r="G289" s="73" t="str">
        <f t="shared" si="21"/>
        <v/>
      </c>
      <c r="H289" s="73" t="str">
        <f t="shared" si="22"/>
        <v/>
      </c>
      <c r="I289" s="73">
        <f>COUNTIF($B$3:$B289,B289)</f>
        <v>4</v>
      </c>
      <c r="K289">
        <f t="shared" si="24"/>
        <v>287</v>
      </c>
      <c r="L289" s="73" t="str">
        <f t="shared" si="23"/>
        <v/>
      </c>
    </row>
    <row r="290" spans="2:12">
      <c r="B290" t="s">
        <v>346</v>
      </c>
      <c r="C290" t="s">
        <v>65</v>
      </c>
      <c r="D290" t="str">
        <f>CONCATENATE(B290,"@",COUNTIF($B$3:$B290,B290))</f>
        <v>6W@4</v>
      </c>
      <c r="E290" t="str">
        <f t="shared" si="20"/>
        <v>SHD16</v>
      </c>
      <c r="F290" s="73" t="str">
        <f>IF(G290="","",SUM($G$3:$G290))</f>
        <v/>
      </c>
      <c r="G290" s="73" t="str">
        <f t="shared" si="21"/>
        <v/>
      </c>
      <c r="H290" s="73" t="str">
        <f t="shared" si="22"/>
        <v/>
      </c>
      <c r="I290" s="73">
        <f>COUNTIF($B$3:$B290,B290)</f>
        <v>4</v>
      </c>
      <c r="K290">
        <f t="shared" si="24"/>
        <v>288</v>
      </c>
      <c r="L290" s="73" t="str">
        <f t="shared" si="23"/>
        <v/>
      </c>
    </row>
    <row r="291" spans="2:12">
      <c r="B291" t="s">
        <v>354</v>
      </c>
      <c r="C291" t="s">
        <v>65</v>
      </c>
      <c r="D291" t="str">
        <f>CONCATENATE(B291,"@",COUNTIF($B$3:$B291,B291))</f>
        <v>7E@4</v>
      </c>
      <c r="E291" t="str">
        <f t="shared" si="20"/>
        <v>SHD16</v>
      </c>
      <c r="F291" s="73" t="str">
        <f>IF(G291="","",SUM($G$3:$G291))</f>
        <v/>
      </c>
      <c r="G291" s="73" t="str">
        <f t="shared" si="21"/>
        <v/>
      </c>
      <c r="H291" s="73" t="str">
        <f t="shared" si="22"/>
        <v/>
      </c>
      <c r="I291" s="73">
        <f>COUNTIF($B$3:$B291,B291)</f>
        <v>4</v>
      </c>
      <c r="K291">
        <f t="shared" si="24"/>
        <v>289</v>
      </c>
      <c r="L291" s="73" t="str">
        <f t="shared" si="23"/>
        <v/>
      </c>
    </row>
    <row r="292" spans="2:12">
      <c r="B292" t="s">
        <v>363</v>
      </c>
      <c r="C292" t="s">
        <v>65</v>
      </c>
      <c r="D292" t="str">
        <f>CONCATENATE(B292,"@",COUNTIF($B$3:$B292,B292))</f>
        <v>7W@4</v>
      </c>
      <c r="E292" t="str">
        <f t="shared" si="20"/>
        <v>SHD16</v>
      </c>
      <c r="F292" s="73" t="str">
        <f>IF(G292="","",SUM($G$3:$G292))</f>
        <v/>
      </c>
      <c r="G292" s="73" t="str">
        <f t="shared" si="21"/>
        <v/>
      </c>
      <c r="H292" s="73" t="str">
        <f t="shared" si="22"/>
        <v/>
      </c>
      <c r="I292" s="73">
        <f>COUNTIF($B$3:$B292,B292)</f>
        <v>4</v>
      </c>
      <c r="K292">
        <f t="shared" si="24"/>
        <v>290</v>
      </c>
      <c r="L292" s="73" t="str">
        <f t="shared" si="23"/>
        <v/>
      </c>
    </row>
    <row r="293" spans="2:12">
      <c r="B293" t="s">
        <v>370</v>
      </c>
      <c r="C293" t="s">
        <v>65</v>
      </c>
      <c r="D293" t="str">
        <f>CONCATENATE(B293,"@",COUNTIF($B$3:$B293,B293))</f>
        <v>8E@4</v>
      </c>
      <c r="E293" t="str">
        <f t="shared" si="20"/>
        <v>SHD16</v>
      </c>
      <c r="F293" s="73" t="str">
        <f>IF(G293="","",SUM($G$3:$G293))</f>
        <v/>
      </c>
      <c r="G293" s="73" t="str">
        <f t="shared" si="21"/>
        <v/>
      </c>
      <c r="H293" s="73" t="str">
        <f t="shared" si="22"/>
        <v/>
      </c>
      <c r="I293" s="73">
        <f>COUNTIF($B$3:$B293,B293)</f>
        <v>4</v>
      </c>
      <c r="K293">
        <f t="shared" si="24"/>
        <v>291</v>
      </c>
      <c r="L293" s="73" t="str">
        <f t="shared" si="23"/>
        <v/>
      </c>
    </row>
    <row r="294" spans="2:12">
      <c r="B294" t="s">
        <v>377</v>
      </c>
      <c r="C294" t="s">
        <v>65</v>
      </c>
      <c r="D294" t="str">
        <f>CONCATENATE(B294,"@",COUNTIF($B$3:$B294,B294))</f>
        <v>8W@4</v>
      </c>
      <c r="E294" t="str">
        <f t="shared" si="20"/>
        <v>SHD16</v>
      </c>
      <c r="F294" s="73" t="str">
        <f>IF(G294="","",SUM($G$3:$G294))</f>
        <v/>
      </c>
      <c r="G294" s="73" t="str">
        <f t="shared" si="21"/>
        <v/>
      </c>
      <c r="H294" s="73" t="str">
        <f t="shared" si="22"/>
        <v/>
      </c>
      <c r="I294" s="73">
        <f>COUNTIF($B$3:$B294,B294)</f>
        <v>4</v>
      </c>
      <c r="K294">
        <f t="shared" si="24"/>
        <v>292</v>
      </c>
      <c r="L294" s="73" t="str">
        <f t="shared" si="23"/>
        <v/>
      </c>
    </row>
    <row r="295" spans="2:12">
      <c r="B295" t="s">
        <v>208</v>
      </c>
      <c r="C295" t="s">
        <v>63</v>
      </c>
      <c r="D295" t="str">
        <f>CONCATENATE(B295,"@",COUNTIF($B$3:$B295,B295))</f>
        <v>RM1W@5</v>
      </c>
      <c r="E295" t="str">
        <f t="shared" ref="E295:E300" si="25">C295</f>
        <v>WL</v>
      </c>
      <c r="F295" s="73" t="str">
        <f>IF(G295="","",SUM($G$3:$G295))</f>
        <v/>
      </c>
      <c r="G295" s="73" t="str">
        <f t="shared" si="21"/>
        <v/>
      </c>
      <c r="H295" s="73" t="str">
        <f t="shared" si="22"/>
        <v/>
      </c>
      <c r="I295" s="73">
        <f>COUNTIF($B$3:$B295,B295)</f>
        <v>5</v>
      </c>
      <c r="K295">
        <f t="shared" si="24"/>
        <v>293</v>
      </c>
      <c r="L295" s="73" t="str">
        <f t="shared" si="23"/>
        <v/>
      </c>
    </row>
    <row r="296" spans="2:12">
      <c r="B296" t="s">
        <v>63</v>
      </c>
      <c r="C296" t="s">
        <v>208</v>
      </c>
      <c r="D296" t="str">
        <f>CONCATENATE(B296,"@",COUNTIF($B$3:$B296,B296))</f>
        <v>WL@1</v>
      </c>
      <c r="E296" t="str">
        <f t="shared" si="25"/>
        <v>RM1W</v>
      </c>
      <c r="F296" s="73">
        <f>IF(G296="","",SUM($G$3:$G296))</f>
        <v>44</v>
      </c>
      <c r="G296" s="73">
        <f t="shared" si="21"/>
        <v>1</v>
      </c>
      <c r="H296" s="73" t="str">
        <f t="shared" si="22"/>
        <v>WL</v>
      </c>
      <c r="I296" s="73">
        <f>COUNTIF($B$3:$B296,B296)</f>
        <v>1</v>
      </c>
      <c r="K296">
        <f t="shared" si="24"/>
        <v>294</v>
      </c>
      <c r="L296" s="73" t="str">
        <f t="shared" si="23"/>
        <v/>
      </c>
    </row>
    <row r="297" spans="2:12">
      <c r="B297" t="s">
        <v>53</v>
      </c>
      <c r="C297" t="s">
        <v>65</v>
      </c>
      <c r="D297" t="str">
        <f>CONCATENATE(B297,"@",COUNTIF($B$3:$B297,B297))</f>
        <v>E DT@31</v>
      </c>
      <c r="E297" t="str">
        <f t="shared" si="25"/>
        <v>SHD16</v>
      </c>
      <c r="F297" s="73" t="str">
        <f>IF(G297="","",SUM($G$3:$G297))</f>
        <v/>
      </c>
      <c r="G297" s="73" t="str">
        <f t="shared" si="21"/>
        <v/>
      </c>
      <c r="H297" s="73" t="str">
        <f t="shared" si="22"/>
        <v/>
      </c>
      <c r="I297" s="73">
        <f>COUNTIF($B$3:$B297,B297)</f>
        <v>31</v>
      </c>
      <c r="K297">
        <f t="shared" si="24"/>
        <v>295</v>
      </c>
      <c r="L297" s="73" t="str">
        <f t="shared" si="23"/>
        <v/>
      </c>
    </row>
    <row r="298" spans="2:12">
      <c r="B298" t="s">
        <v>65</v>
      </c>
      <c r="C298" t="s">
        <v>53</v>
      </c>
      <c r="D298" t="str">
        <f>CONCATENATE(B298,"@",COUNTIF($B$3:$B298,B298))</f>
        <v>SHD16@30</v>
      </c>
      <c r="E298" t="str">
        <f t="shared" si="25"/>
        <v>E DT</v>
      </c>
      <c r="F298" s="73" t="str">
        <f>IF(G298="","",SUM($G$3:$G298))</f>
        <v/>
      </c>
      <c r="G298" s="73" t="str">
        <f t="shared" si="21"/>
        <v/>
      </c>
      <c r="H298" s="73" t="str">
        <f t="shared" si="22"/>
        <v/>
      </c>
      <c r="I298" s="73">
        <f>COUNTIF($B$3:$B298,B298)</f>
        <v>30</v>
      </c>
      <c r="K298">
        <f t="shared" si="24"/>
        <v>296</v>
      </c>
      <c r="L298" s="73" t="str">
        <f t="shared" si="23"/>
        <v/>
      </c>
    </row>
    <row r="299" spans="2:12">
      <c r="B299" t="s">
        <v>55</v>
      </c>
      <c r="C299" t="s">
        <v>65</v>
      </c>
      <c r="D299" t="str">
        <f>CONCATENATE(B299,"@",COUNTIF($B$3:$B299,B299))</f>
        <v>E AV@31</v>
      </c>
      <c r="E299" t="str">
        <f t="shared" si="25"/>
        <v>SHD16</v>
      </c>
      <c r="F299" s="73" t="str">
        <f>IF(G299="","",SUM($G$3:$G299))</f>
        <v/>
      </c>
      <c r="G299" s="73" t="str">
        <f t="shared" si="21"/>
        <v/>
      </c>
      <c r="H299" s="73" t="str">
        <f t="shared" si="22"/>
        <v/>
      </c>
      <c r="I299" s="73">
        <f>COUNTIF($B$3:$B299,B299)</f>
        <v>31</v>
      </c>
      <c r="K299">
        <f t="shared" si="24"/>
        <v>297</v>
      </c>
      <c r="L299" s="73" t="str">
        <f t="shared" si="23"/>
        <v/>
      </c>
    </row>
    <row r="300" spans="2:12">
      <c r="B300" t="s">
        <v>65</v>
      </c>
      <c r="C300" t="s">
        <v>55</v>
      </c>
      <c r="D300" t="str">
        <f>CONCATENATE(B300,"@",COUNTIF($B$3:$B300,B300))</f>
        <v>SHD16@31</v>
      </c>
      <c r="E300" t="str">
        <f t="shared" si="25"/>
        <v>E AV</v>
      </c>
      <c r="F300" s="73" t="str">
        <f>IF(G300="","",SUM($G$3:$G300))</f>
        <v/>
      </c>
      <c r="G300" s="73" t="str">
        <f t="shared" si="21"/>
        <v/>
      </c>
      <c r="H300" s="73" t="str">
        <f t="shared" si="22"/>
        <v/>
      </c>
      <c r="I300" s="73">
        <f>COUNTIF($B$3:$B300,B300)</f>
        <v>31</v>
      </c>
      <c r="K300">
        <f t="shared" si="24"/>
        <v>298</v>
      </c>
      <c r="L300" s="73" t="str">
        <f t="shared" si="23"/>
        <v/>
      </c>
    </row>
    <row r="301" spans="2:12">
      <c r="B301" t="s">
        <v>69</v>
      </c>
      <c r="C301" t="s">
        <v>82</v>
      </c>
      <c r="D301" t="str">
        <f>CONCATENATE(B301,"@",COUNTIF($B$3:$B301,B301))</f>
        <v>SHD10@1</v>
      </c>
      <c r="E301" t="str">
        <f t="shared" ref="E301:E369" si="26">C301</f>
        <v>LF3</v>
      </c>
      <c r="F301" s="73">
        <f>IF(G301="","",SUM($G$3:$G301))</f>
        <v>45</v>
      </c>
      <c r="G301" s="73">
        <f t="shared" si="21"/>
        <v>1</v>
      </c>
      <c r="H301" s="73" t="str">
        <f t="shared" si="22"/>
        <v>SHD10</v>
      </c>
      <c r="I301" s="73">
        <f>COUNTIF($B$3:$B301,B301)</f>
        <v>1</v>
      </c>
      <c r="K301">
        <f t="shared" si="24"/>
        <v>299</v>
      </c>
      <c r="L301" s="73" t="str">
        <f t="shared" si="23"/>
        <v/>
      </c>
    </row>
    <row r="302" spans="2:12">
      <c r="B302" t="s">
        <v>69</v>
      </c>
      <c r="C302" t="s">
        <v>83</v>
      </c>
      <c r="D302" t="str">
        <f>CONCATENATE(B302,"@",COUNTIF($B$3:$B302,B302))</f>
        <v>SHD10@2</v>
      </c>
      <c r="E302" t="str">
        <f t="shared" si="26"/>
        <v>LF4</v>
      </c>
      <c r="F302" s="73" t="str">
        <f>IF(G302="","",SUM($G$3:$G302))</f>
        <v/>
      </c>
      <c r="G302" s="73" t="str">
        <f t="shared" si="21"/>
        <v/>
      </c>
      <c r="H302" s="73" t="str">
        <f t="shared" si="22"/>
        <v/>
      </c>
      <c r="I302" s="73">
        <f>COUNTIF($B$3:$B302,B302)</f>
        <v>2</v>
      </c>
      <c r="K302">
        <f t="shared" si="24"/>
        <v>300</v>
      </c>
      <c r="L302" s="73" t="str">
        <f t="shared" si="23"/>
        <v/>
      </c>
    </row>
    <row r="303" spans="2:12">
      <c r="B303" t="s">
        <v>69</v>
      </c>
      <c r="C303" t="s">
        <v>171</v>
      </c>
      <c r="D303" t="str">
        <f>CONCATENATE(B303,"@",COUNTIF($B$3:$B303,B303))</f>
        <v>SHD10@3</v>
      </c>
      <c r="E303" t="str">
        <f t="shared" si="26"/>
        <v>HM1</v>
      </c>
      <c r="F303" s="73" t="str">
        <f>IF(G303="","",SUM($G$3:$G303))</f>
        <v/>
      </c>
      <c r="G303" s="73" t="str">
        <f t="shared" si="21"/>
        <v/>
      </c>
      <c r="H303" s="73" t="str">
        <f t="shared" si="22"/>
        <v/>
      </c>
      <c r="I303" s="73">
        <f>COUNTIF($B$3:$B303,B303)</f>
        <v>3</v>
      </c>
      <c r="K303">
        <f t="shared" si="24"/>
        <v>301</v>
      </c>
      <c r="L303" s="73" t="str">
        <f t="shared" si="23"/>
        <v/>
      </c>
    </row>
    <row r="304" spans="2:12">
      <c r="B304" t="s">
        <v>69</v>
      </c>
      <c r="C304" t="s">
        <v>182</v>
      </c>
      <c r="D304" t="str">
        <f>CONCATENATE(B304,"@",COUNTIF($B$3:$B304,B304))</f>
        <v>SHD10@4</v>
      </c>
      <c r="E304" t="str">
        <f t="shared" si="26"/>
        <v>HM2</v>
      </c>
      <c r="F304" s="73" t="str">
        <f>IF(G304="","",SUM($G$3:$G304))</f>
        <v/>
      </c>
      <c r="G304" s="73" t="str">
        <f t="shared" si="21"/>
        <v/>
      </c>
      <c r="H304" s="73" t="str">
        <f t="shared" si="22"/>
        <v/>
      </c>
      <c r="I304" s="73">
        <f>COUNTIF($B$3:$B304,B304)</f>
        <v>4</v>
      </c>
      <c r="K304">
        <f t="shared" si="24"/>
        <v>302</v>
      </c>
      <c r="L304" s="73" t="str">
        <f t="shared" si="23"/>
        <v/>
      </c>
    </row>
    <row r="305" spans="2:12">
      <c r="B305" t="s">
        <v>69</v>
      </c>
      <c r="C305" t="s">
        <v>191</v>
      </c>
      <c r="D305" t="str">
        <f>CONCATENATE(B305,"@",COUNTIF($B$3:$B305,B305))</f>
        <v>SHD10@5</v>
      </c>
      <c r="E305" t="str">
        <f t="shared" si="26"/>
        <v>HM3</v>
      </c>
      <c r="F305" s="73" t="str">
        <f>IF(G305="","",SUM($G$3:$G305))</f>
        <v/>
      </c>
      <c r="G305" s="73" t="str">
        <f t="shared" si="21"/>
        <v/>
      </c>
      <c r="H305" s="73" t="str">
        <f t="shared" si="22"/>
        <v/>
      </c>
      <c r="I305" s="73">
        <f>COUNTIF($B$3:$B305,B305)</f>
        <v>5</v>
      </c>
      <c r="K305">
        <f t="shared" si="24"/>
        <v>303</v>
      </c>
      <c r="L305" s="73" t="str">
        <f t="shared" si="23"/>
        <v/>
      </c>
    </row>
    <row r="306" spans="2:12">
      <c r="B306" t="s">
        <v>69</v>
      </c>
      <c r="C306" t="s">
        <v>200</v>
      </c>
      <c r="D306" t="str">
        <f>CONCATENATE(B306,"@",COUNTIF($B$3:$B306,B306))</f>
        <v>SHD10@6</v>
      </c>
      <c r="E306" t="str">
        <f t="shared" si="26"/>
        <v>RM1E</v>
      </c>
      <c r="F306" s="73" t="str">
        <f>IF(G306="","",SUM($G$3:$G306))</f>
        <v/>
      </c>
      <c r="G306" s="73" t="str">
        <f t="shared" si="21"/>
        <v/>
      </c>
      <c r="H306" s="73" t="str">
        <f t="shared" si="22"/>
        <v/>
      </c>
      <c r="I306" s="73">
        <f>COUNTIF($B$3:$B306,B306)</f>
        <v>6</v>
      </c>
      <c r="K306">
        <f t="shared" si="24"/>
        <v>304</v>
      </c>
      <c r="L306" s="73" t="str">
        <f t="shared" si="23"/>
        <v/>
      </c>
    </row>
    <row r="307" spans="2:12">
      <c r="B307" t="s">
        <v>69</v>
      </c>
      <c r="C307" t="s">
        <v>208</v>
      </c>
      <c r="D307" t="str">
        <f>CONCATENATE(B307,"@",COUNTIF($B$3:$B307,B307))</f>
        <v>SHD10@7</v>
      </c>
      <c r="E307" t="str">
        <f t="shared" si="26"/>
        <v>RM1W</v>
      </c>
      <c r="F307" s="73" t="str">
        <f>IF(G307="","",SUM($G$3:$G307))</f>
        <v/>
      </c>
      <c r="G307" s="73" t="str">
        <f t="shared" si="21"/>
        <v/>
      </c>
      <c r="H307" s="73" t="str">
        <f t="shared" si="22"/>
        <v/>
      </c>
      <c r="I307" s="73">
        <f>COUNTIF($B$3:$B307,B307)</f>
        <v>7</v>
      </c>
      <c r="K307">
        <f t="shared" si="24"/>
        <v>305</v>
      </c>
      <c r="L307" s="73" t="str">
        <f t="shared" si="23"/>
        <v/>
      </c>
    </row>
    <row r="308" spans="2:12">
      <c r="B308" t="s">
        <v>69</v>
      </c>
      <c r="C308" t="s">
        <v>216</v>
      </c>
      <c r="D308" t="str">
        <f>CONCATENATE(B308,"@",COUNTIF($B$3:$B308,B308))</f>
        <v>SHD10@8</v>
      </c>
      <c r="E308" t="str">
        <f t="shared" si="26"/>
        <v>RM2E</v>
      </c>
      <c r="F308" s="73" t="str">
        <f>IF(G308="","",SUM($G$3:$G308))</f>
        <v/>
      </c>
      <c r="G308" s="73" t="str">
        <f t="shared" si="21"/>
        <v/>
      </c>
      <c r="H308" s="73" t="str">
        <f t="shared" si="22"/>
        <v/>
      </c>
      <c r="I308" s="73">
        <f>COUNTIF($B$3:$B308,B308)</f>
        <v>8</v>
      </c>
      <c r="K308">
        <f t="shared" si="24"/>
        <v>306</v>
      </c>
      <c r="L308" s="73" t="str">
        <f t="shared" si="23"/>
        <v/>
      </c>
    </row>
    <row r="309" spans="2:12">
      <c r="B309" t="s">
        <v>69</v>
      </c>
      <c r="C309" t="s">
        <v>224</v>
      </c>
      <c r="D309" t="str">
        <f>CONCATENATE(B309,"@",COUNTIF($B$3:$B309,B309))</f>
        <v>SHD10@9</v>
      </c>
      <c r="E309" t="str">
        <f t="shared" si="26"/>
        <v>RM2W</v>
      </c>
      <c r="F309" s="73" t="str">
        <f>IF(G309="","",SUM($G$3:$G309))</f>
        <v/>
      </c>
      <c r="G309" s="73" t="str">
        <f t="shared" si="21"/>
        <v/>
      </c>
      <c r="H309" s="73" t="str">
        <f t="shared" si="22"/>
        <v/>
      </c>
      <c r="I309" s="73">
        <f>COUNTIF($B$3:$B309,B309)</f>
        <v>9</v>
      </c>
      <c r="K309">
        <f t="shared" si="24"/>
        <v>307</v>
      </c>
      <c r="L309" s="73" t="str">
        <f t="shared" si="23"/>
        <v/>
      </c>
    </row>
    <row r="310" spans="2:12">
      <c r="B310" t="s">
        <v>69</v>
      </c>
      <c r="C310" t="s">
        <v>231</v>
      </c>
      <c r="D310" t="str">
        <f>CONCATENATE(B310,"@",COUNTIF($B$3:$B310,B310))</f>
        <v>SHD10@10</v>
      </c>
      <c r="E310" t="str">
        <f t="shared" si="26"/>
        <v>RM3E</v>
      </c>
      <c r="F310" s="73" t="str">
        <f>IF(G310="","",SUM($G$3:$G310))</f>
        <v/>
      </c>
      <c r="G310" s="73" t="str">
        <f t="shared" si="21"/>
        <v/>
      </c>
      <c r="H310" s="73" t="str">
        <f t="shared" si="22"/>
        <v/>
      </c>
      <c r="I310" s="73">
        <f>COUNTIF($B$3:$B310,B310)</f>
        <v>10</v>
      </c>
      <c r="K310">
        <f t="shared" si="24"/>
        <v>308</v>
      </c>
      <c r="L310" s="73" t="str">
        <f t="shared" si="23"/>
        <v/>
      </c>
    </row>
    <row r="311" spans="2:12">
      <c r="B311" t="s">
        <v>69</v>
      </c>
      <c r="C311" t="s">
        <v>238</v>
      </c>
      <c r="D311" t="str">
        <f>CONCATENATE(B311,"@",COUNTIF($B$3:$B311,B311))</f>
        <v>SHD10@11</v>
      </c>
      <c r="E311" t="str">
        <f t="shared" si="26"/>
        <v>RM3W</v>
      </c>
      <c r="F311" s="73" t="str">
        <f>IF(G311="","",SUM($G$3:$G311))</f>
        <v/>
      </c>
      <c r="G311" s="73" t="str">
        <f t="shared" si="21"/>
        <v/>
      </c>
      <c r="H311" s="73" t="str">
        <f t="shared" si="22"/>
        <v/>
      </c>
      <c r="I311" s="73">
        <f>COUNTIF($B$3:$B311,B311)</f>
        <v>11</v>
      </c>
      <c r="K311">
        <f t="shared" si="24"/>
        <v>309</v>
      </c>
      <c r="L311" s="73" t="str">
        <f t="shared" si="23"/>
        <v/>
      </c>
    </row>
    <row r="312" spans="2:12">
      <c r="B312" t="s">
        <v>69</v>
      </c>
      <c r="C312" t="s">
        <v>246</v>
      </c>
      <c r="D312" t="str">
        <f>CONCATENATE(B312,"@",COUNTIF($B$3:$B312,B312))</f>
        <v>SHD10@12</v>
      </c>
      <c r="E312" t="str">
        <f t="shared" si="26"/>
        <v>HCTE</v>
      </c>
      <c r="F312" s="73" t="str">
        <f>IF(G312="","",SUM($G$3:$G312))</f>
        <v/>
      </c>
      <c r="G312" s="73" t="str">
        <f t="shared" si="21"/>
        <v/>
      </c>
      <c r="H312" s="73" t="str">
        <f t="shared" si="22"/>
        <v/>
      </c>
      <c r="I312" s="73">
        <f>COUNTIF($B$3:$B312,B312)</f>
        <v>12</v>
      </c>
      <c r="K312">
        <f t="shared" si="24"/>
        <v>310</v>
      </c>
      <c r="L312" s="73" t="str">
        <f t="shared" si="23"/>
        <v/>
      </c>
    </row>
    <row r="313" spans="2:12">
      <c r="B313" t="s">
        <v>69</v>
      </c>
      <c r="C313" t="s">
        <v>254</v>
      </c>
      <c r="D313" t="str">
        <f>CONCATENATE(B313,"@",COUNTIF($B$3:$B313,B313))</f>
        <v>SHD10@13</v>
      </c>
      <c r="E313" t="str">
        <f t="shared" si="26"/>
        <v>HCTW</v>
      </c>
      <c r="F313" s="73" t="str">
        <f>IF(G313="","",SUM($G$3:$G313))</f>
        <v/>
      </c>
      <c r="G313" s="73" t="str">
        <f t="shared" si="21"/>
        <v/>
      </c>
      <c r="H313" s="73" t="str">
        <f t="shared" si="22"/>
        <v/>
      </c>
      <c r="I313" s="73">
        <f>COUNTIF($B$3:$B313,B313)</f>
        <v>13</v>
      </c>
      <c r="K313">
        <f t="shared" si="24"/>
        <v>311</v>
      </c>
      <c r="L313" s="73" t="str">
        <f t="shared" si="23"/>
        <v/>
      </c>
    </row>
    <row r="314" spans="2:12">
      <c r="B314" t="s">
        <v>69</v>
      </c>
      <c r="C314" t="s">
        <v>261</v>
      </c>
      <c r="D314" t="str">
        <f>CONCATENATE(B314,"@",COUNTIF($B$3:$B314,B314))</f>
        <v>SHD10@14</v>
      </c>
      <c r="E314" t="str">
        <f t="shared" si="26"/>
        <v>1E</v>
      </c>
      <c r="F314" s="73" t="str">
        <f>IF(G314="","",SUM($G$3:$G314))</f>
        <v/>
      </c>
      <c r="G314" s="73" t="str">
        <f t="shared" si="21"/>
        <v/>
      </c>
      <c r="H314" s="73" t="str">
        <f t="shared" si="22"/>
        <v/>
      </c>
      <c r="I314" s="73">
        <f>COUNTIF($B$3:$B314,B314)</f>
        <v>14</v>
      </c>
      <c r="K314">
        <f t="shared" si="24"/>
        <v>312</v>
      </c>
      <c r="L314" s="73" t="str">
        <f t="shared" si="23"/>
        <v/>
      </c>
    </row>
    <row r="315" spans="2:12">
      <c r="B315" t="s">
        <v>69</v>
      </c>
      <c r="C315" t="s">
        <v>269</v>
      </c>
      <c r="D315" t="str">
        <f>CONCATENATE(B315,"@",COUNTIF($B$3:$B315,B315))</f>
        <v>SHD10@15</v>
      </c>
      <c r="E315" t="str">
        <f t="shared" si="26"/>
        <v>1W</v>
      </c>
      <c r="F315" s="73" t="str">
        <f>IF(G315="","",SUM($G$3:$G315))</f>
        <v/>
      </c>
      <c r="G315" s="73" t="str">
        <f t="shared" si="21"/>
        <v/>
      </c>
      <c r="H315" s="73" t="str">
        <f t="shared" si="22"/>
        <v/>
      </c>
      <c r="I315" s="73">
        <f>COUNTIF($B$3:$B315,B315)</f>
        <v>15</v>
      </c>
      <c r="K315">
        <f t="shared" si="24"/>
        <v>313</v>
      </c>
      <c r="L315" s="73" t="str">
        <f t="shared" si="23"/>
        <v/>
      </c>
    </row>
    <row r="316" spans="2:12">
      <c r="B316" t="s">
        <v>69</v>
      </c>
      <c r="C316" t="s">
        <v>276</v>
      </c>
      <c r="D316" t="str">
        <f>CONCATENATE(B316,"@",COUNTIF($B$3:$B316,B316))</f>
        <v>SHD10@16</v>
      </c>
      <c r="E316" t="str">
        <f t="shared" si="26"/>
        <v>2E</v>
      </c>
      <c r="F316" s="73" t="str">
        <f>IF(G316="","",SUM($G$3:$G316))</f>
        <v/>
      </c>
      <c r="G316" s="73" t="str">
        <f t="shared" si="21"/>
        <v/>
      </c>
      <c r="H316" s="73" t="str">
        <f t="shared" si="22"/>
        <v/>
      </c>
      <c r="I316" s="73">
        <f>COUNTIF($B$3:$B316,B316)</f>
        <v>16</v>
      </c>
      <c r="K316">
        <f t="shared" si="24"/>
        <v>314</v>
      </c>
      <c r="L316" s="73" t="str">
        <f t="shared" si="23"/>
        <v/>
      </c>
    </row>
    <row r="317" spans="2:12">
      <c r="B317" t="s">
        <v>69</v>
      </c>
      <c r="C317" t="s">
        <v>285</v>
      </c>
      <c r="D317" t="str">
        <f>CONCATENATE(B317,"@",COUNTIF($B$3:$B317,B317))</f>
        <v>SHD10@17</v>
      </c>
      <c r="E317" t="str">
        <f t="shared" si="26"/>
        <v>2W</v>
      </c>
      <c r="F317" s="73" t="str">
        <f>IF(G317="","",SUM($G$3:$G317))</f>
        <v/>
      </c>
      <c r="G317" s="73" t="str">
        <f t="shared" si="21"/>
        <v/>
      </c>
      <c r="H317" s="73" t="str">
        <f t="shared" si="22"/>
        <v/>
      </c>
      <c r="I317" s="73">
        <f>COUNTIF($B$3:$B317,B317)</f>
        <v>17</v>
      </c>
      <c r="K317">
        <f t="shared" si="24"/>
        <v>315</v>
      </c>
      <c r="L317" s="73" t="str">
        <f t="shared" si="23"/>
        <v/>
      </c>
    </row>
    <row r="318" spans="2:12">
      <c r="B318" t="s">
        <v>69</v>
      </c>
      <c r="C318" t="s">
        <v>293</v>
      </c>
      <c r="D318" t="str">
        <f>CONCATENATE(B318,"@",COUNTIF($B$3:$B318,B318))</f>
        <v>SHD10@18</v>
      </c>
      <c r="E318" t="str">
        <f t="shared" si="26"/>
        <v>3E</v>
      </c>
      <c r="F318" s="73" t="str">
        <f>IF(G318="","",SUM($G$3:$G318))</f>
        <v/>
      </c>
      <c r="G318" s="73" t="str">
        <f t="shared" si="21"/>
        <v/>
      </c>
      <c r="H318" s="73" t="str">
        <f t="shared" si="22"/>
        <v/>
      </c>
      <c r="I318" s="73">
        <f>COUNTIF($B$3:$B318,B318)</f>
        <v>18</v>
      </c>
      <c r="K318">
        <f t="shared" si="24"/>
        <v>316</v>
      </c>
      <c r="L318" s="73" t="str">
        <f t="shared" si="23"/>
        <v/>
      </c>
    </row>
    <row r="319" spans="2:12">
      <c r="B319" t="s">
        <v>69</v>
      </c>
      <c r="C319" t="s">
        <v>301</v>
      </c>
      <c r="D319" t="str">
        <f>CONCATENATE(B319,"@",COUNTIF($B$3:$B319,B319))</f>
        <v>SHD10@19</v>
      </c>
      <c r="E319" t="str">
        <f t="shared" si="26"/>
        <v>3W</v>
      </c>
      <c r="F319" s="73" t="str">
        <f>IF(G319="","",SUM($G$3:$G319))</f>
        <v/>
      </c>
      <c r="G319" s="73" t="str">
        <f t="shared" si="21"/>
        <v/>
      </c>
      <c r="H319" s="73" t="str">
        <f t="shared" si="22"/>
        <v/>
      </c>
      <c r="I319" s="73">
        <f>COUNTIF($B$3:$B319,B319)</f>
        <v>19</v>
      </c>
      <c r="K319">
        <f t="shared" si="24"/>
        <v>317</v>
      </c>
      <c r="L319" s="73" t="str">
        <f t="shared" si="23"/>
        <v/>
      </c>
    </row>
    <row r="320" spans="2:12">
      <c r="B320" t="s">
        <v>69</v>
      </c>
      <c r="C320" t="s">
        <v>309</v>
      </c>
      <c r="D320" t="str">
        <f>CONCATENATE(B320,"@",COUNTIF($B$3:$B320,B320))</f>
        <v>SHD10@20</v>
      </c>
      <c r="E320" t="str">
        <f t="shared" si="26"/>
        <v>4E</v>
      </c>
      <c r="F320" s="73" t="str">
        <f>IF(G320="","",SUM($G$3:$G320))</f>
        <v/>
      </c>
      <c r="G320" s="73" t="str">
        <f t="shared" si="21"/>
        <v/>
      </c>
      <c r="H320" s="73" t="str">
        <f t="shared" si="22"/>
        <v/>
      </c>
      <c r="I320" s="73">
        <f>COUNTIF($B$3:$B320,B320)</f>
        <v>20</v>
      </c>
      <c r="K320">
        <f t="shared" si="24"/>
        <v>318</v>
      </c>
      <c r="L320" s="73" t="str">
        <f t="shared" si="23"/>
        <v/>
      </c>
    </row>
    <row r="321" spans="2:12">
      <c r="B321" t="s">
        <v>69</v>
      </c>
      <c r="C321" t="s">
        <v>318</v>
      </c>
      <c r="D321" t="str">
        <f>CONCATENATE(B321,"@",COUNTIF($B$3:$B321,B321))</f>
        <v>SHD10@21</v>
      </c>
      <c r="E321" t="str">
        <f t="shared" si="26"/>
        <v>4W</v>
      </c>
      <c r="F321" s="73" t="str">
        <f>IF(G321="","",SUM($G$3:$G321))</f>
        <v/>
      </c>
      <c r="G321" s="73" t="str">
        <f t="shared" si="21"/>
        <v/>
      </c>
      <c r="H321" s="73" t="str">
        <f t="shared" si="22"/>
        <v/>
      </c>
      <c r="I321" s="73">
        <f>COUNTIF($B$3:$B321,B321)</f>
        <v>21</v>
      </c>
      <c r="K321">
        <f t="shared" si="24"/>
        <v>319</v>
      </c>
      <c r="L321" s="73" t="str">
        <f t="shared" si="23"/>
        <v/>
      </c>
    </row>
    <row r="322" spans="2:12">
      <c r="B322" t="s">
        <v>69</v>
      </c>
      <c r="C322" t="s">
        <v>325</v>
      </c>
      <c r="D322" t="str">
        <f>CONCATENATE(B322,"@",COUNTIF($B$3:$B322,B322))</f>
        <v>SHD10@22</v>
      </c>
      <c r="E322" t="str">
        <f t="shared" si="26"/>
        <v>5E</v>
      </c>
      <c r="F322" s="73" t="str">
        <f>IF(G322="","",SUM($G$3:$G322))</f>
        <v/>
      </c>
      <c r="G322" s="73" t="str">
        <f t="shared" si="21"/>
        <v/>
      </c>
      <c r="H322" s="73" t="str">
        <f t="shared" si="22"/>
        <v/>
      </c>
      <c r="I322" s="73">
        <f>COUNTIF($B$3:$B322,B322)</f>
        <v>22</v>
      </c>
      <c r="K322">
        <f t="shared" si="24"/>
        <v>320</v>
      </c>
      <c r="L322" s="73" t="str">
        <f t="shared" si="23"/>
        <v/>
      </c>
    </row>
    <row r="323" spans="2:12">
      <c r="B323" t="s">
        <v>69</v>
      </c>
      <c r="C323" t="s">
        <v>333</v>
      </c>
      <c r="D323" t="str">
        <f>CONCATENATE(B323,"@",COUNTIF($B$3:$B323,B323))</f>
        <v>SHD10@23</v>
      </c>
      <c r="E323" t="str">
        <f t="shared" si="26"/>
        <v>5W</v>
      </c>
      <c r="F323" s="73" t="str">
        <f>IF(G323="","",SUM($G$3:$G323))</f>
        <v/>
      </c>
      <c r="G323" s="73" t="str">
        <f t="shared" si="21"/>
        <v/>
      </c>
      <c r="H323" s="73" t="str">
        <f t="shared" si="22"/>
        <v/>
      </c>
      <c r="I323" s="73">
        <f>COUNTIF($B$3:$B323,B323)</f>
        <v>23</v>
      </c>
      <c r="K323">
        <f t="shared" si="24"/>
        <v>321</v>
      </c>
      <c r="L323" s="73" t="str">
        <f t="shared" si="23"/>
        <v/>
      </c>
    </row>
    <row r="324" spans="2:12">
      <c r="B324" t="s">
        <v>69</v>
      </c>
      <c r="C324" t="s">
        <v>339</v>
      </c>
      <c r="D324" t="str">
        <f>CONCATENATE(B324,"@",COUNTIF($B$3:$B324,B324))</f>
        <v>SHD10@24</v>
      </c>
      <c r="E324" t="str">
        <f t="shared" si="26"/>
        <v>6E</v>
      </c>
      <c r="F324" s="73" t="str">
        <f>IF(G324="","",SUM($G$3:$G324))</f>
        <v/>
      </c>
      <c r="G324" s="73" t="str">
        <f t="shared" ref="G324:G374" si="27">IF(H324="","",1)</f>
        <v/>
      </c>
      <c r="H324" s="73" t="str">
        <f t="shared" ref="H324:H364" si="28">IF(I324=1,B324,"")</f>
        <v/>
      </c>
      <c r="I324" s="73">
        <f>COUNTIF($B$3:$B324,B324)</f>
        <v>24</v>
      </c>
      <c r="K324">
        <f t="shared" si="24"/>
        <v>322</v>
      </c>
      <c r="L324" s="73" t="str">
        <f t="shared" ref="L324:L364" si="29">IF(COUNTIF($F:$F,$K324)=0,"",VLOOKUP(K324,$F:$H,3,0))</f>
        <v/>
      </c>
    </row>
    <row r="325" spans="2:12">
      <c r="B325" t="s">
        <v>69</v>
      </c>
      <c r="C325" t="s">
        <v>346</v>
      </c>
      <c r="D325" t="str">
        <f>CONCATENATE(B325,"@",COUNTIF($B$3:$B325,B325))</f>
        <v>SHD10@25</v>
      </c>
      <c r="E325" t="str">
        <f t="shared" si="26"/>
        <v>6W</v>
      </c>
      <c r="F325" s="73" t="str">
        <f>IF(G325="","",SUM($G$3:$G325))</f>
        <v/>
      </c>
      <c r="G325" s="73" t="str">
        <f t="shared" si="27"/>
        <v/>
      </c>
      <c r="H325" s="73" t="str">
        <f t="shared" si="28"/>
        <v/>
      </c>
      <c r="I325" s="73">
        <f>COUNTIF($B$3:$B325,B325)</f>
        <v>25</v>
      </c>
      <c r="K325">
        <f t="shared" ref="K325:K364" si="30">K324+1</f>
        <v>323</v>
      </c>
      <c r="L325" s="73" t="str">
        <f t="shared" si="29"/>
        <v/>
      </c>
    </row>
    <row r="326" spans="2:12">
      <c r="B326" t="s">
        <v>69</v>
      </c>
      <c r="C326" t="s">
        <v>354</v>
      </c>
      <c r="D326" t="str">
        <f>CONCATENATE(B326,"@",COUNTIF($B$3:$B326,B326))</f>
        <v>SHD10@26</v>
      </c>
      <c r="E326" t="str">
        <f t="shared" si="26"/>
        <v>7E</v>
      </c>
      <c r="F326" s="73" t="str">
        <f>IF(G326="","",SUM($G$3:$G326))</f>
        <v/>
      </c>
      <c r="G326" s="73" t="str">
        <f t="shared" si="27"/>
        <v/>
      </c>
      <c r="H326" s="73" t="str">
        <f t="shared" si="28"/>
        <v/>
      </c>
      <c r="I326" s="73">
        <f>COUNTIF($B$3:$B326,B326)</f>
        <v>26</v>
      </c>
      <c r="K326">
        <f t="shared" si="30"/>
        <v>324</v>
      </c>
      <c r="L326" s="73" t="str">
        <f t="shared" si="29"/>
        <v/>
      </c>
    </row>
    <row r="327" spans="2:12">
      <c r="B327" t="s">
        <v>69</v>
      </c>
      <c r="C327" t="s">
        <v>363</v>
      </c>
      <c r="D327" t="str">
        <f>CONCATENATE(B327,"@",COUNTIF($B$3:$B327,B327))</f>
        <v>SHD10@27</v>
      </c>
      <c r="E327" t="str">
        <f t="shared" si="26"/>
        <v>7W</v>
      </c>
      <c r="F327" s="73" t="str">
        <f>IF(G327="","",SUM($G$3:$G327))</f>
        <v/>
      </c>
      <c r="G327" s="73" t="str">
        <f t="shared" si="27"/>
        <v/>
      </c>
      <c r="H327" s="73" t="str">
        <f t="shared" si="28"/>
        <v/>
      </c>
      <c r="I327" s="73">
        <f>COUNTIF($B$3:$B327,B327)</f>
        <v>27</v>
      </c>
      <c r="K327">
        <f t="shared" si="30"/>
        <v>325</v>
      </c>
      <c r="L327" s="73" t="str">
        <f t="shared" si="29"/>
        <v/>
      </c>
    </row>
    <row r="328" spans="2:12">
      <c r="B328" t="s">
        <v>69</v>
      </c>
      <c r="C328" t="s">
        <v>370</v>
      </c>
      <c r="D328" t="str">
        <f>CONCATENATE(B328,"@",COUNTIF($B$3:$B328,B328))</f>
        <v>SHD10@28</v>
      </c>
      <c r="E328" t="str">
        <f t="shared" si="26"/>
        <v>8E</v>
      </c>
      <c r="F328" s="73" t="str">
        <f>IF(G328="","",SUM($G$3:$G328))</f>
        <v/>
      </c>
      <c r="G328" s="73" t="str">
        <f t="shared" si="27"/>
        <v/>
      </c>
      <c r="H328" s="73" t="str">
        <f t="shared" si="28"/>
        <v/>
      </c>
      <c r="I328" s="73">
        <f>COUNTIF($B$3:$B328,B328)</f>
        <v>28</v>
      </c>
      <c r="K328">
        <f t="shared" si="30"/>
        <v>326</v>
      </c>
      <c r="L328" s="73" t="str">
        <f t="shared" si="29"/>
        <v/>
      </c>
    </row>
    <row r="329" spans="2:12">
      <c r="B329" t="s">
        <v>69</v>
      </c>
      <c r="C329" t="s">
        <v>377</v>
      </c>
      <c r="D329" t="str">
        <f>CONCATENATE(B329,"@",COUNTIF($B$3:$B329,B329))</f>
        <v>SHD10@29</v>
      </c>
      <c r="E329" t="str">
        <f t="shared" si="26"/>
        <v>8W</v>
      </c>
      <c r="F329" s="73" t="str">
        <f>IF(G329="","",SUM($G$3:$G329))</f>
        <v/>
      </c>
      <c r="G329" s="73" t="str">
        <f t="shared" si="27"/>
        <v/>
      </c>
      <c r="H329" s="73" t="str">
        <f t="shared" si="28"/>
        <v/>
      </c>
      <c r="I329" s="73">
        <f>COUNTIF($B$3:$B329,B329)</f>
        <v>29</v>
      </c>
      <c r="K329">
        <f t="shared" si="30"/>
        <v>327</v>
      </c>
      <c r="L329" s="73" t="str">
        <f t="shared" si="29"/>
        <v/>
      </c>
    </row>
    <row r="330" spans="2:12">
      <c r="B330" t="s">
        <v>82</v>
      </c>
      <c r="C330" t="s">
        <v>69</v>
      </c>
      <c r="D330" t="str">
        <f>CONCATENATE(B330,"@",COUNTIF($B$3:$B330,B330))</f>
        <v>LF3@4</v>
      </c>
      <c r="E330" t="str">
        <f t="shared" si="26"/>
        <v>SHD10</v>
      </c>
      <c r="F330" s="73" t="str">
        <f>IF(G330="","",SUM($G$3:$G330))</f>
        <v/>
      </c>
      <c r="G330" s="73" t="str">
        <f t="shared" si="27"/>
        <v/>
      </c>
      <c r="H330" s="73" t="str">
        <f t="shared" si="28"/>
        <v/>
      </c>
      <c r="I330" s="73">
        <f>COUNTIF($B$3:$B330,B330)</f>
        <v>4</v>
      </c>
      <c r="K330">
        <f t="shared" si="30"/>
        <v>328</v>
      </c>
      <c r="L330" s="73" t="str">
        <f t="shared" si="29"/>
        <v/>
      </c>
    </row>
    <row r="331" spans="2:12">
      <c r="B331" t="s">
        <v>83</v>
      </c>
      <c r="C331" t="s">
        <v>69</v>
      </c>
      <c r="D331" t="str">
        <f>CONCATENATE(B331,"@",COUNTIF($B$3:$B331,B331))</f>
        <v>LF4@4</v>
      </c>
      <c r="E331" t="str">
        <f t="shared" si="26"/>
        <v>SHD10</v>
      </c>
      <c r="F331" s="73" t="str">
        <f>IF(G331="","",SUM($G$3:$G331))</f>
        <v/>
      </c>
      <c r="G331" s="73" t="str">
        <f t="shared" si="27"/>
        <v/>
      </c>
      <c r="H331" s="73" t="str">
        <f t="shared" si="28"/>
        <v/>
      </c>
      <c r="I331" s="73">
        <f>COUNTIF($B$3:$B331,B331)</f>
        <v>4</v>
      </c>
      <c r="K331">
        <f t="shared" si="30"/>
        <v>329</v>
      </c>
      <c r="L331" s="73" t="str">
        <f t="shared" si="29"/>
        <v/>
      </c>
    </row>
    <row r="332" spans="2:12">
      <c r="B332" t="s">
        <v>171</v>
      </c>
      <c r="C332" t="s">
        <v>69</v>
      </c>
      <c r="D332" t="str">
        <f>CONCATENATE(B332,"@",COUNTIF($B$3:$B332,B332))</f>
        <v>HM1@4</v>
      </c>
      <c r="E332" t="str">
        <f t="shared" si="26"/>
        <v>SHD10</v>
      </c>
      <c r="F332" s="73" t="str">
        <f>IF(G332="","",SUM($G$3:$G332))</f>
        <v/>
      </c>
      <c r="G332" s="73" t="str">
        <f t="shared" si="27"/>
        <v/>
      </c>
      <c r="H332" s="73" t="str">
        <f t="shared" si="28"/>
        <v/>
      </c>
      <c r="I332" s="73">
        <f>COUNTIF($B$3:$B332,B332)</f>
        <v>4</v>
      </c>
      <c r="K332">
        <f t="shared" si="30"/>
        <v>330</v>
      </c>
      <c r="L332" s="73" t="str">
        <f t="shared" si="29"/>
        <v/>
      </c>
    </row>
    <row r="333" spans="2:12">
      <c r="B333" t="s">
        <v>182</v>
      </c>
      <c r="C333" t="s">
        <v>69</v>
      </c>
      <c r="D333" t="str">
        <f>CONCATENATE(B333,"@",COUNTIF($B$3:$B333,B333))</f>
        <v>HM2@4</v>
      </c>
      <c r="E333" t="str">
        <f t="shared" si="26"/>
        <v>SHD10</v>
      </c>
      <c r="F333" s="73" t="str">
        <f>IF(G333="","",SUM($G$3:$G333))</f>
        <v/>
      </c>
      <c r="G333" s="73" t="str">
        <f t="shared" si="27"/>
        <v/>
      </c>
      <c r="H333" s="73" t="str">
        <f t="shared" si="28"/>
        <v/>
      </c>
      <c r="I333" s="73">
        <f>COUNTIF($B$3:$B333,B333)</f>
        <v>4</v>
      </c>
      <c r="K333">
        <f t="shared" si="30"/>
        <v>331</v>
      </c>
      <c r="L333" s="73" t="str">
        <f t="shared" si="29"/>
        <v/>
      </c>
    </row>
    <row r="334" spans="2:12">
      <c r="B334" t="s">
        <v>191</v>
      </c>
      <c r="C334" t="s">
        <v>69</v>
      </c>
      <c r="D334" t="str">
        <f>CONCATENATE(B334,"@",COUNTIF($B$3:$B334,B334))</f>
        <v>HM3@4</v>
      </c>
      <c r="E334" t="str">
        <f t="shared" si="26"/>
        <v>SHD10</v>
      </c>
      <c r="F334" s="73" t="str">
        <f>IF(G334="","",SUM($G$3:$G334))</f>
        <v/>
      </c>
      <c r="G334" s="73" t="str">
        <f t="shared" si="27"/>
        <v/>
      </c>
      <c r="H334" s="73" t="str">
        <f t="shared" si="28"/>
        <v/>
      </c>
      <c r="I334" s="73">
        <f>COUNTIF($B$3:$B334,B334)</f>
        <v>4</v>
      </c>
      <c r="K334">
        <f t="shared" si="30"/>
        <v>332</v>
      </c>
      <c r="L334" s="73" t="str">
        <f t="shared" si="29"/>
        <v/>
      </c>
    </row>
    <row r="335" spans="2:12">
      <c r="B335" t="s">
        <v>200</v>
      </c>
      <c r="C335" t="s">
        <v>69</v>
      </c>
      <c r="D335" t="str">
        <f>CONCATENATE(B335,"@",COUNTIF($B$3:$B335,B335))</f>
        <v>RM1E@5</v>
      </c>
      <c r="E335" t="str">
        <f t="shared" si="26"/>
        <v>SHD10</v>
      </c>
      <c r="F335" s="73" t="str">
        <f>IF(G335="","",SUM($G$3:$G335))</f>
        <v/>
      </c>
      <c r="G335" s="73" t="str">
        <f t="shared" si="27"/>
        <v/>
      </c>
      <c r="H335" s="73" t="str">
        <f t="shared" si="28"/>
        <v/>
      </c>
      <c r="I335" s="73">
        <f>COUNTIF($B$3:$B335,B335)</f>
        <v>5</v>
      </c>
      <c r="K335">
        <f t="shared" si="30"/>
        <v>333</v>
      </c>
      <c r="L335" s="73" t="str">
        <f t="shared" si="29"/>
        <v/>
      </c>
    </row>
    <row r="336" spans="2:12">
      <c r="B336" t="s">
        <v>208</v>
      </c>
      <c r="C336" t="s">
        <v>69</v>
      </c>
      <c r="D336" t="str">
        <f>CONCATENATE(B336,"@",COUNTIF($B$3:$B336,B336))</f>
        <v>RM1W@6</v>
      </c>
      <c r="E336" t="str">
        <f t="shared" si="26"/>
        <v>SHD10</v>
      </c>
      <c r="F336" s="73" t="str">
        <f>IF(G336="","",SUM($G$3:$G336))</f>
        <v/>
      </c>
      <c r="G336" s="73" t="str">
        <f t="shared" si="27"/>
        <v/>
      </c>
      <c r="H336" s="73" t="str">
        <f t="shared" si="28"/>
        <v/>
      </c>
      <c r="I336" s="73">
        <f>COUNTIF($B$3:$B336,B336)</f>
        <v>6</v>
      </c>
      <c r="K336">
        <f t="shared" si="30"/>
        <v>334</v>
      </c>
      <c r="L336" s="73" t="str">
        <f t="shared" si="29"/>
        <v/>
      </c>
    </row>
    <row r="337" spans="2:12">
      <c r="B337" t="s">
        <v>216</v>
      </c>
      <c r="C337" t="s">
        <v>69</v>
      </c>
      <c r="D337" t="str">
        <f>CONCATENATE(B337,"@",COUNTIF($B$3:$B337,B337))</f>
        <v>RM2E@5</v>
      </c>
      <c r="E337" t="str">
        <f t="shared" si="26"/>
        <v>SHD10</v>
      </c>
      <c r="F337" s="73" t="str">
        <f>IF(G337="","",SUM($G$3:$G337))</f>
        <v/>
      </c>
      <c r="G337" s="73" t="str">
        <f t="shared" si="27"/>
        <v/>
      </c>
      <c r="H337" s="73" t="str">
        <f t="shared" si="28"/>
        <v/>
      </c>
      <c r="I337" s="73">
        <f>COUNTIF($B$3:$B337,B337)</f>
        <v>5</v>
      </c>
      <c r="K337">
        <f t="shared" si="30"/>
        <v>335</v>
      </c>
      <c r="L337" s="73" t="str">
        <f t="shared" si="29"/>
        <v/>
      </c>
    </row>
    <row r="338" spans="2:12">
      <c r="B338" t="s">
        <v>224</v>
      </c>
      <c r="C338" t="s">
        <v>69</v>
      </c>
      <c r="D338" t="str">
        <f>CONCATENATE(B338,"@",COUNTIF($B$3:$B338,B338))</f>
        <v>RM2W@5</v>
      </c>
      <c r="E338" t="str">
        <f t="shared" si="26"/>
        <v>SHD10</v>
      </c>
      <c r="F338" s="73" t="str">
        <f>IF(G338="","",SUM($G$3:$G338))</f>
        <v/>
      </c>
      <c r="G338" s="73" t="str">
        <f t="shared" si="27"/>
        <v/>
      </c>
      <c r="H338" s="73" t="str">
        <f t="shared" si="28"/>
        <v/>
      </c>
      <c r="I338" s="73">
        <f>COUNTIF($B$3:$B338,B338)</f>
        <v>5</v>
      </c>
      <c r="K338">
        <f t="shared" si="30"/>
        <v>336</v>
      </c>
      <c r="L338" s="73" t="str">
        <f t="shared" si="29"/>
        <v/>
      </c>
    </row>
    <row r="339" spans="2:12">
      <c r="B339" t="s">
        <v>231</v>
      </c>
      <c r="C339" t="s">
        <v>69</v>
      </c>
      <c r="D339" t="str">
        <f>CONCATENATE(B339,"@",COUNTIF($B$3:$B339,B339))</f>
        <v>RM3E@5</v>
      </c>
      <c r="E339" t="str">
        <f t="shared" si="26"/>
        <v>SHD10</v>
      </c>
      <c r="F339" s="73" t="str">
        <f>IF(G339="","",SUM($G$3:$G339))</f>
        <v/>
      </c>
      <c r="G339" s="73" t="str">
        <f t="shared" si="27"/>
        <v/>
      </c>
      <c r="H339" s="73" t="str">
        <f t="shared" si="28"/>
        <v/>
      </c>
      <c r="I339" s="73">
        <f>COUNTIF($B$3:$B339,B339)</f>
        <v>5</v>
      </c>
      <c r="K339">
        <f t="shared" si="30"/>
        <v>337</v>
      </c>
      <c r="L339" s="73" t="str">
        <f t="shared" si="29"/>
        <v/>
      </c>
    </row>
    <row r="340" spans="2:12">
      <c r="B340" t="s">
        <v>238</v>
      </c>
      <c r="C340" t="s">
        <v>69</v>
      </c>
      <c r="D340" t="str">
        <f>CONCATENATE(B340,"@",COUNTIF($B$3:$B340,B340))</f>
        <v>RM3W@5</v>
      </c>
      <c r="E340" t="str">
        <f t="shared" si="26"/>
        <v>SHD10</v>
      </c>
      <c r="F340" s="73" t="str">
        <f>IF(G340="","",SUM($G$3:$G340))</f>
        <v/>
      </c>
      <c r="G340" s="73" t="str">
        <f t="shared" si="27"/>
        <v/>
      </c>
      <c r="H340" s="73" t="str">
        <f t="shared" si="28"/>
        <v/>
      </c>
      <c r="I340" s="73">
        <f>COUNTIF($B$3:$B340,B340)</f>
        <v>5</v>
      </c>
      <c r="K340">
        <f t="shared" si="30"/>
        <v>338</v>
      </c>
      <c r="L340" s="73" t="str">
        <f t="shared" si="29"/>
        <v/>
      </c>
    </row>
    <row r="341" spans="2:12">
      <c r="B341" t="s">
        <v>246</v>
      </c>
      <c r="C341" t="s">
        <v>69</v>
      </c>
      <c r="D341" t="str">
        <f>CONCATENATE(B341,"@",COUNTIF($B$3:$B341,B341))</f>
        <v>HCTE@5</v>
      </c>
      <c r="E341" t="str">
        <f t="shared" si="26"/>
        <v>SHD10</v>
      </c>
      <c r="F341" s="73" t="str">
        <f>IF(G341="","",SUM($G$3:$G341))</f>
        <v/>
      </c>
      <c r="G341" s="73" t="str">
        <f t="shared" si="27"/>
        <v/>
      </c>
      <c r="H341" s="73" t="str">
        <f t="shared" si="28"/>
        <v/>
      </c>
      <c r="I341" s="73">
        <f>COUNTIF($B$3:$B341,B341)</f>
        <v>5</v>
      </c>
      <c r="K341">
        <f t="shared" si="30"/>
        <v>339</v>
      </c>
      <c r="L341" s="73" t="str">
        <f t="shared" si="29"/>
        <v/>
      </c>
    </row>
    <row r="342" spans="2:12">
      <c r="B342" t="s">
        <v>254</v>
      </c>
      <c r="C342" t="s">
        <v>69</v>
      </c>
      <c r="D342" t="str">
        <f>CONCATENATE(B342,"@",COUNTIF($B$3:$B342,B342))</f>
        <v>HCTW@5</v>
      </c>
      <c r="E342" t="str">
        <f t="shared" si="26"/>
        <v>SHD10</v>
      </c>
      <c r="F342" s="73" t="str">
        <f>IF(G342="","",SUM($G$3:$G342))</f>
        <v/>
      </c>
      <c r="G342" s="73" t="str">
        <f t="shared" si="27"/>
        <v/>
      </c>
      <c r="H342" s="73" t="str">
        <f t="shared" si="28"/>
        <v/>
      </c>
      <c r="I342" s="73">
        <f>COUNTIF($B$3:$B342,B342)</f>
        <v>5</v>
      </c>
      <c r="K342">
        <f t="shared" si="30"/>
        <v>340</v>
      </c>
      <c r="L342" s="73" t="str">
        <f t="shared" si="29"/>
        <v/>
      </c>
    </row>
    <row r="343" spans="2:12">
      <c r="B343" t="s">
        <v>261</v>
      </c>
      <c r="C343" t="s">
        <v>69</v>
      </c>
      <c r="D343" t="str">
        <f>CONCATENATE(B343,"@",COUNTIF($B$3:$B343,B343))</f>
        <v>1E@5</v>
      </c>
      <c r="E343" t="str">
        <f t="shared" si="26"/>
        <v>SHD10</v>
      </c>
      <c r="F343" s="73" t="str">
        <f>IF(G343="","",SUM($G$3:$G343))</f>
        <v/>
      </c>
      <c r="G343" s="73" t="str">
        <f t="shared" si="27"/>
        <v/>
      </c>
      <c r="H343" s="73" t="str">
        <f t="shared" si="28"/>
        <v/>
      </c>
      <c r="I343" s="73">
        <f>COUNTIF($B$3:$B343,B343)</f>
        <v>5</v>
      </c>
      <c r="K343">
        <f t="shared" si="30"/>
        <v>341</v>
      </c>
      <c r="L343" s="73" t="str">
        <f t="shared" si="29"/>
        <v/>
      </c>
    </row>
    <row r="344" spans="2:12">
      <c r="B344" t="s">
        <v>269</v>
      </c>
      <c r="C344" t="s">
        <v>69</v>
      </c>
      <c r="D344" t="str">
        <f>CONCATENATE(B344,"@",COUNTIF($B$3:$B344,B344))</f>
        <v>1W@5</v>
      </c>
      <c r="E344" t="str">
        <f t="shared" si="26"/>
        <v>SHD10</v>
      </c>
      <c r="F344" s="73" t="str">
        <f>IF(G344="","",SUM($G$3:$G344))</f>
        <v/>
      </c>
      <c r="G344" s="73" t="str">
        <f t="shared" si="27"/>
        <v/>
      </c>
      <c r="H344" s="73" t="str">
        <f t="shared" si="28"/>
        <v/>
      </c>
      <c r="I344" s="73">
        <f>COUNTIF($B$3:$B344,B344)</f>
        <v>5</v>
      </c>
      <c r="K344">
        <f t="shared" si="30"/>
        <v>342</v>
      </c>
      <c r="L344" s="73" t="str">
        <f t="shared" si="29"/>
        <v/>
      </c>
    </row>
    <row r="345" spans="2:12">
      <c r="B345" t="s">
        <v>276</v>
      </c>
      <c r="C345" t="s">
        <v>69</v>
      </c>
      <c r="D345" t="str">
        <f>CONCATENATE(B345,"@",COUNTIF($B$3:$B345,B345))</f>
        <v>2E@5</v>
      </c>
      <c r="E345" t="str">
        <f t="shared" si="26"/>
        <v>SHD10</v>
      </c>
      <c r="F345" s="73" t="str">
        <f>IF(G345="","",SUM($G$3:$G345))</f>
        <v/>
      </c>
      <c r="G345" s="73" t="str">
        <f t="shared" si="27"/>
        <v/>
      </c>
      <c r="H345" s="73" t="str">
        <f t="shared" si="28"/>
        <v/>
      </c>
      <c r="I345" s="73">
        <f>COUNTIF($B$3:$B345,B345)</f>
        <v>5</v>
      </c>
      <c r="K345">
        <f t="shared" si="30"/>
        <v>343</v>
      </c>
      <c r="L345" s="73" t="str">
        <f t="shared" si="29"/>
        <v/>
      </c>
    </row>
    <row r="346" spans="2:12">
      <c r="B346" t="s">
        <v>285</v>
      </c>
      <c r="C346" t="s">
        <v>69</v>
      </c>
      <c r="D346" t="str">
        <f>CONCATENATE(B346,"@",COUNTIF($B$3:$B346,B346))</f>
        <v>2W@5</v>
      </c>
      <c r="E346" t="str">
        <f t="shared" si="26"/>
        <v>SHD10</v>
      </c>
      <c r="F346" s="73" t="str">
        <f>IF(G346="","",SUM($G$3:$G346))</f>
        <v/>
      </c>
      <c r="G346" s="73" t="str">
        <f t="shared" si="27"/>
        <v/>
      </c>
      <c r="H346" s="73" t="str">
        <f t="shared" si="28"/>
        <v/>
      </c>
      <c r="I346" s="73">
        <f>COUNTIF($B$3:$B346,B346)</f>
        <v>5</v>
      </c>
      <c r="K346">
        <f t="shared" si="30"/>
        <v>344</v>
      </c>
      <c r="L346" s="73" t="str">
        <f t="shared" si="29"/>
        <v/>
      </c>
    </row>
    <row r="347" spans="2:12">
      <c r="B347" t="s">
        <v>293</v>
      </c>
      <c r="C347" t="s">
        <v>69</v>
      </c>
      <c r="D347" t="str">
        <f>CONCATENATE(B347,"@",COUNTIF($B$3:$B347,B347))</f>
        <v>3E@5</v>
      </c>
      <c r="E347" t="str">
        <f t="shared" si="26"/>
        <v>SHD10</v>
      </c>
      <c r="F347" s="73" t="str">
        <f>IF(G347="","",SUM($G$3:$G347))</f>
        <v/>
      </c>
      <c r="G347" s="73" t="str">
        <f t="shared" si="27"/>
        <v/>
      </c>
      <c r="H347" s="73" t="str">
        <f t="shared" si="28"/>
        <v/>
      </c>
      <c r="I347" s="73">
        <f>COUNTIF($B$3:$B347,B347)</f>
        <v>5</v>
      </c>
      <c r="K347">
        <f t="shared" si="30"/>
        <v>345</v>
      </c>
      <c r="L347" s="73" t="str">
        <f t="shared" si="29"/>
        <v/>
      </c>
    </row>
    <row r="348" spans="2:12">
      <c r="B348" t="s">
        <v>301</v>
      </c>
      <c r="C348" t="s">
        <v>69</v>
      </c>
      <c r="D348" t="str">
        <f>CONCATENATE(B348,"@",COUNTIF($B$3:$B348,B348))</f>
        <v>3W@5</v>
      </c>
      <c r="E348" t="str">
        <f t="shared" si="26"/>
        <v>SHD10</v>
      </c>
      <c r="F348" s="73" t="str">
        <f>IF(G348="","",SUM($G$3:$G348))</f>
        <v/>
      </c>
      <c r="G348" s="73" t="str">
        <f t="shared" si="27"/>
        <v/>
      </c>
      <c r="H348" s="73" t="str">
        <f t="shared" si="28"/>
        <v/>
      </c>
      <c r="I348" s="73">
        <f>COUNTIF($B$3:$B348,B348)</f>
        <v>5</v>
      </c>
      <c r="K348">
        <f t="shared" si="30"/>
        <v>346</v>
      </c>
      <c r="L348" s="73" t="str">
        <f t="shared" si="29"/>
        <v/>
      </c>
    </row>
    <row r="349" spans="2:12">
      <c r="B349" t="s">
        <v>309</v>
      </c>
      <c r="C349" t="s">
        <v>69</v>
      </c>
      <c r="D349" t="str">
        <f>CONCATENATE(B349,"@",COUNTIF($B$3:$B349,B349))</f>
        <v>4E@5</v>
      </c>
      <c r="E349" t="str">
        <f t="shared" si="26"/>
        <v>SHD10</v>
      </c>
      <c r="F349" s="73" t="str">
        <f>IF(G349="","",SUM($G$3:$G349))</f>
        <v/>
      </c>
      <c r="G349" s="73" t="str">
        <f t="shared" si="27"/>
        <v/>
      </c>
      <c r="H349" s="73" t="str">
        <f t="shared" si="28"/>
        <v/>
      </c>
      <c r="I349" s="73">
        <f>COUNTIF($B$3:$B349,B349)</f>
        <v>5</v>
      </c>
      <c r="K349">
        <f t="shared" si="30"/>
        <v>347</v>
      </c>
      <c r="L349" s="73" t="str">
        <f t="shared" si="29"/>
        <v/>
      </c>
    </row>
    <row r="350" spans="2:12">
      <c r="B350" t="s">
        <v>318</v>
      </c>
      <c r="C350" t="s">
        <v>69</v>
      </c>
      <c r="D350" t="str">
        <f>CONCATENATE(B350,"@",COUNTIF($B$3:$B350,B350))</f>
        <v>4W@5</v>
      </c>
      <c r="E350" t="str">
        <f t="shared" si="26"/>
        <v>SHD10</v>
      </c>
      <c r="F350" s="73" t="str">
        <f>IF(G350="","",SUM($G$3:$G350))</f>
        <v/>
      </c>
      <c r="G350" s="73" t="str">
        <f t="shared" si="27"/>
        <v/>
      </c>
      <c r="H350" s="73" t="str">
        <f t="shared" si="28"/>
        <v/>
      </c>
      <c r="I350" s="73">
        <f>COUNTIF($B$3:$B350,B350)</f>
        <v>5</v>
      </c>
      <c r="K350">
        <f t="shared" si="30"/>
        <v>348</v>
      </c>
      <c r="L350" s="73" t="str">
        <f t="shared" si="29"/>
        <v/>
      </c>
    </row>
    <row r="351" spans="2:12">
      <c r="B351" t="s">
        <v>325</v>
      </c>
      <c r="C351" t="s">
        <v>69</v>
      </c>
      <c r="D351" t="str">
        <f>CONCATENATE(B351,"@",COUNTIF($B$3:$B351,B351))</f>
        <v>5E@5</v>
      </c>
      <c r="E351" t="str">
        <f t="shared" si="26"/>
        <v>SHD10</v>
      </c>
      <c r="F351" s="73" t="str">
        <f>IF(G351="","",SUM($G$3:$G351))</f>
        <v/>
      </c>
      <c r="G351" s="73" t="str">
        <f t="shared" si="27"/>
        <v/>
      </c>
      <c r="H351" s="73" t="str">
        <f t="shared" si="28"/>
        <v/>
      </c>
      <c r="I351" s="73">
        <f>COUNTIF($B$3:$B351,B351)</f>
        <v>5</v>
      </c>
      <c r="K351">
        <f t="shared" si="30"/>
        <v>349</v>
      </c>
      <c r="L351" s="73" t="str">
        <f t="shared" si="29"/>
        <v/>
      </c>
    </row>
    <row r="352" spans="2:12">
      <c r="B352" t="s">
        <v>333</v>
      </c>
      <c r="C352" t="s">
        <v>69</v>
      </c>
      <c r="D352" t="str">
        <f>CONCATENATE(B352,"@",COUNTIF($B$3:$B352,B352))</f>
        <v>5W@5</v>
      </c>
      <c r="E352" t="str">
        <f t="shared" si="26"/>
        <v>SHD10</v>
      </c>
      <c r="F352" s="73" t="str">
        <f>IF(G352="","",SUM($G$3:$G352))</f>
        <v/>
      </c>
      <c r="G352" s="73" t="str">
        <f t="shared" si="27"/>
        <v/>
      </c>
      <c r="H352" s="73" t="str">
        <f t="shared" si="28"/>
        <v/>
      </c>
      <c r="I352" s="73">
        <f>COUNTIF($B$3:$B352,B352)</f>
        <v>5</v>
      </c>
      <c r="K352">
        <f t="shared" si="30"/>
        <v>350</v>
      </c>
      <c r="L352" s="73" t="str">
        <f t="shared" si="29"/>
        <v/>
      </c>
    </row>
    <row r="353" spans="2:12">
      <c r="B353" t="s">
        <v>339</v>
      </c>
      <c r="C353" t="s">
        <v>69</v>
      </c>
      <c r="D353" t="str">
        <f>CONCATENATE(B353,"@",COUNTIF($B$3:$B353,B353))</f>
        <v>6E@5</v>
      </c>
      <c r="E353" t="str">
        <f t="shared" si="26"/>
        <v>SHD10</v>
      </c>
      <c r="F353" s="73" t="str">
        <f>IF(G353="","",SUM($G$3:$G353))</f>
        <v/>
      </c>
      <c r="G353" s="73" t="str">
        <f t="shared" si="27"/>
        <v/>
      </c>
      <c r="H353" s="73" t="str">
        <f t="shared" si="28"/>
        <v/>
      </c>
      <c r="I353" s="73">
        <f>COUNTIF($B$3:$B353,B353)</f>
        <v>5</v>
      </c>
      <c r="K353">
        <f t="shared" si="30"/>
        <v>351</v>
      </c>
      <c r="L353" s="73" t="str">
        <f t="shared" si="29"/>
        <v/>
      </c>
    </row>
    <row r="354" spans="2:12">
      <c r="B354" t="s">
        <v>346</v>
      </c>
      <c r="C354" t="s">
        <v>69</v>
      </c>
      <c r="D354" t="str">
        <f>CONCATENATE(B354,"@",COUNTIF($B$3:$B354,B354))</f>
        <v>6W@5</v>
      </c>
      <c r="E354" t="str">
        <f t="shared" si="26"/>
        <v>SHD10</v>
      </c>
      <c r="F354" s="73" t="str">
        <f>IF(G354="","",SUM($G$3:$G354))</f>
        <v/>
      </c>
      <c r="G354" s="73" t="str">
        <f t="shared" si="27"/>
        <v/>
      </c>
      <c r="H354" s="73" t="str">
        <f t="shared" si="28"/>
        <v/>
      </c>
      <c r="I354" s="73">
        <f>COUNTIF($B$3:$B354,B354)</f>
        <v>5</v>
      </c>
      <c r="K354">
        <f t="shared" si="30"/>
        <v>352</v>
      </c>
      <c r="L354" s="73" t="str">
        <f t="shared" si="29"/>
        <v/>
      </c>
    </row>
    <row r="355" spans="2:12">
      <c r="B355" t="s">
        <v>354</v>
      </c>
      <c r="C355" t="s">
        <v>69</v>
      </c>
      <c r="D355" t="str">
        <f>CONCATENATE(B355,"@",COUNTIF($B$3:$B355,B355))</f>
        <v>7E@5</v>
      </c>
      <c r="E355" t="str">
        <f t="shared" si="26"/>
        <v>SHD10</v>
      </c>
      <c r="F355" s="73" t="str">
        <f>IF(G355="","",SUM($G$3:$G355))</f>
        <v/>
      </c>
      <c r="G355" s="73" t="str">
        <f t="shared" si="27"/>
        <v/>
      </c>
      <c r="H355" s="73" t="str">
        <f t="shared" si="28"/>
        <v/>
      </c>
      <c r="I355" s="73">
        <f>COUNTIF($B$3:$B355,B355)</f>
        <v>5</v>
      </c>
      <c r="K355">
        <f t="shared" si="30"/>
        <v>353</v>
      </c>
      <c r="L355" s="73" t="str">
        <f t="shared" si="29"/>
        <v/>
      </c>
    </row>
    <row r="356" spans="2:12">
      <c r="B356" t="s">
        <v>363</v>
      </c>
      <c r="C356" t="s">
        <v>69</v>
      </c>
      <c r="D356" t="str">
        <f>CONCATENATE(B356,"@",COUNTIF($B$3:$B356,B356))</f>
        <v>7W@5</v>
      </c>
      <c r="E356" t="str">
        <f t="shared" si="26"/>
        <v>SHD10</v>
      </c>
      <c r="F356" s="73" t="str">
        <f>IF(G356="","",SUM($G$3:$G356))</f>
        <v/>
      </c>
      <c r="G356" s="73" t="str">
        <f t="shared" si="27"/>
        <v/>
      </c>
      <c r="H356" s="73" t="str">
        <f t="shared" si="28"/>
        <v/>
      </c>
      <c r="I356" s="73">
        <f>COUNTIF($B$3:$B356,B356)</f>
        <v>5</v>
      </c>
      <c r="K356">
        <f t="shared" si="30"/>
        <v>354</v>
      </c>
      <c r="L356" s="73" t="str">
        <f t="shared" si="29"/>
        <v/>
      </c>
    </row>
    <row r="357" spans="2:12">
      <c r="B357" t="s">
        <v>370</v>
      </c>
      <c r="C357" t="s">
        <v>69</v>
      </c>
      <c r="D357" t="str">
        <f>CONCATENATE(B357,"@",COUNTIF($B$3:$B357,B357))</f>
        <v>8E@5</v>
      </c>
      <c r="E357" t="str">
        <f t="shared" si="26"/>
        <v>SHD10</v>
      </c>
      <c r="F357" s="73" t="str">
        <f>IF(G357="","",SUM($G$3:$G357))</f>
        <v/>
      </c>
      <c r="G357" s="73" t="str">
        <f t="shared" si="27"/>
        <v/>
      </c>
      <c r="H357" s="73" t="str">
        <f t="shared" si="28"/>
        <v/>
      </c>
      <c r="I357" s="73">
        <f>COUNTIF($B$3:$B357,B357)</f>
        <v>5</v>
      </c>
      <c r="K357">
        <f t="shared" si="30"/>
        <v>355</v>
      </c>
      <c r="L357" s="73" t="str">
        <f t="shared" si="29"/>
        <v/>
      </c>
    </row>
    <row r="358" spans="2:12">
      <c r="B358" t="s">
        <v>377</v>
      </c>
      <c r="C358" t="s">
        <v>69</v>
      </c>
      <c r="D358" t="str">
        <f>CONCATENATE(B358,"@",COUNTIF($B$3:$B358,B358))</f>
        <v>8W@5</v>
      </c>
      <c r="E358" t="str">
        <f t="shared" si="26"/>
        <v>SHD10</v>
      </c>
      <c r="F358" s="73" t="str">
        <f>IF(G358="","",SUM($G$3:$G358))</f>
        <v/>
      </c>
      <c r="G358" s="73" t="str">
        <f t="shared" si="27"/>
        <v/>
      </c>
      <c r="H358" s="73" t="str">
        <f t="shared" si="28"/>
        <v/>
      </c>
      <c r="I358" s="73">
        <f>COUNTIF($B$3:$B358,B358)</f>
        <v>5</v>
      </c>
      <c r="K358">
        <f t="shared" si="30"/>
        <v>356</v>
      </c>
      <c r="L358" s="73" t="str">
        <f t="shared" si="29"/>
        <v/>
      </c>
    </row>
    <row r="359" spans="2:12">
      <c r="B359" t="s">
        <v>208</v>
      </c>
      <c r="C359" t="s">
        <v>63</v>
      </c>
      <c r="D359" t="str">
        <f>CONCATENATE(B359,"@",COUNTIF($B$3:$B359,B359))</f>
        <v>RM1W@7</v>
      </c>
      <c r="E359" t="str">
        <f t="shared" si="26"/>
        <v>WL</v>
      </c>
      <c r="F359" s="73" t="str">
        <f>IF(G359="","",SUM($G$3:$G359))</f>
        <v/>
      </c>
      <c r="G359" s="73" t="str">
        <f t="shared" si="27"/>
        <v/>
      </c>
      <c r="H359" s="73" t="str">
        <f t="shared" si="28"/>
        <v/>
      </c>
      <c r="I359" s="73">
        <f>COUNTIF($B$3:$B359,B359)</f>
        <v>7</v>
      </c>
      <c r="K359">
        <f t="shared" si="30"/>
        <v>357</v>
      </c>
      <c r="L359" s="73" t="str">
        <f t="shared" si="29"/>
        <v/>
      </c>
    </row>
    <row r="360" spans="2:12">
      <c r="B360" t="s">
        <v>63</v>
      </c>
      <c r="C360" t="s">
        <v>208</v>
      </c>
      <c r="D360" t="str">
        <f>CONCATENATE(B360,"@",COUNTIF($B$3:$B360,B360))</f>
        <v>WL@2</v>
      </c>
      <c r="E360" t="str">
        <f t="shared" si="26"/>
        <v>RM1W</v>
      </c>
      <c r="F360" s="73" t="str">
        <f>IF(G360="","",SUM($G$3:$G360))</f>
        <v/>
      </c>
      <c r="G360" s="73" t="str">
        <f t="shared" si="27"/>
        <v/>
      </c>
      <c r="H360" s="73" t="str">
        <f t="shared" si="28"/>
        <v/>
      </c>
      <c r="I360" s="73">
        <f>COUNTIF($B$3:$B360,B360)</f>
        <v>2</v>
      </c>
      <c r="K360">
        <f t="shared" si="30"/>
        <v>358</v>
      </c>
      <c r="L360" s="73" t="str">
        <f t="shared" si="29"/>
        <v/>
      </c>
    </row>
    <row r="361" spans="2:12">
      <c r="B361" t="s">
        <v>53</v>
      </c>
      <c r="C361" t="s">
        <v>69</v>
      </c>
      <c r="D361" t="str">
        <f>CONCATENATE(B361,"@",COUNTIF($B$3:$B361,B361))</f>
        <v>E DT@32</v>
      </c>
      <c r="E361" t="str">
        <f t="shared" si="26"/>
        <v>SHD10</v>
      </c>
      <c r="F361" s="73" t="str">
        <f>IF(G361="","",SUM($G$3:$G361))</f>
        <v/>
      </c>
      <c r="G361" s="73" t="str">
        <f t="shared" si="27"/>
        <v/>
      </c>
      <c r="H361" s="73" t="str">
        <f t="shared" si="28"/>
        <v/>
      </c>
      <c r="I361" s="73">
        <f>COUNTIF($B$3:$B361,B361)</f>
        <v>32</v>
      </c>
      <c r="K361">
        <f t="shared" si="30"/>
        <v>359</v>
      </c>
      <c r="L361" s="73" t="str">
        <f t="shared" si="29"/>
        <v/>
      </c>
    </row>
    <row r="362" spans="2:12">
      <c r="B362" t="s">
        <v>69</v>
      </c>
      <c r="C362" t="s">
        <v>53</v>
      </c>
      <c r="D362" t="str">
        <f>CONCATENATE(B362,"@",COUNTIF($B$3:$B362,B362))</f>
        <v>SHD10@30</v>
      </c>
      <c r="E362" t="str">
        <f t="shared" si="26"/>
        <v>E DT</v>
      </c>
      <c r="F362" s="73" t="str">
        <f>IF(G362="","",SUM($G$3:$G362))</f>
        <v/>
      </c>
      <c r="G362" s="73" t="str">
        <f t="shared" si="27"/>
        <v/>
      </c>
      <c r="H362" s="73" t="str">
        <f t="shared" si="28"/>
        <v/>
      </c>
      <c r="I362" s="73">
        <f>COUNTIF($B$3:$B362,B362)</f>
        <v>30</v>
      </c>
      <c r="K362">
        <f t="shared" si="30"/>
        <v>360</v>
      </c>
      <c r="L362" s="73" t="str">
        <f t="shared" si="29"/>
        <v/>
      </c>
    </row>
    <row r="363" spans="2:12">
      <c r="B363" t="s">
        <v>55</v>
      </c>
      <c r="C363" t="s">
        <v>69</v>
      </c>
      <c r="D363" t="str">
        <f>CONCATENATE(B363,"@",COUNTIF($B$3:$B363,B363))</f>
        <v>E AV@32</v>
      </c>
      <c r="E363" t="str">
        <f t="shared" si="26"/>
        <v>SHD10</v>
      </c>
      <c r="F363" s="73" t="str">
        <f>IF(G363="","",SUM($G$3:$G363))</f>
        <v/>
      </c>
      <c r="G363" s="73" t="str">
        <f t="shared" si="27"/>
        <v/>
      </c>
      <c r="H363" s="73" t="str">
        <f t="shared" si="28"/>
        <v/>
      </c>
      <c r="I363" s="73">
        <f>COUNTIF($B$3:$B363,B363)</f>
        <v>32</v>
      </c>
      <c r="K363">
        <f t="shared" si="30"/>
        <v>361</v>
      </c>
      <c r="L363" s="73" t="str">
        <f t="shared" si="29"/>
        <v/>
      </c>
    </row>
    <row r="364" spans="2:12">
      <c r="B364" t="s">
        <v>69</v>
      </c>
      <c r="C364" t="s">
        <v>55</v>
      </c>
      <c r="D364" t="str">
        <f>CONCATENATE(B364,"@",COUNTIF($B$3:$B364,B364))</f>
        <v>SHD10@31</v>
      </c>
      <c r="E364" t="str">
        <f t="shared" si="26"/>
        <v>E AV</v>
      </c>
      <c r="F364" s="73" t="str">
        <f>IF(G364="","",SUM($G$3:$G364))</f>
        <v/>
      </c>
      <c r="G364" s="73" t="str">
        <f t="shared" si="27"/>
        <v/>
      </c>
      <c r="H364" s="73" t="str">
        <f t="shared" si="28"/>
        <v/>
      </c>
      <c r="I364" s="73">
        <f>COUNTIF($B$3:$B364,B364)</f>
        <v>31</v>
      </c>
      <c r="K364">
        <f t="shared" si="30"/>
        <v>362</v>
      </c>
      <c r="L364" s="73" t="str">
        <f t="shared" si="29"/>
        <v/>
      </c>
    </row>
    <row r="365" spans="2:12">
      <c r="B365" t="s">
        <v>70</v>
      </c>
      <c r="C365" t="s">
        <v>149</v>
      </c>
      <c r="D365" t="str">
        <f>CONCATENATE(B365,"@",COUNTIF($B$3:$B365,B365))</f>
        <v>AB9@1</v>
      </c>
      <c r="E365" t="str">
        <f t="shared" si="26"/>
        <v>LS1</v>
      </c>
      <c r="F365" s="73">
        <f>IF(G365="","",SUM($G$3:$G365))</f>
        <v>46</v>
      </c>
      <c r="G365" s="73">
        <f t="shared" si="27"/>
        <v>1</v>
      </c>
      <c r="H365" s="73" t="str">
        <f t="shared" ref="H365:H374" si="31">IF(I365=1,B365,"")</f>
        <v>AB9</v>
      </c>
      <c r="I365" s="73">
        <f>COUNTIF($B$3:$B365,B365)</f>
        <v>1</v>
      </c>
    </row>
    <row r="366" spans="2:12">
      <c r="B366" t="s">
        <v>70</v>
      </c>
      <c r="C366" t="s">
        <v>383</v>
      </c>
      <c r="D366" t="str">
        <f>CONCATENATE(B366,"@",COUNTIF($B$3:$B366,B366))</f>
        <v>AB9@2</v>
      </c>
      <c r="E366" t="str">
        <f t="shared" si="26"/>
        <v>LS2</v>
      </c>
      <c r="F366" s="73" t="str">
        <f>IF(G366="","",SUM($G$3:$G366))</f>
        <v/>
      </c>
      <c r="G366" s="73" t="str">
        <f t="shared" si="27"/>
        <v/>
      </c>
      <c r="H366" s="73" t="str">
        <f t="shared" si="31"/>
        <v/>
      </c>
      <c r="I366" s="73">
        <f>COUNTIF($B$3:$B366,B366)</f>
        <v>2</v>
      </c>
    </row>
    <row r="367" spans="2:12">
      <c r="B367" t="s">
        <v>70</v>
      </c>
      <c r="C367" t="s">
        <v>531</v>
      </c>
      <c r="D367" t="str">
        <f>CONCATENATE(B367,"@",COUNTIF($B$3:$B367,B367))</f>
        <v>AB9@3</v>
      </c>
      <c r="E367" t="str">
        <f t="shared" si="26"/>
        <v>LS3</v>
      </c>
      <c r="F367" s="73" t="str">
        <f>IF(G367="","",SUM($G$3:$G367))</f>
        <v/>
      </c>
      <c r="G367" s="73" t="str">
        <f t="shared" si="27"/>
        <v/>
      </c>
      <c r="H367" s="73" t="str">
        <f t="shared" si="31"/>
        <v/>
      </c>
      <c r="I367" s="73">
        <f>COUNTIF($B$3:$B367,B367)</f>
        <v>3</v>
      </c>
    </row>
    <row r="368" spans="2:12">
      <c r="B368" t="s">
        <v>70</v>
      </c>
      <c r="C368" t="s">
        <v>55</v>
      </c>
      <c r="D368" t="str">
        <f>CONCATENATE(B368,"@",COUNTIF($B$3:$B368,B368))</f>
        <v>AB9@4</v>
      </c>
      <c r="E368" t="str">
        <f t="shared" si="26"/>
        <v>E AV</v>
      </c>
      <c r="F368" s="73" t="str">
        <f>IF(G368="","",SUM($G$3:$G368))</f>
        <v/>
      </c>
      <c r="G368" s="73" t="str">
        <f t="shared" si="27"/>
        <v/>
      </c>
      <c r="H368" s="73" t="str">
        <f t="shared" si="31"/>
        <v/>
      </c>
      <c r="I368" s="73">
        <f>COUNTIF($B$3:$B368,B368)</f>
        <v>4</v>
      </c>
    </row>
    <row r="369" spans="2:9">
      <c r="B369" t="s">
        <v>70</v>
      </c>
      <c r="C369" t="s">
        <v>53</v>
      </c>
      <c r="D369" t="str">
        <f>CONCATENATE(B369,"@",COUNTIF($B$3:$B369,B369))</f>
        <v>AB9@5</v>
      </c>
      <c r="E369" t="str">
        <f t="shared" si="26"/>
        <v>E DT</v>
      </c>
      <c r="F369" s="73" t="str">
        <f>IF(G369="","",SUM($G$3:$G369))</f>
        <v/>
      </c>
      <c r="G369" s="73" t="str">
        <f t="shared" si="27"/>
        <v/>
      </c>
      <c r="H369" s="73" t="str">
        <f t="shared" si="31"/>
        <v/>
      </c>
      <c r="I369" s="73">
        <f>COUNTIF($B$3:$B369,B369)</f>
        <v>5</v>
      </c>
    </row>
    <row r="370" spans="2:9">
      <c r="B370" t="s">
        <v>149</v>
      </c>
      <c r="C370" t="s">
        <v>70</v>
      </c>
      <c r="D370" t="str">
        <f>CONCATENATE(B370,"@",COUNTIF($B$3:$B370,B370))</f>
        <v>LS1@4</v>
      </c>
      <c r="E370" t="str">
        <f t="shared" ref="E370:E382" si="32">C370</f>
        <v>AB9</v>
      </c>
      <c r="F370" s="73" t="str">
        <f>IF(G370="","",SUM($G$3:$G370))</f>
        <v/>
      </c>
      <c r="G370" s="73" t="str">
        <f t="shared" si="27"/>
        <v/>
      </c>
      <c r="H370" s="73" t="str">
        <f t="shared" si="31"/>
        <v/>
      </c>
      <c r="I370" s="73">
        <f>COUNTIF($B$3:$B370,B370)</f>
        <v>4</v>
      </c>
    </row>
    <row r="371" spans="2:9">
      <c r="B371" t="s">
        <v>383</v>
      </c>
      <c r="C371" t="s">
        <v>70</v>
      </c>
      <c r="D371" t="str">
        <f>CONCATENATE(B371,"@",COUNTIF($B$3:$B371,B371))</f>
        <v>LS2@4</v>
      </c>
      <c r="E371" t="str">
        <f t="shared" si="32"/>
        <v>AB9</v>
      </c>
      <c r="F371" s="73" t="str">
        <f>IF(G371="","",SUM($G$3:$G371))</f>
        <v/>
      </c>
      <c r="G371" s="73" t="str">
        <f t="shared" si="27"/>
        <v/>
      </c>
      <c r="H371" s="73" t="str">
        <f t="shared" si="31"/>
        <v/>
      </c>
      <c r="I371" s="73">
        <f>COUNTIF($B$3:$B371,B371)</f>
        <v>4</v>
      </c>
    </row>
    <row r="372" spans="2:9">
      <c r="B372" t="s">
        <v>531</v>
      </c>
      <c r="C372" t="s">
        <v>70</v>
      </c>
      <c r="D372" t="str">
        <f>CONCATENATE(B372,"@",COUNTIF($B$3:$B372,B372))</f>
        <v>LS3@3</v>
      </c>
      <c r="E372" t="str">
        <f t="shared" si="32"/>
        <v>AB9</v>
      </c>
      <c r="F372" s="73" t="str">
        <f>IF(G372="","",SUM($G$3:$G372))</f>
        <v/>
      </c>
      <c r="G372" s="73" t="str">
        <f t="shared" si="27"/>
        <v/>
      </c>
      <c r="H372" s="73" t="str">
        <f t="shared" si="31"/>
        <v/>
      </c>
      <c r="I372" s="73">
        <f>COUNTIF($B$3:$B372,B372)</f>
        <v>3</v>
      </c>
    </row>
    <row r="373" spans="2:9">
      <c r="B373" t="s">
        <v>55</v>
      </c>
      <c r="C373" t="s">
        <v>70</v>
      </c>
      <c r="D373" t="str">
        <f>CONCATENATE(B373,"@",COUNTIF($B$3:$B373,B373))</f>
        <v>E AV@33</v>
      </c>
      <c r="E373" t="str">
        <f t="shared" si="32"/>
        <v>AB9</v>
      </c>
      <c r="F373" s="73" t="str">
        <f>IF(G373="","",SUM($G$3:$G373))</f>
        <v/>
      </c>
      <c r="G373" s="73" t="str">
        <f t="shared" si="27"/>
        <v/>
      </c>
      <c r="H373" s="73" t="str">
        <f t="shared" si="31"/>
        <v/>
      </c>
      <c r="I373" s="73">
        <f>COUNTIF($B$3:$B373,B373)</f>
        <v>33</v>
      </c>
    </row>
    <row r="374" spans="2:9">
      <c r="B374" t="s">
        <v>53</v>
      </c>
      <c r="C374" t="s">
        <v>70</v>
      </c>
      <c r="D374" t="str">
        <f>CONCATENATE(B374,"@",COUNTIF($B$3:$B374,B374))</f>
        <v>E DT@33</v>
      </c>
      <c r="E374" t="str">
        <f t="shared" si="32"/>
        <v>AB9</v>
      </c>
      <c r="F374" s="73" t="str">
        <f>IF(G374="","",SUM($G$3:$G374))</f>
        <v/>
      </c>
      <c r="G374" s="73" t="str">
        <f t="shared" si="27"/>
        <v/>
      </c>
      <c r="H374" s="73" t="str">
        <f t="shared" si="31"/>
        <v/>
      </c>
      <c r="I374" s="73">
        <f>COUNTIF($B$3:$B374,B374)</f>
        <v>33</v>
      </c>
    </row>
    <row r="375" spans="2:9">
      <c r="B375" t="s">
        <v>55</v>
      </c>
      <c r="C375" t="s">
        <v>72</v>
      </c>
      <c r="D375" t="str">
        <f>CONCATENATE(B375,"@",COUNTIF($B$3:$B375,B375))</f>
        <v>E AV@34</v>
      </c>
      <c r="E375" t="str">
        <f t="shared" si="32"/>
        <v>EM1</v>
      </c>
      <c r="F375" s="73" t="str">
        <f>IF(G375="","",SUM($G$3:$G375))</f>
        <v/>
      </c>
      <c r="G375" s="73" t="str">
        <f t="shared" ref="G375:G382" si="33">IF(H375="","",1)</f>
        <v/>
      </c>
      <c r="H375" s="73" t="str">
        <f t="shared" ref="H375:H382" si="34">IF(I375=1,B375,"")</f>
        <v/>
      </c>
      <c r="I375" s="73">
        <f>COUNTIF($B$3:$B375,B375)</f>
        <v>34</v>
      </c>
    </row>
    <row r="376" spans="2:9">
      <c r="B376" t="s">
        <v>53</v>
      </c>
      <c r="C376" t="s">
        <v>72</v>
      </c>
      <c r="D376" t="str">
        <f>CONCATENATE(B376,"@",COUNTIF($B$3:$B376,B376))</f>
        <v>E DT@34</v>
      </c>
      <c r="E376" t="str">
        <f t="shared" si="32"/>
        <v>EM1</v>
      </c>
      <c r="F376" s="73" t="str">
        <f>IF(G376="","",SUM($G$3:$G376))</f>
        <v/>
      </c>
      <c r="G376" s="73" t="str">
        <f t="shared" si="33"/>
        <v/>
      </c>
      <c r="H376" s="73" t="str">
        <f t="shared" si="34"/>
        <v/>
      </c>
      <c r="I376" s="73">
        <f>COUNTIF($B$3:$B376,B376)</f>
        <v>34</v>
      </c>
    </row>
    <row r="377" spans="2:9">
      <c r="B377" t="s">
        <v>72</v>
      </c>
      <c r="C377" t="s">
        <v>55</v>
      </c>
      <c r="D377" t="str">
        <f>CONCATENATE(B377,"@",COUNTIF($B$3:$B377,B377))</f>
        <v>EM1@1</v>
      </c>
      <c r="E377" t="str">
        <f t="shared" si="32"/>
        <v>E AV</v>
      </c>
      <c r="F377" s="73">
        <f>IF(G377="","",SUM($G$3:$G377))</f>
        <v>47</v>
      </c>
      <c r="G377" s="73">
        <f t="shared" si="33"/>
        <v>1</v>
      </c>
      <c r="H377" s="73" t="str">
        <f t="shared" si="34"/>
        <v>EM1</v>
      </c>
      <c r="I377" s="73">
        <f>COUNTIF($B$3:$B377,B377)</f>
        <v>1</v>
      </c>
    </row>
    <row r="378" spans="2:9">
      <c r="B378" t="s">
        <v>72</v>
      </c>
      <c r="C378" t="s">
        <v>53</v>
      </c>
      <c r="D378" t="str">
        <f>CONCATENATE(B378,"@",COUNTIF($B$3:$B378,B378))</f>
        <v>EM1@2</v>
      </c>
      <c r="E378" t="str">
        <f t="shared" si="32"/>
        <v>E DT</v>
      </c>
      <c r="F378" s="73" t="str">
        <f>IF(G378="","",SUM($G$3:$G378))</f>
        <v/>
      </c>
      <c r="G378" s="73" t="str">
        <f t="shared" si="33"/>
        <v/>
      </c>
      <c r="H378" s="73" t="str">
        <f t="shared" si="34"/>
        <v/>
      </c>
      <c r="I378" s="73">
        <f>COUNTIF($B$3:$B378,B378)</f>
        <v>2</v>
      </c>
    </row>
    <row r="379" spans="2:9">
      <c r="B379" t="s">
        <v>69</v>
      </c>
      <c r="C379" t="s">
        <v>67</v>
      </c>
      <c r="D379" t="str">
        <f>CONCATENATE(B379,"@",COUNTIF($B$3:$B379,B379))</f>
        <v>SHD10@32</v>
      </c>
      <c r="E379" t="str">
        <f t="shared" si="32"/>
        <v>PS1</v>
      </c>
      <c r="F379" s="73" t="str">
        <f>IF(G379="","",SUM($G$3:$G379))</f>
        <v/>
      </c>
      <c r="G379" s="73" t="str">
        <f t="shared" si="33"/>
        <v/>
      </c>
      <c r="H379" s="73" t="str">
        <f t="shared" si="34"/>
        <v/>
      </c>
      <c r="I379" s="73">
        <f>COUNTIF($B$3:$B379,B379)</f>
        <v>32</v>
      </c>
    </row>
    <row r="380" spans="2:9">
      <c r="B380" t="s">
        <v>69</v>
      </c>
      <c r="C380" t="s">
        <v>1607</v>
      </c>
      <c r="D380" t="str">
        <f>CONCATENATE(B380,"@",COUNTIF($B$3:$B380,B380))</f>
        <v>SHD10@33</v>
      </c>
      <c r="E380" t="str">
        <f t="shared" si="32"/>
        <v>PS2</v>
      </c>
      <c r="F380" s="73" t="str">
        <f>IF(G380="","",SUM($G$3:$G380))</f>
        <v/>
      </c>
      <c r="G380" s="73" t="str">
        <f t="shared" si="33"/>
        <v/>
      </c>
      <c r="H380" s="73" t="str">
        <f t="shared" si="34"/>
        <v/>
      </c>
      <c r="I380" s="73">
        <f>COUNTIF($B$3:$B380,B380)</f>
        <v>33</v>
      </c>
    </row>
    <row r="381" spans="2:9">
      <c r="B381" t="s">
        <v>67</v>
      </c>
      <c r="C381" t="s">
        <v>69</v>
      </c>
      <c r="D381" t="str">
        <f>CONCATENATE(B381,"@",COUNTIF($B$3:$B381,B381))</f>
        <v>PS1@1</v>
      </c>
      <c r="E381" t="str">
        <f t="shared" si="32"/>
        <v>SHD10</v>
      </c>
      <c r="F381" s="73">
        <f>IF(G381="","",SUM($G$3:$G381))</f>
        <v>48</v>
      </c>
      <c r="G381" s="73">
        <f t="shared" si="33"/>
        <v>1</v>
      </c>
      <c r="H381" s="73" t="str">
        <f t="shared" si="34"/>
        <v>PS1</v>
      </c>
      <c r="I381" s="73">
        <f>COUNTIF($B$3:$B381,B381)</f>
        <v>1</v>
      </c>
    </row>
    <row r="382" spans="2:9">
      <c r="B382" t="s">
        <v>1607</v>
      </c>
      <c r="C382" t="s">
        <v>69</v>
      </c>
      <c r="D382" t="str">
        <f>CONCATENATE(B382,"@",COUNTIF($B$3:$B382,B382))</f>
        <v>PS2@1</v>
      </c>
      <c r="E382" t="str">
        <f t="shared" si="32"/>
        <v>SHD10</v>
      </c>
      <c r="F382" s="73">
        <f>IF(G382="","",SUM($G$3:$G382))</f>
        <v>49</v>
      </c>
      <c r="G382" s="73">
        <f t="shared" si="33"/>
        <v>1</v>
      </c>
      <c r="H382" s="73" t="str">
        <f t="shared" si="34"/>
        <v>PS2</v>
      </c>
      <c r="I382" s="73">
        <f>COUNTIF($B$3:$B382,B382)</f>
        <v>1</v>
      </c>
    </row>
    <row r="383" spans="2:9">
      <c r="B383" t="s">
        <v>863</v>
      </c>
      <c r="C383" t="s">
        <v>76</v>
      </c>
      <c r="D383" t="str">
        <f>CONCATENATE(B383,"@",COUNTIF($B$3:$B383,B383))</f>
        <v>M1@7</v>
      </c>
      <c r="E383" t="str">
        <f t="shared" ref="E383:E392" si="35">C383</f>
        <v>SHD6</v>
      </c>
    </row>
    <row r="384" spans="2:9">
      <c r="B384" t="s">
        <v>994</v>
      </c>
      <c r="C384" t="s">
        <v>76</v>
      </c>
      <c r="D384" t="str">
        <f>CONCATENATE(B384,"@",COUNTIF($B$3:$B384,B384))</f>
        <v>M2@4</v>
      </c>
      <c r="E384" t="str">
        <f t="shared" si="35"/>
        <v>SHD6</v>
      </c>
    </row>
    <row r="385" spans="2:5">
      <c r="B385" t="s">
        <v>1142</v>
      </c>
      <c r="C385" t="s">
        <v>76</v>
      </c>
      <c r="D385" t="str">
        <f>CONCATENATE(B385,"@",COUNTIF($B$3:$B385,B385))</f>
        <v>M3@5</v>
      </c>
      <c r="E385" t="str">
        <f t="shared" si="35"/>
        <v>SHD6</v>
      </c>
    </row>
    <row r="386" spans="2:5">
      <c r="B386" t="s">
        <v>331</v>
      </c>
      <c r="C386" t="s">
        <v>76</v>
      </c>
      <c r="D386" t="str">
        <f>CONCATENATE(B386,"@",COUNTIF($B$3:$B386,B386))</f>
        <v>M4@4</v>
      </c>
      <c r="E386" t="str">
        <f t="shared" si="35"/>
        <v>SHD6</v>
      </c>
    </row>
    <row r="387" spans="2:5">
      <c r="B387" t="s">
        <v>1381</v>
      </c>
      <c r="C387" t="s">
        <v>76</v>
      </c>
      <c r="D387" t="str">
        <f>CONCATENATE(B387,"@",COUNTIF($B$3:$B387,B387))</f>
        <v>M5@4</v>
      </c>
      <c r="E387" t="str">
        <f t="shared" si="35"/>
        <v>SHD6</v>
      </c>
    </row>
    <row r="388" spans="2:5">
      <c r="B388" t="s">
        <v>149</v>
      </c>
      <c r="C388" t="s">
        <v>74</v>
      </c>
      <c r="D388" t="str">
        <f>CONCATENATE(B388,"@",COUNTIF($B$3:$B388,B388))</f>
        <v>LS1@5</v>
      </c>
      <c r="E388" t="str">
        <f t="shared" si="35"/>
        <v>SHD5</v>
      </c>
    </row>
    <row r="389" spans="2:5">
      <c r="B389" t="s">
        <v>383</v>
      </c>
      <c r="C389" t="s">
        <v>74</v>
      </c>
      <c r="D389" t="str">
        <f>CONCATENATE(B389,"@",COUNTIF($B$3:$B389,B389))</f>
        <v>LS2@5</v>
      </c>
      <c r="E389" t="str">
        <f t="shared" si="35"/>
        <v>SHD5</v>
      </c>
    </row>
    <row r="390" spans="2:5">
      <c r="B390" t="s">
        <v>531</v>
      </c>
      <c r="C390" t="s">
        <v>74</v>
      </c>
      <c r="D390" t="str">
        <f>CONCATENATE(B390,"@",COUNTIF($B$3:$B390,B390))</f>
        <v>LS3@4</v>
      </c>
      <c r="E390" t="str">
        <f t="shared" si="35"/>
        <v>SHD5</v>
      </c>
    </row>
    <row r="391" spans="2:5">
      <c r="B391" t="s">
        <v>672</v>
      </c>
      <c r="C391" t="s">
        <v>74</v>
      </c>
      <c r="D391" t="str">
        <f>CONCATENATE(B391,"@",COUNTIF($B$3:$B391,B391))</f>
        <v>LB@3</v>
      </c>
      <c r="E391" t="str">
        <f t="shared" si="35"/>
        <v>SHD5</v>
      </c>
    </row>
    <row r="392" spans="2:5">
      <c r="B392" t="s">
        <v>70</v>
      </c>
      <c r="C392" t="s">
        <v>74</v>
      </c>
      <c r="D392" t="str">
        <f>CONCATENATE(B392,"@",COUNTIF($B$3:$B392,B392))</f>
        <v>AB9@6</v>
      </c>
      <c r="E392" t="str">
        <f t="shared" si="35"/>
        <v>SHD5</v>
      </c>
    </row>
    <row r="393" spans="2:5">
      <c r="B393" t="s">
        <v>74</v>
      </c>
      <c r="C393" t="s">
        <v>53</v>
      </c>
      <c r="D393" t="str">
        <f>CONCATENATE(B393,"@",COUNTIF($B$3:$B393,B393))</f>
        <v>SHD5@1</v>
      </c>
      <c r="E393" t="str">
        <f>C393</f>
        <v>E DT</v>
      </c>
    </row>
    <row r="394" spans="2:5">
      <c r="B394" t="s">
        <v>76</v>
      </c>
      <c r="C394" t="s">
        <v>53</v>
      </c>
      <c r="D394" t="str">
        <f>CONCATENATE(B394,"@",COUNTIF($B$3:$B394,B394))</f>
        <v>SHD6@1</v>
      </c>
      <c r="E394" t="str">
        <f>C394</f>
        <v>E DT</v>
      </c>
    </row>
    <row r="395" spans="2:5">
      <c r="B395" t="s">
        <v>74</v>
      </c>
      <c r="C395" t="s">
        <v>55</v>
      </c>
      <c r="D395" t="str">
        <f>CONCATENATE(B395,"@",COUNTIF($B$3:$B395,B395))</f>
        <v>SHD5@2</v>
      </c>
      <c r="E395" t="str">
        <f>C395</f>
        <v>E AV</v>
      </c>
    </row>
    <row r="396" spans="2:5">
      <c r="B396" t="s">
        <v>76</v>
      </c>
      <c r="C396" t="s">
        <v>55</v>
      </c>
      <c r="D396" t="str">
        <f>CONCATENATE(B396,"@",COUNTIF($B$3:$B396,B396))</f>
        <v>SHD6@2</v>
      </c>
      <c r="E396" t="str">
        <f>C396</f>
        <v>E AV</v>
      </c>
    </row>
    <row r="397" spans="2:5">
      <c r="B397" t="s">
        <v>53</v>
      </c>
      <c r="C397" t="s">
        <v>74</v>
      </c>
      <c r="D397" t="str">
        <f>CONCATENATE(B397,"@",COUNTIF($B$3:$B397,B397))</f>
        <v>E DT@35</v>
      </c>
      <c r="E397" t="str">
        <f t="shared" ref="E397:E415" si="36">C397</f>
        <v>SHD5</v>
      </c>
    </row>
    <row r="398" spans="2:5">
      <c r="B398" t="s">
        <v>53</v>
      </c>
      <c r="C398" t="s">
        <v>76</v>
      </c>
      <c r="D398" t="str">
        <f>CONCATENATE(B398,"@",COUNTIF($B$3:$B398,B398))</f>
        <v>E DT@36</v>
      </c>
      <c r="E398" t="str">
        <f t="shared" si="36"/>
        <v>SHD6</v>
      </c>
    </row>
    <row r="399" spans="2:5">
      <c r="B399" t="s">
        <v>55</v>
      </c>
      <c r="C399" t="s">
        <v>74</v>
      </c>
      <c r="D399" t="str">
        <f>CONCATENATE(B399,"@",COUNTIF($B$3:$B399,B399))</f>
        <v>E AV@35</v>
      </c>
      <c r="E399" t="str">
        <f t="shared" si="36"/>
        <v>SHD5</v>
      </c>
    </row>
    <row r="400" spans="2:5">
      <c r="B400" t="s">
        <v>55</v>
      </c>
      <c r="C400" t="s">
        <v>76</v>
      </c>
      <c r="D400" t="str">
        <f>CONCATENATE(B400,"@",COUNTIF($B$3:$B400,B400))</f>
        <v>E AV@36</v>
      </c>
      <c r="E400" t="str">
        <f t="shared" si="36"/>
        <v>SHD6</v>
      </c>
    </row>
    <row r="401" spans="2:5">
      <c r="B401" t="s">
        <v>76</v>
      </c>
      <c r="C401" t="s">
        <v>863</v>
      </c>
      <c r="D401" t="str">
        <f>CONCATENATE(B401,"@",COUNTIF($B$3:$B401,B401))</f>
        <v>SHD6@3</v>
      </c>
      <c r="E401" t="str">
        <f t="shared" si="36"/>
        <v>M1</v>
      </c>
    </row>
    <row r="402" spans="2:5">
      <c r="B402" t="s">
        <v>76</v>
      </c>
      <c r="C402" t="s">
        <v>994</v>
      </c>
      <c r="D402" t="str">
        <f>CONCATENATE(B402,"@",COUNTIF($B$3:$B402,B402))</f>
        <v>SHD6@4</v>
      </c>
      <c r="E402" t="str">
        <f t="shared" si="36"/>
        <v>M2</v>
      </c>
    </row>
    <row r="403" spans="2:5">
      <c r="B403" t="s">
        <v>76</v>
      </c>
      <c r="C403" t="s">
        <v>1142</v>
      </c>
      <c r="D403" t="str">
        <f>CONCATENATE(B403,"@",COUNTIF($B$3:$B403,B403))</f>
        <v>SHD6@5</v>
      </c>
      <c r="E403" t="str">
        <f t="shared" si="36"/>
        <v>M3</v>
      </c>
    </row>
    <row r="404" spans="2:5">
      <c r="B404" t="s">
        <v>76</v>
      </c>
      <c r="C404" t="s">
        <v>331</v>
      </c>
      <c r="D404" t="str">
        <f>CONCATENATE(B404,"@",COUNTIF($B$3:$B404,B404))</f>
        <v>SHD6@6</v>
      </c>
      <c r="E404" t="str">
        <f t="shared" si="36"/>
        <v>M4</v>
      </c>
    </row>
    <row r="405" spans="2:5">
      <c r="B405" t="s">
        <v>76</v>
      </c>
      <c r="C405" t="s">
        <v>1381</v>
      </c>
      <c r="D405" t="str">
        <f>CONCATENATE(B405,"@",COUNTIF($B$3:$B405,B405))</f>
        <v>SHD6@7</v>
      </c>
      <c r="E405" t="str">
        <f t="shared" si="36"/>
        <v>M5</v>
      </c>
    </row>
    <row r="406" spans="2:5">
      <c r="B406" t="s">
        <v>74</v>
      </c>
      <c r="C406" t="s">
        <v>149</v>
      </c>
      <c r="D406" t="str">
        <f>CONCATENATE(B406,"@",COUNTIF($B$3:$B406,B406))</f>
        <v>SHD5@3</v>
      </c>
      <c r="E406" t="str">
        <f t="shared" si="36"/>
        <v>LS1</v>
      </c>
    </row>
    <row r="407" spans="2:5">
      <c r="B407" t="s">
        <v>74</v>
      </c>
      <c r="C407" t="s">
        <v>383</v>
      </c>
      <c r="D407" t="str">
        <f>CONCATENATE(B407,"@",COUNTIF($B$3:$B407,B407))</f>
        <v>SHD5@4</v>
      </c>
      <c r="E407" t="str">
        <f t="shared" si="36"/>
        <v>LS2</v>
      </c>
    </row>
    <row r="408" spans="2:5">
      <c r="B408" t="s">
        <v>74</v>
      </c>
      <c r="C408" t="s">
        <v>531</v>
      </c>
      <c r="D408" t="str">
        <f>CONCATENATE(B408,"@",COUNTIF($B$3:$B408,B408))</f>
        <v>SHD5@5</v>
      </c>
      <c r="E408" t="str">
        <f t="shared" si="36"/>
        <v>LS3</v>
      </c>
    </row>
    <row r="409" spans="2:5">
      <c r="B409" t="s">
        <v>74</v>
      </c>
      <c r="C409" t="s">
        <v>672</v>
      </c>
      <c r="D409" t="str">
        <f>CONCATENATE(B409,"@",COUNTIF($B$3:$B409,B409))</f>
        <v>SHD5@6</v>
      </c>
      <c r="E409" t="str">
        <f t="shared" si="36"/>
        <v>LB</v>
      </c>
    </row>
    <row r="410" spans="2:5">
      <c r="B410" t="s">
        <v>74</v>
      </c>
      <c r="C410" t="s">
        <v>70</v>
      </c>
      <c r="D410" t="str">
        <f>CONCATENATE(B410,"@",COUNTIF($B$3:$B410,B410))</f>
        <v>SHD5@7</v>
      </c>
      <c r="E410" t="str">
        <f t="shared" si="36"/>
        <v>AB9</v>
      </c>
    </row>
    <row r="411" spans="2:5">
      <c r="B411" t="s">
        <v>1608</v>
      </c>
      <c r="C411" t="s">
        <v>72</v>
      </c>
      <c r="D411" t="str">
        <f>CONCATENATE(B411,"@",COUNTIF($B$3:$B411,B411))</f>
        <v>SHD17@1</v>
      </c>
      <c r="E411" t="str">
        <f t="shared" si="36"/>
        <v>EM1</v>
      </c>
    </row>
    <row r="412" spans="2:5">
      <c r="B412" t="s">
        <v>72</v>
      </c>
      <c r="C412" t="s">
        <v>1608</v>
      </c>
      <c r="D412" t="str">
        <f>CONCATENATE(B412,"@",COUNTIF($B$3:$B412,B412))</f>
        <v>EM1@3</v>
      </c>
      <c r="E412" t="str">
        <f t="shared" si="36"/>
        <v>SHD17</v>
      </c>
    </row>
    <row r="413" spans="2:5">
      <c r="B413" t="s">
        <v>1609</v>
      </c>
      <c r="C413" t="s">
        <v>72</v>
      </c>
      <c r="D413" t="str">
        <f>CONCATENATE(B413,"@",COUNTIF($B$3:$B413,B413))</f>
        <v>SHD7@1</v>
      </c>
      <c r="E413" t="str">
        <f t="shared" si="36"/>
        <v>EM1</v>
      </c>
    </row>
    <row r="414" spans="2:5">
      <c r="B414" t="s">
        <v>72</v>
      </c>
      <c r="C414" t="s">
        <v>1609</v>
      </c>
      <c r="D414" t="str">
        <f>CONCATENATE(B414,"@",COUNTIF($B$3:$B414,B414))</f>
        <v>EM1@4</v>
      </c>
      <c r="E414" t="str">
        <f t="shared" si="36"/>
        <v>SHD7</v>
      </c>
    </row>
    <row r="415" spans="2:5">
      <c r="B415" t="s">
        <v>53</v>
      </c>
      <c r="C415" t="s">
        <v>81</v>
      </c>
      <c r="D415" t="str">
        <f>CONCATENATE(B415,"@",COUNTIF($B$3:$B415,B415))</f>
        <v>E DT@37</v>
      </c>
      <c r="E415" t="str">
        <f t="shared" si="36"/>
        <v>LF2</v>
      </c>
    </row>
    <row r="416" spans="2:5">
      <c r="B416" t="s">
        <v>55</v>
      </c>
      <c r="C416" t="s">
        <v>81</v>
      </c>
      <c r="D416" t="str">
        <f>CONCATENATE(B416,"@",COUNTIF($B$3:$B416,B416))</f>
        <v>E AV@37</v>
      </c>
      <c r="E416" t="str">
        <f t="shared" ref="E416:E418" si="37">C416</f>
        <v>LF2</v>
      </c>
    </row>
    <row r="417" spans="2:5">
      <c r="B417" t="s">
        <v>81</v>
      </c>
      <c r="C417" t="s">
        <v>53</v>
      </c>
      <c r="D417" t="str">
        <f>CONCATENATE(B417,"@",COUNTIF($B$3:$B417,B417))</f>
        <v>LF2@1</v>
      </c>
      <c r="E417" t="str">
        <f t="shared" si="37"/>
        <v>E DT</v>
      </c>
    </row>
    <row r="418" spans="2:5">
      <c r="B418" t="s">
        <v>81</v>
      </c>
      <c r="C418" t="s">
        <v>55</v>
      </c>
      <c r="D418" t="str">
        <f>CONCATENATE(B418,"@",COUNTIF($B$3:$B418,B418))</f>
        <v>LF2@2</v>
      </c>
      <c r="E418" t="str">
        <f t="shared" si="37"/>
        <v>E AV</v>
      </c>
    </row>
    <row r="419" spans="2:5">
      <c r="B419" t="s">
        <v>87</v>
      </c>
      <c r="C419" t="s">
        <v>53</v>
      </c>
      <c r="D419" t="str">
        <f>CONCATENATE(B419,"@",COUNTIF($B$3:$B419,B419))</f>
        <v>SHD4@1</v>
      </c>
      <c r="E419" t="str">
        <f t="shared" ref="E419:E422" si="38">C419</f>
        <v>E DT</v>
      </c>
    </row>
    <row r="420" spans="2:5">
      <c r="B420" t="s">
        <v>89</v>
      </c>
      <c r="C420" t="s">
        <v>53</v>
      </c>
      <c r="D420" t="str">
        <f>CONCATENATE(B420,"@",COUNTIF($B$3:$B420,B420))</f>
        <v>SHD2@1</v>
      </c>
      <c r="E420" t="str">
        <f t="shared" si="38"/>
        <v>E DT</v>
      </c>
    </row>
    <row r="421" spans="2:5">
      <c r="B421" t="s">
        <v>87</v>
      </c>
      <c r="C421" t="s">
        <v>55</v>
      </c>
      <c r="D421" t="str">
        <f>CONCATENATE(B421,"@",COUNTIF($B$3:$B421,B421))</f>
        <v>SHD4@2</v>
      </c>
      <c r="E421" t="str">
        <f t="shared" si="38"/>
        <v>E AV</v>
      </c>
    </row>
    <row r="422" spans="2:5">
      <c r="B422" t="s">
        <v>89</v>
      </c>
      <c r="C422" t="s">
        <v>55</v>
      </c>
      <c r="D422" t="str">
        <f>CONCATENATE(B422,"@",COUNTIF($B$3:$B422,B422))</f>
        <v>SHD2@2</v>
      </c>
      <c r="E422" t="str">
        <f t="shared" si="38"/>
        <v>E AV</v>
      </c>
    </row>
  </sheetData>
  <autoFilter ref="B2:C226" xr:uid="{00000000-0009-0000-0000-000001000000}">
    <sortState xmlns:xlrd2="http://schemas.microsoft.com/office/spreadsheetml/2017/richdata2" ref="B3:C226">
      <sortCondition ref="B2:B225"/>
    </sortState>
  </autoFilter>
  <phoneticPr fontId="10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71C9C-595F-4B01-87BA-1212E76E86F3}">
  <sheetPr codeName="Sheet11"/>
  <dimension ref="B2:D100"/>
  <sheetViews>
    <sheetView workbookViewId="0">
      <selection activeCell="D7" sqref="D7"/>
    </sheetView>
  </sheetViews>
  <sheetFormatPr defaultRowHeight="15"/>
  <cols>
    <col min="4" max="4" width="10.33203125" bestFit="1" customWidth="1"/>
  </cols>
  <sheetData>
    <row r="2" spans="2:4">
      <c r="B2" s="73" t="s">
        <v>1610</v>
      </c>
      <c r="C2" s="73" t="s">
        <v>1611</v>
      </c>
      <c r="D2" s="73" t="s">
        <v>1612</v>
      </c>
    </row>
    <row r="3" spans="2:4">
      <c r="B3" s="73" t="s">
        <v>74</v>
      </c>
      <c r="C3" s="73" t="s">
        <v>53</v>
      </c>
      <c r="D3" s="73" t="str">
        <f>IF(B3="","%%%",CONCATENATE(B3,"-",C3))</f>
        <v>SHD5-E DT</v>
      </c>
    </row>
    <row r="4" spans="2:4">
      <c r="B4" s="73" t="s">
        <v>76</v>
      </c>
      <c r="C4" s="73" t="s">
        <v>53</v>
      </c>
      <c r="D4" s="73" t="str">
        <f t="shared" ref="D4:D67" si="0">IF(B4="","%%%",CONCATENATE(B4,"-",C4))</f>
        <v>SHD6-E DT</v>
      </c>
    </row>
    <row r="5" spans="2:4">
      <c r="B5" s="73" t="s">
        <v>74</v>
      </c>
      <c r="C5" s="73" t="s">
        <v>55</v>
      </c>
      <c r="D5" s="73" t="str">
        <f t="shared" si="0"/>
        <v>SHD5-E AV</v>
      </c>
    </row>
    <row r="6" spans="2:4">
      <c r="B6" s="73" t="s">
        <v>76</v>
      </c>
      <c r="C6" s="73" t="s">
        <v>55</v>
      </c>
      <c r="D6" s="73" t="str">
        <f t="shared" si="0"/>
        <v>SHD6-E AV</v>
      </c>
    </row>
    <row r="7" spans="2:4">
      <c r="B7" s="73" t="s">
        <v>53</v>
      </c>
      <c r="C7" s="73" t="s">
        <v>74</v>
      </c>
      <c r="D7" s="73" t="str">
        <f t="shared" si="0"/>
        <v>E DT-SHD5</v>
      </c>
    </row>
    <row r="8" spans="2:4">
      <c r="B8" s="73" t="s">
        <v>53</v>
      </c>
      <c r="C8" s="73" t="s">
        <v>76</v>
      </c>
      <c r="D8" s="73" t="str">
        <f t="shared" si="0"/>
        <v>E DT-SHD6</v>
      </c>
    </row>
    <row r="9" spans="2:4">
      <c r="B9" s="73" t="s">
        <v>55</v>
      </c>
      <c r="C9" s="73" t="s">
        <v>74</v>
      </c>
      <c r="D9" s="73" t="str">
        <f t="shared" si="0"/>
        <v>E AV-SHD5</v>
      </c>
    </row>
    <row r="10" spans="2:4">
      <c r="B10" s="73" t="s">
        <v>55</v>
      </c>
      <c r="C10" s="73" t="s">
        <v>76</v>
      </c>
      <c r="D10" s="73" t="str">
        <f t="shared" si="0"/>
        <v>E AV-SHD6</v>
      </c>
    </row>
    <row r="11" spans="2:4">
      <c r="B11" s="73" t="s">
        <v>65</v>
      </c>
      <c r="C11" s="73" t="s">
        <v>1613</v>
      </c>
      <c r="D11" s="73" t="str">
        <f t="shared" si="0"/>
        <v>SHD16-LF1</v>
      </c>
    </row>
    <row r="12" spans="2:4">
      <c r="B12" s="73" t="s">
        <v>65</v>
      </c>
      <c r="C12" s="73" t="s">
        <v>81</v>
      </c>
      <c r="D12" s="73" t="str">
        <f t="shared" si="0"/>
        <v>SHD16-LF2</v>
      </c>
    </row>
    <row r="13" spans="2:4">
      <c r="B13" s="73" t="s">
        <v>65</v>
      </c>
      <c r="C13" s="73" t="s">
        <v>82</v>
      </c>
      <c r="D13" s="73" t="str">
        <f t="shared" si="0"/>
        <v>SHD16-LF3</v>
      </c>
    </row>
    <row r="14" spans="2:4">
      <c r="B14" s="73" t="s">
        <v>65</v>
      </c>
      <c r="C14" s="73" t="s">
        <v>83</v>
      </c>
      <c r="D14" s="73" t="str">
        <f t="shared" si="0"/>
        <v>SHD16-LF4</v>
      </c>
    </row>
    <row r="15" spans="2:4">
      <c r="B15" s="73" t="s">
        <v>69</v>
      </c>
      <c r="C15" s="73" t="s">
        <v>1613</v>
      </c>
      <c r="D15" s="73" t="str">
        <f t="shared" si="0"/>
        <v>SHD10-LF1</v>
      </c>
    </row>
    <row r="16" spans="2:4">
      <c r="B16" s="73" t="s">
        <v>69</v>
      </c>
      <c r="C16" s="73" t="s">
        <v>81</v>
      </c>
      <c r="D16" s="73" t="str">
        <f t="shared" si="0"/>
        <v>SHD10-LF2</v>
      </c>
    </row>
    <row r="17" spans="2:4">
      <c r="B17" s="73" t="s">
        <v>69</v>
      </c>
      <c r="C17" s="73" t="s">
        <v>82</v>
      </c>
      <c r="D17" s="73" t="str">
        <f t="shared" si="0"/>
        <v>SHD10-LF3</v>
      </c>
    </row>
    <row r="18" spans="2:4">
      <c r="B18" s="73" t="s">
        <v>69</v>
      </c>
      <c r="C18" s="73" t="s">
        <v>83</v>
      </c>
      <c r="D18" s="73" t="str">
        <f t="shared" si="0"/>
        <v>SHD10-LF4</v>
      </c>
    </row>
    <row r="19" spans="2:4">
      <c r="B19" s="73" t="s">
        <v>53</v>
      </c>
      <c r="C19" s="73" t="s">
        <v>1613</v>
      </c>
      <c r="D19" s="73" t="str">
        <f t="shared" si="0"/>
        <v>E DT-LF1</v>
      </c>
    </row>
    <row r="20" spans="2:4">
      <c r="B20" s="73" t="s">
        <v>53</v>
      </c>
      <c r="C20" s="73" t="s">
        <v>81</v>
      </c>
      <c r="D20" s="73" t="str">
        <f t="shared" si="0"/>
        <v>E DT-LF2</v>
      </c>
    </row>
    <row r="21" spans="2:4">
      <c r="B21" s="73" t="s">
        <v>53</v>
      </c>
      <c r="C21" s="73" t="s">
        <v>82</v>
      </c>
      <c r="D21" s="73" t="str">
        <f t="shared" si="0"/>
        <v>E DT-LF3</v>
      </c>
    </row>
    <row r="22" spans="2:4">
      <c r="B22" s="73" t="s">
        <v>53</v>
      </c>
      <c r="C22" s="73" t="s">
        <v>83</v>
      </c>
      <c r="D22" s="73" t="str">
        <f t="shared" si="0"/>
        <v>E DT-LF4</v>
      </c>
    </row>
    <row r="23" spans="2:4">
      <c r="B23" s="73" t="s">
        <v>55</v>
      </c>
      <c r="C23" s="73" t="s">
        <v>1613</v>
      </c>
      <c r="D23" s="73" t="str">
        <f t="shared" si="0"/>
        <v>E AV-LF1</v>
      </c>
    </row>
    <row r="24" spans="2:4">
      <c r="B24" s="73" t="s">
        <v>55</v>
      </c>
      <c r="C24" s="73" t="s">
        <v>81</v>
      </c>
      <c r="D24" s="73" t="str">
        <f t="shared" si="0"/>
        <v>E AV-LF2</v>
      </c>
    </row>
    <row r="25" spans="2:4">
      <c r="B25" s="73" t="s">
        <v>55</v>
      </c>
      <c r="C25" s="73" t="s">
        <v>82</v>
      </c>
      <c r="D25" s="73" t="str">
        <f t="shared" si="0"/>
        <v>E AV-LF3</v>
      </c>
    </row>
    <row r="26" spans="2:4">
      <c r="B26" s="73" t="s">
        <v>55</v>
      </c>
      <c r="C26" s="73" t="s">
        <v>83</v>
      </c>
      <c r="D26" s="73" t="str">
        <f t="shared" si="0"/>
        <v>E AV-LF4</v>
      </c>
    </row>
    <row r="27" spans="2:4">
      <c r="B27" s="73" t="s">
        <v>1613</v>
      </c>
      <c r="C27" s="73" t="s">
        <v>65</v>
      </c>
      <c r="D27" s="73" t="str">
        <f t="shared" si="0"/>
        <v>LF1-SHD16</v>
      </c>
    </row>
    <row r="28" spans="2:4">
      <c r="B28" s="73" t="s">
        <v>81</v>
      </c>
      <c r="C28" s="73" t="s">
        <v>65</v>
      </c>
      <c r="D28" s="73" t="str">
        <f t="shared" si="0"/>
        <v>LF2-SHD16</v>
      </c>
    </row>
    <row r="29" spans="2:4">
      <c r="B29" s="73" t="s">
        <v>82</v>
      </c>
      <c r="C29" s="73" t="s">
        <v>65</v>
      </c>
      <c r="D29" s="73" t="str">
        <f t="shared" si="0"/>
        <v>LF3-SHD16</v>
      </c>
    </row>
    <row r="30" spans="2:4">
      <c r="B30" s="73" t="s">
        <v>83</v>
      </c>
      <c r="C30" s="73" t="s">
        <v>65</v>
      </c>
      <c r="D30" s="73" t="str">
        <f t="shared" si="0"/>
        <v>LF4-SHD16</v>
      </c>
    </row>
    <row r="31" spans="2:4">
      <c r="B31" s="73" t="s">
        <v>1613</v>
      </c>
      <c r="C31" s="73" t="s">
        <v>69</v>
      </c>
      <c r="D31" s="73" t="str">
        <f t="shared" si="0"/>
        <v>LF1-SHD10</v>
      </c>
    </row>
    <row r="32" spans="2:4">
      <c r="B32" s="73" t="s">
        <v>81</v>
      </c>
      <c r="C32" s="73" t="s">
        <v>69</v>
      </c>
      <c r="D32" s="73" t="str">
        <f t="shared" si="0"/>
        <v>LF2-SHD10</v>
      </c>
    </row>
    <row r="33" spans="2:4">
      <c r="B33" s="73" t="s">
        <v>82</v>
      </c>
      <c r="C33" s="73" t="s">
        <v>69</v>
      </c>
      <c r="D33" s="73" t="str">
        <f t="shared" si="0"/>
        <v>LF3-SHD10</v>
      </c>
    </row>
    <row r="34" spans="2:4">
      <c r="B34" s="73" t="s">
        <v>83</v>
      </c>
      <c r="C34" s="73" t="s">
        <v>69</v>
      </c>
      <c r="D34" s="73" t="str">
        <f t="shared" si="0"/>
        <v>LF4-SHD10</v>
      </c>
    </row>
    <row r="35" spans="2:4">
      <c r="B35" s="73" t="s">
        <v>1613</v>
      </c>
      <c r="C35" s="73" t="s">
        <v>53</v>
      </c>
      <c r="D35" s="73" t="str">
        <f t="shared" si="0"/>
        <v>LF1-E DT</v>
      </c>
    </row>
    <row r="36" spans="2:4">
      <c r="B36" s="73" t="s">
        <v>81</v>
      </c>
      <c r="C36" s="73" t="s">
        <v>53</v>
      </c>
      <c r="D36" s="73" t="str">
        <f t="shared" si="0"/>
        <v>LF2-E DT</v>
      </c>
    </row>
    <row r="37" spans="2:4">
      <c r="B37" s="73" t="s">
        <v>82</v>
      </c>
      <c r="C37" s="73" t="s">
        <v>53</v>
      </c>
      <c r="D37" s="73" t="str">
        <f t="shared" si="0"/>
        <v>LF3-E DT</v>
      </c>
    </row>
    <row r="38" spans="2:4">
      <c r="B38" s="73" t="s">
        <v>83</v>
      </c>
      <c r="C38" s="73" t="s">
        <v>53</v>
      </c>
      <c r="D38" s="73" t="str">
        <f t="shared" si="0"/>
        <v>LF4-E DT</v>
      </c>
    </row>
    <row r="39" spans="2:4">
      <c r="B39" s="73" t="s">
        <v>1613</v>
      </c>
      <c r="C39" s="73" t="s">
        <v>55</v>
      </c>
      <c r="D39" s="73" t="str">
        <f t="shared" si="0"/>
        <v>LF1-E AV</v>
      </c>
    </row>
    <row r="40" spans="2:4">
      <c r="B40" s="73" t="s">
        <v>81</v>
      </c>
      <c r="C40" s="73" t="s">
        <v>55</v>
      </c>
      <c r="D40" s="73" t="str">
        <f t="shared" si="0"/>
        <v>LF2-E AV</v>
      </c>
    </row>
    <row r="41" spans="2:4">
      <c r="B41" s="73" t="s">
        <v>82</v>
      </c>
      <c r="C41" s="73" t="s">
        <v>55</v>
      </c>
      <c r="D41" s="73" t="str">
        <f t="shared" si="0"/>
        <v>LF3-E AV</v>
      </c>
    </row>
    <row r="42" spans="2:4">
      <c r="B42" s="73" t="s">
        <v>83</v>
      </c>
      <c r="C42" s="73" t="s">
        <v>55</v>
      </c>
      <c r="D42" s="73" t="str">
        <f t="shared" si="0"/>
        <v>LF4-E AV</v>
      </c>
    </row>
    <row r="43" spans="2:4">
      <c r="B43" s="73" t="s">
        <v>67</v>
      </c>
      <c r="C43" s="73" t="s">
        <v>65</v>
      </c>
      <c r="D43" s="73" t="str">
        <f t="shared" si="0"/>
        <v>PS1-SHD16</v>
      </c>
    </row>
    <row r="44" spans="2:4">
      <c r="B44" s="73" t="s">
        <v>1607</v>
      </c>
      <c r="C44" s="73" t="s">
        <v>65</v>
      </c>
      <c r="D44" s="73" t="str">
        <f t="shared" si="0"/>
        <v>PS2-SHD16</v>
      </c>
    </row>
    <row r="45" spans="2:4">
      <c r="B45" s="73" t="s">
        <v>67</v>
      </c>
      <c r="C45" s="73" t="s">
        <v>69</v>
      </c>
      <c r="D45" s="73" t="str">
        <f t="shared" si="0"/>
        <v>PS1-SHD10</v>
      </c>
    </row>
    <row r="46" spans="2:4">
      <c r="B46" s="73" t="s">
        <v>1607</v>
      </c>
      <c r="C46" s="73" t="s">
        <v>69</v>
      </c>
      <c r="D46" s="73" t="str">
        <f t="shared" si="0"/>
        <v>PS2-SHD10</v>
      </c>
    </row>
    <row r="47" spans="2:4">
      <c r="B47" s="73" t="s">
        <v>67</v>
      </c>
      <c r="C47" s="73" t="s">
        <v>53</v>
      </c>
      <c r="D47" s="73" t="str">
        <f t="shared" si="0"/>
        <v>PS1-E DT</v>
      </c>
    </row>
    <row r="48" spans="2:4">
      <c r="B48" s="73" t="s">
        <v>1607</v>
      </c>
      <c r="C48" s="73" t="s">
        <v>53</v>
      </c>
      <c r="D48" s="73" t="str">
        <f t="shared" si="0"/>
        <v>PS2-E DT</v>
      </c>
    </row>
    <row r="49" spans="2:4">
      <c r="B49" s="73" t="s">
        <v>67</v>
      </c>
      <c r="C49" s="73" t="s">
        <v>55</v>
      </c>
      <c r="D49" s="73" t="str">
        <f t="shared" si="0"/>
        <v>PS1-E AV</v>
      </c>
    </row>
    <row r="50" spans="2:4">
      <c r="B50" s="73" t="s">
        <v>1607</v>
      </c>
      <c r="C50" s="73" t="s">
        <v>55</v>
      </c>
      <c r="D50" s="73" t="str">
        <f t="shared" si="0"/>
        <v>PS2-E AV</v>
      </c>
    </row>
    <row r="51" spans="2:4">
      <c r="B51" s="73" t="s">
        <v>65</v>
      </c>
      <c r="C51" s="73" t="s">
        <v>67</v>
      </c>
      <c r="D51" s="73" t="str">
        <f t="shared" si="0"/>
        <v>SHD16-PS1</v>
      </c>
    </row>
    <row r="52" spans="2:4">
      <c r="B52" s="73" t="s">
        <v>65</v>
      </c>
      <c r="C52" s="73" t="s">
        <v>1607</v>
      </c>
      <c r="D52" s="73" t="str">
        <f t="shared" si="0"/>
        <v>SHD16-PS2</v>
      </c>
    </row>
    <row r="53" spans="2:4">
      <c r="B53" s="73" t="s">
        <v>69</v>
      </c>
      <c r="C53" s="73" t="s">
        <v>67</v>
      </c>
      <c r="D53" s="73" t="str">
        <f t="shared" si="0"/>
        <v>SHD10-PS1</v>
      </c>
    </row>
    <row r="54" spans="2:4">
      <c r="B54" s="73" t="s">
        <v>69</v>
      </c>
      <c r="C54" s="73" t="s">
        <v>1607</v>
      </c>
      <c r="D54" s="73" t="str">
        <f t="shared" si="0"/>
        <v>SHD10-PS2</v>
      </c>
    </row>
    <row r="55" spans="2:4">
      <c r="B55" s="73" t="s">
        <v>53</v>
      </c>
      <c r="C55" s="73" t="s">
        <v>67</v>
      </c>
      <c r="D55" s="73" t="str">
        <f t="shared" si="0"/>
        <v>E DT-PS1</v>
      </c>
    </row>
    <row r="56" spans="2:4">
      <c r="B56" s="73" t="s">
        <v>53</v>
      </c>
      <c r="C56" s="73" t="s">
        <v>1607</v>
      </c>
      <c r="D56" s="73" t="str">
        <f t="shared" si="0"/>
        <v>E DT-PS2</v>
      </c>
    </row>
    <row r="57" spans="2:4">
      <c r="B57" s="73" t="s">
        <v>55</v>
      </c>
      <c r="C57" s="73" t="s">
        <v>67</v>
      </c>
      <c r="D57" s="73" t="str">
        <f t="shared" si="0"/>
        <v>E AV-PS1</v>
      </c>
    </row>
    <row r="58" spans="2:4">
      <c r="B58" s="73" t="s">
        <v>55</v>
      </c>
      <c r="C58" s="73" t="s">
        <v>1607</v>
      </c>
      <c r="D58" s="73" t="str">
        <f t="shared" si="0"/>
        <v>E AV-PS2</v>
      </c>
    </row>
    <row r="59" spans="2:4">
      <c r="B59" s="73" t="s">
        <v>208</v>
      </c>
      <c r="C59" s="73" t="s">
        <v>63</v>
      </c>
      <c r="D59" s="73" t="str">
        <f t="shared" si="0"/>
        <v>RM1W-WL</v>
      </c>
    </row>
    <row r="60" spans="2:4">
      <c r="B60" s="73" t="s">
        <v>63</v>
      </c>
      <c r="C60" s="73" t="s">
        <v>208</v>
      </c>
      <c r="D60" s="73" t="str">
        <f t="shared" si="0"/>
        <v>WL-RM1W</v>
      </c>
    </row>
    <row r="61" spans="2:4">
      <c r="B61" s="73" t="s">
        <v>72</v>
      </c>
      <c r="C61" s="73" t="s">
        <v>55</v>
      </c>
      <c r="D61" s="73" t="str">
        <f t="shared" si="0"/>
        <v>EM1-E AV</v>
      </c>
    </row>
    <row r="62" spans="2:4">
      <c r="B62" s="73" t="s">
        <v>72</v>
      </c>
      <c r="C62" s="73" t="s">
        <v>53</v>
      </c>
      <c r="D62" s="73" t="str">
        <f t="shared" si="0"/>
        <v>EM1-E DT</v>
      </c>
    </row>
    <row r="63" spans="2:4">
      <c r="B63" s="73" t="s">
        <v>55</v>
      </c>
      <c r="C63" s="73" t="s">
        <v>72</v>
      </c>
      <c r="D63" s="73" t="str">
        <f t="shared" si="0"/>
        <v>E AV-EM1</v>
      </c>
    </row>
    <row r="64" spans="2:4">
      <c r="B64" s="73" t="s">
        <v>53</v>
      </c>
      <c r="C64" s="73" t="s">
        <v>72</v>
      </c>
      <c r="D64" s="73" t="str">
        <f t="shared" si="0"/>
        <v>E DT-EM1</v>
      </c>
    </row>
    <row r="65" spans="2:4">
      <c r="B65" s="73" t="s">
        <v>72</v>
      </c>
      <c r="C65" s="73" t="s">
        <v>1609</v>
      </c>
      <c r="D65" s="73" t="str">
        <f t="shared" si="0"/>
        <v>EM1-SHD7</v>
      </c>
    </row>
    <row r="66" spans="2:4">
      <c r="B66" s="73" t="s">
        <v>72</v>
      </c>
      <c r="C66" s="73" t="s">
        <v>1608</v>
      </c>
      <c r="D66" s="73" t="str">
        <f t="shared" si="0"/>
        <v>EM1-SHD17</v>
      </c>
    </row>
    <row r="67" spans="2:4">
      <c r="B67" s="73" t="s">
        <v>1609</v>
      </c>
      <c r="C67" s="73" t="s">
        <v>72</v>
      </c>
      <c r="D67" s="73" t="str">
        <f t="shared" si="0"/>
        <v>SHD7-EM1</v>
      </c>
    </row>
    <row r="68" spans="2:4">
      <c r="B68" s="73" t="s">
        <v>1608</v>
      </c>
      <c r="C68" s="73" t="s">
        <v>72</v>
      </c>
      <c r="D68" s="73" t="str">
        <f t="shared" ref="D68:D100" si="1">IF(B68="","%%%",CONCATENATE(B68,"-",C68))</f>
        <v>SHD17-EM1</v>
      </c>
    </row>
    <row r="69" spans="2:4">
      <c r="B69" s="73"/>
      <c r="C69" s="73"/>
      <c r="D69" s="73" t="str">
        <f t="shared" si="1"/>
        <v>%%%</v>
      </c>
    </row>
    <row r="70" spans="2:4">
      <c r="B70" s="73"/>
      <c r="C70" s="73"/>
      <c r="D70" s="73" t="str">
        <f t="shared" si="1"/>
        <v>%%%</v>
      </c>
    </row>
    <row r="71" spans="2:4">
      <c r="B71" s="73"/>
      <c r="C71" s="73"/>
      <c r="D71" s="73" t="str">
        <f t="shared" si="1"/>
        <v>%%%</v>
      </c>
    </row>
    <row r="72" spans="2:4">
      <c r="B72" s="73"/>
      <c r="C72" s="73"/>
      <c r="D72" s="73" t="str">
        <f t="shared" si="1"/>
        <v>%%%</v>
      </c>
    </row>
    <row r="73" spans="2:4">
      <c r="B73" s="73"/>
      <c r="C73" s="73"/>
      <c r="D73" s="73" t="str">
        <f t="shared" si="1"/>
        <v>%%%</v>
      </c>
    </row>
    <row r="74" spans="2:4">
      <c r="B74" s="73"/>
      <c r="C74" s="73"/>
      <c r="D74" s="73" t="str">
        <f t="shared" si="1"/>
        <v>%%%</v>
      </c>
    </row>
    <row r="75" spans="2:4">
      <c r="B75" s="73"/>
      <c r="C75" s="73"/>
      <c r="D75" s="73" t="str">
        <f t="shared" si="1"/>
        <v>%%%</v>
      </c>
    </row>
    <row r="76" spans="2:4">
      <c r="B76" s="73"/>
      <c r="C76" s="73"/>
      <c r="D76" s="73" t="str">
        <f t="shared" si="1"/>
        <v>%%%</v>
      </c>
    </row>
    <row r="77" spans="2:4">
      <c r="B77" s="73"/>
      <c r="C77" s="73"/>
      <c r="D77" s="73" t="str">
        <f t="shared" si="1"/>
        <v>%%%</v>
      </c>
    </row>
    <row r="78" spans="2:4">
      <c r="B78" s="73"/>
      <c r="C78" s="73"/>
      <c r="D78" s="73" t="str">
        <f t="shared" si="1"/>
        <v>%%%</v>
      </c>
    </row>
    <row r="79" spans="2:4">
      <c r="B79" s="73"/>
      <c r="C79" s="73"/>
      <c r="D79" s="73" t="str">
        <f t="shared" si="1"/>
        <v>%%%</v>
      </c>
    </row>
    <row r="80" spans="2:4">
      <c r="B80" s="73"/>
      <c r="C80" s="73"/>
      <c r="D80" s="73" t="str">
        <f t="shared" si="1"/>
        <v>%%%</v>
      </c>
    </row>
    <row r="81" spans="2:4">
      <c r="B81" s="73"/>
      <c r="C81" s="73"/>
      <c r="D81" s="73" t="str">
        <f t="shared" si="1"/>
        <v>%%%</v>
      </c>
    </row>
    <row r="82" spans="2:4">
      <c r="B82" s="73"/>
      <c r="C82" s="73"/>
      <c r="D82" s="73" t="str">
        <f t="shared" si="1"/>
        <v>%%%</v>
      </c>
    </row>
    <row r="83" spans="2:4">
      <c r="B83" s="73"/>
      <c r="C83" s="73"/>
      <c r="D83" s="73" t="str">
        <f t="shared" si="1"/>
        <v>%%%</v>
      </c>
    </row>
    <row r="84" spans="2:4">
      <c r="B84" s="73"/>
      <c r="C84" s="73"/>
      <c r="D84" s="73" t="str">
        <f t="shared" si="1"/>
        <v>%%%</v>
      </c>
    </row>
    <row r="85" spans="2:4">
      <c r="B85" s="73"/>
      <c r="C85" s="73"/>
      <c r="D85" s="73" t="str">
        <f t="shared" si="1"/>
        <v>%%%</v>
      </c>
    </row>
    <row r="86" spans="2:4">
      <c r="B86" s="73"/>
      <c r="C86" s="73"/>
      <c r="D86" s="73" t="str">
        <f t="shared" si="1"/>
        <v>%%%</v>
      </c>
    </row>
    <row r="87" spans="2:4">
      <c r="B87" s="73"/>
      <c r="C87" s="73"/>
      <c r="D87" s="73" t="str">
        <f t="shared" si="1"/>
        <v>%%%</v>
      </c>
    </row>
    <row r="88" spans="2:4">
      <c r="B88" s="73"/>
      <c r="C88" s="73"/>
      <c r="D88" s="73" t="str">
        <f t="shared" si="1"/>
        <v>%%%</v>
      </c>
    </row>
    <row r="89" spans="2:4">
      <c r="B89" s="73"/>
      <c r="C89" s="73"/>
      <c r="D89" s="73" t="str">
        <f t="shared" si="1"/>
        <v>%%%</v>
      </c>
    </row>
    <row r="90" spans="2:4">
      <c r="B90" s="73"/>
      <c r="C90" s="73"/>
      <c r="D90" s="73" t="str">
        <f t="shared" si="1"/>
        <v>%%%</v>
      </c>
    </row>
    <row r="91" spans="2:4">
      <c r="B91" s="73"/>
      <c r="C91" s="73"/>
      <c r="D91" s="73" t="str">
        <f t="shared" si="1"/>
        <v>%%%</v>
      </c>
    </row>
    <row r="92" spans="2:4">
      <c r="B92" s="73"/>
      <c r="C92" s="73"/>
      <c r="D92" s="73" t="str">
        <f t="shared" si="1"/>
        <v>%%%</v>
      </c>
    </row>
    <row r="93" spans="2:4">
      <c r="B93" s="73"/>
      <c r="C93" s="73"/>
      <c r="D93" s="73" t="str">
        <f t="shared" si="1"/>
        <v>%%%</v>
      </c>
    </row>
    <row r="94" spans="2:4">
      <c r="B94" s="73"/>
      <c r="C94" s="73"/>
      <c r="D94" s="73" t="str">
        <f t="shared" si="1"/>
        <v>%%%</v>
      </c>
    </row>
    <row r="95" spans="2:4">
      <c r="B95" s="73"/>
      <c r="C95" s="73"/>
      <c r="D95" s="73" t="str">
        <f t="shared" si="1"/>
        <v>%%%</v>
      </c>
    </row>
    <row r="96" spans="2:4">
      <c r="B96" s="73"/>
      <c r="C96" s="73"/>
      <c r="D96" s="73" t="str">
        <f t="shared" si="1"/>
        <v>%%%</v>
      </c>
    </row>
    <row r="97" spans="2:4">
      <c r="B97" s="73"/>
      <c r="C97" s="73"/>
      <c r="D97" s="73" t="str">
        <f t="shared" si="1"/>
        <v>%%%</v>
      </c>
    </row>
    <row r="98" spans="2:4">
      <c r="B98" s="73"/>
      <c r="C98" s="73"/>
      <c r="D98" s="73" t="str">
        <f t="shared" si="1"/>
        <v>%%%</v>
      </c>
    </row>
    <row r="99" spans="2:4">
      <c r="B99" s="73"/>
      <c r="C99" s="73"/>
      <c r="D99" s="73" t="str">
        <f t="shared" si="1"/>
        <v>%%%</v>
      </c>
    </row>
    <row r="100" spans="2:4">
      <c r="B100" s="73"/>
      <c r="C100" s="73"/>
      <c r="D100" s="73" t="str">
        <f t="shared" si="1"/>
        <v>%%%</v>
      </c>
    </row>
  </sheetData>
  <phoneticPr fontId="10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escriptive_x0020_Name xmlns="dd207092-013c-466c-b8fe-d2cdec247e6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0BB753E3F224AB3932CB34359F3B0" ma:contentTypeVersion="107" ma:contentTypeDescription="Create a new document." ma:contentTypeScope="" ma:versionID="c67da3f0d04892ecebc2c79ed0769620">
  <xsd:schema xmlns:xsd="http://www.w3.org/2001/XMLSchema" xmlns:xs="http://www.w3.org/2001/XMLSchema" xmlns:p="http://schemas.microsoft.com/office/2006/metadata/properties" xmlns:ns2="dd207092-013c-466c-b8fe-d2cdec247e66" xmlns:ns3="256baf95-761c-46b6-bc70-6ce73de5e356" targetNamespace="http://schemas.microsoft.com/office/2006/metadata/properties" ma:root="true" ma:fieldsID="013c0c2fe8ab76a804f180d70c2e6199" ns2:_="" ns3:_="">
    <xsd:import namespace="dd207092-013c-466c-b8fe-d2cdec247e66"/>
    <xsd:import namespace="256baf95-761c-46b6-bc70-6ce73de5e356"/>
    <xsd:element name="properties">
      <xsd:complexType>
        <xsd:sequence>
          <xsd:element name="documentManagement">
            <xsd:complexType>
              <xsd:all>
                <xsd:element ref="ns2:Descriptive_x0020_Name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d207092-013c-466c-b8fe-d2cdec247e66" elementFormDefault="qualified">
    <xsd:import namespace="http://schemas.microsoft.com/office/2006/documentManagement/types"/>
    <xsd:import namespace="http://schemas.microsoft.com/office/infopath/2007/PartnerControls"/>
    <xsd:element name="Descriptive_x0020_Name" ma:index="8" nillable="true" ma:displayName="Descriptive Name" ma:description="Show in conjunction with &quot;Name&quot; in folder browsing view.  Give &quot;Descriptive Name&quot; while keeping &quot;Name&quot; short to avoid hitting length limitation of total folder path name." ma:internalName="Descriptive_x0020_Nam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6baf95-761c-46b6-bc70-6ce73de5e356" elementFormDefault="qualified">
    <xsd:import namespace="http://schemas.microsoft.com/office/2006/documentManagement/types"/>
    <xsd:import namespace="http://schemas.microsoft.com/office/infopath/2007/PartnerControls"/>
    <xsd:element name="MediaServiceObjectDetectorVersions" ma:index="9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8A390893-29BA-4BFE-AB40-C28EF5D900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A868357-99AD-4E34-BF32-EC4DA25DA9B5}">
  <ds:schemaRefs>
    <ds:schemaRef ds:uri="http://purl.org/dc/dcmitype/"/>
    <ds:schemaRef ds:uri="http://purl.org/dc/terms/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256baf95-761c-46b6-bc70-6ce73de5e356"/>
    <ds:schemaRef ds:uri="http://schemas.openxmlformats.org/package/2006/metadata/core-properties"/>
    <ds:schemaRef ds:uri="dd207092-013c-466c-b8fe-d2cdec247e66"/>
  </ds:schemaRefs>
</ds:datastoreItem>
</file>

<file path=customXml/itemProps3.xml><?xml version="1.0" encoding="utf-8"?>
<ds:datastoreItem xmlns:ds="http://schemas.openxmlformats.org/officeDocument/2006/customXml" ds:itemID="{A00035E1-9D69-4D47-A7AF-739839C20B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d207092-013c-466c-b8fe-d2cdec247e66"/>
    <ds:schemaRef ds:uri="256baf95-761c-46b6-bc70-6ce73de5e3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BBC06EEC-1080-41BB-9B02-3E35ADF96CD9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Train Movement Log (page.2)</vt:lpstr>
      <vt:lpstr>Add-on Train Movement Log</vt:lpstr>
      <vt:lpstr>Train Movement Log (page.1)</vt:lpstr>
      <vt:lpstr>Train Movement Record</vt:lpstr>
      <vt:lpstr>Train Movement Log</vt:lpstr>
      <vt:lpstr>East</vt:lpstr>
      <vt:lpstr>West</vt:lpstr>
      <vt:lpstr>Route</vt:lpstr>
      <vt:lpstr>Radio Call Sign</vt:lpstr>
      <vt:lpstr>choice</vt:lpstr>
      <vt:lpstr>overhead line area</vt:lpstr>
      <vt:lpstr>'Train Movement Log (page.1)'!Depot___KBD</vt:lpstr>
      <vt:lpstr>'Train Movement Log (page.2)'!Depot___KBD</vt:lpstr>
      <vt:lpstr>Depot___KBD</vt:lpstr>
      <vt:lpstr>'Train Movement Log (page.1)'!Item</vt:lpstr>
      <vt:lpstr>'Train Movement Log (page.2)'!Item</vt:lpstr>
      <vt:lpstr>Item</vt:lpstr>
      <vt:lpstr>'Add-on Train Movement Log'!Print_Area</vt:lpstr>
      <vt:lpstr>'Train Movement Log'!Print_Area</vt:lpstr>
      <vt:lpstr>'Train Movement Log (page.1)'!Print_Area</vt:lpstr>
      <vt:lpstr>'Train Movement Log (page.2)'!Print_Area</vt:lpstr>
      <vt:lpstr>'Train Movement Record'!Print_Area</vt:lpstr>
      <vt:lpstr>'Train Movement Log'!Print_Titles</vt:lpstr>
      <vt:lpstr>'Train Movement Log (page.1)'!Train_Movement_Log</vt:lpstr>
      <vt:lpstr>'Train Movement Log (page.2)'!Train_Movement_Log</vt:lpstr>
      <vt:lpstr>Train_Movement_Log</vt:lpstr>
    </vt:vector>
  </TitlesOfParts>
  <Manager/>
  <Company>MTR Corporation Limited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YMCHOW</dc:creator>
  <cp:keywords/>
  <dc:description/>
  <cp:lastModifiedBy>CHIU Ching Cheung</cp:lastModifiedBy>
  <cp:revision/>
  <dcterms:created xsi:type="dcterms:W3CDTF">2008-06-29T06:37:35Z</dcterms:created>
  <dcterms:modified xsi:type="dcterms:W3CDTF">2024-08-22T08:34:12Z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0x0101007650BB753E3F224AB3932CB34359F3B0</vt:lpwstr>
  </property>
  <property fmtid="{D5CDD505-2E9C-101B-9397-08002B2CF9AE}" pid="3" name="_dlc_DocId">
    <vt:lpwstr>QF5Y3W5DNA7H-1154914536-307869</vt:lpwstr>
  </property>
  <property fmtid="{D5CDD505-2E9C-101B-9397-08002B2CF9AE}" pid="4" name="_dlc_DocIdItemGuid">
    <vt:lpwstr>b214fa4b-146b-4c8b-bde3-207d4f0199a2</vt:lpwstr>
  </property>
  <property fmtid="{D5CDD505-2E9C-101B-9397-08002B2CF9AE}" pid="5" name="_dlc_DocIdUrl">
    <vt:lpwstr>https://mtrchk.sharepoint.com/sites/doms_rsmd4/_layouts/15/DocIdRedir.aspx?ID=QF5Y3W5DNA7H-1154914536-307869, QF5Y3W5DNA7H-1154914536-307869</vt:lpwstr>
  </property>
</Properties>
</file>